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5_F013B4_CO_ISOS\"/>
    </mc:Choice>
  </mc:AlternateContent>
  <xr:revisionPtr revIDLastSave="0" documentId="13_ncr:1_{072575EC-BC3C-466C-A7E4-7C1ACC9CC894}" xr6:coauthVersionLast="47" xr6:coauthVersionMax="47" xr10:uidLastSave="{00000000-0000-0000-0000-000000000000}"/>
  <bookViews>
    <workbookView xWindow="16350" yWindow="-26610" windowWidth="17715" windowHeight="17625" xr2:uid="{5485CBB2-C13A-4C0B-BAC8-38661C175E52}"/>
  </bookViews>
  <sheets>
    <sheet name="Raw Scale" sheetId="1" r:id="rId1"/>
    <sheet name="Plot Scale" sheetId="2" r:id="rId2"/>
    <sheet name="Compare" sheetId="3" r:id="rId3"/>
    <sheet name="Harvest image" sheetId="4" r:id="rId4"/>
    <sheet name="Field weights" sheetId="5" r:id="rId5"/>
    <sheet name="Ginning" sheetId="6" r:id="rId6"/>
    <sheet name="Moisture content" sheetId="7" r:id="rId7"/>
    <sheet name="OrigReduced" sheetId="8" r:id="rId8"/>
  </sheets>
  <externalReferences>
    <externalReference r:id="rId9"/>
  </externalReferences>
  <definedNames>
    <definedName name="_xlnm.Print_Area" localSheetId="4">'Field weights'!$B$9:$CC$31</definedName>
    <definedName name="_xlnm.Print_Area" localSheetId="3">'Harvest image'!$A$1:$AU$33</definedName>
    <definedName name="_xlnm.Print_Titles" localSheetId="5">Ginning!$1:$1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8" l="1"/>
  <c r="H3" i="8"/>
  <c r="I3" i="8"/>
  <c r="M3" i="8"/>
  <c r="N3" i="8"/>
  <c r="O3" i="8"/>
  <c r="G4" i="8"/>
  <c r="H4" i="8"/>
  <c r="H112" i="8" s="1"/>
  <c r="I4" i="8"/>
  <c r="M4" i="8"/>
  <c r="N4" i="8"/>
  <c r="O4" i="8"/>
  <c r="G5" i="8"/>
  <c r="G106" i="8" s="1"/>
  <c r="H5" i="8"/>
  <c r="H106" i="8" s="1"/>
  <c r="I5" i="8"/>
  <c r="M5" i="8"/>
  <c r="M106" i="8" s="1"/>
  <c r="N5" i="8"/>
  <c r="N106" i="8" s="1"/>
  <c r="O5" i="8"/>
  <c r="O106" i="8" s="1"/>
  <c r="G6" i="8"/>
  <c r="H6" i="8"/>
  <c r="I6" i="8"/>
  <c r="M6" i="8"/>
  <c r="N6" i="8"/>
  <c r="O6" i="8"/>
  <c r="G7" i="8"/>
  <c r="H7" i="8"/>
  <c r="I7" i="8"/>
  <c r="M7" i="8"/>
  <c r="N7" i="8"/>
  <c r="O7" i="8"/>
  <c r="G8" i="8"/>
  <c r="I8" i="8" s="1"/>
  <c r="H8" i="8"/>
  <c r="M8" i="8"/>
  <c r="N8" i="8"/>
  <c r="O8" i="8"/>
  <c r="G9" i="8"/>
  <c r="H9" i="8"/>
  <c r="I9" i="8"/>
  <c r="M9" i="8"/>
  <c r="N9" i="8"/>
  <c r="O9" i="8"/>
  <c r="G10" i="8"/>
  <c r="H10" i="8"/>
  <c r="I10" i="8"/>
  <c r="M10" i="8"/>
  <c r="N10" i="8"/>
  <c r="O10" i="8"/>
  <c r="G11" i="8"/>
  <c r="H11" i="8"/>
  <c r="I11" i="8"/>
  <c r="M11" i="8"/>
  <c r="N11" i="8"/>
  <c r="O11" i="8"/>
  <c r="G12" i="8"/>
  <c r="I12" i="8" s="1"/>
  <c r="H12" i="8"/>
  <c r="M12" i="8"/>
  <c r="N12" i="8"/>
  <c r="O12" i="8"/>
  <c r="G13" i="8"/>
  <c r="G111" i="8" s="1"/>
  <c r="H13" i="8"/>
  <c r="H111" i="8" s="1"/>
  <c r="I13" i="8"/>
  <c r="I111" i="8" s="1"/>
  <c r="M13" i="8"/>
  <c r="O13" i="8" s="1"/>
  <c r="N13" i="8"/>
  <c r="G14" i="8"/>
  <c r="H14" i="8"/>
  <c r="I14" i="8"/>
  <c r="M14" i="8"/>
  <c r="N14" i="8"/>
  <c r="N105" i="8" s="1"/>
  <c r="O14" i="8"/>
  <c r="G15" i="8"/>
  <c r="H15" i="8"/>
  <c r="I15" i="8"/>
  <c r="M15" i="8"/>
  <c r="N15" i="8"/>
  <c r="O15" i="8"/>
  <c r="G16" i="8"/>
  <c r="H16" i="8"/>
  <c r="I16" i="8"/>
  <c r="M16" i="8"/>
  <c r="N16" i="8"/>
  <c r="O16" i="8"/>
  <c r="G17" i="8"/>
  <c r="H17" i="8"/>
  <c r="I17" i="8"/>
  <c r="M17" i="8"/>
  <c r="O17" i="8" s="1"/>
  <c r="N17" i="8"/>
  <c r="G18" i="8"/>
  <c r="H18" i="8"/>
  <c r="I18" i="8"/>
  <c r="M18" i="8"/>
  <c r="N18" i="8"/>
  <c r="O18" i="8"/>
  <c r="G19" i="8"/>
  <c r="H19" i="8"/>
  <c r="I19" i="8"/>
  <c r="M19" i="8"/>
  <c r="N19" i="8"/>
  <c r="O19" i="8"/>
  <c r="G20" i="8"/>
  <c r="H20" i="8"/>
  <c r="I20" i="8"/>
  <c r="M20" i="8"/>
  <c r="N20" i="8"/>
  <c r="O20" i="8"/>
  <c r="G21" i="8"/>
  <c r="H21" i="8"/>
  <c r="I21" i="8"/>
  <c r="M21" i="8"/>
  <c r="N21" i="8"/>
  <c r="O21" i="8"/>
  <c r="G22" i="8"/>
  <c r="H22" i="8"/>
  <c r="I22" i="8"/>
  <c r="M22" i="8"/>
  <c r="N22" i="8"/>
  <c r="O22" i="8"/>
  <c r="G23" i="8"/>
  <c r="G109" i="8" s="1"/>
  <c r="H23" i="8"/>
  <c r="H109" i="8" s="1"/>
  <c r="I23" i="8"/>
  <c r="I109" i="8" s="1"/>
  <c r="M23" i="8"/>
  <c r="M109" i="8" s="1"/>
  <c r="N23" i="8"/>
  <c r="N109" i="8" s="1"/>
  <c r="O23" i="8"/>
  <c r="G24" i="8"/>
  <c r="I24" i="8" s="1"/>
  <c r="H24" i="8"/>
  <c r="M24" i="8"/>
  <c r="N24" i="8"/>
  <c r="O24" i="8"/>
  <c r="G25" i="8"/>
  <c r="H25" i="8"/>
  <c r="I25" i="8"/>
  <c r="M25" i="8"/>
  <c r="N25" i="8"/>
  <c r="O25" i="8"/>
  <c r="G26" i="8"/>
  <c r="H26" i="8"/>
  <c r="I26" i="8"/>
  <c r="M26" i="8"/>
  <c r="N26" i="8"/>
  <c r="O26" i="8"/>
  <c r="G27" i="8"/>
  <c r="H27" i="8"/>
  <c r="I27" i="8"/>
  <c r="M27" i="8"/>
  <c r="N27" i="8"/>
  <c r="O27" i="8"/>
  <c r="G28" i="8"/>
  <c r="I28" i="8" s="1"/>
  <c r="H28" i="8"/>
  <c r="M28" i="8"/>
  <c r="N28" i="8"/>
  <c r="O28" i="8"/>
  <c r="G29" i="8"/>
  <c r="H29" i="8"/>
  <c r="I29" i="8"/>
  <c r="M29" i="8"/>
  <c r="O29" i="8" s="1"/>
  <c r="N29" i="8"/>
  <c r="G30" i="8"/>
  <c r="H30" i="8"/>
  <c r="I30" i="8"/>
  <c r="M30" i="8"/>
  <c r="N30" i="8"/>
  <c r="O30" i="8"/>
  <c r="G31" i="8"/>
  <c r="H31" i="8"/>
  <c r="I31" i="8"/>
  <c r="M31" i="8"/>
  <c r="N31" i="8"/>
  <c r="O31" i="8"/>
  <c r="G32" i="8"/>
  <c r="H32" i="8"/>
  <c r="I32" i="8"/>
  <c r="M32" i="8"/>
  <c r="N32" i="8"/>
  <c r="O32" i="8"/>
  <c r="G33" i="8"/>
  <c r="G108" i="8" s="1"/>
  <c r="H33" i="8"/>
  <c r="H108" i="8" s="1"/>
  <c r="I33" i="8"/>
  <c r="M33" i="8"/>
  <c r="M108" i="8" s="1"/>
  <c r="N33" i="8"/>
  <c r="N108" i="8" s="1"/>
  <c r="G34" i="8"/>
  <c r="H34" i="8"/>
  <c r="I34" i="8"/>
  <c r="M34" i="8"/>
  <c r="N34" i="8"/>
  <c r="O34" i="8"/>
  <c r="G35" i="8"/>
  <c r="H35" i="8"/>
  <c r="I35" i="8"/>
  <c r="M35" i="8"/>
  <c r="N35" i="8"/>
  <c r="O35" i="8"/>
  <c r="G36" i="8"/>
  <c r="H36" i="8"/>
  <c r="I36" i="8"/>
  <c r="M36" i="8"/>
  <c r="N36" i="8"/>
  <c r="O36" i="8"/>
  <c r="G37" i="8"/>
  <c r="H37" i="8"/>
  <c r="I37" i="8"/>
  <c r="M37" i="8"/>
  <c r="N37" i="8"/>
  <c r="O37" i="8"/>
  <c r="G38" i="8"/>
  <c r="H38" i="8"/>
  <c r="I38" i="8"/>
  <c r="M38" i="8"/>
  <c r="N38" i="8"/>
  <c r="O38" i="8"/>
  <c r="G39" i="8"/>
  <c r="H39" i="8"/>
  <c r="I39" i="8"/>
  <c r="M39" i="8"/>
  <c r="N39" i="8"/>
  <c r="O39" i="8"/>
  <c r="G40" i="8"/>
  <c r="I40" i="8" s="1"/>
  <c r="H40" i="8"/>
  <c r="M40" i="8"/>
  <c r="N40" i="8"/>
  <c r="O40" i="8"/>
  <c r="G41" i="8"/>
  <c r="H41" i="8"/>
  <c r="I41" i="8"/>
  <c r="M41" i="8"/>
  <c r="N41" i="8"/>
  <c r="O41" i="8"/>
  <c r="G42" i="8"/>
  <c r="H42" i="8"/>
  <c r="I42" i="8"/>
  <c r="M42" i="8"/>
  <c r="N42" i="8"/>
  <c r="O42" i="8"/>
  <c r="G43" i="8"/>
  <c r="G113" i="8" s="1"/>
  <c r="H43" i="8"/>
  <c r="H113" i="8" s="1"/>
  <c r="I43" i="8"/>
  <c r="M43" i="8"/>
  <c r="M107" i="8" s="1"/>
  <c r="N43" i="8"/>
  <c r="N107" i="8" s="1"/>
  <c r="O43" i="8"/>
  <c r="G44" i="8"/>
  <c r="G107" i="8" s="1"/>
  <c r="H44" i="8"/>
  <c r="H107" i="8" s="1"/>
  <c r="M44" i="8"/>
  <c r="N44" i="8"/>
  <c r="O44" i="8"/>
  <c r="G45" i="8"/>
  <c r="H45" i="8"/>
  <c r="I45" i="8"/>
  <c r="M45" i="8"/>
  <c r="O45" i="8" s="1"/>
  <c r="N45" i="8"/>
  <c r="G46" i="8"/>
  <c r="H46" i="8"/>
  <c r="I46" i="8"/>
  <c r="M46" i="8"/>
  <c r="N46" i="8"/>
  <c r="O46" i="8"/>
  <c r="G47" i="8"/>
  <c r="H47" i="8"/>
  <c r="I47" i="8"/>
  <c r="M47" i="8"/>
  <c r="N47" i="8"/>
  <c r="O47" i="8"/>
  <c r="G48" i="8"/>
  <c r="H48" i="8"/>
  <c r="I48" i="8"/>
  <c r="M48" i="8"/>
  <c r="N48" i="8"/>
  <c r="O48" i="8"/>
  <c r="G49" i="8"/>
  <c r="H49" i="8"/>
  <c r="I49" i="8"/>
  <c r="M49" i="8"/>
  <c r="O49" i="8" s="1"/>
  <c r="N49" i="8"/>
  <c r="G50" i="8"/>
  <c r="H50" i="8"/>
  <c r="I50" i="8"/>
  <c r="M50" i="8"/>
  <c r="N50" i="8"/>
  <c r="O50" i="8"/>
  <c r="G51" i="8"/>
  <c r="H51" i="8"/>
  <c r="I51" i="8"/>
  <c r="M51" i="8"/>
  <c r="N51" i="8"/>
  <c r="O51" i="8"/>
  <c r="G52" i="8"/>
  <c r="H52" i="8"/>
  <c r="I52" i="8"/>
  <c r="M52" i="8"/>
  <c r="N52" i="8"/>
  <c r="O52" i="8"/>
  <c r="G53" i="8"/>
  <c r="H53" i="8"/>
  <c r="I53" i="8"/>
  <c r="M53" i="8"/>
  <c r="N53" i="8"/>
  <c r="O53" i="8"/>
  <c r="G54" i="8"/>
  <c r="G114" i="8" s="1"/>
  <c r="H54" i="8"/>
  <c r="H114" i="8" s="1"/>
  <c r="I54" i="8"/>
  <c r="M54" i="8"/>
  <c r="N54" i="8"/>
  <c r="O54" i="8"/>
  <c r="G55" i="8"/>
  <c r="H55" i="8"/>
  <c r="I55" i="8"/>
  <c r="M55" i="8"/>
  <c r="N55" i="8"/>
  <c r="O55" i="8"/>
  <c r="G56" i="8"/>
  <c r="I56" i="8" s="1"/>
  <c r="I105" i="8" s="1"/>
  <c r="H56" i="8"/>
  <c r="H105" i="8" s="1"/>
  <c r="M56" i="8"/>
  <c r="N56" i="8"/>
  <c r="O56" i="8"/>
  <c r="G57" i="8"/>
  <c r="H57" i="8"/>
  <c r="I57" i="8"/>
  <c r="M57" i="8"/>
  <c r="N57" i="8"/>
  <c r="O57" i="8"/>
  <c r="G58" i="8"/>
  <c r="H58" i="8"/>
  <c r="I58" i="8"/>
  <c r="M58" i="8"/>
  <c r="N58" i="8"/>
  <c r="O58" i="8"/>
  <c r="G59" i="8"/>
  <c r="H59" i="8"/>
  <c r="I59" i="8"/>
  <c r="M59" i="8"/>
  <c r="N59" i="8"/>
  <c r="O59" i="8"/>
  <c r="G60" i="8"/>
  <c r="I60" i="8" s="1"/>
  <c r="H60" i="8"/>
  <c r="M60" i="8"/>
  <c r="N60" i="8"/>
  <c r="O60" i="8"/>
  <c r="G61" i="8"/>
  <c r="H61" i="8"/>
  <c r="I61" i="8"/>
  <c r="M61" i="8"/>
  <c r="O61" i="8" s="1"/>
  <c r="N61" i="8"/>
  <c r="G62" i="8"/>
  <c r="H62" i="8"/>
  <c r="I62" i="8"/>
  <c r="M62" i="8"/>
  <c r="N62" i="8"/>
  <c r="O62" i="8"/>
  <c r="G63" i="8"/>
  <c r="H63" i="8"/>
  <c r="I63" i="8"/>
  <c r="M63" i="8"/>
  <c r="N63" i="8"/>
  <c r="O63" i="8"/>
  <c r="G64" i="8"/>
  <c r="H64" i="8"/>
  <c r="I64" i="8"/>
  <c r="M64" i="8"/>
  <c r="N64" i="8"/>
  <c r="O64" i="8"/>
  <c r="G65" i="8"/>
  <c r="H65" i="8"/>
  <c r="I65" i="8"/>
  <c r="M65" i="8"/>
  <c r="O65" i="8" s="1"/>
  <c r="N65" i="8"/>
  <c r="G66" i="8"/>
  <c r="H66" i="8"/>
  <c r="I66" i="8"/>
  <c r="M66" i="8"/>
  <c r="N66" i="8"/>
  <c r="O66" i="8"/>
  <c r="G67" i="8"/>
  <c r="H67" i="8"/>
  <c r="I67" i="8"/>
  <c r="M67" i="8"/>
  <c r="N67" i="8"/>
  <c r="O67" i="8"/>
  <c r="G68" i="8"/>
  <c r="H68" i="8"/>
  <c r="I68" i="8"/>
  <c r="M68" i="8"/>
  <c r="N68" i="8"/>
  <c r="O68" i="8"/>
  <c r="G69" i="8"/>
  <c r="H69" i="8"/>
  <c r="I69" i="8"/>
  <c r="M69" i="8"/>
  <c r="N69" i="8"/>
  <c r="O69" i="8"/>
  <c r="G70" i="8"/>
  <c r="H70" i="8"/>
  <c r="I70" i="8"/>
  <c r="M70" i="8"/>
  <c r="N70" i="8"/>
  <c r="O70" i="8"/>
  <c r="G71" i="8"/>
  <c r="H71" i="8"/>
  <c r="I71" i="8"/>
  <c r="M71" i="8"/>
  <c r="N71" i="8"/>
  <c r="O71" i="8"/>
  <c r="G72" i="8"/>
  <c r="I72" i="8" s="1"/>
  <c r="H72" i="8"/>
  <c r="M72" i="8"/>
  <c r="N72" i="8"/>
  <c r="O72" i="8"/>
  <c r="G73" i="8"/>
  <c r="H73" i="8"/>
  <c r="I73" i="8"/>
  <c r="M73" i="8"/>
  <c r="N73" i="8"/>
  <c r="O73" i="8"/>
  <c r="G74" i="8"/>
  <c r="H74" i="8"/>
  <c r="I74" i="8"/>
  <c r="M74" i="8"/>
  <c r="N74" i="8"/>
  <c r="O74" i="8"/>
  <c r="G75" i="8"/>
  <c r="H75" i="8"/>
  <c r="I75" i="8"/>
  <c r="M75" i="8"/>
  <c r="N75" i="8"/>
  <c r="O75" i="8"/>
  <c r="G76" i="8"/>
  <c r="I76" i="8" s="1"/>
  <c r="H76" i="8"/>
  <c r="M76" i="8"/>
  <c r="N76" i="8"/>
  <c r="O76" i="8"/>
  <c r="G77" i="8"/>
  <c r="H77" i="8"/>
  <c r="I77" i="8"/>
  <c r="M77" i="8"/>
  <c r="O77" i="8" s="1"/>
  <c r="N77" i="8"/>
  <c r="G78" i="8"/>
  <c r="H78" i="8"/>
  <c r="I78" i="8"/>
  <c r="M78" i="8"/>
  <c r="N78" i="8"/>
  <c r="O78" i="8"/>
  <c r="G79" i="8"/>
  <c r="H79" i="8"/>
  <c r="I79" i="8"/>
  <c r="M79" i="8"/>
  <c r="N79" i="8"/>
  <c r="O79" i="8"/>
  <c r="G80" i="8"/>
  <c r="H80" i="8"/>
  <c r="I80" i="8"/>
  <c r="M80" i="8"/>
  <c r="N80" i="8"/>
  <c r="O80" i="8"/>
  <c r="G81" i="8"/>
  <c r="H81" i="8"/>
  <c r="I81" i="8"/>
  <c r="M81" i="8"/>
  <c r="O81" i="8" s="1"/>
  <c r="N81" i="8"/>
  <c r="G82" i="8"/>
  <c r="H82" i="8"/>
  <c r="I82" i="8"/>
  <c r="M82" i="8"/>
  <c r="N82" i="8"/>
  <c r="O82" i="8"/>
  <c r="G83" i="8"/>
  <c r="H83" i="8"/>
  <c r="I83" i="8"/>
  <c r="M83" i="8"/>
  <c r="N83" i="8"/>
  <c r="O83" i="8"/>
  <c r="G84" i="8"/>
  <c r="H84" i="8"/>
  <c r="I84" i="8"/>
  <c r="M84" i="8"/>
  <c r="N84" i="8"/>
  <c r="O84" i="8"/>
  <c r="G85" i="8"/>
  <c r="H85" i="8"/>
  <c r="I85" i="8"/>
  <c r="M85" i="8"/>
  <c r="N85" i="8"/>
  <c r="O85" i="8"/>
  <c r="G86" i="8"/>
  <c r="H86" i="8"/>
  <c r="H115" i="8" s="1"/>
  <c r="I86" i="8"/>
  <c r="M86" i="8"/>
  <c r="N86" i="8"/>
  <c r="O86" i="8"/>
  <c r="G87" i="8"/>
  <c r="H87" i="8"/>
  <c r="I87" i="8"/>
  <c r="M87" i="8"/>
  <c r="N87" i="8"/>
  <c r="O87" i="8"/>
  <c r="G88" i="8"/>
  <c r="I88" i="8" s="1"/>
  <c r="H88" i="8"/>
  <c r="M88" i="8"/>
  <c r="N88" i="8"/>
  <c r="O88" i="8"/>
  <c r="G89" i="8"/>
  <c r="H89" i="8"/>
  <c r="I89" i="8"/>
  <c r="M89" i="8"/>
  <c r="N89" i="8"/>
  <c r="O89" i="8"/>
  <c r="G90" i="8"/>
  <c r="H90" i="8"/>
  <c r="I90" i="8"/>
  <c r="M90" i="8"/>
  <c r="N90" i="8"/>
  <c r="O90" i="8"/>
  <c r="G91" i="8"/>
  <c r="H91" i="8"/>
  <c r="I91" i="8"/>
  <c r="M91" i="8"/>
  <c r="N91" i="8"/>
  <c r="O91" i="8"/>
  <c r="G92" i="8"/>
  <c r="I92" i="8" s="1"/>
  <c r="H92" i="8"/>
  <c r="M92" i="8"/>
  <c r="N92" i="8"/>
  <c r="O92" i="8"/>
  <c r="G93" i="8"/>
  <c r="H93" i="8"/>
  <c r="I93" i="8"/>
  <c r="M93" i="8"/>
  <c r="O93" i="8" s="1"/>
  <c r="N93" i="8"/>
  <c r="G94" i="8"/>
  <c r="H94" i="8"/>
  <c r="I94" i="8"/>
  <c r="M94" i="8"/>
  <c r="N94" i="8"/>
  <c r="O94" i="8"/>
  <c r="G95" i="8"/>
  <c r="H95" i="8"/>
  <c r="I95" i="8"/>
  <c r="M95" i="8"/>
  <c r="N95" i="8"/>
  <c r="O95" i="8"/>
  <c r="G96" i="8"/>
  <c r="H96" i="8"/>
  <c r="I96" i="8"/>
  <c r="M96" i="8"/>
  <c r="N96" i="8"/>
  <c r="O96" i="8"/>
  <c r="G97" i="8"/>
  <c r="H97" i="8"/>
  <c r="I97" i="8"/>
  <c r="M97" i="8"/>
  <c r="O97" i="8" s="1"/>
  <c r="N97" i="8"/>
  <c r="G98" i="8"/>
  <c r="H98" i="8"/>
  <c r="I98" i="8"/>
  <c r="M98" i="8"/>
  <c r="N98" i="8"/>
  <c r="O98" i="8"/>
  <c r="G99" i="8"/>
  <c r="I99" i="8" s="1"/>
  <c r="H99" i="8"/>
  <c r="M99" i="8"/>
  <c r="N99" i="8"/>
  <c r="O99" i="8"/>
  <c r="G100" i="8"/>
  <c r="H100" i="8"/>
  <c r="I100" i="8"/>
  <c r="M100" i="8"/>
  <c r="N100" i="8"/>
  <c r="O100" i="8"/>
  <c r="G101" i="8"/>
  <c r="H101" i="8"/>
  <c r="I101" i="8"/>
  <c r="M101" i="8"/>
  <c r="N101" i="8"/>
  <c r="O101" i="8"/>
  <c r="G102" i="8"/>
  <c r="H102" i="8"/>
  <c r="I102" i="8"/>
  <c r="M102" i="8"/>
  <c r="N102" i="8"/>
  <c r="O102" i="8"/>
  <c r="C105" i="8"/>
  <c r="D105" i="8"/>
  <c r="E105" i="8"/>
  <c r="F105" i="8"/>
  <c r="K105" i="8"/>
  <c r="L105" i="8"/>
  <c r="C106" i="8"/>
  <c r="D106" i="8"/>
  <c r="E106" i="8"/>
  <c r="F106" i="8"/>
  <c r="K106" i="8"/>
  <c r="L106" i="8"/>
  <c r="C107" i="8"/>
  <c r="D107" i="8"/>
  <c r="E107" i="8"/>
  <c r="F107" i="8"/>
  <c r="K107" i="8"/>
  <c r="L107" i="8"/>
  <c r="C108" i="8"/>
  <c r="D108" i="8"/>
  <c r="E108" i="8"/>
  <c r="F108" i="8"/>
  <c r="K108" i="8"/>
  <c r="L108" i="8"/>
  <c r="C109" i="8"/>
  <c r="D109" i="8"/>
  <c r="E109" i="8"/>
  <c r="F109" i="8"/>
  <c r="K109" i="8"/>
  <c r="L109" i="8"/>
  <c r="C111" i="8"/>
  <c r="D111" i="8"/>
  <c r="E111" i="8"/>
  <c r="F111" i="8"/>
  <c r="C112" i="8"/>
  <c r="D112" i="8"/>
  <c r="E112" i="8"/>
  <c r="F112" i="8"/>
  <c r="G112" i="8"/>
  <c r="K112" i="8"/>
  <c r="L112" i="8"/>
  <c r="M112" i="8"/>
  <c r="C113" i="8"/>
  <c r="D113" i="8"/>
  <c r="E113" i="8"/>
  <c r="F113" i="8"/>
  <c r="C114" i="8"/>
  <c r="D114" i="8"/>
  <c r="E114" i="8"/>
  <c r="F114" i="8"/>
  <c r="C115" i="8"/>
  <c r="D115" i="8"/>
  <c r="E115" i="8"/>
  <c r="F115" i="8"/>
  <c r="G115" i="8"/>
  <c r="C116" i="8"/>
  <c r="D116" i="8"/>
  <c r="E116" i="8"/>
  <c r="F116" i="8"/>
  <c r="G116" i="8"/>
  <c r="H116" i="8"/>
  <c r="F18" i="7"/>
  <c r="H18" i="7"/>
  <c r="J18" i="7"/>
  <c r="L18" i="7"/>
  <c r="M18" i="7"/>
  <c r="N18" i="7"/>
  <c r="T18" i="7"/>
  <c r="V18" i="7"/>
  <c r="X18" i="7"/>
  <c r="Z18" i="7"/>
  <c r="AA18" i="7"/>
  <c r="AB18" i="7"/>
  <c r="AH18" i="7"/>
  <c r="AJ18" i="7"/>
  <c r="AL18" i="7"/>
  <c r="AN18" i="7"/>
  <c r="AO18" i="7"/>
  <c r="AP18" i="7"/>
  <c r="AV18" i="7"/>
  <c r="AX18" i="7"/>
  <c r="AZ18" i="7"/>
  <c r="BB18" i="7"/>
  <c r="BC18" i="7"/>
  <c r="BD18" i="7"/>
  <c r="BJ18" i="7"/>
  <c r="BL18" i="7"/>
  <c r="BN18" i="7"/>
  <c r="BP18" i="7"/>
  <c r="BQ18" i="7"/>
  <c r="BR18" i="7"/>
  <c r="F19" i="7"/>
  <c r="H19" i="7"/>
  <c r="J19" i="7"/>
  <c r="L19" i="7"/>
  <c r="M19" i="7"/>
  <c r="N19" i="7"/>
  <c r="T19" i="7"/>
  <c r="V19" i="7"/>
  <c r="X19" i="7"/>
  <c r="Z19" i="7"/>
  <c r="AA19" i="7"/>
  <c r="AB19" i="7"/>
  <c r="AH19" i="7"/>
  <c r="AJ19" i="7"/>
  <c r="AL19" i="7"/>
  <c r="AN19" i="7"/>
  <c r="AO19" i="7"/>
  <c r="AP19" i="7"/>
  <c r="AV19" i="7"/>
  <c r="AX19" i="7"/>
  <c r="AZ19" i="7"/>
  <c r="BB19" i="7"/>
  <c r="BC19" i="7"/>
  <c r="BD19" i="7"/>
  <c r="BJ19" i="7"/>
  <c r="BL19" i="7"/>
  <c r="BN19" i="7"/>
  <c r="BP19" i="7"/>
  <c r="BQ19" i="7"/>
  <c r="BR19" i="7"/>
  <c r="F20" i="7"/>
  <c r="H20" i="7"/>
  <c r="J20" i="7"/>
  <c r="L20" i="7"/>
  <c r="M20" i="7"/>
  <c r="N20" i="7"/>
  <c r="T20" i="7"/>
  <c r="V20" i="7"/>
  <c r="X20" i="7"/>
  <c r="Z20" i="7"/>
  <c r="AA20" i="7"/>
  <c r="AB20" i="7"/>
  <c r="AH20" i="7"/>
  <c r="AJ20" i="7"/>
  <c r="AL20" i="7"/>
  <c r="AN20" i="7"/>
  <c r="AO20" i="7"/>
  <c r="AP20" i="7"/>
  <c r="AV20" i="7"/>
  <c r="AX20" i="7"/>
  <c r="AZ20" i="7"/>
  <c r="BB20" i="7"/>
  <c r="BC20" i="7"/>
  <c r="BD20" i="7"/>
  <c r="BJ20" i="7"/>
  <c r="BL20" i="7"/>
  <c r="BN20" i="7"/>
  <c r="BP20" i="7"/>
  <c r="BQ20" i="7"/>
  <c r="BR20" i="7"/>
  <c r="F21" i="7"/>
  <c r="H21" i="7"/>
  <c r="J21" i="7"/>
  <c r="L21" i="7"/>
  <c r="M21" i="7"/>
  <c r="N21" i="7"/>
  <c r="T21" i="7"/>
  <c r="V21" i="7"/>
  <c r="X21" i="7"/>
  <c r="Z21" i="7"/>
  <c r="AA21" i="7"/>
  <c r="AB21" i="7"/>
  <c r="AH21" i="7"/>
  <c r="AJ21" i="7"/>
  <c r="AL21" i="7"/>
  <c r="AN21" i="7"/>
  <c r="AO21" i="7"/>
  <c r="AP21" i="7"/>
  <c r="AV21" i="7"/>
  <c r="AX21" i="7"/>
  <c r="AZ21" i="7"/>
  <c r="BB21" i="7"/>
  <c r="BC21" i="7"/>
  <c r="BD21" i="7"/>
  <c r="BJ21" i="7"/>
  <c r="BL21" i="7"/>
  <c r="BN21" i="7"/>
  <c r="BP21" i="7"/>
  <c r="BQ21" i="7"/>
  <c r="BR21" i="7"/>
  <c r="F22" i="7"/>
  <c r="H22" i="7"/>
  <c r="J22" i="7"/>
  <c r="L22" i="7"/>
  <c r="M22" i="7"/>
  <c r="N22" i="7"/>
  <c r="T22" i="7"/>
  <c r="V22" i="7"/>
  <c r="X22" i="7"/>
  <c r="Z22" i="7"/>
  <c r="AA22" i="7"/>
  <c r="AB22" i="7"/>
  <c r="AH22" i="7"/>
  <c r="AJ22" i="7"/>
  <c r="AL22" i="7"/>
  <c r="AN22" i="7"/>
  <c r="AO22" i="7"/>
  <c r="AP22" i="7"/>
  <c r="AV22" i="7"/>
  <c r="AX22" i="7"/>
  <c r="AZ22" i="7"/>
  <c r="BB22" i="7"/>
  <c r="BC22" i="7"/>
  <c r="BD22" i="7"/>
  <c r="BJ22" i="7"/>
  <c r="BL22" i="7"/>
  <c r="BN22" i="7"/>
  <c r="BP22" i="7"/>
  <c r="BQ22" i="7"/>
  <c r="BR22" i="7"/>
  <c r="F23" i="7"/>
  <c r="H23" i="7"/>
  <c r="J23" i="7"/>
  <c r="L23" i="7"/>
  <c r="M23" i="7"/>
  <c r="N23" i="7"/>
  <c r="T23" i="7"/>
  <c r="V23" i="7"/>
  <c r="X23" i="7"/>
  <c r="Z23" i="7"/>
  <c r="AA23" i="7"/>
  <c r="AB23" i="7"/>
  <c r="AH23" i="7"/>
  <c r="AJ23" i="7"/>
  <c r="AL23" i="7"/>
  <c r="AN23" i="7"/>
  <c r="AO23" i="7"/>
  <c r="AP23" i="7"/>
  <c r="AV23" i="7"/>
  <c r="AX23" i="7"/>
  <c r="AZ23" i="7"/>
  <c r="BB23" i="7"/>
  <c r="BC23" i="7"/>
  <c r="BD23" i="7"/>
  <c r="BJ23" i="7"/>
  <c r="BL23" i="7"/>
  <c r="BN23" i="7"/>
  <c r="BP23" i="7"/>
  <c r="BQ23" i="7"/>
  <c r="BR23" i="7"/>
  <c r="F24" i="7"/>
  <c r="H24" i="7"/>
  <c r="J24" i="7"/>
  <c r="L24" i="7"/>
  <c r="M24" i="7"/>
  <c r="N24" i="7"/>
  <c r="T24" i="7"/>
  <c r="V24" i="7"/>
  <c r="X24" i="7"/>
  <c r="Z24" i="7"/>
  <c r="AA24" i="7"/>
  <c r="AB24" i="7"/>
  <c r="AH24" i="7"/>
  <c r="AJ24" i="7"/>
  <c r="AL24" i="7"/>
  <c r="AN24" i="7"/>
  <c r="AO24" i="7"/>
  <c r="AP24" i="7"/>
  <c r="AV24" i="7"/>
  <c r="AX24" i="7"/>
  <c r="AZ24" i="7"/>
  <c r="BB24" i="7"/>
  <c r="BC24" i="7"/>
  <c r="BD24" i="7"/>
  <c r="BJ24" i="7"/>
  <c r="BL24" i="7"/>
  <c r="BN24" i="7"/>
  <c r="BP24" i="7"/>
  <c r="BQ24" i="7"/>
  <c r="BR24" i="7"/>
  <c r="F25" i="7"/>
  <c r="H25" i="7"/>
  <c r="J25" i="7"/>
  <c r="L25" i="7"/>
  <c r="M25" i="7"/>
  <c r="N25" i="7"/>
  <c r="T25" i="7"/>
  <c r="V25" i="7"/>
  <c r="X25" i="7"/>
  <c r="Z25" i="7"/>
  <c r="AA25" i="7"/>
  <c r="AB25" i="7"/>
  <c r="AH25" i="7"/>
  <c r="AJ25" i="7"/>
  <c r="AL25" i="7"/>
  <c r="AN25" i="7"/>
  <c r="AO25" i="7"/>
  <c r="AP25" i="7"/>
  <c r="AV25" i="7"/>
  <c r="AX25" i="7"/>
  <c r="AZ25" i="7"/>
  <c r="BB25" i="7"/>
  <c r="BC25" i="7"/>
  <c r="BD25" i="7"/>
  <c r="BJ25" i="7"/>
  <c r="BL25" i="7"/>
  <c r="BN25" i="7"/>
  <c r="BP25" i="7"/>
  <c r="BQ25" i="7"/>
  <c r="BR25" i="7"/>
  <c r="F26" i="7"/>
  <c r="H26" i="7"/>
  <c r="J26" i="7"/>
  <c r="L26" i="7"/>
  <c r="M26" i="7"/>
  <c r="N26" i="7"/>
  <c r="T26" i="7"/>
  <c r="V26" i="7"/>
  <c r="X26" i="7"/>
  <c r="Z26" i="7"/>
  <c r="AA26" i="7"/>
  <c r="AB26" i="7"/>
  <c r="AH26" i="7"/>
  <c r="AJ26" i="7"/>
  <c r="AL26" i="7"/>
  <c r="AN26" i="7"/>
  <c r="AO26" i="7"/>
  <c r="AP26" i="7"/>
  <c r="AV26" i="7"/>
  <c r="AX26" i="7"/>
  <c r="AZ26" i="7"/>
  <c r="BB26" i="7"/>
  <c r="BC26" i="7"/>
  <c r="BD26" i="7"/>
  <c r="BJ26" i="7"/>
  <c r="BL26" i="7"/>
  <c r="BN26" i="7"/>
  <c r="BP26" i="7"/>
  <c r="BQ26" i="7"/>
  <c r="BR26" i="7"/>
  <c r="F27" i="7"/>
  <c r="H27" i="7"/>
  <c r="J27" i="7"/>
  <c r="L27" i="7"/>
  <c r="M27" i="7"/>
  <c r="N27" i="7"/>
  <c r="T27" i="7"/>
  <c r="V27" i="7"/>
  <c r="X27" i="7"/>
  <c r="Z27" i="7"/>
  <c r="AA27" i="7"/>
  <c r="AB27" i="7"/>
  <c r="AH27" i="7"/>
  <c r="AJ27" i="7"/>
  <c r="AL27" i="7"/>
  <c r="AN27" i="7"/>
  <c r="AO27" i="7"/>
  <c r="AP27" i="7"/>
  <c r="AV27" i="7"/>
  <c r="AX27" i="7"/>
  <c r="AZ27" i="7"/>
  <c r="BB27" i="7"/>
  <c r="BC27" i="7"/>
  <c r="BD27" i="7"/>
  <c r="BJ27" i="7"/>
  <c r="BL27" i="7"/>
  <c r="BN27" i="7"/>
  <c r="BP27" i="7"/>
  <c r="BQ27" i="7"/>
  <c r="BR27" i="7"/>
  <c r="F32" i="7"/>
  <c r="H32" i="7"/>
  <c r="J32" i="7"/>
  <c r="L32" i="7"/>
  <c r="M32" i="7"/>
  <c r="N32" i="7"/>
  <c r="T32" i="7"/>
  <c r="V32" i="7"/>
  <c r="X32" i="7"/>
  <c r="Z32" i="7"/>
  <c r="AA32" i="7"/>
  <c r="AB32" i="7"/>
  <c r="AH32" i="7"/>
  <c r="AJ32" i="7"/>
  <c r="AL32" i="7"/>
  <c r="AN32" i="7"/>
  <c r="AO32" i="7"/>
  <c r="AP32" i="7"/>
  <c r="AV32" i="7"/>
  <c r="AX32" i="7"/>
  <c r="AZ32" i="7"/>
  <c r="BB32" i="7"/>
  <c r="BC32" i="7"/>
  <c r="BD32" i="7"/>
  <c r="BJ32" i="7"/>
  <c r="BL32" i="7"/>
  <c r="BN32" i="7"/>
  <c r="BP32" i="7"/>
  <c r="BQ32" i="7"/>
  <c r="BR32" i="7"/>
  <c r="F33" i="7"/>
  <c r="H33" i="7"/>
  <c r="J33" i="7"/>
  <c r="L33" i="7"/>
  <c r="M33" i="7"/>
  <c r="N33" i="7"/>
  <c r="T33" i="7"/>
  <c r="V33" i="7"/>
  <c r="X33" i="7"/>
  <c r="Z33" i="7"/>
  <c r="AA33" i="7"/>
  <c r="AB33" i="7"/>
  <c r="AH33" i="7"/>
  <c r="AJ33" i="7"/>
  <c r="AL33" i="7"/>
  <c r="AN33" i="7"/>
  <c r="AO33" i="7"/>
  <c r="AP33" i="7"/>
  <c r="AV33" i="7"/>
  <c r="AX33" i="7"/>
  <c r="AZ33" i="7"/>
  <c r="BB33" i="7"/>
  <c r="BC33" i="7"/>
  <c r="BD33" i="7"/>
  <c r="BJ33" i="7"/>
  <c r="BL33" i="7"/>
  <c r="BN33" i="7"/>
  <c r="BP33" i="7"/>
  <c r="BQ33" i="7"/>
  <c r="BR33" i="7"/>
  <c r="F34" i="7"/>
  <c r="H34" i="7"/>
  <c r="J34" i="7"/>
  <c r="L34" i="7"/>
  <c r="M34" i="7"/>
  <c r="N34" i="7"/>
  <c r="T34" i="7"/>
  <c r="V34" i="7"/>
  <c r="X34" i="7"/>
  <c r="Z34" i="7"/>
  <c r="AA34" i="7"/>
  <c r="AB34" i="7"/>
  <c r="AH34" i="7"/>
  <c r="AJ34" i="7"/>
  <c r="AL34" i="7"/>
  <c r="AN34" i="7"/>
  <c r="AO34" i="7"/>
  <c r="AP34" i="7"/>
  <c r="AV34" i="7"/>
  <c r="AX34" i="7"/>
  <c r="AZ34" i="7"/>
  <c r="BB34" i="7"/>
  <c r="BC34" i="7"/>
  <c r="BD34" i="7"/>
  <c r="BJ34" i="7"/>
  <c r="BL34" i="7"/>
  <c r="BN34" i="7"/>
  <c r="BP34" i="7"/>
  <c r="BQ34" i="7"/>
  <c r="BR34" i="7"/>
  <c r="F35" i="7"/>
  <c r="H35" i="7"/>
  <c r="J35" i="7"/>
  <c r="L35" i="7"/>
  <c r="M35" i="7"/>
  <c r="N35" i="7"/>
  <c r="T35" i="7"/>
  <c r="V35" i="7"/>
  <c r="X35" i="7"/>
  <c r="Z35" i="7"/>
  <c r="AA35" i="7"/>
  <c r="AB35" i="7"/>
  <c r="AH35" i="7"/>
  <c r="AJ35" i="7"/>
  <c r="AL35" i="7"/>
  <c r="AN35" i="7"/>
  <c r="AO35" i="7"/>
  <c r="AP35" i="7"/>
  <c r="AV35" i="7"/>
  <c r="AX35" i="7"/>
  <c r="AZ35" i="7"/>
  <c r="BB35" i="7"/>
  <c r="BC35" i="7"/>
  <c r="BD35" i="7"/>
  <c r="BJ35" i="7"/>
  <c r="BL35" i="7"/>
  <c r="BN35" i="7"/>
  <c r="BP35" i="7"/>
  <c r="BQ35" i="7"/>
  <c r="BR35" i="7"/>
  <c r="F36" i="7"/>
  <c r="H36" i="7"/>
  <c r="J36" i="7"/>
  <c r="L36" i="7"/>
  <c r="M36" i="7"/>
  <c r="N36" i="7"/>
  <c r="T36" i="7"/>
  <c r="V36" i="7"/>
  <c r="X36" i="7"/>
  <c r="Z36" i="7"/>
  <c r="AA36" i="7"/>
  <c r="AB36" i="7"/>
  <c r="AH36" i="7"/>
  <c r="AJ36" i="7"/>
  <c r="AL36" i="7"/>
  <c r="AN36" i="7"/>
  <c r="AO36" i="7"/>
  <c r="AP36" i="7"/>
  <c r="AV36" i="7"/>
  <c r="AX36" i="7"/>
  <c r="AZ36" i="7"/>
  <c r="BB36" i="7"/>
  <c r="BC36" i="7"/>
  <c r="BD36" i="7"/>
  <c r="BJ36" i="7"/>
  <c r="BL36" i="7"/>
  <c r="BN36" i="7"/>
  <c r="BP36" i="7"/>
  <c r="BQ36" i="7"/>
  <c r="BR36" i="7"/>
  <c r="F37" i="7"/>
  <c r="H37" i="7"/>
  <c r="J37" i="7"/>
  <c r="L37" i="7"/>
  <c r="M37" i="7"/>
  <c r="N37" i="7"/>
  <c r="T37" i="7"/>
  <c r="V37" i="7"/>
  <c r="X37" i="7"/>
  <c r="Z37" i="7"/>
  <c r="AA37" i="7"/>
  <c r="AB37" i="7"/>
  <c r="AH37" i="7"/>
  <c r="AJ37" i="7"/>
  <c r="AL37" i="7"/>
  <c r="AN37" i="7"/>
  <c r="AO37" i="7"/>
  <c r="AP37" i="7"/>
  <c r="AV37" i="7"/>
  <c r="AX37" i="7"/>
  <c r="AZ37" i="7"/>
  <c r="BB37" i="7"/>
  <c r="BC37" i="7"/>
  <c r="BD37" i="7"/>
  <c r="BJ37" i="7"/>
  <c r="BL37" i="7"/>
  <c r="BN37" i="7"/>
  <c r="BP37" i="7"/>
  <c r="BQ37" i="7"/>
  <c r="BR37" i="7"/>
  <c r="F38" i="7"/>
  <c r="H38" i="7"/>
  <c r="J38" i="7"/>
  <c r="L38" i="7"/>
  <c r="M38" i="7"/>
  <c r="N38" i="7"/>
  <c r="T38" i="7"/>
  <c r="V38" i="7"/>
  <c r="X38" i="7"/>
  <c r="Z38" i="7"/>
  <c r="AA38" i="7"/>
  <c r="AB38" i="7"/>
  <c r="AH38" i="7"/>
  <c r="AJ38" i="7"/>
  <c r="AL38" i="7"/>
  <c r="AN38" i="7"/>
  <c r="AO38" i="7"/>
  <c r="AP38" i="7"/>
  <c r="AV38" i="7"/>
  <c r="AX38" i="7"/>
  <c r="AZ38" i="7"/>
  <c r="BB38" i="7"/>
  <c r="BC38" i="7"/>
  <c r="BD38" i="7"/>
  <c r="BJ38" i="7"/>
  <c r="BL38" i="7"/>
  <c r="BN38" i="7"/>
  <c r="BP38" i="7"/>
  <c r="BQ38" i="7"/>
  <c r="BR38" i="7"/>
  <c r="F39" i="7"/>
  <c r="H39" i="7"/>
  <c r="J39" i="7"/>
  <c r="L39" i="7"/>
  <c r="M39" i="7"/>
  <c r="N39" i="7"/>
  <c r="T39" i="7"/>
  <c r="V39" i="7"/>
  <c r="X39" i="7"/>
  <c r="Z39" i="7"/>
  <c r="AA39" i="7"/>
  <c r="AB39" i="7"/>
  <c r="AH39" i="7"/>
  <c r="AJ39" i="7"/>
  <c r="AL39" i="7"/>
  <c r="AN39" i="7"/>
  <c r="AO39" i="7"/>
  <c r="AP39" i="7"/>
  <c r="AV39" i="7"/>
  <c r="AX39" i="7"/>
  <c r="AZ39" i="7"/>
  <c r="BB39" i="7"/>
  <c r="BC39" i="7"/>
  <c r="BD39" i="7"/>
  <c r="BJ39" i="7"/>
  <c r="BL39" i="7"/>
  <c r="BN39" i="7"/>
  <c r="BP39" i="7"/>
  <c r="BQ39" i="7"/>
  <c r="BR39" i="7"/>
  <c r="F40" i="7"/>
  <c r="H40" i="7"/>
  <c r="J40" i="7"/>
  <c r="L40" i="7"/>
  <c r="M40" i="7"/>
  <c r="N40" i="7"/>
  <c r="T40" i="7"/>
  <c r="V40" i="7"/>
  <c r="X40" i="7"/>
  <c r="Z40" i="7"/>
  <c r="AA40" i="7"/>
  <c r="AB40" i="7"/>
  <c r="AH40" i="7"/>
  <c r="AJ40" i="7"/>
  <c r="AL40" i="7"/>
  <c r="AN40" i="7"/>
  <c r="AO40" i="7"/>
  <c r="AP40" i="7"/>
  <c r="AV40" i="7"/>
  <c r="AX40" i="7"/>
  <c r="AZ40" i="7"/>
  <c r="BB40" i="7"/>
  <c r="BC40" i="7"/>
  <c r="BD40" i="7"/>
  <c r="BJ40" i="7"/>
  <c r="BL40" i="7"/>
  <c r="BN40" i="7"/>
  <c r="BP40" i="7"/>
  <c r="BQ40" i="7"/>
  <c r="BR40" i="7"/>
  <c r="F41" i="7"/>
  <c r="H41" i="7"/>
  <c r="J41" i="7"/>
  <c r="L41" i="7"/>
  <c r="M41" i="7"/>
  <c r="N41" i="7"/>
  <c r="T41" i="7"/>
  <c r="V41" i="7"/>
  <c r="X41" i="7"/>
  <c r="Z41" i="7"/>
  <c r="AA41" i="7"/>
  <c r="AB41" i="7"/>
  <c r="AH41" i="7"/>
  <c r="AJ41" i="7"/>
  <c r="AL41" i="7"/>
  <c r="AN41" i="7"/>
  <c r="AO41" i="7"/>
  <c r="AP41" i="7"/>
  <c r="AV41" i="7"/>
  <c r="AX41" i="7"/>
  <c r="AZ41" i="7"/>
  <c r="BB41" i="7"/>
  <c r="BC41" i="7"/>
  <c r="BD41" i="7"/>
  <c r="BJ41" i="7"/>
  <c r="BL41" i="7"/>
  <c r="BN41" i="7"/>
  <c r="BP41" i="7"/>
  <c r="BQ41" i="7"/>
  <c r="BR41" i="7"/>
  <c r="D16" i="6"/>
  <c r="G16" i="6"/>
  <c r="H16" i="6"/>
  <c r="I16" i="6"/>
  <c r="M16" i="6"/>
  <c r="P16" i="6"/>
  <c r="Q16" i="6"/>
  <c r="R16" i="6"/>
  <c r="W16" i="6"/>
  <c r="Z16" i="6"/>
  <c r="AA16" i="6"/>
  <c r="AB16" i="6"/>
  <c r="AG16" i="6"/>
  <c r="AJ16" i="6"/>
  <c r="AK16" i="6"/>
  <c r="AL16" i="6"/>
  <c r="AQ16" i="6"/>
  <c r="AT16" i="6"/>
  <c r="AU16" i="6"/>
  <c r="AV16" i="6"/>
  <c r="BA16" i="6"/>
  <c r="BD16" i="6"/>
  <c r="BE16" i="6"/>
  <c r="BE26" i="6" s="1"/>
  <c r="BF16" i="6"/>
  <c r="BF26" i="6" s="1"/>
  <c r="BK16" i="6"/>
  <c r="BN16" i="6"/>
  <c r="BN26" i="6" s="1"/>
  <c r="BO16" i="6"/>
  <c r="BO26" i="6" s="1"/>
  <c r="BP16" i="6"/>
  <c r="BP26" i="6" s="1"/>
  <c r="BU16" i="6"/>
  <c r="BX16" i="6"/>
  <c r="BX26" i="6" s="1"/>
  <c r="BY16" i="6"/>
  <c r="BY26" i="6" s="1"/>
  <c r="BZ16" i="6"/>
  <c r="BZ26" i="6" s="1"/>
  <c r="CE16" i="6"/>
  <c r="CH16" i="6"/>
  <c r="CI16" i="6"/>
  <c r="CJ16" i="6"/>
  <c r="CO16" i="6"/>
  <c r="CR16" i="6"/>
  <c r="CS16" i="6"/>
  <c r="CT16" i="6"/>
  <c r="D17" i="6"/>
  <c r="G17" i="6"/>
  <c r="H17" i="6"/>
  <c r="I17" i="6"/>
  <c r="M17" i="6"/>
  <c r="P17" i="6"/>
  <c r="Q17" i="6"/>
  <c r="R17" i="6"/>
  <c r="W17" i="6"/>
  <c r="Z17" i="6"/>
  <c r="AA17" i="6"/>
  <c r="AB17" i="6"/>
  <c r="AG17" i="6"/>
  <c r="AJ17" i="6"/>
  <c r="AK17" i="6"/>
  <c r="AL17" i="6"/>
  <c r="AQ17" i="6"/>
  <c r="AT17" i="6"/>
  <c r="AU17" i="6"/>
  <c r="AV17" i="6"/>
  <c r="BA17" i="6"/>
  <c r="BD17" i="6"/>
  <c r="BE17" i="6"/>
  <c r="BF17" i="6"/>
  <c r="BK17" i="6"/>
  <c r="BN17" i="6"/>
  <c r="BO17" i="6"/>
  <c r="BP17" i="6"/>
  <c r="BU17" i="6"/>
  <c r="BX17" i="6"/>
  <c r="BY17" i="6"/>
  <c r="BZ17" i="6"/>
  <c r="CE17" i="6"/>
  <c r="CH17" i="6"/>
  <c r="CH26" i="6" s="1"/>
  <c r="CI17" i="6"/>
  <c r="CI26" i="6" s="1"/>
  <c r="CJ17" i="6"/>
  <c r="CJ26" i="6" s="1"/>
  <c r="CO17" i="6"/>
  <c r="CR17" i="6"/>
  <c r="CR26" i="6" s="1"/>
  <c r="CS17" i="6"/>
  <c r="CS26" i="6" s="1"/>
  <c r="CT17" i="6"/>
  <c r="CT26" i="6" s="1"/>
  <c r="D18" i="6"/>
  <c r="G18" i="6"/>
  <c r="G26" i="6" s="1"/>
  <c r="H18" i="6"/>
  <c r="H26" i="6" s="1"/>
  <c r="I18" i="6"/>
  <c r="I26" i="6" s="1"/>
  <c r="M18" i="6"/>
  <c r="P18" i="6"/>
  <c r="P26" i="6" s="1"/>
  <c r="Q18" i="6"/>
  <c r="Q26" i="6" s="1"/>
  <c r="R18" i="6"/>
  <c r="R26" i="6" s="1"/>
  <c r="W18" i="6"/>
  <c r="Z18" i="6"/>
  <c r="Z26" i="6" s="1"/>
  <c r="AA18" i="6"/>
  <c r="AA26" i="6" s="1"/>
  <c r="AB18" i="6"/>
  <c r="AB26" i="6" s="1"/>
  <c r="AG18" i="6"/>
  <c r="AJ18" i="6"/>
  <c r="AJ26" i="6" s="1"/>
  <c r="AK18" i="6"/>
  <c r="AK26" i="6" s="1"/>
  <c r="AL18" i="6"/>
  <c r="AL26" i="6" s="1"/>
  <c r="AQ18" i="6"/>
  <c r="AT18" i="6"/>
  <c r="AU18" i="6"/>
  <c r="AV18" i="6"/>
  <c r="BA18" i="6"/>
  <c r="BD18" i="6"/>
  <c r="BE18" i="6"/>
  <c r="BF18" i="6"/>
  <c r="BK18" i="6"/>
  <c r="BN18" i="6"/>
  <c r="BO18" i="6"/>
  <c r="BP18" i="6"/>
  <c r="BU18" i="6"/>
  <c r="BX18" i="6"/>
  <c r="BY18" i="6"/>
  <c r="BZ18" i="6"/>
  <c r="CE18" i="6"/>
  <c r="CH18" i="6"/>
  <c r="CI18" i="6"/>
  <c r="CJ18" i="6"/>
  <c r="CO18" i="6"/>
  <c r="CR18" i="6"/>
  <c r="CS18" i="6"/>
  <c r="CT18" i="6"/>
  <c r="D19" i="6"/>
  <c r="G19" i="6"/>
  <c r="H19" i="6"/>
  <c r="I19" i="6"/>
  <c r="M19" i="6"/>
  <c r="P19" i="6"/>
  <c r="Q19" i="6"/>
  <c r="R19" i="6"/>
  <c r="W19" i="6"/>
  <c r="Z19" i="6"/>
  <c r="AA19" i="6"/>
  <c r="AB19" i="6"/>
  <c r="AG19" i="6"/>
  <c r="AJ19" i="6"/>
  <c r="AK19" i="6"/>
  <c r="AL19" i="6"/>
  <c r="AQ19" i="6"/>
  <c r="AT19" i="6"/>
  <c r="AU19" i="6"/>
  <c r="AV19" i="6"/>
  <c r="BA19" i="6"/>
  <c r="BD19" i="6"/>
  <c r="BE19" i="6"/>
  <c r="BF19" i="6"/>
  <c r="BK19" i="6"/>
  <c r="BN19" i="6"/>
  <c r="BO19" i="6"/>
  <c r="BP19" i="6"/>
  <c r="BU19" i="6"/>
  <c r="BX19" i="6"/>
  <c r="BY19" i="6"/>
  <c r="BZ19" i="6"/>
  <c r="CE19" i="6"/>
  <c r="CH19" i="6"/>
  <c r="CI19" i="6"/>
  <c r="CJ19" i="6"/>
  <c r="CO19" i="6"/>
  <c r="CR19" i="6"/>
  <c r="CS19" i="6"/>
  <c r="CT19" i="6"/>
  <c r="D20" i="6"/>
  <c r="G20" i="6"/>
  <c r="H20" i="6"/>
  <c r="I20" i="6"/>
  <c r="M20" i="6"/>
  <c r="P20" i="6"/>
  <c r="Q20" i="6"/>
  <c r="R20" i="6"/>
  <c r="W20" i="6"/>
  <c r="Z20" i="6"/>
  <c r="AA20" i="6"/>
  <c r="AB20" i="6"/>
  <c r="AG20" i="6"/>
  <c r="AJ20" i="6"/>
  <c r="AK20" i="6"/>
  <c r="AL20" i="6"/>
  <c r="AQ20" i="6"/>
  <c r="AT20" i="6"/>
  <c r="AU20" i="6"/>
  <c r="AV20" i="6"/>
  <c r="BA20" i="6"/>
  <c r="BD20" i="6"/>
  <c r="BE20" i="6"/>
  <c r="BF20" i="6"/>
  <c r="BK20" i="6"/>
  <c r="BN20" i="6"/>
  <c r="BO20" i="6"/>
  <c r="BP20" i="6"/>
  <c r="BU20" i="6"/>
  <c r="BX20" i="6"/>
  <c r="BY20" i="6"/>
  <c r="BZ20" i="6"/>
  <c r="CE20" i="6"/>
  <c r="CH20" i="6"/>
  <c r="CI20" i="6"/>
  <c r="CJ20" i="6"/>
  <c r="CO20" i="6"/>
  <c r="CR20" i="6"/>
  <c r="CS20" i="6"/>
  <c r="CT20" i="6"/>
  <c r="D21" i="6"/>
  <c r="G21" i="6"/>
  <c r="H21" i="6"/>
  <c r="I21" i="6"/>
  <c r="M21" i="6"/>
  <c r="P21" i="6"/>
  <c r="Q21" i="6"/>
  <c r="R21" i="6"/>
  <c r="W21" i="6"/>
  <c r="Z21" i="6"/>
  <c r="AA21" i="6"/>
  <c r="AB21" i="6"/>
  <c r="AG21" i="6"/>
  <c r="AJ21" i="6"/>
  <c r="AK21" i="6"/>
  <c r="AL21" i="6"/>
  <c r="AQ21" i="6"/>
  <c r="AT21" i="6"/>
  <c r="AU21" i="6"/>
  <c r="AV21" i="6"/>
  <c r="BA21" i="6"/>
  <c r="BD21" i="6"/>
  <c r="BE21" i="6"/>
  <c r="BF21" i="6"/>
  <c r="BK21" i="6"/>
  <c r="BN21" i="6"/>
  <c r="BO21" i="6"/>
  <c r="BP21" i="6"/>
  <c r="BU21" i="6"/>
  <c r="BX21" i="6"/>
  <c r="BY21" i="6"/>
  <c r="BZ21" i="6"/>
  <c r="CE21" i="6"/>
  <c r="CH21" i="6"/>
  <c r="CI21" i="6"/>
  <c r="CJ21" i="6"/>
  <c r="CO21" i="6"/>
  <c r="CR21" i="6"/>
  <c r="CS21" i="6"/>
  <c r="CT21" i="6"/>
  <c r="D22" i="6"/>
  <c r="G22" i="6"/>
  <c r="H22" i="6"/>
  <c r="I22" i="6"/>
  <c r="M22" i="6"/>
  <c r="P22" i="6"/>
  <c r="Q22" i="6"/>
  <c r="R22" i="6"/>
  <c r="W22" i="6"/>
  <c r="Z22" i="6"/>
  <c r="AA22" i="6"/>
  <c r="AB22" i="6"/>
  <c r="AG22" i="6"/>
  <c r="AJ22" i="6"/>
  <c r="AK22" i="6"/>
  <c r="AL22" i="6"/>
  <c r="AQ22" i="6"/>
  <c r="AT22" i="6"/>
  <c r="AU22" i="6"/>
  <c r="AV22" i="6"/>
  <c r="BA22" i="6"/>
  <c r="BD22" i="6"/>
  <c r="BE22" i="6"/>
  <c r="BF22" i="6"/>
  <c r="BK22" i="6"/>
  <c r="BN22" i="6"/>
  <c r="BO22" i="6"/>
  <c r="BP22" i="6"/>
  <c r="BU22" i="6"/>
  <c r="BX22" i="6"/>
  <c r="BY22" i="6"/>
  <c r="BZ22" i="6"/>
  <c r="CE22" i="6"/>
  <c r="CH22" i="6"/>
  <c r="CI22" i="6"/>
  <c r="CJ22" i="6"/>
  <c r="CO22" i="6"/>
  <c r="CR22" i="6"/>
  <c r="CS22" i="6"/>
  <c r="CT22" i="6"/>
  <c r="D23" i="6"/>
  <c r="G23" i="6"/>
  <c r="H23" i="6"/>
  <c r="I23" i="6"/>
  <c r="M23" i="6"/>
  <c r="P23" i="6"/>
  <c r="Q23" i="6"/>
  <c r="R23" i="6"/>
  <c r="W23" i="6"/>
  <c r="Z23" i="6"/>
  <c r="AA23" i="6"/>
  <c r="AB23" i="6"/>
  <c r="AG23" i="6"/>
  <c r="AJ23" i="6"/>
  <c r="AK23" i="6"/>
  <c r="AL23" i="6"/>
  <c r="AQ23" i="6"/>
  <c r="AT23" i="6"/>
  <c r="AU23" i="6"/>
  <c r="AV23" i="6"/>
  <c r="BA23" i="6"/>
  <c r="BD23" i="6"/>
  <c r="BE23" i="6"/>
  <c r="BF23" i="6"/>
  <c r="BK23" i="6"/>
  <c r="BN23" i="6"/>
  <c r="BO23" i="6"/>
  <c r="BP23" i="6"/>
  <c r="BU23" i="6"/>
  <c r="BX23" i="6"/>
  <c r="BY23" i="6"/>
  <c r="BZ23" i="6"/>
  <c r="CE23" i="6"/>
  <c r="CH23" i="6"/>
  <c r="CI23" i="6"/>
  <c r="CJ23" i="6"/>
  <c r="CO23" i="6"/>
  <c r="CR23" i="6"/>
  <c r="CS23" i="6"/>
  <c r="CT23" i="6"/>
  <c r="D24" i="6"/>
  <c r="G24" i="6"/>
  <c r="H24" i="6"/>
  <c r="I24" i="6"/>
  <c r="M24" i="6"/>
  <c r="P24" i="6"/>
  <c r="Q24" i="6"/>
  <c r="R24" i="6"/>
  <c r="W24" i="6"/>
  <c r="Z24" i="6"/>
  <c r="AA24" i="6"/>
  <c r="AB24" i="6"/>
  <c r="AG24" i="6"/>
  <c r="AJ24" i="6"/>
  <c r="AK24" i="6"/>
  <c r="AL24" i="6"/>
  <c r="AQ24" i="6"/>
  <c r="AT24" i="6"/>
  <c r="AU24" i="6"/>
  <c r="AV24" i="6"/>
  <c r="BA24" i="6"/>
  <c r="BD24" i="6"/>
  <c r="BE24" i="6"/>
  <c r="BF24" i="6"/>
  <c r="BK24" i="6"/>
  <c r="BN24" i="6"/>
  <c r="BO24" i="6"/>
  <c r="BP24" i="6"/>
  <c r="BU24" i="6"/>
  <c r="BX24" i="6"/>
  <c r="BY24" i="6"/>
  <c r="BZ24" i="6"/>
  <c r="CE24" i="6"/>
  <c r="CH24" i="6"/>
  <c r="CI24" i="6"/>
  <c r="CJ24" i="6"/>
  <c r="CO24" i="6"/>
  <c r="CR24" i="6"/>
  <c r="CS24" i="6"/>
  <c r="CT24" i="6"/>
  <c r="D25" i="6"/>
  <c r="G25" i="6"/>
  <c r="H25" i="6"/>
  <c r="I25" i="6"/>
  <c r="M25" i="6"/>
  <c r="P25" i="6"/>
  <c r="Q25" i="6"/>
  <c r="R25" i="6"/>
  <c r="W25" i="6"/>
  <c r="Z25" i="6"/>
  <c r="AA25" i="6"/>
  <c r="AB25" i="6"/>
  <c r="AG25" i="6"/>
  <c r="AJ25" i="6"/>
  <c r="AK25" i="6"/>
  <c r="AL25" i="6"/>
  <c r="AQ25" i="6"/>
  <c r="AT25" i="6"/>
  <c r="AU25" i="6"/>
  <c r="AV25" i="6"/>
  <c r="BA25" i="6"/>
  <c r="BD25" i="6"/>
  <c r="BE25" i="6"/>
  <c r="BF25" i="6"/>
  <c r="BK25" i="6"/>
  <c r="BN25" i="6"/>
  <c r="BO25" i="6"/>
  <c r="BP25" i="6"/>
  <c r="BU25" i="6"/>
  <c r="BX25" i="6"/>
  <c r="BY25" i="6"/>
  <c r="BZ25" i="6"/>
  <c r="CE25" i="6"/>
  <c r="CH25" i="6"/>
  <c r="CI25" i="6"/>
  <c r="CJ25" i="6"/>
  <c r="CO25" i="6"/>
  <c r="CR25" i="6"/>
  <c r="CS25" i="6"/>
  <c r="CT25" i="6"/>
  <c r="AT26" i="6"/>
  <c r="AT28" i="6" s="1"/>
  <c r="AU26" i="6"/>
  <c r="AV26" i="6"/>
  <c r="BD26" i="6"/>
  <c r="G12" i="5"/>
  <c r="O12" i="5"/>
  <c r="W12" i="5"/>
  <c r="AE12" i="5"/>
  <c r="AM12" i="5"/>
  <c r="AU12" i="5"/>
  <c r="BC12" i="5"/>
  <c r="BK12" i="5"/>
  <c r="BS12" i="5"/>
  <c r="CA12" i="5"/>
  <c r="G14" i="5"/>
  <c r="G32" i="5" s="1"/>
  <c r="O14" i="5"/>
  <c r="O32" i="5" s="1"/>
  <c r="W14" i="5"/>
  <c r="W32" i="5" s="1"/>
  <c r="AE14" i="5"/>
  <c r="AE32" i="5" s="1"/>
  <c r="AM14" i="5"/>
  <c r="AM32" i="5" s="1"/>
  <c r="AU14" i="5"/>
  <c r="AU32" i="5" s="1"/>
  <c r="BC14" i="5"/>
  <c r="BC32" i="5" s="1"/>
  <c r="BK14" i="5"/>
  <c r="BK32" i="5" s="1"/>
  <c r="BS14" i="5"/>
  <c r="BS32" i="5" s="1"/>
  <c r="CA14" i="5"/>
  <c r="CA32" i="5" s="1"/>
  <c r="G16" i="5"/>
  <c r="F35" i="5" s="1"/>
  <c r="O16" i="5"/>
  <c r="F38" i="5" s="1"/>
  <c r="H41" i="5" s="1"/>
  <c r="J41" i="5" s="1"/>
  <c r="W16" i="5"/>
  <c r="F37" i="5" s="1"/>
  <c r="AE16" i="5"/>
  <c r="F36" i="5" s="1"/>
  <c r="AM16" i="5"/>
  <c r="F34" i="5" s="1"/>
  <c r="AU16" i="5"/>
  <c r="BC16" i="5"/>
  <c r="BK16" i="5"/>
  <c r="BS16" i="5"/>
  <c r="CA16" i="5"/>
  <c r="G18" i="5"/>
  <c r="O18" i="5"/>
  <c r="W18" i="5"/>
  <c r="AE18" i="5"/>
  <c r="AM18" i="5"/>
  <c r="AU18" i="5"/>
  <c r="BC18" i="5"/>
  <c r="BK18" i="5"/>
  <c r="BS18" i="5"/>
  <c r="CA18" i="5"/>
  <c r="G20" i="5"/>
  <c r="O20" i="5"/>
  <c r="W20" i="5"/>
  <c r="AE20" i="5"/>
  <c r="AM20" i="5"/>
  <c r="AU20" i="5"/>
  <c r="BC20" i="5"/>
  <c r="BK20" i="5"/>
  <c r="BS20" i="5"/>
  <c r="CA20" i="5"/>
  <c r="G22" i="5"/>
  <c r="O22" i="5"/>
  <c r="W22" i="5"/>
  <c r="AE22" i="5"/>
  <c r="AM22" i="5"/>
  <c r="AU22" i="5"/>
  <c r="BC22" i="5"/>
  <c r="BK22" i="5"/>
  <c r="BS22" i="5"/>
  <c r="CA22" i="5"/>
  <c r="G24" i="5"/>
  <c r="O24" i="5"/>
  <c r="W24" i="5"/>
  <c r="AE24" i="5"/>
  <c r="AM24" i="5"/>
  <c r="AU24" i="5"/>
  <c r="BC24" i="5"/>
  <c r="BK24" i="5"/>
  <c r="BS24" i="5"/>
  <c r="CA24" i="5"/>
  <c r="G26" i="5"/>
  <c r="O26" i="5"/>
  <c r="W26" i="5"/>
  <c r="AE26" i="5"/>
  <c r="AM26" i="5"/>
  <c r="AU26" i="5"/>
  <c r="BC26" i="5"/>
  <c r="BK26" i="5"/>
  <c r="BS26" i="5"/>
  <c r="CA26" i="5"/>
  <c r="G28" i="5"/>
  <c r="O28" i="5"/>
  <c r="W28" i="5"/>
  <c r="AE28" i="5"/>
  <c r="AM28" i="5"/>
  <c r="AU28" i="5"/>
  <c r="BC28" i="5"/>
  <c r="BK28" i="5"/>
  <c r="BS28" i="5"/>
  <c r="CA28" i="5"/>
  <c r="G30" i="5"/>
  <c r="O30" i="5"/>
  <c r="W30" i="5"/>
  <c r="AE30" i="5"/>
  <c r="AM30" i="5"/>
  <c r="AU30" i="5"/>
  <c r="BC30" i="5"/>
  <c r="BK30" i="5"/>
  <c r="BS30" i="5"/>
  <c r="CA30" i="5"/>
  <c r="H39" i="5"/>
  <c r="AQ130" i="1"/>
  <c r="AS130" i="1" s="1"/>
  <c r="AP130" i="1"/>
  <c r="AR130" i="1" s="1"/>
  <c r="AO130" i="1"/>
  <c r="AN130" i="1"/>
  <c r="AM130" i="1"/>
  <c r="AJ130" i="1"/>
  <c r="AH130" i="1"/>
  <c r="AI130" i="1" s="1"/>
  <c r="AK130" i="1" s="1"/>
  <c r="AG130" i="1"/>
  <c r="AE130" i="1"/>
  <c r="AD130" i="1"/>
  <c r="AC130" i="1"/>
  <c r="AQ120" i="1"/>
  <c r="AO120" i="1"/>
  <c r="AP120" i="1" s="1"/>
  <c r="AN120" i="1"/>
  <c r="AS120" i="1" s="1"/>
  <c r="AM120" i="1"/>
  <c r="AJ120" i="1"/>
  <c r="AH120" i="1"/>
  <c r="AG120" i="1"/>
  <c r="AE120" i="1"/>
  <c r="AD120" i="1"/>
  <c r="AC120" i="1"/>
  <c r="AQ110" i="1"/>
  <c r="AS110" i="1" s="1"/>
  <c r="AO110" i="1"/>
  <c r="AP110" i="1" s="1"/>
  <c r="AR110" i="1" s="1"/>
  <c r="AN110" i="1"/>
  <c r="AM110" i="1"/>
  <c r="AJ110" i="1"/>
  <c r="AH110" i="1"/>
  <c r="AG110" i="1"/>
  <c r="AI110" i="1" s="1"/>
  <c r="AK110" i="1" s="1"/>
  <c r="AE110" i="1"/>
  <c r="AD110" i="1"/>
  <c r="AC110" i="1"/>
  <c r="AQ100" i="1"/>
  <c r="AO100" i="1"/>
  <c r="AP100" i="1" s="1"/>
  <c r="AN100" i="1"/>
  <c r="AS100" i="1" s="1"/>
  <c r="AM100" i="1"/>
  <c r="AJ100" i="1"/>
  <c r="AH100" i="1"/>
  <c r="AI100" i="1" s="1"/>
  <c r="AK100" i="1" s="1"/>
  <c r="AG100" i="1"/>
  <c r="AE100" i="1"/>
  <c r="AD100" i="1"/>
  <c r="AC100" i="1"/>
  <c r="AS90" i="1"/>
  <c r="AQ90" i="1"/>
  <c r="AO90" i="1"/>
  <c r="AP90" i="1" s="1"/>
  <c r="AR90" i="1" s="1"/>
  <c r="AN90" i="1"/>
  <c r="AM90" i="1"/>
  <c r="AJ90" i="1"/>
  <c r="AH90" i="1"/>
  <c r="AG90" i="1"/>
  <c r="AI90" i="1" s="1"/>
  <c r="AE90" i="1"/>
  <c r="AD90" i="1"/>
  <c r="AC90" i="1"/>
  <c r="AQ80" i="1"/>
  <c r="AS80" i="1" s="1"/>
  <c r="AO80" i="1"/>
  <c r="AP80" i="1" s="1"/>
  <c r="AN80" i="1"/>
  <c r="AM80" i="1"/>
  <c r="AJ80" i="1"/>
  <c r="AH80" i="1"/>
  <c r="AG80" i="1"/>
  <c r="AE80" i="1"/>
  <c r="AD80" i="1"/>
  <c r="AC80" i="1"/>
  <c r="AS70" i="1"/>
  <c r="AQ70" i="1"/>
  <c r="AO70" i="1"/>
  <c r="AP70" i="1" s="1"/>
  <c r="AR70" i="1" s="1"/>
  <c r="AN70" i="1"/>
  <c r="AM70" i="1"/>
  <c r="AJ70" i="1"/>
  <c r="AH70" i="1"/>
  <c r="AG70" i="1"/>
  <c r="AI70" i="1" s="1"/>
  <c r="AK70" i="1" s="1"/>
  <c r="AE70" i="1"/>
  <c r="AD70" i="1"/>
  <c r="AC70" i="1"/>
  <c r="AQ60" i="1"/>
  <c r="AO60" i="1"/>
  <c r="AP60" i="1" s="1"/>
  <c r="AR60" i="1" s="1"/>
  <c r="AN60" i="1"/>
  <c r="AS60" i="1" s="1"/>
  <c r="AM60" i="1"/>
  <c r="AJ60" i="1"/>
  <c r="AH60" i="1"/>
  <c r="AG60" i="1"/>
  <c r="AI60" i="1" s="1"/>
  <c r="AE60" i="1"/>
  <c r="AD60" i="1"/>
  <c r="AC60" i="1"/>
  <c r="AQ50" i="1"/>
  <c r="AS50" i="1" s="1"/>
  <c r="AO50" i="1"/>
  <c r="AP50" i="1" s="1"/>
  <c r="AR50" i="1" s="1"/>
  <c r="AN50" i="1"/>
  <c r="AM50" i="1"/>
  <c r="AJ50" i="1"/>
  <c r="AH50" i="1"/>
  <c r="AG50" i="1"/>
  <c r="AI50" i="1" s="1"/>
  <c r="AK50" i="1" s="1"/>
  <c r="AE50" i="1"/>
  <c r="AD50" i="1"/>
  <c r="AC50" i="1"/>
  <c r="AQ40" i="1"/>
  <c r="AS40" i="1" s="1"/>
  <c r="P40" i="1"/>
  <c r="R40" i="1" s="1"/>
  <c r="AO40" i="1"/>
  <c r="AP40" i="1" s="1"/>
  <c r="AR40" i="1" s="1"/>
  <c r="AT40" i="1" s="1"/>
  <c r="AN40" i="1"/>
  <c r="AM40" i="1"/>
  <c r="AJ40" i="1"/>
  <c r="AH40" i="1"/>
  <c r="AG40" i="1"/>
  <c r="AI40" i="1" s="1"/>
  <c r="AK40" i="1" s="1"/>
  <c r="AE40" i="1"/>
  <c r="I40" i="1"/>
  <c r="O107" i="8" l="1"/>
  <c r="I114" i="8"/>
  <c r="O105" i="8"/>
  <c r="O109" i="8"/>
  <c r="I106" i="8"/>
  <c r="I108" i="8"/>
  <c r="I116" i="8"/>
  <c r="I112" i="8"/>
  <c r="I115" i="8"/>
  <c r="G105" i="8"/>
  <c r="O33" i="8"/>
  <c r="O108" i="8" s="1"/>
  <c r="I44" i="8"/>
  <c r="I107" i="8" s="1"/>
  <c r="M105" i="8"/>
  <c r="AJ28" i="6"/>
  <c r="BX28" i="6"/>
  <c r="Z28" i="6"/>
  <c r="BN28" i="6"/>
  <c r="P28" i="6"/>
  <c r="BD28" i="6"/>
  <c r="G28" i="6"/>
  <c r="CR28" i="6"/>
  <c r="CH28" i="6"/>
  <c r="H40" i="5"/>
  <c r="J40" i="5" s="1"/>
  <c r="AR100" i="1"/>
  <c r="AT100" i="1" s="1"/>
  <c r="AR120" i="1"/>
  <c r="AT120" i="1" s="1"/>
  <c r="AI80" i="1"/>
  <c r="AK80" i="1" s="1"/>
  <c r="AT70" i="1"/>
  <c r="AT90" i="1"/>
  <c r="AT60" i="1"/>
  <c r="AK60" i="1"/>
  <c r="AI120" i="1"/>
  <c r="AK120" i="1" s="1"/>
  <c r="AT50" i="1"/>
  <c r="AT110" i="1"/>
  <c r="AT130" i="1"/>
  <c r="AK90" i="1"/>
  <c r="AR80" i="1"/>
  <c r="AT80" i="1" s="1"/>
  <c r="I113" i="8" l="1"/>
  <c r="H34" i="6"/>
  <c r="H35" i="6"/>
  <c r="T69" i="1"/>
  <c r="T101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40" i="1"/>
  <c r="T40" i="1" s="1"/>
  <c r="P41" i="1"/>
  <c r="R41" i="1" s="1"/>
  <c r="T41" i="1" s="1"/>
  <c r="P42" i="1"/>
  <c r="R42" i="1" s="1"/>
  <c r="T42" i="1" s="1"/>
  <c r="P43" i="1"/>
  <c r="R43" i="1" s="1"/>
  <c r="T43" i="1" s="1"/>
  <c r="P44" i="1"/>
  <c r="P45" i="1"/>
  <c r="P46" i="1"/>
  <c r="P47" i="1"/>
  <c r="P48" i="1"/>
  <c r="R48" i="1" s="1"/>
  <c r="T48" i="1" s="1"/>
  <c r="P49" i="1"/>
  <c r="R49" i="1" s="1"/>
  <c r="T49" i="1" s="1"/>
  <c r="P50" i="1"/>
  <c r="R50" i="1" s="1"/>
  <c r="T50" i="1" s="1"/>
  <c r="P51" i="1"/>
  <c r="R51" i="1" s="1"/>
  <c r="T51" i="1" s="1"/>
  <c r="P52" i="1"/>
  <c r="P53" i="1"/>
  <c r="P54" i="1"/>
  <c r="R54" i="1" s="1"/>
  <c r="T54" i="1" s="1"/>
  <c r="P55" i="1"/>
  <c r="P56" i="1"/>
  <c r="R56" i="1" s="1"/>
  <c r="T56" i="1" s="1"/>
  <c r="P57" i="1"/>
  <c r="R57" i="1" s="1"/>
  <c r="T57" i="1" s="1"/>
  <c r="P58" i="1"/>
  <c r="R58" i="1" s="1"/>
  <c r="T58" i="1" s="1"/>
  <c r="P59" i="1"/>
  <c r="R59" i="1" s="1"/>
  <c r="T59" i="1" s="1"/>
  <c r="P60" i="1"/>
  <c r="P61" i="1"/>
  <c r="R61" i="1" s="1"/>
  <c r="T61" i="1" s="1"/>
  <c r="P62" i="1"/>
  <c r="P63" i="1"/>
  <c r="P64" i="1"/>
  <c r="R64" i="1" s="1"/>
  <c r="T64" i="1" s="1"/>
  <c r="P65" i="1"/>
  <c r="R65" i="1" s="1"/>
  <c r="T65" i="1" s="1"/>
  <c r="P66" i="1"/>
  <c r="R66" i="1" s="1"/>
  <c r="T66" i="1" s="1"/>
  <c r="P67" i="1"/>
  <c r="R67" i="1" s="1"/>
  <c r="T67" i="1" s="1"/>
  <c r="P68" i="1"/>
  <c r="P69" i="1"/>
  <c r="P70" i="1"/>
  <c r="R70" i="1" s="1"/>
  <c r="T70" i="1" s="1"/>
  <c r="P71" i="1"/>
  <c r="P72" i="1"/>
  <c r="R72" i="1" s="1"/>
  <c r="T72" i="1" s="1"/>
  <c r="P73" i="1"/>
  <c r="R73" i="1" s="1"/>
  <c r="T73" i="1" s="1"/>
  <c r="P74" i="1"/>
  <c r="R74" i="1" s="1"/>
  <c r="T74" i="1" s="1"/>
  <c r="P75" i="1"/>
  <c r="R75" i="1" s="1"/>
  <c r="T75" i="1" s="1"/>
  <c r="P76" i="1"/>
  <c r="P77" i="1"/>
  <c r="P78" i="1"/>
  <c r="R78" i="1" s="1"/>
  <c r="T78" i="1" s="1"/>
  <c r="P79" i="1"/>
  <c r="P80" i="1"/>
  <c r="R80" i="1" s="1"/>
  <c r="T80" i="1" s="1"/>
  <c r="P81" i="1"/>
  <c r="R81" i="1" s="1"/>
  <c r="T81" i="1" s="1"/>
  <c r="P82" i="1"/>
  <c r="R82" i="1" s="1"/>
  <c r="T82" i="1" s="1"/>
  <c r="P83" i="1"/>
  <c r="R83" i="1" s="1"/>
  <c r="T83" i="1" s="1"/>
  <c r="P84" i="1"/>
  <c r="P85" i="1"/>
  <c r="P86" i="1"/>
  <c r="R86" i="1" s="1"/>
  <c r="T86" i="1" s="1"/>
  <c r="P87" i="1"/>
  <c r="P88" i="1"/>
  <c r="R88" i="1" s="1"/>
  <c r="T88" i="1" s="1"/>
  <c r="P89" i="1"/>
  <c r="R89" i="1" s="1"/>
  <c r="T89" i="1" s="1"/>
  <c r="P90" i="1"/>
  <c r="R90" i="1" s="1"/>
  <c r="T90" i="1" s="1"/>
  <c r="P91" i="1"/>
  <c r="R91" i="1" s="1"/>
  <c r="T91" i="1" s="1"/>
  <c r="P92" i="1"/>
  <c r="P93" i="1"/>
  <c r="P94" i="1"/>
  <c r="P95" i="1"/>
  <c r="R95" i="1" s="1"/>
  <c r="T95" i="1" s="1"/>
  <c r="P96" i="1"/>
  <c r="R96" i="1" s="1"/>
  <c r="T96" i="1" s="1"/>
  <c r="P97" i="1"/>
  <c r="R97" i="1" s="1"/>
  <c r="T97" i="1" s="1"/>
  <c r="P98" i="1"/>
  <c r="R98" i="1" s="1"/>
  <c r="T98" i="1" s="1"/>
  <c r="P99" i="1"/>
  <c r="R99" i="1" s="1"/>
  <c r="T99" i="1" s="1"/>
  <c r="P100" i="1"/>
  <c r="P101" i="1"/>
  <c r="P102" i="1"/>
  <c r="R102" i="1" s="1"/>
  <c r="T102" i="1" s="1"/>
  <c r="P103" i="1"/>
  <c r="P104" i="1"/>
  <c r="R104" i="1" s="1"/>
  <c r="T104" i="1" s="1"/>
  <c r="P105" i="1"/>
  <c r="R105" i="1" s="1"/>
  <c r="T105" i="1" s="1"/>
  <c r="P106" i="1"/>
  <c r="R106" i="1" s="1"/>
  <c r="T106" i="1" s="1"/>
  <c r="P107" i="1"/>
  <c r="R107" i="1" s="1"/>
  <c r="T107" i="1" s="1"/>
  <c r="P108" i="1"/>
  <c r="P109" i="1"/>
  <c r="P110" i="1"/>
  <c r="P111" i="1"/>
  <c r="P112" i="1"/>
  <c r="R112" i="1" s="1"/>
  <c r="T112" i="1" s="1"/>
  <c r="P113" i="1"/>
  <c r="R113" i="1" s="1"/>
  <c r="T113" i="1" s="1"/>
  <c r="P114" i="1"/>
  <c r="R114" i="1" s="1"/>
  <c r="T114" i="1" s="1"/>
  <c r="P115" i="1"/>
  <c r="R115" i="1" s="1"/>
  <c r="T115" i="1" s="1"/>
  <c r="P116" i="1"/>
  <c r="P117" i="1"/>
  <c r="P118" i="1"/>
  <c r="R118" i="1" s="1"/>
  <c r="T118" i="1" s="1"/>
  <c r="P119" i="1"/>
  <c r="P120" i="1"/>
  <c r="R120" i="1" s="1"/>
  <c r="T120" i="1" s="1"/>
  <c r="P121" i="1"/>
  <c r="R121" i="1" s="1"/>
  <c r="T121" i="1" s="1"/>
  <c r="P122" i="1"/>
  <c r="R122" i="1" s="1"/>
  <c r="T122" i="1" s="1"/>
  <c r="P123" i="1"/>
  <c r="R123" i="1" s="1"/>
  <c r="T123" i="1" s="1"/>
  <c r="P124" i="1"/>
  <c r="P125" i="1"/>
  <c r="P126" i="1"/>
  <c r="P127" i="1"/>
  <c r="P128" i="1"/>
  <c r="R128" i="1" s="1"/>
  <c r="T128" i="1" s="1"/>
  <c r="P129" i="1"/>
  <c r="R129" i="1" s="1"/>
  <c r="T129" i="1" s="1"/>
  <c r="P130" i="1"/>
  <c r="R130" i="1" s="1"/>
  <c r="T130" i="1" s="1"/>
  <c r="P131" i="1"/>
  <c r="R131" i="1" s="1"/>
  <c r="T131" i="1" s="1"/>
  <c r="P132" i="1"/>
  <c r="P133" i="1"/>
  <c r="R133" i="1" s="1"/>
  <c r="T133" i="1" s="1"/>
  <c r="P134" i="1"/>
  <c r="R134" i="1" s="1"/>
  <c r="T134" i="1" s="1"/>
  <c r="P135" i="1"/>
  <c r="P136" i="1"/>
  <c r="R136" i="1" s="1"/>
  <c r="T136" i="1" s="1"/>
  <c r="P137" i="1"/>
  <c r="R137" i="1" s="1"/>
  <c r="T137" i="1" s="1"/>
  <c r="P138" i="1"/>
  <c r="R138" i="1" s="1"/>
  <c r="T138" i="1" s="1"/>
  <c r="P139" i="1"/>
  <c r="R139" i="1" s="1"/>
  <c r="T139" i="1" s="1"/>
  <c r="R44" i="1"/>
  <c r="R45" i="1"/>
  <c r="T45" i="1" s="1"/>
  <c r="R46" i="1"/>
  <c r="T46" i="1" s="1"/>
  <c r="R47" i="1"/>
  <c r="T47" i="1" s="1"/>
  <c r="R52" i="1"/>
  <c r="T52" i="1" s="1"/>
  <c r="R53" i="1"/>
  <c r="T53" i="1" s="1"/>
  <c r="R55" i="1"/>
  <c r="T55" i="1" s="1"/>
  <c r="R60" i="1"/>
  <c r="T60" i="1" s="1"/>
  <c r="R62" i="1"/>
  <c r="T62" i="1" s="1"/>
  <c r="R63" i="1"/>
  <c r="T63" i="1" s="1"/>
  <c r="R68" i="1"/>
  <c r="T68" i="1" s="1"/>
  <c r="R69" i="1"/>
  <c r="R71" i="1"/>
  <c r="T71" i="1" s="1"/>
  <c r="R76" i="1"/>
  <c r="T76" i="1" s="1"/>
  <c r="R77" i="1"/>
  <c r="T77" i="1" s="1"/>
  <c r="R79" i="1"/>
  <c r="T79" i="1" s="1"/>
  <c r="R84" i="1"/>
  <c r="T84" i="1" s="1"/>
  <c r="R85" i="1"/>
  <c r="T85" i="1" s="1"/>
  <c r="R87" i="1"/>
  <c r="T87" i="1" s="1"/>
  <c r="R92" i="1"/>
  <c r="T92" i="1" s="1"/>
  <c r="R93" i="1"/>
  <c r="T93" i="1" s="1"/>
  <c r="R94" i="1"/>
  <c r="T94" i="1" s="1"/>
  <c r="R100" i="1"/>
  <c r="T100" i="1" s="1"/>
  <c r="R101" i="1"/>
  <c r="R103" i="1"/>
  <c r="T103" i="1" s="1"/>
  <c r="R108" i="1"/>
  <c r="T108" i="1" s="1"/>
  <c r="R109" i="1"/>
  <c r="T109" i="1" s="1"/>
  <c r="R110" i="1"/>
  <c r="T110" i="1" s="1"/>
  <c r="R111" i="1"/>
  <c r="T111" i="1" s="1"/>
  <c r="R116" i="1"/>
  <c r="R117" i="1"/>
  <c r="T117" i="1" s="1"/>
  <c r="R119" i="1"/>
  <c r="T119" i="1" s="1"/>
  <c r="R124" i="1"/>
  <c r="T124" i="1" s="1"/>
  <c r="R125" i="1"/>
  <c r="T125" i="1" s="1"/>
  <c r="R126" i="1"/>
  <c r="T126" i="1" s="1"/>
  <c r="R127" i="1"/>
  <c r="T127" i="1" s="1"/>
  <c r="R132" i="1"/>
  <c r="T132" i="1" s="1"/>
  <c r="R135" i="1"/>
  <c r="T135" i="1" s="1"/>
  <c r="K40" i="1"/>
  <c r="T116" i="1" l="1"/>
  <c r="T44" i="1"/>
  <c r="I45" i="1"/>
  <c r="K45" i="1" s="1"/>
  <c r="I41" i="1"/>
  <c r="K41" i="1" s="1"/>
  <c r="I42" i="1"/>
  <c r="K42" i="1" s="1"/>
  <c r="I43" i="1"/>
  <c r="K43" i="1" s="1"/>
  <c r="I44" i="1"/>
  <c r="K44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K59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5" i="1"/>
  <c r="K75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3" i="1"/>
  <c r="K83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5" i="1"/>
  <c r="K105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19" i="1"/>
  <c r="K119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7" i="1"/>
  <c r="K127" i="1" s="1"/>
  <c r="I128" i="1"/>
  <c r="K128" i="1" s="1"/>
  <c r="I129" i="1"/>
  <c r="K129" i="1" s="1"/>
  <c r="I130" i="1"/>
  <c r="K130" i="1" s="1"/>
  <c r="I131" i="1"/>
  <c r="K131" i="1" s="1"/>
  <c r="I132" i="1"/>
  <c r="K132" i="1" s="1"/>
  <c r="I133" i="1"/>
  <c r="K133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A30" i="1" l="1"/>
  <c r="A41" i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F90" i="1" l="1"/>
  <c r="AF120" i="1"/>
  <c r="AF40" i="1"/>
  <c r="AF110" i="1"/>
  <c r="AF50" i="1"/>
  <c r="AF130" i="1"/>
  <c r="AF100" i="1"/>
  <c r="AF60" i="1"/>
  <c r="AF80" i="1"/>
  <c r="AF70" i="1"/>
  <c r="F41" i="1"/>
  <c r="F49" i="1"/>
  <c r="F57" i="1"/>
  <c r="F65" i="1"/>
  <c r="F73" i="1"/>
  <c r="F81" i="1"/>
  <c r="F89" i="1"/>
  <c r="F97" i="1"/>
  <c r="F105" i="1"/>
  <c r="F113" i="1"/>
  <c r="F121" i="1"/>
  <c r="F129" i="1"/>
  <c r="F137" i="1"/>
  <c r="F50" i="1"/>
  <c r="F66" i="1"/>
  <c r="F82" i="1"/>
  <c r="F98" i="1"/>
  <c r="F106" i="1"/>
  <c r="F122" i="1"/>
  <c r="F138" i="1"/>
  <c r="F51" i="1"/>
  <c r="F75" i="1"/>
  <c r="F99" i="1"/>
  <c r="F123" i="1"/>
  <c r="F132" i="1"/>
  <c r="F77" i="1"/>
  <c r="F109" i="1"/>
  <c r="F42" i="1"/>
  <c r="F58" i="1"/>
  <c r="F74" i="1"/>
  <c r="F90" i="1"/>
  <c r="F114" i="1"/>
  <c r="F130" i="1"/>
  <c r="F59" i="1"/>
  <c r="F83" i="1"/>
  <c r="F107" i="1"/>
  <c r="F131" i="1"/>
  <c r="F139" i="1"/>
  <c r="F40" i="1"/>
  <c r="F61" i="1"/>
  <c r="F117" i="1"/>
  <c r="F94" i="1"/>
  <c r="F110" i="1"/>
  <c r="F43" i="1"/>
  <c r="F67" i="1"/>
  <c r="F91" i="1"/>
  <c r="F115" i="1"/>
  <c r="F124" i="1"/>
  <c r="F53" i="1"/>
  <c r="F93" i="1"/>
  <c r="F62" i="1"/>
  <c r="F44" i="1"/>
  <c r="F52" i="1"/>
  <c r="F60" i="1"/>
  <c r="F68" i="1"/>
  <c r="F76" i="1"/>
  <c r="F84" i="1"/>
  <c r="F92" i="1"/>
  <c r="F100" i="1"/>
  <c r="F108" i="1"/>
  <c r="F116" i="1"/>
  <c r="F69" i="1"/>
  <c r="F101" i="1"/>
  <c r="F133" i="1"/>
  <c r="F86" i="1"/>
  <c r="F45" i="1"/>
  <c r="F85" i="1"/>
  <c r="F125" i="1"/>
  <c r="F78" i="1"/>
  <c r="F46" i="1"/>
  <c r="F54" i="1"/>
  <c r="F47" i="1"/>
  <c r="F55" i="1"/>
  <c r="F63" i="1"/>
  <c r="F71" i="1"/>
  <c r="F79" i="1"/>
  <c r="F87" i="1"/>
  <c r="F95" i="1"/>
  <c r="F103" i="1"/>
  <c r="F111" i="1"/>
  <c r="F119" i="1"/>
  <c r="F127" i="1"/>
  <c r="F135" i="1"/>
  <c r="F80" i="1"/>
  <c r="F126" i="1"/>
  <c r="F96" i="1"/>
  <c r="F134" i="1"/>
  <c r="F120" i="1"/>
  <c r="F88" i="1"/>
  <c r="F128" i="1"/>
  <c r="F112" i="1"/>
  <c r="F118" i="1"/>
  <c r="F72" i="1"/>
  <c r="F48" i="1"/>
  <c r="F102" i="1"/>
  <c r="F136" i="1"/>
  <c r="F56" i="1"/>
  <c r="F104" i="1"/>
  <c r="F64" i="1"/>
  <c r="F70" i="1"/>
  <c r="AD40" i="1"/>
  <c r="AC40" i="1"/>
  <c r="U60" i="1" l="1"/>
  <c r="L60" i="1"/>
  <c r="V60" i="1"/>
  <c r="U81" i="1"/>
  <c r="W81" i="1" s="1"/>
  <c r="V81" i="1"/>
  <c r="L81" i="1"/>
  <c r="V126" i="1"/>
  <c r="U126" i="1"/>
  <c r="W126" i="1" s="1"/>
  <c r="L126" i="1"/>
  <c r="U78" i="1"/>
  <c r="V78" i="1"/>
  <c r="L78" i="1"/>
  <c r="U52" i="1"/>
  <c r="V52" i="1"/>
  <c r="L52" i="1"/>
  <c r="U67" i="1"/>
  <c r="W67" i="1" s="1"/>
  <c r="V67" i="1"/>
  <c r="L67" i="1"/>
  <c r="U131" i="1"/>
  <c r="V131" i="1"/>
  <c r="L131" i="1"/>
  <c r="U58" i="1"/>
  <c r="W58" i="1" s="1"/>
  <c r="V58" i="1"/>
  <c r="L58" i="1"/>
  <c r="U51" i="1"/>
  <c r="L51" i="1"/>
  <c r="V51" i="1"/>
  <c r="U137" i="1"/>
  <c r="L137" i="1"/>
  <c r="V137" i="1"/>
  <c r="U73" i="1"/>
  <c r="V73" i="1"/>
  <c r="L73" i="1"/>
  <c r="AV100" i="1"/>
  <c r="AL100" i="1"/>
  <c r="AU100" i="1"/>
  <c r="AW100" i="1" s="1"/>
  <c r="U48" i="1"/>
  <c r="V48" i="1"/>
  <c r="L48" i="1"/>
  <c r="AU60" i="1"/>
  <c r="AW60" i="1" s="1"/>
  <c r="AV60" i="1"/>
  <c r="AL60" i="1"/>
  <c r="U72" i="1"/>
  <c r="V72" i="1"/>
  <c r="L72" i="1"/>
  <c r="U87" i="1"/>
  <c r="V87" i="1"/>
  <c r="L87" i="1"/>
  <c r="U116" i="1"/>
  <c r="V116" i="1"/>
  <c r="W116" i="1" s="1"/>
  <c r="L116" i="1"/>
  <c r="U70" i="1"/>
  <c r="W70" i="1" s="1"/>
  <c r="V70" i="1"/>
  <c r="L70" i="1"/>
  <c r="V118" i="1"/>
  <c r="U118" i="1"/>
  <c r="W118" i="1" s="1"/>
  <c r="L118" i="1"/>
  <c r="U80" i="1"/>
  <c r="V80" i="1"/>
  <c r="L80" i="1"/>
  <c r="U79" i="1"/>
  <c r="V79" i="1"/>
  <c r="L79" i="1"/>
  <c r="U125" i="1"/>
  <c r="V125" i="1"/>
  <c r="L125" i="1"/>
  <c r="U108" i="1"/>
  <c r="V108" i="1"/>
  <c r="W108" i="1" s="1"/>
  <c r="L108" i="1"/>
  <c r="U44" i="1"/>
  <c r="W44" i="1" s="1"/>
  <c r="V44" i="1"/>
  <c r="L44" i="1"/>
  <c r="U43" i="1"/>
  <c r="V43" i="1"/>
  <c r="L43" i="1"/>
  <c r="U107" i="1"/>
  <c r="W107" i="1" s="1"/>
  <c r="V107" i="1"/>
  <c r="L107" i="1"/>
  <c r="U42" i="1"/>
  <c r="V42" i="1"/>
  <c r="L42" i="1"/>
  <c r="U138" i="1"/>
  <c r="W138" i="1" s="1"/>
  <c r="V138" i="1"/>
  <c r="L138" i="1"/>
  <c r="U129" i="1"/>
  <c r="L129" i="1"/>
  <c r="V129" i="1"/>
  <c r="U65" i="1"/>
  <c r="W65" i="1" s="1"/>
  <c r="V65" i="1"/>
  <c r="L65" i="1"/>
  <c r="AU130" i="1"/>
  <c r="AV130" i="1"/>
  <c r="AL130" i="1"/>
  <c r="V46" i="1"/>
  <c r="U46" i="1"/>
  <c r="W46" i="1" s="1"/>
  <c r="L46" i="1"/>
  <c r="U91" i="1"/>
  <c r="V91" i="1"/>
  <c r="L91" i="1"/>
  <c r="U64" i="1"/>
  <c r="W64" i="1" s="1"/>
  <c r="V64" i="1"/>
  <c r="L64" i="1"/>
  <c r="U100" i="1"/>
  <c r="W100" i="1" s="1"/>
  <c r="L100" i="1"/>
  <c r="V100" i="1"/>
  <c r="U62" i="1"/>
  <c r="W62" i="1" s="1"/>
  <c r="V62" i="1"/>
  <c r="L62" i="1"/>
  <c r="U110" i="1"/>
  <c r="L110" i="1"/>
  <c r="V110" i="1"/>
  <c r="U83" i="1"/>
  <c r="W83" i="1" s="1"/>
  <c r="V83" i="1"/>
  <c r="L83" i="1"/>
  <c r="V109" i="1"/>
  <c r="U109" i="1"/>
  <c r="L109" i="1"/>
  <c r="U122" i="1"/>
  <c r="V122" i="1"/>
  <c r="L122" i="1"/>
  <c r="U121" i="1"/>
  <c r="V121" i="1"/>
  <c r="L121" i="1"/>
  <c r="U57" i="1"/>
  <c r="W57" i="1" s="1"/>
  <c r="V57" i="1"/>
  <c r="L57" i="1"/>
  <c r="AV50" i="1"/>
  <c r="AU50" i="1"/>
  <c r="AW50" i="1" s="1"/>
  <c r="AL50" i="1"/>
  <c r="U96" i="1"/>
  <c r="W96" i="1" s="1"/>
  <c r="V96" i="1"/>
  <c r="L96" i="1"/>
  <c r="U75" i="1"/>
  <c r="V75" i="1"/>
  <c r="L75" i="1"/>
  <c r="V112" i="1"/>
  <c r="W112" i="1" s="1"/>
  <c r="L112" i="1"/>
  <c r="U112" i="1"/>
  <c r="U92" i="1"/>
  <c r="V92" i="1"/>
  <c r="L92" i="1"/>
  <c r="V94" i="1"/>
  <c r="U94" i="1"/>
  <c r="W94" i="1" s="1"/>
  <c r="L94" i="1"/>
  <c r="U59" i="1"/>
  <c r="V59" i="1"/>
  <c r="L59" i="1"/>
  <c r="V77" i="1"/>
  <c r="U77" i="1"/>
  <c r="L77" i="1"/>
  <c r="U106" i="1"/>
  <c r="V106" i="1"/>
  <c r="L106" i="1"/>
  <c r="U113" i="1"/>
  <c r="V113" i="1"/>
  <c r="W113" i="1" s="1"/>
  <c r="L113" i="1"/>
  <c r="U49" i="1"/>
  <c r="L49" i="1"/>
  <c r="V49" i="1"/>
  <c r="AV110" i="1"/>
  <c r="AL110" i="1"/>
  <c r="AU110" i="1"/>
  <c r="V69" i="1"/>
  <c r="U69" i="1"/>
  <c r="W69" i="1" s="1"/>
  <c r="L69" i="1"/>
  <c r="U139" i="1"/>
  <c r="V139" i="1"/>
  <c r="L139" i="1"/>
  <c r="V85" i="1"/>
  <c r="L85" i="1"/>
  <c r="U85" i="1"/>
  <c r="W85" i="1" s="1"/>
  <c r="V104" i="1"/>
  <c r="L104" i="1"/>
  <c r="U104" i="1"/>
  <c r="U45" i="1"/>
  <c r="V45" i="1"/>
  <c r="L45" i="1"/>
  <c r="U88" i="1"/>
  <c r="W88" i="1" s="1"/>
  <c r="V88" i="1"/>
  <c r="L88" i="1"/>
  <c r="U55" i="1"/>
  <c r="L55" i="1"/>
  <c r="V55" i="1"/>
  <c r="U84" i="1"/>
  <c r="W84" i="1" s="1"/>
  <c r="L84" i="1"/>
  <c r="V84" i="1"/>
  <c r="U117" i="1"/>
  <c r="V117" i="1"/>
  <c r="W117" i="1" s="1"/>
  <c r="L117" i="1"/>
  <c r="U130" i="1"/>
  <c r="W130" i="1" s="1"/>
  <c r="V130" i="1"/>
  <c r="L130" i="1"/>
  <c r="U132" i="1"/>
  <c r="V132" i="1"/>
  <c r="L132" i="1"/>
  <c r="U98" i="1"/>
  <c r="W98" i="1" s="1"/>
  <c r="V98" i="1"/>
  <c r="L98" i="1"/>
  <c r="V105" i="1"/>
  <c r="W105" i="1" s="1"/>
  <c r="L105" i="1"/>
  <c r="U105" i="1"/>
  <c r="U41" i="1"/>
  <c r="W41" i="1" s="1"/>
  <c r="V41" i="1"/>
  <c r="L41" i="1"/>
  <c r="AV40" i="1"/>
  <c r="AU40" i="1"/>
  <c r="AW40" i="1" s="1"/>
  <c r="AL40" i="1"/>
  <c r="U95" i="1"/>
  <c r="W95" i="1" s="1"/>
  <c r="V95" i="1"/>
  <c r="L95" i="1"/>
  <c r="V74" i="1"/>
  <c r="L74" i="1"/>
  <c r="U74" i="1"/>
  <c r="W74" i="1" s="1"/>
  <c r="U135" i="1"/>
  <c r="W135" i="1" s="1"/>
  <c r="V135" i="1"/>
  <c r="L135" i="1"/>
  <c r="U127" i="1"/>
  <c r="V127" i="1"/>
  <c r="L127" i="1"/>
  <c r="U93" i="1"/>
  <c r="W93" i="1" s="1"/>
  <c r="L93" i="1"/>
  <c r="V93" i="1"/>
  <c r="U119" i="1"/>
  <c r="W119" i="1" s="1"/>
  <c r="L119" i="1"/>
  <c r="V119" i="1"/>
  <c r="U86" i="1"/>
  <c r="W86" i="1" s="1"/>
  <c r="V86" i="1"/>
  <c r="L86" i="1"/>
  <c r="U53" i="1"/>
  <c r="L53" i="1"/>
  <c r="V53" i="1"/>
  <c r="U136" i="1"/>
  <c r="W136" i="1" s="1"/>
  <c r="V136" i="1"/>
  <c r="L136" i="1"/>
  <c r="U120" i="1"/>
  <c r="V120" i="1"/>
  <c r="W120" i="1" s="1"/>
  <c r="L120" i="1"/>
  <c r="V111" i="1"/>
  <c r="L111" i="1"/>
  <c r="U111" i="1"/>
  <c r="W111" i="1" s="1"/>
  <c r="U47" i="1"/>
  <c r="V47" i="1"/>
  <c r="L47" i="1"/>
  <c r="V133" i="1"/>
  <c r="L133" i="1"/>
  <c r="U133" i="1"/>
  <c r="U76" i="1"/>
  <c r="V76" i="1"/>
  <c r="L76" i="1"/>
  <c r="U124" i="1"/>
  <c r="W124" i="1" s="1"/>
  <c r="V124" i="1"/>
  <c r="L124" i="1"/>
  <c r="V61" i="1"/>
  <c r="L61" i="1"/>
  <c r="U61" i="1"/>
  <c r="W61" i="1" s="1"/>
  <c r="U114" i="1"/>
  <c r="W114" i="1" s="1"/>
  <c r="V114" i="1"/>
  <c r="L114" i="1"/>
  <c r="U123" i="1"/>
  <c r="V123" i="1"/>
  <c r="L123" i="1"/>
  <c r="V82" i="1"/>
  <c r="L82" i="1"/>
  <c r="U82" i="1"/>
  <c r="W82" i="1" s="1"/>
  <c r="U97" i="1"/>
  <c r="L97" i="1"/>
  <c r="V97" i="1"/>
  <c r="AV70" i="1"/>
  <c r="AL70" i="1"/>
  <c r="AU70" i="1"/>
  <c r="AV120" i="1"/>
  <c r="AU120" i="1"/>
  <c r="AW120" i="1" s="1"/>
  <c r="AL120" i="1"/>
  <c r="V50" i="1"/>
  <c r="L50" i="1"/>
  <c r="U50" i="1"/>
  <c r="W50" i="1" s="1"/>
  <c r="U71" i="1"/>
  <c r="V71" i="1"/>
  <c r="L71" i="1"/>
  <c r="U128" i="1"/>
  <c r="W128" i="1" s="1"/>
  <c r="V128" i="1"/>
  <c r="L128" i="1"/>
  <c r="U63" i="1"/>
  <c r="V63" i="1"/>
  <c r="L63" i="1"/>
  <c r="U56" i="1"/>
  <c r="V56" i="1"/>
  <c r="L56" i="1"/>
  <c r="U102" i="1"/>
  <c r="V102" i="1"/>
  <c r="L102" i="1"/>
  <c r="V134" i="1"/>
  <c r="L134" i="1"/>
  <c r="U134" i="1"/>
  <c r="U103" i="1"/>
  <c r="V103" i="1"/>
  <c r="L103" i="1"/>
  <c r="U54" i="1"/>
  <c r="W54" i="1" s="1"/>
  <c r="V54" i="1"/>
  <c r="L54" i="1"/>
  <c r="U101" i="1"/>
  <c r="V101" i="1"/>
  <c r="L101" i="1"/>
  <c r="U68" i="1"/>
  <c r="W68" i="1" s="1"/>
  <c r="V68" i="1"/>
  <c r="L68" i="1"/>
  <c r="U115" i="1"/>
  <c r="V115" i="1"/>
  <c r="L115" i="1"/>
  <c r="V40" i="1"/>
  <c r="U40" i="1"/>
  <c r="W40" i="1" s="1"/>
  <c r="L40" i="1"/>
  <c r="V90" i="1"/>
  <c r="U90" i="1"/>
  <c r="W90" i="1" s="1"/>
  <c r="L90" i="1"/>
  <c r="U99" i="1"/>
  <c r="W99" i="1" s="1"/>
  <c r="V99" i="1"/>
  <c r="L99" i="1"/>
  <c r="V66" i="1"/>
  <c r="L66" i="1"/>
  <c r="U66" i="1"/>
  <c r="U89" i="1"/>
  <c r="W89" i="1" s="1"/>
  <c r="V89" i="1"/>
  <c r="L89" i="1"/>
  <c r="AV80" i="1"/>
  <c r="AL80" i="1"/>
  <c r="AU80" i="1"/>
  <c r="AW80" i="1" s="1"/>
  <c r="AV90" i="1"/>
  <c r="AU90" i="1"/>
  <c r="AL90" i="1"/>
  <c r="X130" i="1" l="1"/>
  <c r="Z130" i="1" s="1"/>
  <c r="Y130" i="1"/>
  <c r="X44" i="1"/>
  <c r="Y44" i="1"/>
  <c r="X101" i="1"/>
  <c r="Y101" i="1"/>
  <c r="W103" i="1"/>
  <c r="X71" i="1"/>
  <c r="Z71" i="1" s="1"/>
  <c r="Y71" i="1"/>
  <c r="X82" i="1"/>
  <c r="Y82" i="1"/>
  <c r="W76" i="1"/>
  <c r="X111" i="1"/>
  <c r="Y111" i="1"/>
  <c r="AY40" i="1"/>
  <c r="AX40" i="1"/>
  <c r="AZ40" i="1" s="1"/>
  <c r="W45" i="1"/>
  <c r="W106" i="1"/>
  <c r="Y75" i="1"/>
  <c r="X75" i="1"/>
  <c r="Z75" i="1" s="1"/>
  <c r="W42" i="1"/>
  <c r="X79" i="1"/>
  <c r="Z79" i="1" s="1"/>
  <c r="Y79" i="1"/>
  <c r="X48" i="1"/>
  <c r="Z48" i="1" s="1"/>
  <c r="Y48" i="1"/>
  <c r="W73" i="1"/>
  <c r="X52" i="1"/>
  <c r="Y52" i="1"/>
  <c r="X56" i="1"/>
  <c r="Y56" i="1"/>
  <c r="AY80" i="1"/>
  <c r="AX80" i="1"/>
  <c r="AZ80" i="1" s="1"/>
  <c r="X99" i="1"/>
  <c r="Z99" i="1" s="1"/>
  <c r="Y99" i="1"/>
  <c r="W134" i="1"/>
  <c r="W56" i="1"/>
  <c r="AW70" i="1"/>
  <c r="X61" i="1"/>
  <c r="Y61" i="1"/>
  <c r="W133" i="1"/>
  <c r="X53" i="1"/>
  <c r="Y53" i="1"/>
  <c r="Y98" i="1"/>
  <c r="X98" i="1"/>
  <c r="Z98" i="1" s="1"/>
  <c r="X55" i="1"/>
  <c r="Y55" i="1"/>
  <c r="W139" i="1"/>
  <c r="X49" i="1"/>
  <c r="Y49" i="1"/>
  <c r="X77" i="1"/>
  <c r="Y77" i="1"/>
  <c r="X57" i="1"/>
  <c r="Y57" i="1"/>
  <c r="Z57" i="1" s="1"/>
  <c r="W122" i="1"/>
  <c r="X110" i="1"/>
  <c r="Y110" i="1"/>
  <c r="X64" i="1"/>
  <c r="Z64" i="1" s="1"/>
  <c r="Y64" i="1"/>
  <c r="X129" i="1"/>
  <c r="Y129" i="1"/>
  <c r="X107" i="1"/>
  <c r="Y107" i="1"/>
  <c r="X70" i="1"/>
  <c r="Y70" i="1"/>
  <c r="W87" i="1"/>
  <c r="X81" i="1"/>
  <c r="Z81" i="1" s="1"/>
  <c r="Y81" i="1"/>
  <c r="Y58" i="1"/>
  <c r="X58" i="1"/>
  <c r="Z58" i="1" s="1"/>
  <c r="Y115" i="1"/>
  <c r="X115" i="1"/>
  <c r="W101" i="1"/>
  <c r="X134" i="1"/>
  <c r="Z134" i="1" s="1"/>
  <c r="Y134" i="1"/>
  <c r="X63" i="1"/>
  <c r="Y63" i="1"/>
  <c r="W71" i="1"/>
  <c r="AY70" i="1"/>
  <c r="AX70" i="1"/>
  <c r="X123" i="1"/>
  <c r="Z123" i="1" s="1"/>
  <c r="Y123" i="1"/>
  <c r="X133" i="1"/>
  <c r="Z133" i="1" s="1"/>
  <c r="Y133" i="1"/>
  <c r="X120" i="1"/>
  <c r="Y120" i="1"/>
  <c r="W53" i="1"/>
  <c r="X93" i="1"/>
  <c r="Y93" i="1"/>
  <c r="X117" i="1"/>
  <c r="Z117" i="1" s="1"/>
  <c r="Y117" i="1"/>
  <c r="W55" i="1"/>
  <c r="X104" i="1"/>
  <c r="Y104" i="1"/>
  <c r="X69" i="1"/>
  <c r="Y69" i="1"/>
  <c r="W49" i="1"/>
  <c r="W77" i="1"/>
  <c r="X92" i="1"/>
  <c r="Z92" i="1" s="1"/>
  <c r="Y92" i="1"/>
  <c r="W75" i="1"/>
  <c r="X109" i="1"/>
  <c r="Y109" i="1"/>
  <c r="W110" i="1"/>
  <c r="AY130" i="1"/>
  <c r="AX130" i="1"/>
  <c r="W129" i="1"/>
  <c r="Y108" i="1"/>
  <c r="X108" i="1"/>
  <c r="Z108" i="1" s="1"/>
  <c r="W79" i="1"/>
  <c r="X72" i="1"/>
  <c r="Z72" i="1" s="1"/>
  <c r="Y72" i="1"/>
  <c r="W48" i="1"/>
  <c r="X137" i="1"/>
  <c r="Z137" i="1" s="1"/>
  <c r="Y137" i="1"/>
  <c r="X131" i="1"/>
  <c r="Y131" i="1"/>
  <c r="W52" i="1"/>
  <c r="X89" i="1"/>
  <c r="Z89" i="1" s="1"/>
  <c r="Y89" i="1"/>
  <c r="Y54" i="1"/>
  <c r="X54" i="1"/>
  <c r="X124" i="1"/>
  <c r="Z124" i="1" s="1"/>
  <c r="Y124" i="1"/>
  <c r="X86" i="1"/>
  <c r="Z86" i="1" s="1"/>
  <c r="Y86" i="1"/>
  <c r="X74" i="1"/>
  <c r="Z74" i="1" s="1"/>
  <c r="Y74" i="1"/>
  <c r="Y41" i="1"/>
  <c r="Z41" i="1" s="1"/>
  <c r="X41" i="1"/>
  <c r="X88" i="1"/>
  <c r="Z88" i="1" s="1"/>
  <c r="Y88" i="1"/>
  <c r="W104" i="1"/>
  <c r="X113" i="1"/>
  <c r="Y113" i="1"/>
  <c r="X96" i="1"/>
  <c r="Y96" i="1"/>
  <c r="X62" i="1"/>
  <c r="Z62" i="1" s="1"/>
  <c r="Y62" i="1"/>
  <c r="X138" i="1"/>
  <c r="Y138" i="1"/>
  <c r="X80" i="1"/>
  <c r="Y80" i="1"/>
  <c r="W137" i="1"/>
  <c r="X78" i="1"/>
  <c r="Z78" i="1" s="1"/>
  <c r="Y78" i="1"/>
  <c r="Y40" i="1"/>
  <c r="X40" i="1"/>
  <c r="Z40" i="1" s="1"/>
  <c r="X105" i="1"/>
  <c r="Z105" i="1" s="1"/>
  <c r="Y105" i="1"/>
  <c r="X100" i="1"/>
  <c r="Z100" i="1" s="1"/>
  <c r="Y100" i="1"/>
  <c r="X90" i="1"/>
  <c r="Z90" i="1" s="1"/>
  <c r="Y90" i="1"/>
  <c r="W115" i="1"/>
  <c r="Y102" i="1"/>
  <c r="X102" i="1"/>
  <c r="Z102" i="1" s="1"/>
  <c r="W63" i="1"/>
  <c r="X50" i="1"/>
  <c r="Z50" i="1" s="1"/>
  <c r="Y50" i="1"/>
  <c r="W123" i="1"/>
  <c r="X47" i="1"/>
  <c r="Z47" i="1" s="1"/>
  <c r="Y47" i="1"/>
  <c r="X127" i="1"/>
  <c r="Y127" i="1"/>
  <c r="Y132" i="1"/>
  <c r="X132" i="1"/>
  <c r="Z132" i="1" s="1"/>
  <c r="Y59" i="1"/>
  <c r="X59" i="1"/>
  <c r="Z59" i="1" s="1"/>
  <c r="W92" i="1"/>
  <c r="Y121" i="1"/>
  <c r="X121" i="1"/>
  <c r="Z121" i="1" s="1"/>
  <c r="W109" i="1"/>
  <c r="X91" i="1"/>
  <c r="Y91" i="1"/>
  <c r="AW130" i="1"/>
  <c r="X43" i="1"/>
  <c r="Z43" i="1" s="1"/>
  <c r="Y43" i="1"/>
  <c r="X116" i="1"/>
  <c r="Y116" i="1"/>
  <c r="W72" i="1"/>
  <c r="AY100" i="1"/>
  <c r="AX100" i="1"/>
  <c r="AZ100" i="1" s="1"/>
  <c r="W131" i="1"/>
  <c r="X119" i="1"/>
  <c r="Z119" i="1" s="1"/>
  <c r="Y119" i="1"/>
  <c r="X94" i="1"/>
  <c r="Z94" i="1" s="1"/>
  <c r="Y94" i="1"/>
  <c r="X46" i="1"/>
  <c r="Z46" i="1" s="1"/>
  <c r="Y46" i="1"/>
  <c r="AX90" i="1"/>
  <c r="AZ90" i="1" s="1"/>
  <c r="AY90" i="1"/>
  <c r="X68" i="1"/>
  <c r="Z68" i="1" s="1"/>
  <c r="Y68" i="1"/>
  <c r="X128" i="1"/>
  <c r="Z128" i="1" s="1"/>
  <c r="Y128" i="1"/>
  <c r="X97" i="1"/>
  <c r="Z97" i="1" s="1"/>
  <c r="Y97" i="1"/>
  <c r="Y114" i="1"/>
  <c r="X114" i="1"/>
  <c r="X136" i="1"/>
  <c r="Z136" i="1" s="1"/>
  <c r="Y136" i="1"/>
  <c r="X95" i="1"/>
  <c r="Z95" i="1" s="1"/>
  <c r="Y95" i="1"/>
  <c r="X85" i="1"/>
  <c r="Z85" i="1" s="1"/>
  <c r="Y85" i="1"/>
  <c r="AW110" i="1"/>
  <c r="Y83" i="1"/>
  <c r="X83" i="1"/>
  <c r="Z83" i="1" s="1"/>
  <c r="X65" i="1"/>
  <c r="Y65" i="1"/>
  <c r="X125" i="1"/>
  <c r="Y125" i="1"/>
  <c r="W80" i="1"/>
  <c r="AX60" i="1"/>
  <c r="AZ60" i="1" s="1"/>
  <c r="AY60" i="1"/>
  <c r="X51" i="1"/>
  <c r="Z51" i="1" s="1"/>
  <c r="Y51" i="1"/>
  <c r="Y67" i="1"/>
  <c r="X67" i="1"/>
  <c r="W78" i="1"/>
  <c r="X60" i="1"/>
  <c r="Y60" i="1"/>
  <c r="X66" i="1"/>
  <c r="Y66" i="1"/>
  <c r="Y135" i="1"/>
  <c r="X135" i="1"/>
  <c r="X139" i="1"/>
  <c r="Y139" i="1"/>
  <c r="X122" i="1"/>
  <c r="Y122" i="1"/>
  <c r="X87" i="1"/>
  <c r="Y87" i="1"/>
  <c r="AW90" i="1"/>
  <c r="W66" i="1"/>
  <c r="X103" i="1"/>
  <c r="Y103" i="1"/>
  <c r="W102" i="1"/>
  <c r="AY120" i="1"/>
  <c r="AX120" i="1"/>
  <c r="W97" i="1"/>
  <c r="X76" i="1"/>
  <c r="Z76" i="1" s="1"/>
  <c r="Y76" i="1"/>
  <c r="W47" i="1"/>
  <c r="W127" i="1"/>
  <c r="W132" i="1"/>
  <c r="X84" i="1"/>
  <c r="Z84" i="1" s="1"/>
  <c r="Y84" i="1"/>
  <c r="X45" i="1"/>
  <c r="Y45" i="1"/>
  <c r="AY110" i="1"/>
  <c r="AX110" i="1"/>
  <c r="AZ110" i="1" s="1"/>
  <c r="X106" i="1"/>
  <c r="Z106" i="1" s="1"/>
  <c r="Y106" i="1"/>
  <c r="W59" i="1"/>
  <c r="X112" i="1"/>
  <c r="Y112" i="1"/>
  <c r="AY50" i="1"/>
  <c r="AX50" i="1"/>
  <c r="W121" i="1"/>
  <c r="W91" i="1"/>
  <c r="X42" i="1"/>
  <c r="Y42" i="1"/>
  <c r="W43" i="1"/>
  <c r="W125" i="1"/>
  <c r="X118" i="1"/>
  <c r="Z118" i="1" s="1"/>
  <c r="Y118" i="1"/>
  <c r="X73" i="1"/>
  <c r="Y73" i="1"/>
  <c r="Z73" i="1" s="1"/>
  <c r="W51" i="1"/>
  <c r="X126" i="1"/>
  <c r="Z126" i="1" s="1"/>
  <c r="Y126" i="1"/>
  <c r="W60" i="1"/>
  <c r="Z112" i="1" l="1"/>
  <c r="AZ120" i="1"/>
  <c r="Z87" i="1"/>
  <c r="Z66" i="1"/>
  <c r="Z114" i="1"/>
  <c r="Z96" i="1"/>
  <c r="Z69" i="1"/>
  <c r="Z93" i="1"/>
  <c r="AZ70" i="1"/>
  <c r="Z115" i="1"/>
  <c r="Z70" i="1"/>
  <c r="Z110" i="1"/>
  <c r="Z61" i="1"/>
  <c r="Z42" i="1"/>
  <c r="Z122" i="1"/>
  <c r="Z60" i="1"/>
  <c r="Z91" i="1"/>
  <c r="Z80" i="1"/>
  <c r="Z113" i="1"/>
  <c r="Z109" i="1"/>
  <c r="Z107" i="1"/>
  <c r="Z55" i="1"/>
  <c r="Z56" i="1"/>
  <c r="Z111" i="1"/>
  <c r="Z101" i="1"/>
  <c r="Z104" i="1"/>
  <c r="Z120" i="1"/>
  <c r="Z103" i="1"/>
  <c r="Z139" i="1"/>
  <c r="Z67" i="1"/>
  <c r="Z125" i="1"/>
  <c r="Z127" i="1"/>
  <c r="Z138" i="1"/>
  <c r="Z131" i="1"/>
  <c r="Z63" i="1"/>
  <c r="Z129" i="1"/>
  <c r="Z52" i="1"/>
  <c r="Z44" i="1"/>
  <c r="AZ50" i="1"/>
  <c r="Z135" i="1"/>
  <c r="Z65" i="1"/>
  <c r="Z116" i="1"/>
  <c r="Z77" i="1"/>
  <c r="Z53" i="1"/>
  <c r="Z82" i="1"/>
  <c r="Z45" i="1"/>
  <c r="Z54" i="1"/>
  <c r="AZ130" i="1"/>
  <c r="Z49" i="1"/>
</calcChain>
</file>

<file path=xl/sharedStrings.xml><?xml version="1.0" encoding="utf-8"?>
<sst xmlns="http://schemas.openxmlformats.org/spreadsheetml/2006/main" count="1440" uniqueCount="327">
  <si>
    <t>Harvest</t>
  </si>
  <si>
    <t>Field wt</t>
  </si>
  <si>
    <t>HADAT</t>
  </si>
  <si>
    <t>WBWAH</t>
  </si>
  <si>
    <t>(kg/ha)</t>
  </si>
  <si>
    <t>Parameters</t>
  </si>
  <si>
    <t>m2 per ha</t>
  </si>
  <si>
    <t>Ginning</t>
  </si>
  <si>
    <t>Sample</t>
  </si>
  <si>
    <t>(g)</t>
  </si>
  <si>
    <t>Fiber</t>
  </si>
  <si>
    <t>Seed</t>
  </si>
  <si>
    <t>FFRAC</t>
  </si>
  <si>
    <t>SFRAC</t>
  </si>
  <si>
    <t>TFRAC</t>
  </si>
  <si>
    <t>(g/g)</t>
  </si>
  <si>
    <t>Compute</t>
  </si>
  <si>
    <t>WFWAH</t>
  </si>
  <si>
    <t>WSWAH</t>
  </si>
  <si>
    <t>WSCWAH</t>
  </si>
  <si>
    <t>PID</t>
  </si>
  <si>
    <t>HARM</t>
  </si>
  <si>
    <t>Column C - Harvest method (HARM)</t>
  </si>
  <si>
    <t>Column F - Wet bulk weight at harvest (fiber + seed + trash) (WBWAH, kg/ha)</t>
  </si>
  <si>
    <t>Date</t>
  </si>
  <si>
    <t>GNDAT</t>
  </si>
  <si>
    <t>Column D - Harvest date (HADAT, mm/dd/yyyy)</t>
  </si>
  <si>
    <t>HID</t>
  </si>
  <si>
    <t>p02</t>
  </si>
  <si>
    <t>p04</t>
  </si>
  <si>
    <t>p05</t>
  </si>
  <si>
    <t>p06</t>
  </si>
  <si>
    <t>p07</t>
  </si>
  <si>
    <t>p08</t>
  </si>
  <si>
    <t>p11</t>
  </si>
  <si>
    <t>ID</t>
  </si>
  <si>
    <t>Column A - ID (ID)</t>
  </si>
  <si>
    <t>Column B - Harvest Area ID (HID)</t>
  </si>
  <si>
    <t>(kg)</t>
  </si>
  <si>
    <t>p02-01</t>
  </si>
  <si>
    <t>p02-02</t>
  </si>
  <si>
    <t>p02-03</t>
  </si>
  <si>
    <t>p02-04</t>
  </si>
  <si>
    <t>p02-05</t>
  </si>
  <si>
    <t>p02-06</t>
  </si>
  <si>
    <t>p02-07</t>
  </si>
  <si>
    <t>p02-08</t>
  </si>
  <si>
    <t>p02-09</t>
  </si>
  <si>
    <t>p02-10</t>
  </si>
  <si>
    <t>p03-01</t>
  </si>
  <si>
    <t>p03-02</t>
  </si>
  <si>
    <t>p03-03</t>
  </si>
  <si>
    <t>p03-04</t>
  </si>
  <si>
    <t>p03-05</t>
  </si>
  <si>
    <t>p03-06</t>
  </si>
  <si>
    <t>p03-07</t>
  </si>
  <si>
    <t>p03-08</t>
  </si>
  <si>
    <t>p03-09</t>
  </si>
  <si>
    <t>p03-10</t>
  </si>
  <si>
    <t>p04-01</t>
  </si>
  <si>
    <t>p04-02</t>
  </si>
  <si>
    <t>p04-03</t>
  </si>
  <si>
    <t>p04-04</t>
  </si>
  <si>
    <t>p04-05</t>
  </si>
  <si>
    <t>p04-06</t>
  </si>
  <si>
    <t>p04-07</t>
  </si>
  <si>
    <t>p04-08</t>
  </si>
  <si>
    <t>p04-09</t>
  </si>
  <si>
    <t>p04-10</t>
  </si>
  <si>
    <t>p05-01</t>
  </si>
  <si>
    <t>p05-02</t>
  </si>
  <si>
    <t>p05-03</t>
  </si>
  <si>
    <t>p05-04</t>
  </si>
  <si>
    <t>p05-05</t>
  </si>
  <si>
    <t>p05-06</t>
  </si>
  <si>
    <t>p05-07</t>
  </si>
  <si>
    <t>p05-08</t>
  </si>
  <si>
    <t>p05-09</t>
  </si>
  <si>
    <t>p05-10</t>
  </si>
  <si>
    <t>p06-01</t>
  </si>
  <si>
    <t>p06-02</t>
  </si>
  <si>
    <t>p06-03</t>
  </si>
  <si>
    <t>p06-04</t>
  </si>
  <si>
    <t>p06-05</t>
  </si>
  <si>
    <t>p06-06</t>
  </si>
  <si>
    <t>p06-07</t>
  </si>
  <si>
    <t>p06-08</t>
  </si>
  <si>
    <t>p06-09</t>
  </si>
  <si>
    <t>p06-10</t>
  </si>
  <si>
    <t>p07-01</t>
  </si>
  <si>
    <t>p07-02</t>
  </si>
  <si>
    <t>p07-03</t>
  </si>
  <si>
    <t>p07-04</t>
  </si>
  <si>
    <t>p07-05</t>
  </si>
  <si>
    <t>p07-06</t>
  </si>
  <si>
    <t>p07-07</t>
  </si>
  <si>
    <t>p07-08</t>
  </si>
  <si>
    <t>p07-09</t>
  </si>
  <si>
    <t>p07-10</t>
  </si>
  <si>
    <t>p08-01</t>
  </si>
  <si>
    <t>p08-02</t>
  </si>
  <si>
    <t>p08-03</t>
  </si>
  <si>
    <t>p08-04</t>
  </si>
  <si>
    <t>p08-05</t>
  </si>
  <si>
    <t>p08-06</t>
  </si>
  <si>
    <t>p08-07</t>
  </si>
  <si>
    <t>p08-08</t>
  </si>
  <si>
    <t>p08-09</t>
  </si>
  <si>
    <t>p08-10</t>
  </si>
  <si>
    <t>p09-01</t>
  </si>
  <si>
    <t>p09-02</t>
  </si>
  <si>
    <t>p09-03</t>
  </si>
  <si>
    <t>p09-04</t>
  </si>
  <si>
    <t>p09-05</t>
  </si>
  <si>
    <t>p09-06</t>
  </si>
  <si>
    <t>p09-07</t>
  </si>
  <si>
    <t>p09-08</t>
  </si>
  <si>
    <t>p09-09</t>
  </si>
  <si>
    <t>p09-10</t>
  </si>
  <si>
    <t>p10-01</t>
  </si>
  <si>
    <t>p10-02</t>
  </si>
  <si>
    <t>p10-03</t>
  </si>
  <si>
    <t>p10-04</t>
  </si>
  <si>
    <t>p10-05</t>
  </si>
  <si>
    <t>p10-06</t>
  </si>
  <si>
    <t>p10-07</t>
  </si>
  <si>
    <t>p10-08</t>
  </si>
  <si>
    <t>p10-09</t>
  </si>
  <si>
    <t>p10-10</t>
  </si>
  <si>
    <t>p11-01</t>
  </si>
  <si>
    <t>p11-02</t>
  </si>
  <si>
    <t>p11-03</t>
  </si>
  <si>
    <t>p11-04</t>
  </si>
  <si>
    <t>p11-05</t>
  </si>
  <si>
    <t>p11-06</t>
  </si>
  <si>
    <t>p11-07</t>
  </si>
  <si>
    <t>p11-08</t>
  </si>
  <si>
    <t>p11-09</t>
  </si>
  <si>
    <t>p11-10</t>
  </si>
  <si>
    <t>Machine</t>
  </si>
  <si>
    <t>(lbs)</t>
  </si>
  <si>
    <t>in bag</t>
  </si>
  <si>
    <t>kg per lb</t>
  </si>
  <si>
    <t>wt in bag</t>
  </si>
  <si>
    <t>Weight</t>
  </si>
  <si>
    <t>p03</t>
  </si>
  <si>
    <t>p09</t>
  </si>
  <si>
    <t>p10</t>
  </si>
  <si>
    <t>minus bag</t>
  </si>
  <si>
    <t>Moisture</t>
  </si>
  <si>
    <t>Bag</t>
  </si>
  <si>
    <t>weight</t>
  </si>
  <si>
    <t>Sample wt</t>
  </si>
  <si>
    <t>Wet</t>
  </si>
  <si>
    <t>Dry</t>
  </si>
  <si>
    <t>BWCAH</t>
  </si>
  <si>
    <t>DBWAH</t>
  </si>
  <si>
    <t>(%)</t>
  </si>
  <si>
    <t>wt no bag</t>
  </si>
  <si>
    <t>wt no bin</t>
  </si>
  <si>
    <t>DFWAH</t>
  </si>
  <si>
    <t>DSWAH</t>
  </si>
  <si>
    <t>DSCWAH</t>
  </si>
  <si>
    <t>Column K - Bulk water content at harvest (BWCAH, %)</t>
  </si>
  <si>
    <t>Column L - Dry bulk weight at harvest (fiber + seed + trash) (0% water content) (DBWAH, kg/ha)</t>
  </si>
  <si>
    <t>Column R - Fiber fraction after ginning (FFRAC, g/g)</t>
  </si>
  <si>
    <t>Column S - Seed fraction after ginning (SFRAC, g/g)</t>
  </si>
  <si>
    <t>Column T - Trash fraction after ginning (TFRAC, g/g)</t>
  </si>
  <si>
    <t>Column U - Wet fiber weight at harvest (WFWAH, kg/ha)</t>
  </si>
  <si>
    <t>Column V - Wet seed weight at harvest (WSWAH, kg/ha)</t>
  </si>
  <si>
    <t>Column W - Wet seed cotton weight at harvest (fiber + seed) (WSCWAH, kg/ha)</t>
  </si>
  <si>
    <t>Column X - Dry fiber weight at harvest (DFWAH, kg/ha)</t>
  </si>
  <si>
    <t>Column Y - Dry seed weight at harvest (DSWAH, kg/ha)</t>
  </si>
  <si>
    <t>Column Z - Dry seed cotton weight at harvest (fiber + seed) (DSCWAH, kg/ha)</t>
  </si>
  <si>
    <t>Size of harvest area (2 40-inch rows by 16 m) (m2)</t>
  </si>
  <si>
    <t>Weight of a single bag holding fiber at MAC gin (kg)</t>
  </si>
  <si>
    <t>Dry Lint Wt</t>
  </si>
  <si>
    <t>Dry Seed Wt</t>
  </si>
  <si>
    <t>kg/ha</t>
  </si>
  <si>
    <t>Original</t>
  </si>
  <si>
    <t>Spreadsheet</t>
  </si>
  <si>
    <t>Column E - Weight of machine-picked cotton, no bag (lbs). Machine harvest 2 rows by 16 m into mesh bags. Weigh in field using IQ plus 300-DC scale.</t>
  </si>
  <si>
    <t>Column N - Weight of bulk cotton subsample prior to ginning, no bag (lbs). Weigh in Room 318 on Ohaus C-11 scale.</t>
  </si>
  <si>
    <t>Column O - Weight of fiber after ginning, in bag (kg). Weigh using scale at MAC gin.</t>
  </si>
  <si>
    <t>Column P - Weight of fiber after ginning, no bag (kg). Weigh using scale at MAC gin.</t>
  </si>
  <si>
    <t>Column M - Ginning Date (GNDAT, mm/dd/yyyy).  Ginned using the MAC large gin with cleaners.</t>
  </si>
  <si>
    <t>Column G - Weight of Zip-lock plastic bag for subsampling harvest bags for moisture content. Weigh in room 189 on Sartorius scale.</t>
  </si>
  <si>
    <t>Column H - Weight of bulk subsample for moisture content in plastic bag (g).  Weigh in room 189 on Sartorius scale.</t>
  </si>
  <si>
    <t>Column I - Wet weight of bulk subsample prior to oven drying (g). Weigh in room 189 on Sartorius scale.</t>
  </si>
  <si>
    <t>Column J - Dry weight of bulk subsample after oven drying (g). Weigh in room 189 on Sartorius scale.</t>
  </si>
  <si>
    <t>Column Q - Weight of fuzzy seed after ginning, no bag (kg). Weigh using scale at MAC gin.</t>
  </si>
  <si>
    <t>Plot-scale calculations</t>
  </si>
  <si>
    <t>←Cell width→</t>
  </si>
  <si>
    <t>2 rows</t>
  </si>
  <si>
    <t>Buffer</t>
  </si>
  <si>
    <t>B</t>
  </si>
  <si>
    <t>A</t>
  </si>
  <si>
    <t>We will be about here</t>
  </si>
  <si>
    <t>↓</t>
  </si>
  <si>
    <t>↑</t>
  </si>
  <si>
    <t>No treatment</t>
  </si>
  <si>
    <t xml:space="preserve">10 9 8 7 6 5 4 3 2 1 </t>
  </si>
  <si>
    <t>Plot 11</t>
  </si>
  <si>
    <t>Kevin's</t>
  </si>
  <si>
    <t>Plot 10</t>
  </si>
  <si>
    <t>Plot 09</t>
  </si>
  <si>
    <t>Plot 08</t>
  </si>
  <si>
    <t>Plot 07</t>
  </si>
  <si>
    <t>Plot 06</t>
  </si>
  <si>
    <t>Plot 05</t>
  </si>
  <si>
    <t>Plot 04</t>
  </si>
  <si>
    <t>Plot 03</t>
  </si>
  <si>
    <t>Plot 02</t>
  </si>
  <si>
    <t>Plot 01</t>
  </si>
  <si>
    <r>
      <t xml:space="preserve">Span 7  </t>
    </r>
    <r>
      <rPr>
        <sz val="7"/>
        <color theme="1"/>
        <rFont val="Arial"/>
        <family val="2"/>
      </rPr>
      <t>Overhang</t>
    </r>
  </si>
  <si>
    <t>Span 6</t>
  </si>
  <si>
    <t>Span 5  West</t>
  </si>
  <si>
    <t>Span 5  East</t>
  </si>
  <si>
    <t>Span 4  West</t>
  </si>
  <si>
    <t>Span 4  East</t>
  </si>
  <si>
    <t>Span 3  West</t>
  </si>
  <si>
    <t>Span 3  East</t>
  </si>
  <si>
    <t>Span 2  West</t>
  </si>
  <si>
    <t>Span 2  East</t>
  </si>
  <si>
    <t>Span 1  West</t>
  </si>
  <si>
    <t>Span 1  East</t>
  </si>
  <si>
    <t>South  ↑</t>
  </si>
  <si>
    <r>
      <t>Row 7</t>
    </r>
    <r>
      <rPr>
        <sz val="6"/>
        <color indexed="8"/>
        <rFont val="Arial"/>
        <family val="2"/>
      </rPr>
      <t xml:space="preserve"> (the mid 2 rows of the no-traffic zone)</t>
    </r>
  </si>
  <si>
    <r>
      <t>Row 6</t>
    </r>
    <r>
      <rPr>
        <sz val="6"/>
        <color indexed="8"/>
        <rFont val="Arial"/>
        <family val="2"/>
      </rPr>
      <t xml:space="preserve"> (from the East edge)</t>
    </r>
  </si>
  <si>
    <t>Using 2 row picker for harvest. Harvesting rows  and  in each treatment.</t>
  </si>
  <si>
    <t>General Plot Map for Harvesting</t>
  </si>
  <si>
    <t xml:space="preserve">Cotton </t>
  </si>
  <si>
    <t>F013 - lateral move irrigation</t>
  </si>
  <si>
    <t>Ave per cell =</t>
  </si>
  <si>
    <t>CropMod</t>
  </si>
  <si>
    <t>SEB</t>
  </si>
  <si>
    <t>NDVI</t>
  </si>
  <si>
    <t>FAO</t>
  </si>
  <si>
    <t>Stressed</t>
  </si>
  <si>
    <t>didn't switch bags, only one filled</t>
  </si>
  <si>
    <t>Not much dew in the field this morning</t>
  </si>
  <si>
    <t>purple labels</t>
  </si>
  <si>
    <t>Span 7-Overhang</t>
  </si>
  <si>
    <t>blue labels</t>
  </si>
  <si>
    <t>Span 5-West</t>
  </si>
  <si>
    <t>red labels</t>
  </si>
  <si>
    <t>Span 5-East</t>
  </si>
  <si>
    <t>Span 4-West</t>
  </si>
  <si>
    <t>Span 4-East</t>
  </si>
  <si>
    <t>Span 3-West</t>
  </si>
  <si>
    <t>Span 3-East</t>
  </si>
  <si>
    <t>Span 2-West</t>
  </si>
  <si>
    <t>Span 2-East</t>
  </si>
  <si>
    <t>Span 1-West</t>
  </si>
  <si>
    <t>Notes</t>
  </si>
  <si>
    <t>(lb)</t>
  </si>
  <si>
    <r>
      <rPr>
        <sz val="7"/>
        <color theme="1"/>
        <rFont val="Arial"/>
        <family val="2"/>
      </rPr>
      <t xml:space="preserve">(cotton + mesh bag) </t>
    </r>
    <r>
      <rPr>
        <b/>
        <sz val="10"/>
        <color theme="1"/>
        <rFont val="Arial"/>
        <family val="2"/>
      </rPr>
      <t>(lb)</t>
    </r>
  </si>
  <si>
    <t>bag</t>
  </si>
  <si>
    <t>cell</t>
  </si>
  <si>
    <t>Trt</t>
  </si>
  <si>
    <t>Total weight</t>
  </si>
  <si>
    <t>field weight</t>
  </si>
  <si>
    <t>Weight of 2 mesh harvest bags: blue &amp; purple labeled bags: 2.1 lbs; red labeled bags: 2.3 lbs (on the field scale).</t>
  </si>
  <si>
    <t>Matt H, &amp; Luis A in picker. Paul Evans &amp; Allan K spotting the picker in the field. Kelly T, Matt C &amp; Diaa in the stake bed. Kathy J &amp; Doug H taking care of mesh bags. Glenda, Sharette &amp; Cheryl Borg subsampling. Bill stapling &amp; packing subsamples. Jim Schlegal helping with weighing and emptying bags. Suzette weighing.          Started at 9. Finished at 12.</t>
  </si>
  <si>
    <t>Weight is harvested cotton in/with mesh bag.  Using U ofA'a scale (IQ plus 390-DC is listed on digital read-out).  Same scale as used previously with last year's F13 cotton.</t>
  </si>
  <si>
    <t>Two bags used to collect harvested cotton for each 52.49' (16 m) length.  "A" &amp; "B" bags.</t>
  </si>
  <si>
    <t>Final Harvest Weights</t>
  </si>
  <si>
    <t xml:space="preserve">Harvested </t>
  </si>
  <si>
    <t>Averages =</t>
  </si>
  <si>
    <t>Trash &amp; lost Fraction  (%)</t>
  </si>
  <si>
    <t>Seed Fraction  (%)</t>
  </si>
  <si>
    <t>Lint Fraction  (%)</t>
  </si>
  <si>
    <t>Seed (kg)</t>
  </si>
  <si>
    <t>Lint in bag (kg)</t>
  </si>
  <si>
    <t>Sub sample (kg)</t>
  </si>
  <si>
    <t>Sub sample (lb)</t>
  </si>
  <si>
    <t>Samp. # (Cell #)</t>
  </si>
  <si>
    <t>Stress</t>
  </si>
  <si>
    <t>Border #</t>
  </si>
  <si>
    <t>All sub-samples ginned 1 Dec with MAC gin.</t>
  </si>
  <si>
    <t>All sub-samples weighed 30 November on the Ohaus C-11 scale in room 318 (bag tared first)</t>
  </si>
  <si>
    <t>After harvest, sub-samples stored in room 318 until ginned.</t>
  </si>
  <si>
    <t>Used scale in ginning bldg</t>
  </si>
  <si>
    <r>
      <t xml:space="preserve">Bag holding lint - </t>
    </r>
    <r>
      <rPr>
        <b/>
        <sz val="14"/>
        <color rgb="FFC00000"/>
        <rFont val="Calibri"/>
        <family val="2"/>
      </rPr>
      <t xml:space="preserve"> 0.28 kg</t>
    </r>
    <r>
      <rPr>
        <b/>
        <sz val="14"/>
        <rFont val="Calibri"/>
        <family val="2"/>
      </rPr>
      <t xml:space="preserve">   container holding seed -   tared</t>
    </r>
  </si>
  <si>
    <t>Some trash in with seed</t>
  </si>
  <si>
    <t xml:space="preserve"> </t>
  </si>
  <si>
    <t>Cotton 2015    Field 13</t>
  </si>
  <si>
    <t>% Trash</t>
  </si>
  <si>
    <t>Trash (g)</t>
  </si>
  <si>
    <t>% Seed</t>
  </si>
  <si>
    <t>Seed (g)</t>
  </si>
  <si>
    <t>% Lint</t>
  </si>
  <si>
    <t>Lint (g)</t>
  </si>
  <si>
    <t>wet basis       % moisture</t>
  </si>
  <si>
    <r>
      <t xml:space="preserve">Dry weight        </t>
    </r>
    <r>
      <rPr>
        <b/>
        <sz val="7"/>
        <color theme="1"/>
        <rFont val="Calibri"/>
        <family val="2"/>
        <scheme val="minor"/>
      </rPr>
      <t xml:space="preserve"> (no bag) </t>
    </r>
    <r>
      <rPr>
        <b/>
        <sz val="10"/>
        <color theme="1"/>
        <rFont val="Calibri"/>
        <family val="2"/>
        <scheme val="minor"/>
      </rPr>
      <t>(g)</t>
    </r>
  </si>
  <si>
    <t>Seed cotton (g)</t>
  </si>
  <si>
    <t>Seed cotton + bag (g)</t>
  </si>
  <si>
    <t>plastic bag (g)</t>
  </si>
  <si>
    <t>Ginned</t>
  </si>
  <si>
    <t>Seed Cotton</t>
  </si>
  <si>
    <t>Seed cotton</t>
  </si>
  <si>
    <t>From field:</t>
  </si>
  <si>
    <t>weighed:</t>
  </si>
  <si>
    <t>ginned:  5 &amp;6 January 2016 Lint weighed 19 Feb 16    Seed weighed 29 Jan 16</t>
  </si>
  <si>
    <t xml:space="preserve"> all samples: 15 Dec</t>
  </si>
  <si>
    <t xml:space="preserve"> all samples: 17 Nov</t>
  </si>
  <si>
    <t>bags weighed 30 Sept</t>
  </si>
  <si>
    <t>Ginned using the Porter Morrison &amp; Son gin in the ALARC headhouse. It's a small, saw blade gin. Seed looks to be similar to seed ginned with MAC gin. But there looks to be more small trash in both the lint and seed fractions.</t>
  </si>
  <si>
    <t>After ginning, lint and seed re-dried.</t>
  </si>
  <si>
    <t>All weights taken on Sartorius in rm 189</t>
  </si>
  <si>
    <t>After initial weighing (harvested cotton in the pre-weighed bags), cotton transferred to paper bags and placed in oven.</t>
  </si>
  <si>
    <t>Samples taken in the field at harvest time, placed into sealed ziplock bags.</t>
  </si>
  <si>
    <t>Harvest-Seed Cotton Moisture Content</t>
  </si>
  <si>
    <t>P11</t>
  </si>
  <si>
    <t>P10</t>
  </si>
  <si>
    <t>P07</t>
  </si>
  <si>
    <t>P06</t>
  </si>
  <si>
    <t>P02</t>
  </si>
  <si>
    <t>Trash</t>
  </si>
  <si>
    <t>Lint</t>
  </si>
  <si>
    <t>P03</t>
  </si>
  <si>
    <t>CROPMOD</t>
  </si>
  <si>
    <t>frac</t>
  </si>
  <si>
    <t>Area</t>
  </si>
  <si>
    <t>Plot</t>
  </si>
  <si>
    <t>Dry Seed Cotton</t>
  </si>
  <si>
    <t>Field Wt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</si>
</sst>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"/>
    <numFmt numFmtId="166" formatCode="mm/dd/yyyy"/>
    <numFmt numFmtId="167" formatCode="00"/>
  </numFmts>
  <fonts count="5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0"/>
      <color indexed="8"/>
      <name val="Calibri"/>
      <family val="2"/>
    </font>
    <font>
      <b/>
      <sz val="14"/>
      <color theme="1"/>
      <name val="Arial"/>
      <family val="2"/>
    </font>
    <font>
      <b/>
      <sz val="14"/>
      <color theme="1"/>
      <name val="Arial Black"/>
      <family val="2"/>
    </font>
    <font>
      <b/>
      <sz val="9"/>
      <color theme="1"/>
      <name val="Arial"/>
      <family val="2"/>
    </font>
    <font>
      <b/>
      <sz val="16"/>
      <color theme="1"/>
      <name val="Arial"/>
      <family val="2"/>
    </font>
    <font>
      <b/>
      <sz val="13"/>
      <color theme="1"/>
      <name val="Arial"/>
      <family val="2"/>
    </font>
    <font>
      <sz val="7"/>
      <color theme="1"/>
      <name val="Arial"/>
      <family val="2"/>
    </font>
    <font>
      <b/>
      <sz val="24"/>
      <color indexed="8"/>
      <name val="Calibri"/>
      <family val="2"/>
    </font>
    <font>
      <sz val="16"/>
      <color indexed="8"/>
      <name val="Arial"/>
      <family val="2"/>
    </font>
    <font>
      <sz val="6"/>
      <color indexed="8"/>
      <name val="Arial"/>
      <family val="2"/>
    </font>
    <font>
      <b/>
      <sz val="14"/>
      <color theme="1"/>
      <name val="Calibri"/>
      <family val="2"/>
      <scheme val="minor"/>
    </font>
    <font>
      <sz val="11"/>
      <color rgb="FFFF0000"/>
      <name val="Arial"/>
      <family val="2"/>
    </font>
    <font>
      <i/>
      <sz val="11"/>
      <color rgb="FFFF0000"/>
      <name val="Arial"/>
      <family val="2"/>
    </font>
    <font>
      <sz val="10"/>
      <color theme="1"/>
      <name val="Calibri"/>
      <family val="2"/>
      <scheme val="minor"/>
    </font>
    <font>
      <sz val="8"/>
      <color theme="1"/>
      <name val="Arial"/>
      <family val="2"/>
    </font>
    <font>
      <sz val="14"/>
      <color theme="1"/>
      <name val="Arial"/>
      <family val="2"/>
    </font>
    <font>
      <b/>
      <sz val="11"/>
      <color theme="1"/>
      <name val="Arial"/>
      <family val="2"/>
    </font>
    <font>
      <sz val="13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rgb="FFFF0000"/>
      <name val="Arial"/>
      <family val="2"/>
    </font>
    <font>
      <b/>
      <sz val="13"/>
      <color indexed="8"/>
      <name val="Calibri"/>
      <family val="2"/>
    </font>
    <font>
      <sz val="13"/>
      <color indexed="8"/>
      <name val="Calibri"/>
      <family val="2"/>
    </font>
    <font>
      <b/>
      <sz val="13"/>
      <color indexed="8"/>
      <name val="Arial Narrow"/>
      <family val="2"/>
    </font>
    <font>
      <b/>
      <sz val="14"/>
      <color indexed="8"/>
      <name val="Arial Black"/>
      <family val="2"/>
    </font>
    <font>
      <sz val="14"/>
      <color indexed="8"/>
      <name val="Calibri"/>
      <family val="2"/>
    </font>
    <font>
      <sz val="14"/>
      <color indexed="8"/>
      <name val="Arial Narrow"/>
      <family val="2"/>
    </font>
    <font>
      <b/>
      <sz val="11"/>
      <color indexed="8"/>
      <name val="Arial Narrow"/>
      <family val="2"/>
    </font>
    <font>
      <b/>
      <sz val="12"/>
      <color indexed="8"/>
      <name val="Arial"/>
      <family val="2"/>
    </font>
    <font>
      <b/>
      <sz val="11"/>
      <color indexed="8"/>
      <name val="Arial"/>
      <family val="2"/>
    </font>
    <font>
      <b/>
      <sz val="16"/>
      <color indexed="8"/>
      <name val="Calibri"/>
      <family val="2"/>
    </font>
    <font>
      <b/>
      <sz val="18"/>
      <color indexed="8"/>
      <name val="Calibri"/>
      <family val="2"/>
    </font>
    <font>
      <b/>
      <sz val="14"/>
      <color indexed="8"/>
      <name val="Calibri"/>
      <family val="2"/>
    </font>
    <font>
      <b/>
      <sz val="12"/>
      <color rgb="FFFF0000"/>
      <name val="Calibri"/>
      <family val="2"/>
      <scheme val="minor"/>
    </font>
    <font>
      <b/>
      <sz val="14"/>
      <name val="Calibri"/>
      <family val="2"/>
    </font>
    <font>
      <sz val="12"/>
      <color indexed="8"/>
      <name val="Calibri"/>
      <family val="2"/>
    </font>
    <font>
      <b/>
      <sz val="11"/>
      <color rgb="FFFF0000"/>
      <name val="Calibri"/>
      <family val="2"/>
      <scheme val="minor"/>
    </font>
    <font>
      <b/>
      <sz val="14"/>
      <color rgb="FFC00000"/>
      <name val="Calibri"/>
      <family val="2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7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7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 style="thick">
        <color indexed="8"/>
      </top>
      <bottom style="medium">
        <color indexed="8"/>
      </bottom>
      <diagonal/>
    </border>
    <border>
      <left style="medium">
        <color indexed="8"/>
      </left>
      <right/>
      <top style="thick">
        <color indexed="8"/>
      </top>
      <bottom style="medium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theme="2" tint="-0.499984740745262"/>
      </left>
      <right/>
      <top style="medium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/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medium">
        <color theme="2" tint="-0.499984740745262"/>
      </bottom>
      <diagonal/>
    </border>
    <border>
      <left/>
      <right style="medium">
        <color theme="2" tint="-0.499984740745262"/>
      </right>
      <top style="medium">
        <color theme="2" tint="-0.499984740745262"/>
      </top>
      <bottom style="medium">
        <color theme="2" tint="-0.499984740745262"/>
      </bottom>
      <diagonal/>
    </border>
    <border>
      <left/>
      <right/>
      <top/>
      <bottom style="medium">
        <color theme="2" tint="-0.499984740745262"/>
      </bottom>
      <diagonal/>
    </border>
    <border>
      <left style="medium">
        <color theme="2" tint="-0.499984740745262"/>
      </left>
      <right/>
      <top/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/>
      <diagonal/>
    </border>
    <border>
      <left/>
      <right/>
      <top style="medium">
        <color theme="2" tint="-0.499984740745262"/>
      </top>
      <bottom/>
      <diagonal/>
    </border>
    <border>
      <left style="medium">
        <color theme="2" tint="-0.499984740745262"/>
      </left>
      <right/>
      <top style="medium">
        <color theme="2" tint="-0.499984740745262"/>
      </top>
      <bottom/>
      <diagonal/>
    </border>
    <border>
      <left/>
      <right style="medium">
        <color theme="2" tint="-0.499984740745262"/>
      </right>
      <top style="medium">
        <color theme="2" tint="-0.499984740745262"/>
      </top>
      <bottom/>
      <diagonal/>
    </border>
    <border>
      <left style="thin">
        <color indexed="23"/>
      </left>
      <right style="medium">
        <color theme="1" tint="0.24994659260841701"/>
      </right>
      <top style="medium">
        <color theme="1" tint="0.24994659260841701"/>
      </top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medium">
        <color theme="1" tint="0.24994659260841701"/>
      </top>
      <bottom style="thin">
        <color indexed="23"/>
      </bottom>
      <diagonal/>
    </border>
    <border>
      <left style="medium">
        <color theme="1" tint="0.24994659260841701"/>
      </left>
      <right style="thin">
        <color indexed="23"/>
      </right>
      <top style="medium">
        <color theme="1" tint="0.24994659260841701"/>
      </top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medium">
        <color theme="2" tint="-0.499984740745262"/>
      </bottom>
      <diagonal/>
    </border>
  </borders>
  <cellStyleXfs count="9">
    <xf numFmtId="0" fontId="0" fillId="0" borderId="0"/>
    <xf numFmtId="0" fontId="2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2" fillId="0" borderId="0"/>
    <xf numFmtId="0" fontId="1" fillId="0" borderId="0"/>
    <xf numFmtId="0" fontId="3" fillId="0" borderId="0"/>
  </cellStyleXfs>
  <cellXfs count="183">
    <xf numFmtId="0" fontId="0" fillId="0" borderId="0" xfId="0"/>
    <xf numFmtId="0" fontId="0" fillId="2" borderId="0" xfId="0" applyFill="1"/>
    <xf numFmtId="14" fontId="0" fillId="2" borderId="0" xfId="0" applyNumberFormat="1" applyFill="1"/>
    <xf numFmtId="164" fontId="0" fillId="0" borderId="0" xfId="0" applyNumberFormat="1"/>
    <xf numFmtId="164" fontId="0" fillId="2" borderId="0" xfId="0" applyNumberFormat="1" applyFill="1"/>
    <xf numFmtId="2" fontId="0" fillId="2" borderId="0" xfId="0" applyNumberFormat="1" applyFill="1"/>
    <xf numFmtId="165" fontId="0" fillId="2" borderId="0" xfId="0" applyNumberFormat="1" applyFill="1"/>
    <xf numFmtId="2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2" borderId="0" xfId="0" applyNumberFormat="1" applyFill="1"/>
    <xf numFmtId="166" fontId="0" fillId="0" borderId="0" xfId="0" applyNumberFormat="1"/>
    <xf numFmtId="1" fontId="2" fillId="0" borderId="0" xfId="1" applyNumberFormat="1"/>
    <xf numFmtId="0" fontId="2" fillId="0" borderId="0" xfId="6"/>
    <xf numFmtId="0" fontId="2" fillId="0" borderId="1" xfId="6" applyBorder="1" applyAlignment="1">
      <alignment horizontal="centerContinuous"/>
    </xf>
    <xf numFmtId="0" fontId="2" fillId="0" borderId="2" xfId="6" applyBorder="1" applyAlignment="1">
      <alignment horizontal="centerContinuous"/>
    </xf>
    <xf numFmtId="0" fontId="2" fillId="0" borderId="0" xfId="6" applyAlignment="1">
      <alignment horizontal="center" vertical="center"/>
    </xf>
    <xf numFmtId="0" fontId="5" fillId="0" borderId="0" xfId="6" applyFont="1" applyAlignment="1">
      <alignment horizontal="center" vertical="top"/>
    </xf>
    <xf numFmtId="0" fontId="2" fillId="0" borderId="3" xfId="6" applyBorder="1" applyAlignment="1">
      <alignment horizontal="center" vertical="top"/>
    </xf>
    <xf numFmtId="0" fontId="5" fillId="0" borderId="3" xfId="6" applyFont="1" applyBorder="1" applyAlignment="1">
      <alignment horizontal="center" vertical="top"/>
    </xf>
    <xf numFmtId="0" fontId="5" fillId="0" borderId="0" xfId="6" applyFont="1" applyAlignment="1">
      <alignment horizontal="center" vertical="center"/>
    </xf>
    <xf numFmtId="0" fontId="2" fillId="0" borderId="4" xfId="6" applyBorder="1" applyAlignment="1">
      <alignment horizontal="center" vertical="center"/>
    </xf>
    <xf numFmtId="0" fontId="2" fillId="0" borderId="5" xfId="6" applyBorder="1" applyAlignment="1">
      <alignment horizontal="center"/>
    </xf>
    <xf numFmtId="0" fontId="2" fillId="0" borderId="6" xfId="6" applyBorder="1" applyAlignment="1">
      <alignment horizontal="center"/>
    </xf>
    <xf numFmtId="0" fontId="2" fillId="0" borderId="7" xfId="6" applyBorder="1" applyAlignment="1">
      <alignment horizontal="center" vertical="center"/>
    </xf>
    <xf numFmtId="0" fontId="6" fillId="3" borderId="8" xfId="6" applyFont="1" applyFill="1" applyBorder="1" applyAlignment="1">
      <alignment horizontal="center"/>
    </xf>
    <xf numFmtId="0" fontId="6" fillId="3" borderId="9" xfId="6" applyFont="1" applyFill="1" applyBorder="1" applyAlignment="1">
      <alignment horizontal="center"/>
    </xf>
    <xf numFmtId="0" fontId="7" fillId="0" borderId="10" xfId="6" applyFont="1" applyBorder="1" applyAlignment="1">
      <alignment horizontal="center"/>
    </xf>
    <xf numFmtId="0" fontId="7" fillId="3" borderId="11" xfId="6" applyFont="1" applyFill="1" applyBorder="1" applyAlignment="1">
      <alignment horizontal="center"/>
    </xf>
    <xf numFmtId="0" fontId="2" fillId="0" borderId="0" xfId="6" applyAlignment="1">
      <alignment horizontal="right" vertical="center"/>
    </xf>
    <xf numFmtId="0" fontId="2" fillId="0" borderId="12" xfId="6" applyBorder="1"/>
    <xf numFmtId="0" fontId="2" fillId="4" borderId="13" xfId="6" applyFill="1" applyBorder="1"/>
    <xf numFmtId="0" fontId="2" fillId="0" borderId="14" xfId="6" applyBorder="1"/>
    <xf numFmtId="0" fontId="2" fillId="0" borderId="13" xfId="6" applyBorder="1"/>
    <xf numFmtId="0" fontId="8" fillId="0" borderId="12" xfId="6" applyFont="1" applyBorder="1" applyAlignment="1">
      <alignment horizontal="center" vertical="center" textRotation="255"/>
    </xf>
    <xf numFmtId="0" fontId="8" fillId="0" borderId="13" xfId="6" applyFont="1" applyBorder="1" applyAlignment="1">
      <alignment horizontal="center" vertical="center" textRotation="255"/>
    </xf>
    <xf numFmtId="0" fontId="8" fillId="0" borderId="14" xfId="6" applyFont="1" applyBorder="1" applyAlignment="1">
      <alignment horizontal="center" vertical="center" textRotation="255"/>
    </xf>
    <xf numFmtId="0" fontId="2" fillId="0" borderId="15" xfId="6" applyBorder="1" applyAlignment="1">
      <alignment horizontal="center" vertical="distributed" wrapText="1"/>
    </xf>
    <xf numFmtId="0" fontId="2" fillId="0" borderId="15" xfId="6" applyBorder="1"/>
    <xf numFmtId="0" fontId="9" fillId="4" borderId="0" xfId="6" applyFont="1" applyFill="1" applyAlignment="1">
      <alignment horizontal="center" vertical="center"/>
    </xf>
    <xf numFmtId="0" fontId="2" fillId="0" borderId="16" xfId="6" applyBorder="1"/>
    <xf numFmtId="0" fontId="9" fillId="0" borderId="0" xfId="6" applyFont="1" applyAlignment="1">
      <alignment horizontal="center" vertical="center"/>
    </xf>
    <xf numFmtId="0" fontId="8" fillId="0" borderId="15" xfId="6" applyFont="1" applyBorder="1" applyAlignment="1">
      <alignment horizontal="center" vertical="center" textRotation="255"/>
    </xf>
    <xf numFmtId="0" fontId="8" fillId="0" borderId="0" xfId="6" applyFont="1" applyAlignment="1">
      <alignment horizontal="center" vertical="center" textRotation="255"/>
    </xf>
    <xf numFmtId="0" fontId="8" fillId="0" borderId="16" xfId="6" applyFont="1" applyBorder="1" applyAlignment="1">
      <alignment horizontal="center" vertical="center" textRotation="255"/>
    </xf>
    <xf numFmtId="0" fontId="2" fillId="4" borderId="0" xfId="6" applyFill="1"/>
    <xf numFmtId="0" fontId="2" fillId="0" borderId="17" xfId="6" applyBorder="1"/>
    <xf numFmtId="0" fontId="9" fillId="4" borderId="18" xfId="6" applyFont="1" applyFill="1" applyBorder="1" applyAlignment="1">
      <alignment horizontal="center" vertical="center"/>
    </xf>
    <xf numFmtId="0" fontId="2" fillId="0" borderId="19" xfId="6" applyBorder="1"/>
    <xf numFmtId="0" fontId="9" fillId="0" borderId="18" xfId="6" applyFont="1" applyBorder="1" applyAlignment="1">
      <alignment horizontal="center" vertical="center"/>
    </xf>
    <xf numFmtId="0" fontId="8" fillId="0" borderId="17" xfId="6" applyFont="1" applyBorder="1" applyAlignment="1">
      <alignment horizontal="center" vertical="center" textRotation="255"/>
    </xf>
    <xf numFmtId="0" fontId="8" fillId="0" borderId="18" xfId="6" applyFont="1" applyBorder="1" applyAlignment="1">
      <alignment horizontal="center" vertical="center" textRotation="255"/>
    </xf>
    <xf numFmtId="0" fontId="8" fillId="0" borderId="19" xfId="6" applyFont="1" applyBorder="1" applyAlignment="1">
      <alignment horizontal="center" vertical="center" textRotation="255"/>
    </xf>
    <xf numFmtId="0" fontId="10" fillId="0" borderId="13" xfId="6" applyFont="1" applyBorder="1" applyAlignment="1">
      <alignment horizontal="center" vertical="center" wrapText="1"/>
    </xf>
    <xf numFmtId="0" fontId="10" fillId="0" borderId="13" xfId="6" applyFont="1" applyBorder="1" applyAlignment="1">
      <alignment horizontal="centerContinuous" vertical="top" wrapText="1"/>
    </xf>
    <xf numFmtId="0" fontId="2" fillId="0" borderId="4" xfId="6" applyBorder="1"/>
    <xf numFmtId="0" fontId="2" fillId="0" borderId="0" xfId="6" applyAlignment="1">
      <alignment horizontal="center" vertical="center" wrapText="1"/>
    </xf>
    <xf numFmtId="0" fontId="2" fillId="0" borderId="0" xfId="6" applyAlignment="1">
      <alignment horizontal="center" wrapText="1"/>
    </xf>
    <xf numFmtId="0" fontId="12" fillId="0" borderId="0" xfId="6" applyFont="1" applyAlignment="1">
      <alignment horizontal="center" vertical="top"/>
    </xf>
    <xf numFmtId="0" fontId="2" fillId="0" borderId="0" xfId="6" applyAlignment="1">
      <alignment horizontal="right"/>
    </xf>
    <xf numFmtId="0" fontId="13" fillId="0" borderId="0" xfId="6" applyFont="1" applyAlignment="1">
      <alignment horizontal="center" vertical="center" wrapText="1"/>
    </xf>
    <xf numFmtId="0" fontId="15" fillId="0" borderId="0" xfId="6" applyFont="1" applyAlignment="1">
      <alignment horizontal="centerContinuous"/>
    </xf>
    <xf numFmtId="0" fontId="16" fillId="0" borderId="0" xfId="6" applyFont="1"/>
    <xf numFmtId="0" fontId="17" fillId="0" borderId="0" xfId="6" applyFont="1"/>
    <xf numFmtId="0" fontId="18" fillId="0" borderId="0" xfId="6" applyFont="1" applyAlignment="1">
      <alignment horizontal="left"/>
    </xf>
    <xf numFmtId="0" fontId="15" fillId="0" borderId="0" xfId="6" applyFont="1" applyAlignment="1">
      <alignment horizontal="left"/>
    </xf>
    <xf numFmtId="0" fontId="6" fillId="0" borderId="0" xfId="6" applyFont="1" applyAlignment="1">
      <alignment horizontal="center" vertical="center"/>
    </xf>
    <xf numFmtId="0" fontId="19" fillId="0" borderId="0" xfId="6" applyFont="1" applyAlignment="1">
      <alignment horizontal="right"/>
    </xf>
    <xf numFmtId="167" fontId="2" fillId="0" borderId="0" xfId="6" applyNumberFormat="1"/>
    <xf numFmtId="0" fontId="2" fillId="0" borderId="0" xfId="6" applyAlignment="1">
      <alignment horizontal="left"/>
    </xf>
    <xf numFmtId="167" fontId="2" fillId="0" borderId="0" xfId="6" applyNumberFormat="1" applyAlignment="1">
      <alignment horizontal="center" vertical="center"/>
    </xf>
    <xf numFmtId="0" fontId="19" fillId="0" borderId="0" xfId="6" applyFont="1" applyAlignment="1">
      <alignment horizontal="center" vertical="center"/>
    </xf>
    <xf numFmtId="0" fontId="20" fillId="0" borderId="0" xfId="6" applyFont="1" applyAlignment="1">
      <alignment horizontal="center" vertical="center"/>
    </xf>
    <xf numFmtId="167" fontId="20" fillId="0" borderId="0" xfId="6" applyNumberFormat="1" applyFont="1" applyAlignment="1">
      <alignment horizontal="center" vertical="center"/>
    </xf>
    <xf numFmtId="164" fontId="20" fillId="0" borderId="0" xfId="6" applyNumberFormat="1" applyFont="1" applyAlignment="1">
      <alignment horizontal="center" vertical="center"/>
    </xf>
    <xf numFmtId="0" fontId="20" fillId="0" borderId="0" xfId="6" applyFont="1" applyAlignment="1">
      <alignment horizontal="right" vertical="center"/>
    </xf>
    <xf numFmtId="0" fontId="2" fillId="0" borderId="0" xfId="6" applyAlignment="1">
      <alignment wrapText="1"/>
    </xf>
    <xf numFmtId="0" fontId="6" fillId="0" borderId="0" xfId="6" applyFont="1" applyAlignment="1">
      <alignment horizontal="center" vertical="center" wrapText="1"/>
    </xf>
    <xf numFmtId="0" fontId="2" fillId="0" borderId="0" xfId="6"/>
    <xf numFmtId="0" fontId="6" fillId="0" borderId="0" xfId="6" applyFont="1" applyAlignment="1">
      <alignment horizontal="center" vertical="center"/>
    </xf>
    <xf numFmtId="0" fontId="20" fillId="0" borderId="0" xfId="6" applyFont="1"/>
    <xf numFmtId="164" fontId="9" fillId="0" borderId="0" xfId="6" applyNumberFormat="1" applyFont="1" applyAlignment="1">
      <alignment horizontal="left" vertical="center"/>
    </xf>
    <xf numFmtId="0" fontId="21" fillId="0" borderId="0" xfId="6" applyFont="1" applyAlignment="1">
      <alignment horizontal="right" vertical="center"/>
    </xf>
    <xf numFmtId="0" fontId="2" fillId="0" borderId="20" xfId="6" applyBorder="1" applyAlignment="1">
      <alignment vertical="center"/>
    </xf>
    <xf numFmtId="0" fontId="2" fillId="0" borderId="21" xfId="6" applyBorder="1" applyAlignment="1">
      <alignment horizontal="center" vertical="center"/>
    </xf>
    <xf numFmtId="164" fontId="22" fillId="0" borderId="22" xfId="6" applyNumberFormat="1" applyFont="1" applyBorder="1" applyAlignment="1">
      <alignment horizontal="center" vertical="center"/>
    </xf>
    <xf numFmtId="0" fontId="2" fillId="0" borderId="23" xfId="6" applyBorder="1" applyAlignment="1">
      <alignment horizontal="center" vertical="center"/>
    </xf>
    <xf numFmtId="0" fontId="20" fillId="0" borderId="24" xfId="6" applyFont="1" applyBorder="1" applyAlignment="1">
      <alignment horizontal="left" vertical="center"/>
    </xf>
    <xf numFmtId="0" fontId="20" fillId="0" borderId="25" xfId="6" applyFont="1" applyBorder="1" applyAlignment="1">
      <alignment horizontal="right" vertical="center"/>
    </xf>
    <xf numFmtId="0" fontId="19" fillId="0" borderId="0" xfId="6" applyFont="1" applyAlignment="1">
      <alignment horizontal="right" vertical="center"/>
    </xf>
    <xf numFmtId="0" fontId="2" fillId="0" borderId="0" xfId="6" applyAlignment="1">
      <alignment vertical="center"/>
    </xf>
    <xf numFmtId="164" fontId="22" fillId="0" borderId="21" xfId="6" applyNumberFormat="1" applyFont="1" applyBorder="1" applyAlignment="1">
      <alignment horizontal="center" vertical="center"/>
    </xf>
    <xf numFmtId="164" fontId="22" fillId="0" borderId="26" xfId="6" applyNumberFormat="1" applyFont="1" applyBorder="1" applyAlignment="1">
      <alignment horizontal="center" vertical="center"/>
    </xf>
    <xf numFmtId="167" fontId="20" fillId="0" borderId="27" xfId="6" applyNumberFormat="1" applyFont="1" applyBorder="1" applyAlignment="1">
      <alignment horizontal="left" vertical="center"/>
    </xf>
    <xf numFmtId="167" fontId="6" fillId="0" borderId="28" xfId="6" applyNumberFormat="1" applyFont="1" applyBorder="1" applyAlignment="1">
      <alignment horizontal="right" vertical="center"/>
    </xf>
    <xf numFmtId="0" fontId="23" fillId="0" borderId="0" xfId="6" applyFont="1" applyAlignment="1">
      <alignment horizontal="right" vertical="center"/>
    </xf>
    <xf numFmtId="0" fontId="23" fillId="0" borderId="29" xfId="6" applyFont="1" applyBorder="1" applyAlignment="1">
      <alignment horizontal="right" vertical="center"/>
    </xf>
    <xf numFmtId="0" fontId="21" fillId="0" borderId="0" xfId="6" applyFont="1" applyAlignment="1">
      <alignment horizontal="center"/>
    </xf>
    <xf numFmtId="0" fontId="24" fillId="0" borderId="0" xfId="6" applyFont="1" applyAlignment="1">
      <alignment horizontal="center" wrapText="1"/>
    </xf>
    <xf numFmtId="0" fontId="25" fillId="0" borderId="0" xfId="6" applyFont="1" applyAlignment="1">
      <alignment horizontal="center" wrapText="1"/>
    </xf>
    <xf numFmtId="0" fontId="2" fillId="0" borderId="0" xfId="6" applyAlignment="1">
      <alignment horizontal="center" wrapText="1"/>
    </xf>
    <xf numFmtId="0" fontId="26" fillId="0" borderId="0" xfId="6" applyFont="1"/>
    <xf numFmtId="0" fontId="27" fillId="0" borderId="0" xfId="6" applyFont="1"/>
    <xf numFmtId="0" fontId="2" fillId="0" borderId="0" xfId="6" applyAlignment="1">
      <alignment horizontal="left" vertical="center" wrapText="1"/>
    </xf>
    <xf numFmtId="0" fontId="26" fillId="0" borderId="0" xfId="6" applyFont="1" applyAlignment="1">
      <alignment horizontal="left" vertical="center" wrapText="1"/>
    </xf>
    <xf numFmtId="0" fontId="21" fillId="0" borderId="0" xfId="6" applyFont="1"/>
    <xf numFmtId="0" fontId="21" fillId="0" borderId="0" xfId="6" applyFont="1" applyAlignment="1">
      <alignment horizontal="right"/>
    </xf>
    <xf numFmtId="2" fontId="2" fillId="0" borderId="0" xfId="6" applyNumberFormat="1"/>
    <xf numFmtId="2" fontId="28" fillId="0" borderId="0" xfId="6" applyNumberFormat="1" applyFont="1" applyAlignment="1">
      <alignment horizontal="center" vertical="center"/>
    </xf>
    <xf numFmtId="2" fontId="28" fillId="0" borderId="0" xfId="6" applyNumberFormat="1" applyFont="1" applyAlignment="1">
      <alignment horizontal="right" vertical="center"/>
    </xf>
    <xf numFmtId="2" fontId="29" fillId="0" borderId="0" xfId="6" applyNumberFormat="1" applyFont="1" applyAlignment="1">
      <alignment horizontal="center" vertical="center"/>
    </xf>
    <xf numFmtId="164" fontId="30" fillId="0" borderId="0" xfId="6" applyNumberFormat="1" applyFont="1" applyAlignment="1">
      <alignment horizontal="center" vertical="center"/>
    </xf>
    <xf numFmtId="0" fontId="31" fillId="0" borderId="0" xfId="6" applyFont="1" applyAlignment="1">
      <alignment horizontal="center" vertical="center"/>
    </xf>
    <xf numFmtId="2" fontId="29" fillId="0" borderId="30" xfId="6" applyNumberFormat="1" applyFont="1" applyBorder="1" applyAlignment="1">
      <alignment horizontal="center" vertical="center"/>
    </xf>
    <xf numFmtId="2" fontId="32" fillId="0" borderId="31" xfId="6" applyNumberFormat="1" applyFont="1" applyBorder="1" applyAlignment="1">
      <alignment horizontal="center" vertical="center"/>
    </xf>
    <xf numFmtId="2" fontId="33" fillId="0" borderId="32" xfId="6" applyNumberFormat="1" applyFont="1" applyBorder="1" applyAlignment="1">
      <alignment horizontal="center" vertical="center"/>
    </xf>
    <xf numFmtId="2" fontId="29" fillId="0" borderId="33" xfId="6" applyNumberFormat="1" applyFont="1" applyBorder="1" applyAlignment="1">
      <alignment horizontal="center" vertical="center"/>
    </xf>
    <xf numFmtId="0" fontId="31" fillId="0" borderId="33" xfId="6" applyFont="1" applyBorder="1" applyAlignment="1">
      <alignment horizontal="center" vertical="center"/>
    </xf>
    <xf numFmtId="2" fontId="29" fillId="0" borderId="34" xfId="6" applyNumberFormat="1" applyFont="1" applyBorder="1" applyAlignment="1">
      <alignment horizontal="center" vertical="center"/>
    </xf>
    <xf numFmtId="167" fontId="31" fillId="0" borderId="33" xfId="6" applyNumberFormat="1" applyFont="1" applyBorder="1" applyAlignment="1">
      <alignment horizontal="center" vertical="center"/>
    </xf>
    <xf numFmtId="0" fontId="34" fillId="0" borderId="0" xfId="6" applyFont="1" applyAlignment="1">
      <alignment horizontal="center" wrapText="1"/>
    </xf>
    <xf numFmtId="0" fontId="34" fillId="0" borderId="35" xfId="6" applyFont="1" applyBorder="1" applyAlignment="1">
      <alignment horizontal="center" wrapText="1"/>
    </xf>
    <xf numFmtId="0" fontId="35" fillId="0" borderId="35" xfId="6" applyFont="1" applyBorder="1" applyAlignment="1">
      <alignment horizontal="center" wrapText="1"/>
    </xf>
    <xf numFmtId="0" fontId="36" fillId="0" borderId="35" xfId="6" applyFont="1" applyBorder="1" applyAlignment="1">
      <alignment horizontal="center" wrapText="1"/>
    </xf>
    <xf numFmtId="0" fontId="36" fillId="0" borderId="35" xfId="6" applyFont="1" applyBorder="1" applyAlignment="1">
      <alignment horizontal="center" vertical="center" wrapText="1"/>
    </xf>
    <xf numFmtId="0" fontId="36" fillId="0" borderId="0" xfId="6" applyFont="1" applyAlignment="1">
      <alignment horizontal="center" wrapText="1"/>
    </xf>
    <xf numFmtId="0" fontId="2" fillId="0" borderId="0" xfId="6" applyAlignment="1">
      <alignment vertical="center" wrapText="1"/>
    </xf>
    <xf numFmtId="0" fontId="2" fillId="0" borderId="0" xfId="6" applyAlignment="1">
      <alignment vertical="center" wrapText="1"/>
    </xf>
    <xf numFmtId="0" fontId="5" fillId="0" borderId="0" xfId="6" applyFont="1" applyAlignment="1">
      <alignment horizontal="center"/>
    </xf>
    <xf numFmtId="15" fontId="5" fillId="0" borderId="0" xfId="6" applyNumberFormat="1" applyFont="1" applyAlignment="1">
      <alignment horizontal="center"/>
    </xf>
    <xf numFmtId="0" fontId="2" fillId="0" borderId="0" xfId="6" applyAlignment="1">
      <alignment wrapText="1"/>
    </xf>
    <xf numFmtId="0" fontId="37" fillId="0" borderId="0" xfId="6" applyFont="1"/>
    <xf numFmtId="0" fontId="38" fillId="0" borderId="0" xfId="6" applyFont="1" applyAlignment="1">
      <alignment horizontal="center"/>
    </xf>
    <xf numFmtId="0" fontId="39" fillId="0" borderId="0" xfId="6" applyFont="1" applyAlignment="1">
      <alignment horizontal="right"/>
    </xf>
    <xf numFmtId="0" fontId="40" fillId="0" borderId="0" xfId="6" applyFont="1"/>
    <xf numFmtId="0" fontId="41" fillId="0" borderId="0" xfId="6" applyFont="1"/>
    <xf numFmtId="0" fontId="42" fillId="0" borderId="0" xfId="6" applyFont="1"/>
    <xf numFmtId="0" fontId="43" fillId="0" borderId="0" xfId="6" applyFont="1"/>
    <xf numFmtId="0" fontId="39" fillId="0" borderId="0" xfId="6" applyFont="1"/>
    <xf numFmtId="0" fontId="1" fillId="0" borderId="0" xfId="6" applyFont="1"/>
    <xf numFmtId="2" fontId="45" fillId="5" borderId="22" xfId="6" applyNumberFormat="1" applyFont="1" applyFill="1" applyBorder="1" applyAlignment="1">
      <alignment horizontal="center" vertical="center"/>
    </xf>
    <xf numFmtId="2" fontId="45" fillId="5" borderId="23" xfId="6" applyNumberFormat="1" applyFont="1" applyFill="1" applyBorder="1" applyAlignment="1">
      <alignment horizontal="center" vertical="center"/>
    </xf>
    <xf numFmtId="2" fontId="15" fillId="0" borderId="36" xfId="6" applyNumberFormat="1" applyFont="1" applyBorder="1" applyAlignment="1">
      <alignment horizontal="center" vertical="center"/>
    </xf>
    <xf numFmtId="2" fontId="45" fillId="0" borderId="20" xfId="6" applyNumberFormat="1" applyFont="1" applyBorder="1" applyAlignment="1">
      <alignment horizontal="center" vertical="center"/>
    </xf>
    <xf numFmtId="2" fontId="45" fillId="0" borderId="22" xfId="6" applyNumberFormat="1" applyFont="1" applyBorder="1" applyAlignment="1">
      <alignment horizontal="center" vertical="center"/>
    </xf>
    <xf numFmtId="167" fontId="46" fillId="0" borderId="23" xfId="6" applyNumberFormat="1" applyFont="1" applyBorder="1" applyAlignment="1">
      <alignment horizontal="left" vertical="center"/>
    </xf>
    <xf numFmtId="167" fontId="15" fillId="0" borderId="20" xfId="6" applyNumberFormat="1" applyFont="1" applyBorder="1" applyAlignment="1">
      <alignment horizontal="right" vertical="center"/>
    </xf>
    <xf numFmtId="0" fontId="47" fillId="5" borderId="0" xfId="6" applyFont="1" applyFill="1" applyAlignment="1">
      <alignment horizontal="center" wrapText="1"/>
    </xf>
    <xf numFmtId="0" fontId="4" fillId="0" borderId="0" xfId="6" applyFont="1" applyAlignment="1">
      <alignment horizontal="center" wrapText="1"/>
    </xf>
    <xf numFmtId="0" fontId="47" fillId="0" borderId="0" xfId="6" applyFont="1" applyAlignment="1">
      <alignment horizontal="center" wrapText="1"/>
    </xf>
    <xf numFmtId="0" fontId="4" fillId="0" borderId="0" xfId="6" applyFont="1" applyAlignment="1">
      <alignment horizontal="center"/>
    </xf>
    <xf numFmtId="0" fontId="15" fillId="5" borderId="0" xfId="6" applyFont="1" applyFill="1" applyAlignment="1">
      <alignment horizontal="centerContinuous" wrapText="1"/>
    </xf>
    <xf numFmtId="0" fontId="47" fillId="0" borderId="0" xfId="6" applyFont="1" applyAlignment="1">
      <alignment horizontal="center"/>
    </xf>
    <xf numFmtId="0" fontId="1" fillId="0" borderId="0" xfId="6" applyFont="1" applyAlignment="1">
      <alignment horizontal="right"/>
    </xf>
    <xf numFmtId="0" fontId="24" fillId="0" borderId="0" xfId="6" applyFont="1" applyAlignment="1">
      <alignment horizontal="left" wrapText="1"/>
    </xf>
    <xf numFmtId="0" fontId="47" fillId="0" borderId="0" xfId="6" applyFont="1" applyAlignment="1">
      <alignment horizontal="left" wrapText="1"/>
    </xf>
    <xf numFmtId="0" fontId="1" fillId="0" borderId="0" xfId="6" applyFont="1" applyAlignment="1">
      <alignment horizontal="center" wrapText="1"/>
    </xf>
    <xf numFmtId="0" fontId="49" fillId="0" borderId="0" xfId="6" applyFont="1" applyAlignment="1">
      <alignment horizontal="center" wrapText="1"/>
    </xf>
    <xf numFmtId="16" fontId="1" fillId="0" borderId="0" xfId="6" applyNumberFormat="1" applyFont="1" applyAlignment="1">
      <alignment horizontal="center" wrapText="1"/>
    </xf>
    <xf numFmtId="0" fontId="4" fillId="0" borderId="0" xfId="6" applyFont="1" applyAlignment="1">
      <alignment horizontal="right"/>
    </xf>
    <xf numFmtId="2" fontId="1" fillId="0" borderId="0" xfId="6" applyNumberFormat="1" applyFont="1" applyAlignment="1">
      <alignment horizontal="center" vertical="center"/>
    </xf>
    <xf numFmtId="167" fontId="46" fillId="0" borderId="0" xfId="6" applyNumberFormat="1" applyFont="1" applyAlignment="1">
      <alignment horizontal="left" vertical="center"/>
    </xf>
    <xf numFmtId="167" fontId="15" fillId="0" borderId="0" xfId="6" applyNumberFormat="1" applyFont="1" applyAlignment="1">
      <alignment horizontal="right" vertical="center"/>
    </xf>
    <xf numFmtId="2" fontId="50" fillId="6" borderId="0" xfId="6" applyNumberFormat="1" applyFont="1" applyFill="1" applyAlignment="1">
      <alignment horizontal="center" vertical="center" wrapText="1"/>
    </xf>
    <xf numFmtId="2" fontId="1" fillId="0" borderId="0" xfId="6" applyNumberFormat="1" applyFont="1"/>
    <xf numFmtId="0" fontId="2" fillId="0" borderId="0" xfId="6" applyAlignment="1">
      <alignment horizontal="center" vertical="top" wrapText="1"/>
    </xf>
    <xf numFmtId="0" fontId="24" fillId="0" borderId="0" xfId="6" applyFont="1" applyAlignment="1">
      <alignment horizontal="left" wrapText="1"/>
    </xf>
    <xf numFmtId="0" fontId="19" fillId="0" borderId="0" xfId="6" applyFont="1" applyAlignment="1">
      <alignment horizontal="left" wrapText="1"/>
    </xf>
    <xf numFmtId="0" fontId="51" fillId="0" borderId="0" xfId="6" applyFont="1" applyAlignment="1">
      <alignment horizontal="left" wrapText="1"/>
    </xf>
    <xf numFmtId="16" fontId="4" fillId="0" borderId="0" xfId="6" applyNumberFormat="1" applyFont="1" applyAlignment="1">
      <alignment horizontal="center" wrapText="1"/>
    </xf>
    <xf numFmtId="0" fontId="51" fillId="0" borderId="0" xfId="6" applyFont="1" applyAlignment="1">
      <alignment horizontal="center" vertical="top" wrapText="1"/>
    </xf>
    <xf numFmtId="0" fontId="18" fillId="0" borderId="0" xfId="6" applyFont="1"/>
    <xf numFmtId="0" fontId="1" fillId="0" borderId="0" xfId="6" applyFont="1" applyAlignment="1">
      <alignment wrapText="1"/>
    </xf>
    <xf numFmtId="0" fontId="45" fillId="0" borderId="0" xfId="6" applyFont="1"/>
    <xf numFmtId="0" fontId="52" fillId="0" borderId="0" xfId="6" applyFont="1"/>
    <xf numFmtId="0" fontId="15" fillId="0" borderId="0" xfId="6" applyFont="1"/>
    <xf numFmtId="0" fontId="46" fillId="0" borderId="0" xfId="6" applyFont="1" applyAlignment="1">
      <alignment horizontal="right"/>
    </xf>
    <xf numFmtId="0" fontId="46" fillId="0" borderId="0" xfId="6" applyFont="1"/>
    <xf numFmtId="0" fontId="15" fillId="0" borderId="0" xfId="6" applyFont="1" applyAlignment="1">
      <alignment horizontal="right"/>
    </xf>
    <xf numFmtId="165" fontId="2" fillId="0" borderId="0" xfId="6" applyNumberFormat="1"/>
    <xf numFmtId="1" fontId="2" fillId="0" borderId="0" xfId="6" applyNumberFormat="1"/>
    <xf numFmtId="164" fontId="2" fillId="0" borderId="0" xfId="6" applyNumberFormat="1"/>
    <xf numFmtId="0" fontId="1" fillId="0" borderId="0" xfId="3"/>
  </cellXfs>
  <cellStyles count="9">
    <cellStyle name="Normal" xfId="0" builtinId="0"/>
    <cellStyle name="Normal 2" xfId="2" xr:uid="{3A69CC3C-8DA1-4CF4-867B-B43727D71D4D}"/>
    <cellStyle name="Normal 2 2" xfId="4" xr:uid="{258A2AA6-8E03-4FDD-B455-B6BA4D06FF40}"/>
    <cellStyle name="Normal 3" xfId="5" xr:uid="{E3EFB7CE-A939-4BF0-8A54-478EA3F467D0}"/>
    <cellStyle name="Normal 3 2" xfId="8" xr:uid="{307950DD-D4D0-4884-A81A-23EA50911EAE}"/>
    <cellStyle name="Normal 4" xfId="7" xr:uid="{1E07BD5D-27B0-4EC4-AB28-F18321417FF5}"/>
    <cellStyle name="Normal 5" xfId="6" xr:uid="{7F1073E2-3D7B-4B47-838C-C9D8F0845388}"/>
    <cellStyle name="Normal 6" xfId="3" xr:uid="{5E839790-0AF2-4637-9DED-AD6F599BDF18}"/>
    <cellStyle name="Normal 7" xfId="1" xr:uid="{478CEDD3-080B-463E-BF99-14BE5A334E4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DFWAH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"1:1"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Compare!$N$5:$N$6</c:f>
              <c:numCache>
                <c:formatCode>General</c:formatCode>
                <c:ptCount val="2"/>
                <c:pt idx="0">
                  <c:v>0</c:v>
                </c:pt>
                <c:pt idx="1">
                  <c:v>4500</c:v>
                </c:pt>
              </c:numCache>
            </c:numRef>
          </c:xVal>
          <c:yVal>
            <c:numRef>
              <c:f>Compare!$N$5:$N$6</c:f>
              <c:numCache>
                <c:formatCode>General</c:formatCode>
                <c:ptCount val="2"/>
                <c:pt idx="0">
                  <c:v>0</c:v>
                </c:pt>
                <c:pt idx="1">
                  <c:v>4500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96-4DFE-B1F2-800EBEFAF6F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Compare!$B$6:$B$105</c:f>
              <c:numCache>
                <c:formatCode>0</c:formatCode>
                <c:ptCount val="100"/>
                <c:pt idx="0">
                  <c:v>2236.0498401313334</c:v>
                </c:pt>
                <c:pt idx="1">
                  <c:v>2367.0735530551187</c:v>
                </c:pt>
                <c:pt idx="2">
                  <c:v>2282.1457275704515</c:v>
                </c:pt>
                <c:pt idx="3">
                  <c:v>2167.6899134567107</c:v>
                </c:pt>
                <c:pt idx="4">
                  <c:v>2266.1918258529918</c:v>
                </c:pt>
                <c:pt idx="5">
                  <c:v>2405.5217215822945</c:v>
                </c:pt>
                <c:pt idx="6">
                  <c:v>2180.9050591122996</c:v>
                </c:pt>
                <c:pt idx="7">
                  <c:v>2355.391065852014</c:v>
                </c:pt>
                <c:pt idx="8">
                  <c:v>2273.4883339121689</c:v>
                </c:pt>
                <c:pt idx="9">
                  <c:v>1916.9289342769055</c:v>
                </c:pt>
                <c:pt idx="10">
                  <c:v>2314.7305813462985</c:v>
                </c:pt>
                <c:pt idx="11">
                  <c:v>2418.8378102624438</c:v>
                </c:pt>
                <c:pt idx="12">
                  <c:v>2467.3329530499536</c:v>
                </c:pt>
                <c:pt idx="13">
                  <c:v>2333.1291724447165</c:v>
                </c:pt>
                <c:pt idx="14">
                  <c:v>2483.1357353325648</c:v>
                </c:pt>
                <c:pt idx="15">
                  <c:v>2403.6613352317831</c:v>
                </c:pt>
                <c:pt idx="16">
                  <c:v>2489.9029966244684</c:v>
                </c:pt>
                <c:pt idx="17">
                  <c:v>2467.496282249012</c:v>
                </c:pt>
                <c:pt idx="18">
                  <c:v>2390.3198851750844</c:v>
                </c:pt>
                <c:pt idx="19">
                  <c:v>1917.4230852882724</c:v>
                </c:pt>
                <c:pt idx="20">
                  <c:v>2127.8132319247243</c:v>
                </c:pt>
                <c:pt idx="21">
                  <c:v>2391.6858159168733</c:v>
                </c:pt>
                <c:pt idx="22">
                  <c:v>2476.8754167955949</c:v>
                </c:pt>
                <c:pt idx="23">
                  <c:v>2360.04580503027</c:v>
                </c:pt>
                <c:pt idx="24">
                  <c:v>2172.3705522819282</c:v>
                </c:pt>
                <c:pt idx="25">
                  <c:v>2124.5407878007445</c:v>
                </c:pt>
                <c:pt idx="26">
                  <c:v>2396.4123494995883</c:v>
                </c:pt>
                <c:pt idx="27">
                  <c:v>2553.529005473652</c:v>
                </c:pt>
                <c:pt idx="28">
                  <c:v>2205.8266436346144</c:v>
                </c:pt>
                <c:pt idx="29">
                  <c:v>2008.7930901237182</c:v>
                </c:pt>
                <c:pt idx="30">
                  <c:v>2062.2471758666393</c:v>
                </c:pt>
                <c:pt idx="31">
                  <c:v>2304.105146117623</c:v>
                </c:pt>
                <c:pt idx="32">
                  <c:v>2376.090574618986</c:v>
                </c:pt>
                <c:pt idx="33">
                  <c:v>2192.6068024965571</c:v>
                </c:pt>
                <c:pt idx="34">
                  <c:v>2262.6540043956516</c:v>
                </c:pt>
                <c:pt idx="35">
                  <c:v>2420.2509479531045</c:v>
                </c:pt>
                <c:pt idx="36">
                  <c:v>2385.5237119041326</c:v>
                </c:pt>
                <c:pt idx="37">
                  <c:v>2368.9608407747792</c:v>
                </c:pt>
                <c:pt idx="38">
                  <c:v>1868.1030089348037</c:v>
                </c:pt>
                <c:pt idx="39">
                  <c:v>1635.0316106854757</c:v>
                </c:pt>
                <c:pt idx="40">
                  <c:v>1421.2087746548375</c:v>
                </c:pt>
                <c:pt idx="41">
                  <c:v>1235.1029725384876</c:v>
                </c:pt>
                <c:pt idx="42">
                  <c:v>1622.5800606302323</c:v>
                </c:pt>
                <c:pt idx="43">
                  <c:v>1555.4183305181186</c:v>
                </c:pt>
                <c:pt idx="44">
                  <c:v>1220.2978468087226</c:v>
                </c:pt>
                <c:pt idx="45">
                  <c:v>1298.2959628328008</c:v>
                </c:pt>
                <c:pt idx="46">
                  <c:v>1427.087655580774</c:v>
                </c:pt>
                <c:pt idx="47">
                  <c:v>1439.8919352497653</c:v>
                </c:pt>
                <c:pt idx="48">
                  <c:v>1220.9427068375674</c:v>
                </c:pt>
                <c:pt idx="49">
                  <c:v>998.40690097911272</c:v>
                </c:pt>
                <c:pt idx="50">
                  <c:v>2193.2477748133615</c:v>
                </c:pt>
                <c:pt idx="51">
                  <c:v>2388.3080114424029</c:v>
                </c:pt>
                <c:pt idx="52">
                  <c:v>2455.5541875864142</c:v>
                </c:pt>
                <c:pt idx="53">
                  <c:v>2415.2461388595452</c:v>
                </c:pt>
                <c:pt idx="54">
                  <c:v>2152.1563468867907</c:v>
                </c:pt>
                <c:pt idx="55">
                  <c:v>2471.2768421375558</c:v>
                </c:pt>
                <c:pt idx="56">
                  <c:v>2378.9847746998184</c:v>
                </c:pt>
                <c:pt idx="57">
                  <c:v>2218.0616216832541</c:v>
                </c:pt>
                <c:pt idx="58">
                  <c:v>2300.9389981087124</c:v>
                </c:pt>
                <c:pt idx="59">
                  <c:v>1883.7642803426825</c:v>
                </c:pt>
                <c:pt idx="60">
                  <c:v>2259.2871616077423</c:v>
                </c:pt>
                <c:pt idx="61">
                  <c:v>2314.4299507661553</c:v>
                </c:pt>
                <c:pt idx="62">
                  <c:v>2150.2349407684924</c:v>
                </c:pt>
                <c:pt idx="63">
                  <c:v>2213.2226589883339</c:v>
                </c:pt>
                <c:pt idx="64">
                  <c:v>2252.9644060530704</c:v>
                </c:pt>
                <c:pt idx="65">
                  <c:v>2298.9749113097523</c:v>
                </c:pt>
                <c:pt idx="66">
                  <c:v>2241.9969817055894</c:v>
                </c:pt>
                <c:pt idx="67">
                  <c:v>2346.9765973535091</c:v>
                </c:pt>
                <c:pt idx="68">
                  <c:v>2161.635231398755</c:v>
                </c:pt>
                <c:pt idx="69">
                  <c:v>1721.6918085954317</c:v>
                </c:pt>
                <c:pt idx="70">
                  <c:v>1907.5858690794184</c:v>
                </c:pt>
                <c:pt idx="71">
                  <c:v>2274.1027547870417</c:v>
                </c:pt>
                <c:pt idx="72">
                  <c:v>2212.7667807834227</c:v>
                </c:pt>
                <c:pt idx="73">
                  <c:v>2647.7691764912247</c:v>
                </c:pt>
                <c:pt idx="74">
                  <c:v>1718.6943113542045</c:v>
                </c:pt>
                <c:pt idx="75">
                  <c:v>2278.2045250044557</c:v>
                </c:pt>
                <c:pt idx="76">
                  <c:v>2312.4493464718776</c:v>
                </c:pt>
                <c:pt idx="77">
                  <c:v>1998.3341659647967</c:v>
                </c:pt>
                <c:pt idx="78">
                  <c:v>2104.1213469437039</c:v>
                </c:pt>
                <c:pt idx="79">
                  <c:v>1215.0815953066051</c:v>
                </c:pt>
                <c:pt idx="80">
                  <c:v>1822.6928831602124</c:v>
                </c:pt>
                <c:pt idx="81">
                  <c:v>2073.3621173355423</c:v>
                </c:pt>
                <c:pt idx="82">
                  <c:v>2170.3322890557729</c:v>
                </c:pt>
                <c:pt idx="83">
                  <c:v>2303.5688633555478</c:v>
                </c:pt>
                <c:pt idx="84">
                  <c:v>2262.3788568694526</c:v>
                </c:pt>
                <c:pt idx="85">
                  <c:v>2154.3911574817239</c:v>
                </c:pt>
                <c:pt idx="86">
                  <c:v>2134.3111367180395</c:v>
                </c:pt>
                <c:pt idx="87">
                  <c:v>2230.1238607746554</c:v>
                </c:pt>
                <c:pt idx="88">
                  <c:v>1720.9438843220464</c:v>
                </c:pt>
                <c:pt idx="89">
                  <c:v>1375.5849693550256</c:v>
                </c:pt>
                <c:pt idx="90">
                  <c:v>894.21009389271228</c:v>
                </c:pt>
                <c:pt idx="91">
                  <c:v>739.16062161664036</c:v>
                </c:pt>
                <c:pt idx="92">
                  <c:v>1135.1492522537287</c:v>
                </c:pt>
                <c:pt idx="93">
                  <c:v>1398.0220328414428</c:v>
                </c:pt>
                <c:pt idx="94">
                  <c:v>1178.5947614580118</c:v>
                </c:pt>
                <c:pt idx="95">
                  <c:v>893.44774823716534</c:v>
                </c:pt>
                <c:pt idx="96">
                  <c:v>731.43302795683326</c:v>
                </c:pt>
                <c:pt idx="97">
                  <c:v>1011.6055255130256</c:v>
                </c:pt>
                <c:pt idx="98">
                  <c:v>806.86671294798441</c:v>
                </c:pt>
                <c:pt idx="99">
                  <c:v>590.81980042004147</c:v>
                </c:pt>
              </c:numCache>
            </c:numRef>
          </c:xVal>
          <c:yVal>
            <c:numRef>
              <c:f>'Raw Scale'!$X$40:$X$139</c:f>
              <c:numCache>
                <c:formatCode>0.0</c:formatCode>
                <c:ptCount val="100"/>
                <c:pt idx="0">
                  <c:v>2235.905202717865</c:v>
                </c:pt>
                <c:pt idx="1">
                  <c:v>2366.9204404589423</c:v>
                </c:pt>
                <c:pt idx="2">
                  <c:v>2281.9981084748174</c:v>
                </c:pt>
                <c:pt idx="3">
                  <c:v>2167.5496978601454</c:v>
                </c:pt>
                <c:pt idx="4">
                  <c:v>2266.0452387249993</c:v>
                </c:pt>
                <c:pt idx="5">
                  <c:v>2405.3661219916207</c:v>
                </c:pt>
                <c:pt idx="6">
                  <c:v>2180.7639887027276</c:v>
                </c:pt>
                <c:pt idx="7">
                  <c:v>2355.23870892984</c:v>
                </c:pt>
                <c:pt idx="8">
                  <c:v>2273.3412748143496</c:v>
                </c:pt>
                <c:pt idx="9">
                  <c:v>1966.2556806586358</c:v>
                </c:pt>
                <c:pt idx="10">
                  <c:v>2314.5808545208256</c:v>
                </c:pt>
                <c:pt idx="11">
                  <c:v>2418.6813493293303</c:v>
                </c:pt>
                <c:pt idx="12">
                  <c:v>2467.1733552404198</c:v>
                </c:pt>
                <c:pt idx="13">
                  <c:v>2332.9782555184784</c:v>
                </c:pt>
                <c:pt idx="14">
                  <c:v>2482.975115330451</c:v>
                </c:pt>
                <c:pt idx="15">
                  <c:v>2403.5058559789773</c:v>
                </c:pt>
                <c:pt idx="16">
                  <c:v>2489.7419388865083</c:v>
                </c:pt>
                <c:pt idx="17">
                  <c:v>2467.3366738746358</c:v>
                </c:pt>
                <c:pt idx="18">
                  <c:v>2390.1652689052021</c:v>
                </c:pt>
                <c:pt idx="19">
                  <c:v>1917.2990580369099</c:v>
                </c:pt>
                <c:pt idx="20">
                  <c:v>2127.6755957250807</c:v>
                </c:pt>
                <c:pt idx="21">
                  <c:v>2391.5311112926593</c:v>
                </c:pt>
                <c:pt idx="22">
                  <c:v>2476.7152017380695</c:v>
                </c:pt>
                <c:pt idx="23">
                  <c:v>2359.8931470193529</c:v>
                </c:pt>
                <c:pt idx="24">
                  <c:v>2172.2300339213189</c:v>
                </c:pt>
                <c:pt idx="25">
                  <c:v>2124.403363276997</c:v>
                </c:pt>
                <c:pt idx="26">
                  <c:v>2396.2573391426567</c:v>
                </c:pt>
                <c:pt idx="27">
                  <c:v>2553.363832129151</c:v>
                </c:pt>
                <c:pt idx="28">
                  <c:v>2205.6839611887367</c:v>
                </c:pt>
                <c:pt idx="29">
                  <c:v>2008.6631526636788</c:v>
                </c:pt>
                <c:pt idx="30">
                  <c:v>2062.1137807642158</c:v>
                </c:pt>
                <c:pt idx="31">
                  <c:v>2303.9561065914413</c:v>
                </c:pt>
                <c:pt idx="32">
                  <c:v>2375.9368787626986</c:v>
                </c:pt>
                <c:pt idx="33">
                  <c:v>2192.4649751674096</c:v>
                </c:pt>
                <c:pt idx="34">
                  <c:v>2262.5076461093136</c:v>
                </c:pt>
                <c:pt idx="35">
                  <c:v>2420.0943956121087</c:v>
                </c:pt>
                <c:pt idx="36">
                  <c:v>2385.3694058715641</c:v>
                </c:pt>
                <c:pt idx="37">
                  <c:v>2368.8076061006373</c:v>
                </c:pt>
                <c:pt idx="38">
                  <c:v>1867.9821719201475</c:v>
                </c:pt>
                <c:pt idx="39">
                  <c:v>1634.9258497409458</c:v>
                </c:pt>
                <c:pt idx="40">
                  <c:v>1421.1168446998454</c:v>
                </c:pt>
                <c:pt idx="41">
                  <c:v>1235.023080714921</c:v>
                </c:pt>
                <c:pt idx="42">
                  <c:v>1622.47510510603</c:v>
                </c:pt>
                <c:pt idx="43">
                  <c:v>1555.3177193062625</c:v>
                </c:pt>
                <c:pt idx="44">
                  <c:v>1220.2189126449773</c:v>
                </c:pt>
                <c:pt idx="45">
                  <c:v>1298.2119834122125</c:v>
                </c:pt>
                <c:pt idx="46">
                  <c:v>1426.9953453542346</c:v>
                </c:pt>
                <c:pt idx="47">
                  <c:v>1439.7987967868164</c:v>
                </c:pt>
                <c:pt idx="48">
                  <c:v>1220.8637309614753</c:v>
                </c:pt>
                <c:pt idx="49">
                  <c:v>998.34231968528161</c:v>
                </c:pt>
                <c:pt idx="50">
                  <c:v>2193.105906023341</c:v>
                </c:pt>
                <c:pt idx="51">
                  <c:v>2388.1535253092493</c:v>
                </c:pt>
                <c:pt idx="52">
                  <c:v>2455.3953516785787</c:v>
                </c:pt>
                <c:pt idx="53">
                  <c:v>2415.0899102513345</c:v>
                </c:pt>
                <c:pt idx="54">
                  <c:v>2152.0171360687641</c:v>
                </c:pt>
                <c:pt idx="55">
                  <c:v>2471.1169892201501</c:v>
                </c:pt>
                <c:pt idx="56">
                  <c:v>2378.8308916341025</c:v>
                </c:pt>
                <c:pt idx="57">
                  <c:v>2217.918147825867</c:v>
                </c:pt>
                <c:pt idx="58">
                  <c:v>2300.7901633827319</c:v>
                </c:pt>
                <c:pt idx="59">
                  <c:v>1883.6424302889841</c:v>
                </c:pt>
                <c:pt idx="60">
                  <c:v>2259.1410211034158</c:v>
                </c:pt>
                <c:pt idx="61">
                  <c:v>2314.2802433867741</c:v>
                </c:pt>
                <c:pt idx="62">
                  <c:v>2150.0958542353574</c:v>
                </c:pt>
                <c:pt idx="63">
                  <c:v>2213.0794981360664</c:v>
                </c:pt>
                <c:pt idx="64">
                  <c:v>2252.8186745320286</c:v>
                </c:pt>
                <c:pt idx="65">
                  <c:v>2298.826203629435</c:v>
                </c:pt>
                <c:pt idx="66">
                  <c:v>2241.8519596051806</c:v>
                </c:pt>
                <c:pt idx="67">
                  <c:v>2346.8247847156963</c:v>
                </c:pt>
                <c:pt idx="68">
                  <c:v>2161.4954074453176</c:v>
                </c:pt>
                <c:pt idx="69">
                  <c:v>1721.5804420929887</c:v>
                </c:pt>
                <c:pt idx="70">
                  <c:v>1907.4624781419182</c:v>
                </c:pt>
                <c:pt idx="71">
                  <c:v>2273.9556559458124</c:v>
                </c:pt>
                <c:pt idx="72">
                  <c:v>2212.6236494193367</c:v>
                </c:pt>
                <c:pt idx="73">
                  <c:v>2647.5979072832338</c:v>
                </c:pt>
                <c:pt idx="74">
                  <c:v>1718.5831387428991</c:v>
                </c:pt>
                <c:pt idx="75">
                  <c:v>2278.0571608429173</c:v>
                </c:pt>
                <c:pt idx="76">
                  <c:v>2312.2997672065821</c:v>
                </c:pt>
                <c:pt idx="77">
                  <c:v>1998.2049050333894</c:v>
                </c:pt>
                <c:pt idx="78">
                  <c:v>2103.9852432380617</c:v>
                </c:pt>
                <c:pt idx="79">
                  <c:v>1215.002998552658</c:v>
                </c:pt>
                <c:pt idx="80">
                  <c:v>1822.5749834696803</c:v>
                </c:pt>
                <c:pt idx="81">
                  <c:v>2073.2280032704384</c:v>
                </c:pt>
                <c:pt idx="82">
                  <c:v>2170.1919025388797</c:v>
                </c:pt>
                <c:pt idx="83">
                  <c:v>2303.419858518464</c:v>
                </c:pt>
                <c:pt idx="84">
                  <c:v>2262.2325163808505</c:v>
                </c:pt>
                <c:pt idx="85">
                  <c:v>2154.2518021064434</c:v>
                </c:pt>
                <c:pt idx="86">
                  <c:v>2134.1730802056973</c:v>
                </c:pt>
                <c:pt idx="87">
                  <c:v>2229.979606679266</c:v>
                </c:pt>
                <c:pt idx="88">
                  <c:v>1720.8325661985934</c:v>
                </c:pt>
                <c:pt idx="89">
                  <c:v>1375.4959905458763</c:v>
                </c:pt>
                <c:pt idx="90">
                  <c:v>894.1522525008271</c:v>
                </c:pt>
                <c:pt idx="91">
                  <c:v>739.11280949790807</c:v>
                </c:pt>
                <c:pt idx="92">
                  <c:v>1135.0758258708279</c:v>
                </c:pt>
                <c:pt idx="93">
                  <c:v>1397.9316027055968</c:v>
                </c:pt>
                <c:pt idx="94">
                  <c:v>1178.5185248309183</c:v>
                </c:pt>
                <c:pt idx="95">
                  <c:v>893.38995615710746</c:v>
                </c:pt>
                <c:pt idx="96">
                  <c:v>731.38571569241492</c:v>
                </c:pt>
                <c:pt idx="97">
                  <c:v>1011.5400904748465</c:v>
                </c:pt>
                <c:pt idx="98">
                  <c:v>806.81452130525804</c:v>
                </c:pt>
                <c:pt idx="99">
                  <c:v>590.7815836297782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96-4DFE-B1F2-800EBEFAF6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8600384"/>
        <c:axId val="908601104"/>
      </c:scatterChart>
      <c:valAx>
        <c:axId val="9086003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01104"/>
        <c:crosses val="autoZero"/>
        <c:crossBetween val="midCat"/>
      </c:valAx>
      <c:valAx>
        <c:axId val="90860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00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DSWAH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"1:1"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Compare!$N$21:$N$22</c:f>
              <c:numCache>
                <c:formatCode>General</c:formatCode>
                <c:ptCount val="2"/>
                <c:pt idx="0">
                  <c:v>0</c:v>
                </c:pt>
                <c:pt idx="1">
                  <c:v>4500</c:v>
                </c:pt>
              </c:numCache>
            </c:numRef>
          </c:xVal>
          <c:yVal>
            <c:numRef>
              <c:f>Compare!$N$21:$N$22</c:f>
              <c:numCache>
                <c:formatCode>General</c:formatCode>
                <c:ptCount val="2"/>
                <c:pt idx="0">
                  <c:v>0</c:v>
                </c:pt>
                <c:pt idx="1">
                  <c:v>4500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39-406C-B5B2-709598322F21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Compare!$C$6:$C$105</c:f>
              <c:numCache>
                <c:formatCode>0</c:formatCode>
                <c:ptCount val="100"/>
                <c:pt idx="0">
                  <c:v>3229.849769078593</c:v>
                </c:pt>
                <c:pt idx="1">
                  <c:v>3514.7455787788131</c:v>
                </c:pt>
                <c:pt idx="2">
                  <c:v>3335.4437556798907</c:v>
                </c:pt>
                <c:pt idx="3">
                  <c:v>3311.7484788921965</c:v>
                </c:pt>
                <c:pt idx="4">
                  <c:v>3399.2877387794879</c:v>
                </c:pt>
                <c:pt idx="5">
                  <c:v>3515.7625161587375</c:v>
                </c:pt>
                <c:pt idx="6">
                  <c:v>3207.2133222239704</c:v>
                </c:pt>
                <c:pt idx="7">
                  <c:v>3580.1944200950611</c:v>
                </c:pt>
                <c:pt idx="8">
                  <c:v>3444.6792938063163</c:v>
                </c:pt>
                <c:pt idx="9">
                  <c:v>2928.6414273674945</c:v>
                </c:pt>
                <c:pt idx="10">
                  <c:v>3224.0890240180588</c:v>
                </c:pt>
                <c:pt idx="11">
                  <c:v>3493.8768370457533</c:v>
                </c:pt>
                <c:pt idx="12">
                  <c:v>3700.9994295749302</c:v>
                </c:pt>
                <c:pt idx="13">
                  <c:v>3589.4294960687944</c:v>
                </c:pt>
                <c:pt idx="14">
                  <c:v>3556.9241614223224</c:v>
                </c:pt>
                <c:pt idx="15">
                  <c:v>3605.4920028476749</c:v>
                </c:pt>
                <c:pt idx="16">
                  <c:v>3651.8577283825539</c:v>
                </c:pt>
                <c:pt idx="17">
                  <c:v>3663.8581160667145</c:v>
                </c:pt>
                <c:pt idx="18">
                  <c:v>3585.4798277626278</c:v>
                </c:pt>
                <c:pt idx="19">
                  <c:v>3013.0934197387146</c:v>
                </c:pt>
                <c:pt idx="20">
                  <c:v>3073.5080016690458</c:v>
                </c:pt>
                <c:pt idx="21">
                  <c:v>3495.5408078785076</c:v>
                </c:pt>
                <c:pt idx="22">
                  <c:v>3656.339900983975</c:v>
                </c:pt>
                <c:pt idx="23">
                  <c:v>3624.3560577250587</c:v>
                </c:pt>
                <c:pt idx="24">
                  <c:v>3258.5558284228923</c:v>
                </c:pt>
                <c:pt idx="25">
                  <c:v>3232.9968510011331</c:v>
                </c:pt>
                <c:pt idx="26">
                  <c:v>3642.5467712393743</c:v>
                </c:pt>
                <c:pt idx="27">
                  <c:v>3677.0817678820595</c:v>
                </c:pt>
                <c:pt idx="28">
                  <c:v>3400.6494089366979</c:v>
                </c:pt>
                <c:pt idx="29">
                  <c:v>2892.6620497781541</c:v>
                </c:pt>
                <c:pt idx="30">
                  <c:v>3093.3707637999591</c:v>
                </c:pt>
                <c:pt idx="31">
                  <c:v>3560.8897712726916</c:v>
                </c:pt>
                <c:pt idx="32">
                  <c:v>3648.9962395934426</c:v>
                </c:pt>
                <c:pt idx="33">
                  <c:v>3549.9348230896644</c:v>
                </c:pt>
                <c:pt idx="34">
                  <c:v>3348.7279265055645</c:v>
                </c:pt>
                <c:pt idx="35">
                  <c:v>3469.0263587327836</c:v>
                </c:pt>
                <c:pt idx="36">
                  <c:v>3578.2855678562</c:v>
                </c:pt>
                <c:pt idx="37">
                  <c:v>3512.5971087350172</c:v>
                </c:pt>
                <c:pt idx="38">
                  <c:v>2832.2852070947024</c:v>
                </c:pt>
                <c:pt idx="39">
                  <c:v>2603.9392318324249</c:v>
                </c:pt>
                <c:pt idx="40">
                  <c:v>2224.5006907640936</c:v>
                </c:pt>
                <c:pt idx="41">
                  <c:v>1852.6544588077315</c:v>
                </c:pt>
                <c:pt idx="42">
                  <c:v>2507.6237300649054</c:v>
                </c:pt>
                <c:pt idx="43">
                  <c:v>2413.5801680453565</c:v>
                </c:pt>
                <c:pt idx="44">
                  <c:v>1853.0448784873197</c:v>
                </c:pt>
                <c:pt idx="45">
                  <c:v>1947.4439442492007</c:v>
                </c:pt>
                <c:pt idx="46">
                  <c:v>2140.6314833711608</c:v>
                </c:pt>
                <c:pt idx="47">
                  <c:v>2191.1399014670342</c:v>
                </c:pt>
                <c:pt idx="48">
                  <c:v>1890.4919331678464</c:v>
                </c:pt>
                <c:pt idx="49">
                  <c:v>1516.0993681534676</c:v>
                </c:pt>
                <c:pt idx="50">
                  <c:v>3489.257823566712</c:v>
                </c:pt>
                <c:pt idx="51">
                  <c:v>3541.2842928283912</c:v>
                </c:pt>
                <c:pt idx="52">
                  <c:v>3683.3312813796229</c:v>
                </c:pt>
                <c:pt idx="53">
                  <c:v>3709.1279989628729</c:v>
                </c:pt>
                <c:pt idx="54">
                  <c:v>3407.5808825707522</c:v>
                </c:pt>
                <c:pt idx="55">
                  <c:v>3438.2982151479046</c:v>
                </c:pt>
                <c:pt idx="56">
                  <c:v>3568.4771620497277</c:v>
                </c:pt>
                <c:pt idx="57">
                  <c:v>3362.867619971385</c:v>
                </c:pt>
                <c:pt idx="58">
                  <c:v>3301.347258155979</c:v>
                </c:pt>
                <c:pt idx="59">
                  <c:v>2762.8542778359347</c:v>
                </c:pt>
                <c:pt idx="60">
                  <c:v>3427.8839693358855</c:v>
                </c:pt>
                <c:pt idx="61">
                  <c:v>3517.9335251645557</c:v>
                </c:pt>
                <c:pt idx="62">
                  <c:v>3404.5386562167796</c:v>
                </c:pt>
                <c:pt idx="63">
                  <c:v>3319.8339884825014</c:v>
                </c:pt>
                <c:pt idx="64">
                  <c:v>3421.1681721546629</c:v>
                </c:pt>
                <c:pt idx="65">
                  <c:v>3494.4418651908231</c:v>
                </c:pt>
                <c:pt idx="66">
                  <c:v>3324.3403521841501</c:v>
                </c:pt>
                <c:pt idx="67">
                  <c:v>3339.9282346953778</c:v>
                </c:pt>
                <c:pt idx="68">
                  <c:v>3340.7089939798952</c:v>
                </c:pt>
                <c:pt idx="69">
                  <c:v>2521.0487197290254</c:v>
                </c:pt>
                <c:pt idx="70">
                  <c:v>2997.6349371248011</c:v>
                </c:pt>
                <c:pt idx="71">
                  <c:v>3361.7171157721486</c:v>
                </c:pt>
                <c:pt idx="72">
                  <c:v>3442.0816589964361</c:v>
                </c:pt>
                <c:pt idx="73">
                  <c:v>3922.6210022092218</c:v>
                </c:pt>
                <c:pt idx="74">
                  <c:v>2690.1302264674505</c:v>
                </c:pt>
                <c:pt idx="75">
                  <c:v>3417.306787506684</c:v>
                </c:pt>
                <c:pt idx="76">
                  <c:v>3468.6740197078157</c:v>
                </c:pt>
                <c:pt idx="77">
                  <c:v>2997.5012489471951</c:v>
                </c:pt>
                <c:pt idx="78">
                  <c:v>3261.3880877627421</c:v>
                </c:pt>
                <c:pt idx="79">
                  <c:v>1801.6727102822074</c:v>
                </c:pt>
                <c:pt idx="80">
                  <c:v>2809.9848615386618</c:v>
                </c:pt>
                <c:pt idx="81">
                  <c:v>3335.4086235397858</c:v>
                </c:pt>
                <c:pt idx="82">
                  <c:v>3385.7183709270053</c:v>
                </c:pt>
                <c:pt idx="83">
                  <c:v>3551.3353310064699</c:v>
                </c:pt>
                <c:pt idx="84">
                  <c:v>3393.5682853041785</c:v>
                </c:pt>
                <c:pt idx="85">
                  <c:v>3314.4479345872678</c:v>
                </c:pt>
                <c:pt idx="86">
                  <c:v>3329.5253732801416</c:v>
                </c:pt>
                <c:pt idx="87">
                  <c:v>3345.1857911619836</c:v>
                </c:pt>
                <c:pt idx="88">
                  <c:v>2581.4158264830703</c:v>
                </c:pt>
                <c:pt idx="89">
                  <c:v>2250.9572225809511</c:v>
                </c:pt>
                <c:pt idx="90">
                  <c:v>1362.6058573603236</c:v>
                </c:pt>
                <c:pt idx="91">
                  <c:v>1126.3399948444046</c:v>
                </c:pt>
                <c:pt idx="92">
                  <c:v>1837.8606941250848</c:v>
                </c:pt>
                <c:pt idx="93">
                  <c:v>2097.0330492621638</c:v>
                </c:pt>
                <c:pt idx="94">
                  <c:v>1744.3202469578575</c:v>
                </c:pt>
                <c:pt idx="95">
                  <c:v>1398.4399537625197</c:v>
                </c:pt>
                <c:pt idx="96">
                  <c:v>1144.8516959324347</c:v>
                </c:pt>
                <c:pt idx="97">
                  <c:v>1498.6748526118899</c:v>
                </c:pt>
                <c:pt idx="98">
                  <c:v>1210.3000694219766</c:v>
                </c:pt>
                <c:pt idx="99">
                  <c:v>886.2297006300621</c:v>
                </c:pt>
              </c:numCache>
            </c:numRef>
          </c:xVal>
          <c:yVal>
            <c:numRef>
              <c:f>'Raw Scale'!$Y$40:$Y$139</c:f>
              <c:numCache>
                <c:formatCode>0.0</c:formatCode>
                <c:ptCount val="100"/>
                <c:pt idx="0">
                  <c:v>3229.6408483702503</c:v>
                </c:pt>
                <c:pt idx="1">
                  <c:v>3514.5182297723691</c:v>
                </c:pt>
                <c:pt idx="2">
                  <c:v>3335.2280046939636</c:v>
                </c:pt>
                <c:pt idx="3">
                  <c:v>3311.5342606196668</c:v>
                </c:pt>
                <c:pt idx="4">
                  <c:v>3399.0678580874983</c:v>
                </c:pt>
                <c:pt idx="5">
                  <c:v>3515.5351013723689</c:v>
                </c:pt>
                <c:pt idx="6">
                  <c:v>3207.0058657393056</c:v>
                </c:pt>
                <c:pt idx="7">
                  <c:v>3579.9628375733564</c:v>
                </c:pt>
                <c:pt idx="8">
                  <c:v>3444.45647699144</c:v>
                </c:pt>
                <c:pt idx="9">
                  <c:v>3004.0017343395825</c:v>
                </c:pt>
                <c:pt idx="10">
                  <c:v>3223.8804759397217</c:v>
                </c:pt>
                <c:pt idx="11">
                  <c:v>3493.6508379201446</c:v>
                </c:pt>
                <c:pt idx="12">
                  <c:v>3700.76003286063</c:v>
                </c:pt>
                <c:pt idx="13">
                  <c:v>3589.1973161822743</c:v>
                </c:pt>
                <c:pt idx="14">
                  <c:v>3556.694084121998</c:v>
                </c:pt>
                <c:pt idx="15">
                  <c:v>3605.2587839684661</c:v>
                </c:pt>
                <c:pt idx="16">
                  <c:v>3651.6215103668787</c:v>
                </c:pt>
                <c:pt idx="17">
                  <c:v>3663.6211218138533</c:v>
                </c:pt>
                <c:pt idx="18">
                  <c:v>3585.2479033578038</c:v>
                </c:pt>
                <c:pt idx="19">
                  <c:v>3012.8985197722873</c:v>
                </c:pt>
                <c:pt idx="20">
                  <c:v>3073.3091938251168</c:v>
                </c:pt>
                <c:pt idx="21">
                  <c:v>3495.3147011200404</c:v>
                </c:pt>
                <c:pt idx="22">
                  <c:v>3656.1033930419126</c:v>
                </c:pt>
                <c:pt idx="23">
                  <c:v>3624.1216186368638</c:v>
                </c:pt>
                <c:pt idx="24">
                  <c:v>3258.3450508819778</c:v>
                </c:pt>
                <c:pt idx="25">
                  <c:v>3232.7877267258655</c:v>
                </c:pt>
                <c:pt idx="26">
                  <c:v>3642.3111554968386</c:v>
                </c:pt>
                <c:pt idx="27">
                  <c:v>3676.8439182659772</c:v>
                </c:pt>
                <c:pt idx="28">
                  <c:v>3400.429440165969</c:v>
                </c:pt>
                <c:pt idx="29">
                  <c:v>2892.4749398356971</c:v>
                </c:pt>
                <c:pt idx="30">
                  <c:v>3093.170671146323</c:v>
                </c:pt>
                <c:pt idx="31">
                  <c:v>3560.6594374595011</c:v>
                </c:pt>
                <c:pt idx="32">
                  <c:v>3648.760206671288</c:v>
                </c:pt>
                <c:pt idx="33">
                  <c:v>3549.7051978900922</c:v>
                </c:pt>
                <c:pt idx="34">
                  <c:v>3348.5113162417838</c:v>
                </c:pt>
                <c:pt idx="35">
                  <c:v>3468.8019670440221</c:v>
                </c:pt>
                <c:pt idx="36">
                  <c:v>3578.0541088073464</c:v>
                </c:pt>
                <c:pt idx="37">
                  <c:v>3512.3698987009452</c:v>
                </c:pt>
                <c:pt idx="38">
                  <c:v>2832.1020025886105</c:v>
                </c:pt>
                <c:pt idx="39">
                  <c:v>2603.7707977355808</c:v>
                </c:pt>
                <c:pt idx="40">
                  <c:v>2224.356800399758</c:v>
                </c:pt>
                <c:pt idx="41">
                  <c:v>1852.5346210723815</c:v>
                </c:pt>
                <c:pt idx="42">
                  <c:v>2507.4615260729552</c:v>
                </c:pt>
                <c:pt idx="43">
                  <c:v>2413.424047199373</c:v>
                </c:pt>
                <c:pt idx="44">
                  <c:v>1852.9250154979288</c:v>
                </c:pt>
                <c:pt idx="45">
                  <c:v>1947.3179751183186</c:v>
                </c:pt>
                <c:pt idx="46">
                  <c:v>2140.4930180313522</c:v>
                </c:pt>
                <c:pt idx="47">
                  <c:v>2190.9981690234163</c:v>
                </c:pt>
                <c:pt idx="48">
                  <c:v>1890.3696479403488</c:v>
                </c:pt>
                <c:pt idx="49">
                  <c:v>1516.0013002628352</c:v>
                </c:pt>
                <c:pt idx="50">
                  <c:v>3489.0321232189526</c:v>
                </c:pt>
                <c:pt idx="51">
                  <c:v>3541.05522718268</c:v>
                </c:pt>
                <c:pt idx="52">
                  <c:v>3683.0930275178684</c:v>
                </c:pt>
                <c:pt idx="53">
                  <c:v>3708.8880764574069</c:v>
                </c:pt>
                <c:pt idx="54">
                  <c:v>3407.3604654422097</c:v>
                </c:pt>
                <c:pt idx="55">
                  <c:v>3438.0758110889046</c:v>
                </c:pt>
                <c:pt idx="56">
                  <c:v>3568.2463374511544</c:v>
                </c:pt>
                <c:pt idx="57">
                  <c:v>3362.6500950908307</c:v>
                </c:pt>
                <c:pt idx="58">
                  <c:v>3301.133712679572</c:v>
                </c:pt>
                <c:pt idx="59">
                  <c:v>2762.6755644238433</c:v>
                </c:pt>
                <c:pt idx="60">
                  <c:v>3427.6622389155277</c:v>
                </c:pt>
                <c:pt idx="61">
                  <c:v>3517.7059699478968</c:v>
                </c:pt>
                <c:pt idx="62">
                  <c:v>3404.3184358726494</c:v>
                </c:pt>
                <c:pt idx="63">
                  <c:v>3319.6192472041002</c:v>
                </c:pt>
                <c:pt idx="64">
                  <c:v>3420.946876141229</c:v>
                </c:pt>
                <c:pt idx="65">
                  <c:v>3494.2158295167415</c:v>
                </c:pt>
                <c:pt idx="66">
                  <c:v>3324.1253194145779</c:v>
                </c:pt>
                <c:pt idx="67">
                  <c:v>3339.7121936338749</c:v>
                </c:pt>
                <c:pt idx="68">
                  <c:v>3340.4929024154912</c:v>
                </c:pt>
                <c:pt idx="69">
                  <c:v>2520.8856473504484</c:v>
                </c:pt>
                <c:pt idx="70">
                  <c:v>2997.4410370801579</c:v>
                </c:pt>
                <c:pt idx="71">
                  <c:v>3361.4996653112016</c:v>
                </c:pt>
                <c:pt idx="72">
                  <c:v>3441.8590102078579</c:v>
                </c:pt>
                <c:pt idx="73">
                  <c:v>3922.3672700492361</c:v>
                </c:pt>
                <c:pt idx="74">
                  <c:v>2689.956217162799</c:v>
                </c:pt>
                <c:pt idx="75">
                  <c:v>3417.0857412643768</c:v>
                </c:pt>
                <c:pt idx="76">
                  <c:v>3468.4496508098723</c:v>
                </c:pt>
                <c:pt idx="77">
                  <c:v>2997.3073575500839</c:v>
                </c:pt>
                <c:pt idx="78">
                  <c:v>3261.1771270189947</c:v>
                </c:pt>
                <c:pt idx="79">
                  <c:v>1801.5561702677346</c:v>
                </c:pt>
                <c:pt idx="80">
                  <c:v>2809.8030995157569</c:v>
                </c:pt>
                <c:pt idx="81">
                  <c:v>3335.1928748263581</c:v>
                </c:pt>
                <c:pt idx="82">
                  <c:v>3385.4993679606523</c:v>
                </c:pt>
                <c:pt idx="83">
                  <c:v>3551.1056152159654</c:v>
                </c:pt>
                <c:pt idx="84">
                  <c:v>3393.348774571276</c:v>
                </c:pt>
                <c:pt idx="85">
                  <c:v>3314.2335417022209</c:v>
                </c:pt>
                <c:pt idx="86">
                  <c:v>3329.310005120888</c:v>
                </c:pt>
                <c:pt idx="87">
                  <c:v>3344.9694100188985</c:v>
                </c:pt>
                <c:pt idx="88">
                  <c:v>2581.24884929789</c:v>
                </c:pt>
                <c:pt idx="89">
                  <c:v>2250.8116208932524</c:v>
                </c:pt>
                <c:pt idx="90">
                  <c:v>1362.5177180964986</c:v>
                </c:pt>
                <c:pt idx="91">
                  <c:v>1126.2671382825267</c:v>
                </c:pt>
                <c:pt idx="92">
                  <c:v>1837.7418133146741</c:v>
                </c:pt>
                <c:pt idx="93">
                  <c:v>2096.8974040583953</c:v>
                </c:pt>
                <c:pt idx="94">
                  <c:v>1744.2074167497592</c:v>
                </c:pt>
                <c:pt idx="95">
                  <c:v>1398.3494965937336</c:v>
                </c:pt>
                <c:pt idx="96">
                  <c:v>1144.7776419533452</c:v>
                </c:pt>
                <c:pt idx="97">
                  <c:v>1498.5779118145877</c:v>
                </c:pt>
                <c:pt idx="98">
                  <c:v>1210.2217819578871</c:v>
                </c:pt>
                <c:pt idx="99">
                  <c:v>886.1723754446673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39-406C-B5B2-709598322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8600384"/>
        <c:axId val="908601104"/>
      </c:scatterChart>
      <c:valAx>
        <c:axId val="9086003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01104"/>
        <c:crosses val="autoZero"/>
        <c:crossBetween val="midCat"/>
      </c:valAx>
      <c:valAx>
        <c:axId val="90860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00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Yield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Fiber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OrigReduced!$G$3:$G$102</c:f>
              <c:numCache>
                <c:formatCode>0</c:formatCode>
                <c:ptCount val="100"/>
                <c:pt idx="0">
                  <c:v>2236.0498401313334</c:v>
                </c:pt>
                <c:pt idx="1">
                  <c:v>2367.0735530551187</c:v>
                </c:pt>
                <c:pt idx="2">
                  <c:v>2282.1457275704515</c:v>
                </c:pt>
                <c:pt idx="3">
                  <c:v>2167.6899134567107</c:v>
                </c:pt>
                <c:pt idx="4">
                  <c:v>2266.1918258529918</c:v>
                </c:pt>
                <c:pt idx="5">
                  <c:v>2405.5217215822945</c:v>
                </c:pt>
                <c:pt idx="6">
                  <c:v>2180.9050591122996</c:v>
                </c:pt>
                <c:pt idx="7">
                  <c:v>2355.391065852014</c:v>
                </c:pt>
                <c:pt idx="8">
                  <c:v>2273.4883339121689</c:v>
                </c:pt>
                <c:pt idx="9">
                  <c:v>1916.9289342769055</c:v>
                </c:pt>
                <c:pt idx="10">
                  <c:v>2314.7305813462985</c:v>
                </c:pt>
                <c:pt idx="11">
                  <c:v>2418.8378102624438</c:v>
                </c:pt>
                <c:pt idx="12">
                  <c:v>2467.3329530499536</c:v>
                </c:pt>
                <c:pt idx="13">
                  <c:v>2333.1291724447165</c:v>
                </c:pt>
                <c:pt idx="14">
                  <c:v>2483.1357353325648</c:v>
                </c:pt>
                <c:pt idx="15">
                  <c:v>2403.6613352317831</c:v>
                </c:pt>
                <c:pt idx="16">
                  <c:v>2489.9029966244684</c:v>
                </c:pt>
                <c:pt idx="17">
                  <c:v>2467.496282249012</c:v>
                </c:pt>
                <c:pt idx="18">
                  <c:v>2390.3198851750844</c:v>
                </c:pt>
                <c:pt idx="19">
                  <c:v>1917.4230852882724</c:v>
                </c:pt>
                <c:pt idx="20">
                  <c:v>2127.8132319247243</c:v>
                </c:pt>
                <c:pt idx="21">
                  <c:v>2391.6858159168733</c:v>
                </c:pt>
                <c:pt idx="22">
                  <c:v>2476.8754167955949</c:v>
                </c:pt>
                <c:pt idx="23">
                  <c:v>2360.04580503027</c:v>
                </c:pt>
                <c:pt idx="24">
                  <c:v>2172.3705522819282</c:v>
                </c:pt>
                <c:pt idx="25">
                  <c:v>2124.5407878007445</c:v>
                </c:pt>
                <c:pt idx="26">
                  <c:v>2396.4123494995883</c:v>
                </c:pt>
                <c:pt idx="27">
                  <c:v>2553.529005473652</c:v>
                </c:pt>
                <c:pt idx="28">
                  <c:v>2205.8266436346144</c:v>
                </c:pt>
                <c:pt idx="29">
                  <c:v>2008.7930901237182</c:v>
                </c:pt>
                <c:pt idx="30">
                  <c:v>2062.2471758666393</c:v>
                </c:pt>
                <c:pt idx="31">
                  <c:v>2304.105146117623</c:v>
                </c:pt>
                <c:pt idx="32">
                  <c:v>2376.090574618986</c:v>
                </c:pt>
                <c:pt idx="33">
                  <c:v>2192.6068024965571</c:v>
                </c:pt>
                <c:pt idx="34">
                  <c:v>2262.6540043956516</c:v>
                </c:pt>
                <c:pt idx="35">
                  <c:v>2420.2509479531045</c:v>
                </c:pt>
                <c:pt idx="36">
                  <c:v>2385.5237119041326</c:v>
                </c:pt>
                <c:pt idx="37">
                  <c:v>2368.9608407747792</c:v>
                </c:pt>
                <c:pt idx="38">
                  <c:v>1868.1030089348037</c:v>
                </c:pt>
                <c:pt idx="39">
                  <c:v>1635.0316106854757</c:v>
                </c:pt>
                <c:pt idx="40">
                  <c:v>1421.2087746548375</c:v>
                </c:pt>
                <c:pt idx="41">
                  <c:v>1235.1029725384876</c:v>
                </c:pt>
                <c:pt idx="42">
                  <c:v>1622.5800606302323</c:v>
                </c:pt>
                <c:pt idx="43">
                  <c:v>1555.4183305181186</c:v>
                </c:pt>
                <c:pt idx="44">
                  <c:v>1220.2978468087226</c:v>
                </c:pt>
                <c:pt idx="45">
                  <c:v>1298.2959628328008</c:v>
                </c:pt>
                <c:pt idx="46">
                  <c:v>1427.087655580774</c:v>
                </c:pt>
                <c:pt idx="47">
                  <c:v>1439.8919352497653</c:v>
                </c:pt>
                <c:pt idx="48">
                  <c:v>1220.9427068375674</c:v>
                </c:pt>
                <c:pt idx="49">
                  <c:v>998.40690097911272</c:v>
                </c:pt>
                <c:pt idx="50">
                  <c:v>2193.2477748133615</c:v>
                </c:pt>
                <c:pt idx="51">
                  <c:v>2388.3080114424029</c:v>
                </c:pt>
                <c:pt idx="52">
                  <c:v>2455.5541875864142</c:v>
                </c:pt>
                <c:pt idx="53">
                  <c:v>2415.2461388595452</c:v>
                </c:pt>
                <c:pt idx="54">
                  <c:v>2152.1563468867907</c:v>
                </c:pt>
                <c:pt idx="55">
                  <c:v>2471.2768421375558</c:v>
                </c:pt>
                <c:pt idx="56">
                  <c:v>2378.9847746998184</c:v>
                </c:pt>
                <c:pt idx="57">
                  <c:v>2218.0616216832541</c:v>
                </c:pt>
                <c:pt idx="58">
                  <c:v>2300.9389981087124</c:v>
                </c:pt>
                <c:pt idx="59">
                  <c:v>1883.7642803426825</c:v>
                </c:pt>
                <c:pt idx="60">
                  <c:v>2259.2871616077423</c:v>
                </c:pt>
                <c:pt idx="61">
                  <c:v>2314.4299507661553</c:v>
                </c:pt>
                <c:pt idx="62">
                  <c:v>2150.2349407684924</c:v>
                </c:pt>
                <c:pt idx="63">
                  <c:v>2213.2226589883339</c:v>
                </c:pt>
                <c:pt idx="64">
                  <c:v>2252.9644060530704</c:v>
                </c:pt>
                <c:pt idx="65">
                  <c:v>2298.9749113097523</c:v>
                </c:pt>
                <c:pt idx="66">
                  <c:v>2241.9969817055894</c:v>
                </c:pt>
                <c:pt idx="67">
                  <c:v>2346.9765973535091</c:v>
                </c:pt>
                <c:pt idx="68">
                  <c:v>2161.635231398755</c:v>
                </c:pt>
                <c:pt idx="69">
                  <c:v>1721.6918085954317</c:v>
                </c:pt>
                <c:pt idx="70">
                  <c:v>1907.5858690794184</c:v>
                </c:pt>
                <c:pt idx="71">
                  <c:v>2274.1027547870417</c:v>
                </c:pt>
                <c:pt idx="72">
                  <c:v>2212.7667807834227</c:v>
                </c:pt>
                <c:pt idx="73">
                  <c:v>2647.7691764912247</c:v>
                </c:pt>
                <c:pt idx="74">
                  <c:v>1718.6943113542045</c:v>
                </c:pt>
                <c:pt idx="75">
                  <c:v>2278.2045250044557</c:v>
                </c:pt>
                <c:pt idx="76">
                  <c:v>2312.4493464718776</c:v>
                </c:pt>
                <c:pt idx="77">
                  <c:v>1998.3341659647967</c:v>
                </c:pt>
                <c:pt idx="78">
                  <c:v>2104.1213469437039</c:v>
                </c:pt>
                <c:pt idx="79">
                  <c:v>1215.0815953066051</c:v>
                </c:pt>
                <c:pt idx="80">
                  <c:v>1822.6928831602124</c:v>
                </c:pt>
                <c:pt idx="81">
                  <c:v>2073.3621173355423</c:v>
                </c:pt>
                <c:pt idx="82">
                  <c:v>2170.3322890557729</c:v>
                </c:pt>
                <c:pt idx="83">
                  <c:v>2303.5688633555478</c:v>
                </c:pt>
                <c:pt idx="84">
                  <c:v>2262.3788568694526</c:v>
                </c:pt>
                <c:pt idx="85">
                  <c:v>2154.3911574817239</c:v>
                </c:pt>
                <c:pt idx="86">
                  <c:v>2134.3111367180395</c:v>
                </c:pt>
                <c:pt idx="87">
                  <c:v>2230.1238607746554</c:v>
                </c:pt>
                <c:pt idx="88">
                  <c:v>1720.9438843220464</c:v>
                </c:pt>
                <c:pt idx="89">
                  <c:v>1375.5849693550256</c:v>
                </c:pt>
                <c:pt idx="90">
                  <c:v>894.21009389271228</c:v>
                </c:pt>
                <c:pt idx="91">
                  <c:v>739.16062161664036</c:v>
                </c:pt>
                <c:pt idx="92">
                  <c:v>1135.1492522537287</c:v>
                </c:pt>
                <c:pt idx="93">
                  <c:v>1398.0220328414428</c:v>
                </c:pt>
                <c:pt idx="94">
                  <c:v>1178.5947614580118</c:v>
                </c:pt>
                <c:pt idx="95">
                  <c:v>893.44774823716534</c:v>
                </c:pt>
                <c:pt idx="96">
                  <c:v>731.43302795683326</c:v>
                </c:pt>
                <c:pt idx="97">
                  <c:v>1011.6055255130256</c:v>
                </c:pt>
                <c:pt idx="98">
                  <c:v>806.86671294798441</c:v>
                </c:pt>
                <c:pt idx="99">
                  <c:v>590.81980042004147</c:v>
                </c:pt>
              </c:numCache>
            </c:numRef>
          </c:xVal>
          <c:yVal>
            <c:numRef>
              <c:f>OrigReduced!$M$3:$M$102</c:f>
              <c:numCache>
                <c:formatCode>0</c:formatCode>
                <c:ptCount val="100"/>
                <c:pt idx="0">
                  <c:v>2590.63360678043</c:v>
                </c:pt>
                <c:pt idx="1">
                  <c:v>2907.2675658242497</c:v>
                </c:pt>
                <c:pt idx="2">
                  <c:v>2684.6391908114438</c:v>
                </c:pt>
                <c:pt idx="3">
                  <c:v>2542.2438958972216</c:v>
                </c:pt>
                <c:pt idx="4">
                  <c:v>2815.9077246150928</c:v>
                </c:pt>
                <c:pt idx="5">
                  <c:v>2691.1311570251755</c:v>
                </c:pt>
                <c:pt idx="6">
                  <c:v>2648.0970469680246</c:v>
                </c:pt>
                <c:pt idx="7">
                  <c:v>2807.3805594803266</c:v>
                </c:pt>
                <c:pt idx="8">
                  <c:v>2737.5454762278018</c:v>
                </c:pt>
                <c:pt idx="9">
                  <c:v>2228.3823997532486</c:v>
                </c:pt>
                <c:pt idx="10">
                  <c:v>2647.3469376841413</c:v>
                </c:pt>
                <c:pt idx="11">
                  <c:v>2804.5248555935123</c:v>
                </c:pt>
                <c:pt idx="12">
                  <c:v>2875.065651046973</c:v>
                </c:pt>
                <c:pt idx="13">
                  <c:v>2874.390120849569</c:v>
                </c:pt>
                <c:pt idx="14">
                  <c:v>2826.1539633531324</c:v>
                </c:pt>
                <c:pt idx="15">
                  <c:v>2893.5732559369671</c:v>
                </c:pt>
                <c:pt idx="16">
                  <c:v>2955.8638768913847</c:v>
                </c:pt>
                <c:pt idx="17">
                  <c:v>2873.9162568924125</c:v>
                </c:pt>
                <c:pt idx="18">
                  <c:v>2847.145188482235</c:v>
                </c:pt>
                <c:pt idx="19">
                  <c:v>2289.4361831445044</c:v>
                </c:pt>
                <c:pt idx="20">
                  <c:v>2634.9274484851949</c:v>
                </c:pt>
                <c:pt idx="21">
                  <c:v>2858.1789254421806</c:v>
                </c:pt>
                <c:pt idx="22">
                  <c:v>2952.6239687281386</c:v>
                </c:pt>
                <c:pt idx="23">
                  <c:v>2874.697763710677</c:v>
                </c:pt>
                <c:pt idx="24">
                  <c:v>2607.4867143589836</c:v>
                </c:pt>
                <c:pt idx="25">
                  <c:v>2572.00143104478</c:v>
                </c:pt>
                <c:pt idx="26">
                  <c:v>2841.8869312151628</c:v>
                </c:pt>
                <c:pt idx="27">
                  <c:v>2842.5015771445323</c:v>
                </c:pt>
                <c:pt idx="28">
                  <c:v>2727.1511293255135</c:v>
                </c:pt>
                <c:pt idx="29">
                  <c:v>2323.7595171521075</c:v>
                </c:pt>
                <c:pt idx="30">
                  <c:v>2556.2754544771483</c:v>
                </c:pt>
                <c:pt idx="31">
                  <c:v>2759.712095475646</c:v>
                </c:pt>
                <c:pt idx="32">
                  <c:v>2787.3556030602276</c:v>
                </c:pt>
                <c:pt idx="33">
                  <c:v>2778.9565570262971</c:v>
                </c:pt>
                <c:pt idx="34">
                  <c:v>2628.7773889984874</c:v>
                </c:pt>
                <c:pt idx="35">
                  <c:v>2758.0672655253711</c:v>
                </c:pt>
                <c:pt idx="36">
                  <c:v>2868.1599733534126</c:v>
                </c:pt>
                <c:pt idx="37">
                  <c:v>2803.7528230323214</c:v>
                </c:pt>
                <c:pt idx="38">
                  <c:v>2260.999759769813</c:v>
                </c:pt>
                <c:pt idx="39">
                  <c:v>1958.4283264598255</c:v>
                </c:pt>
                <c:pt idx="40">
                  <c:v>1660.0277415899986</c:v>
                </c:pt>
                <c:pt idx="41">
                  <c:v>1465.1313323613301</c:v>
                </c:pt>
                <c:pt idx="42">
                  <c:v>1875.0251769683912</c:v>
                </c:pt>
                <c:pt idx="43">
                  <c:v>1776.3039795047853</c:v>
                </c:pt>
                <c:pt idx="44">
                  <c:v>1505.2782565978632</c:v>
                </c:pt>
                <c:pt idx="45">
                  <c:v>1538.2804382751008</c:v>
                </c:pt>
                <c:pt idx="46">
                  <c:v>1652.6892799011516</c:v>
                </c:pt>
                <c:pt idx="47">
                  <c:v>1706.2705783318902</c:v>
                </c:pt>
                <c:pt idx="48">
                  <c:v>1477.1202855854267</c:v>
                </c:pt>
                <c:pt idx="49">
                  <c:v>1222.2417259848205</c:v>
                </c:pt>
                <c:pt idx="50">
                  <c:v>2669.8116356962219</c:v>
                </c:pt>
                <c:pt idx="51">
                  <c:v>2811.06516693002</c:v>
                </c:pt>
                <c:pt idx="52">
                  <c:v>2838.565457045454</c:v>
                </c:pt>
                <c:pt idx="53">
                  <c:v>2964.5514225690631</c:v>
                </c:pt>
                <c:pt idx="54">
                  <c:v>2771.0902379624827</c:v>
                </c:pt>
                <c:pt idx="55">
                  <c:v>2854.151209090156</c:v>
                </c:pt>
                <c:pt idx="56">
                  <c:v>2788.3274607284775</c:v>
                </c:pt>
                <c:pt idx="57">
                  <c:v>2605.7565880889383</c:v>
                </c:pt>
                <c:pt idx="58">
                  <c:v>2744.0415588335404</c:v>
                </c:pt>
                <c:pt idx="59">
                  <c:v>2227.7811137495805</c:v>
                </c:pt>
                <c:pt idx="60">
                  <c:v>2618.6988267305319</c:v>
                </c:pt>
                <c:pt idx="61">
                  <c:v>2683.1137358967462</c:v>
                </c:pt>
                <c:pt idx="62">
                  <c:v>2687.5028924106991</c:v>
                </c:pt>
                <c:pt idx="63">
                  <c:v>2523.7360806109423</c:v>
                </c:pt>
                <c:pt idx="64">
                  <c:v>2587.9670926244976</c:v>
                </c:pt>
                <c:pt idx="65">
                  <c:v>2820.6921418299648</c:v>
                </c:pt>
                <c:pt idx="66">
                  <c:v>2486.0143669602935</c:v>
                </c:pt>
                <c:pt idx="67">
                  <c:v>2735.5419657797102</c:v>
                </c:pt>
                <c:pt idx="68">
                  <c:v>2523.4748091185866</c:v>
                </c:pt>
                <c:pt idx="69">
                  <c:v>1922.2286116644941</c:v>
                </c:pt>
                <c:pt idx="70">
                  <c:v>2189.5484112999138</c:v>
                </c:pt>
                <c:pt idx="71">
                  <c:v>2632.6636818013917</c:v>
                </c:pt>
                <c:pt idx="72">
                  <c:v>2279.4993702747224</c:v>
                </c:pt>
                <c:pt idx="73">
                  <c:v>3516.6682578305608</c:v>
                </c:pt>
                <c:pt idx="74">
                  <c:v>2023.5636626180628</c:v>
                </c:pt>
                <c:pt idx="75">
                  <c:v>2611.9389683898271</c:v>
                </c:pt>
                <c:pt idx="76">
                  <c:v>2732.6118990880773</c:v>
                </c:pt>
                <c:pt idx="77">
                  <c:v>2216.2862882688887</c:v>
                </c:pt>
                <c:pt idx="78">
                  <c:v>2496.6030410393532</c:v>
                </c:pt>
                <c:pt idx="79">
                  <c:v>1410.5019356278142</c:v>
                </c:pt>
                <c:pt idx="80">
                  <c:v>2146.8584151063951</c:v>
                </c:pt>
                <c:pt idx="81">
                  <c:v>2536.1489648091538</c:v>
                </c:pt>
                <c:pt idx="82">
                  <c:v>2571.8500096708422</c:v>
                </c:pt>
                <c:pt idx="83">
                  <c:v>2598.7394023630713</c:v>
                </c:pt>
                <c:pt idx="84">
                  <c:v>2618.0109966311879</c:v>
                </c:pt>
                <c:pt idx="85">
                  <c:v>2583.6144789062923</c:v>
                </c:pt>
                <c:pt idx="86">
                  <c:v>2543.1114766760747</c:v>
                </c:pt>
                <c:pt idx="87">
                  <c:v>2578.9299755808602</c:v>
                </c:pt>
                <c:pt idx="88">
                  <c:v>1945.3304695964248</c:v>
                </c:pt>
                <c:pt idx="89">
                  <c:v>1613.5816753147228</c:v>
                </c:pt>
                <c:pt idx="90">
                  <c:v>1047.8138206395729</c:v>
                </c:pt>
                <c:pt idx="91">
                  <c:v>904.22920362596551</c:v>
                </c:pt>
                <c:pt idx="92">
                  <c:v>1512.6870180087251</c:v>
                </c:pt>
                <c:pt idx="93">
                  <c:v>1560.3202666809921</c:v>
                </c:pt>
                <c:pt idx="94">
                  <c:v>1392.2752144827828</c:v>
                </c:pt>
                <c:pt idx="95">
                  <c:v>1058.7148097430666</c:v>
                </c:pt>
                <c:pt idx="96">
                  <c:v>909.69718849256526</c:v>
                </c:pt>
                <c:pt idx="97">
                  <c:v>1156.5742813635093</c:v>
                </c:pt>
                <c:pt idx="98">
                  <c:v>938.64394465708006</c:v>
                </c:pt>
                <c:pt idx="99">
                  <c:v>698.65396051957441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D6-48FD-B752-24A528CFBD74}"/>
            </c:ext>
          </c:extLst>
        </c:ser>
        <c:ser>
          <c:idx val="1"/>
          <c:order val="1"/>
          <c:tx>
            <c:v>Seed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OrigReduced!$H$3:$H$102</c:f>
              <c:numCache>
                <c:formatCode>0</c:formatCode>
                <c:ptCount val="100"/>
                <c:pt idx="0">
                  <c:v>3229.849769078593</c:v>
                </c:pt>
                <c:pt idx="1">
                  <c:v>3514.7455787788131</c:v>
                </c:pt>
                <c:pt idx="2">
                  <c:v>3335.4437556798907</c:v>
                </c:pt>
                <c:pt idx="3">
                  <c:v>3311.7484788921965</c:v>
                </c:pt>
                <c:pt idx="4">
                  <c:v>3399.2877387794879</c:v>
                </c:pt>
                <c:pt idx="5">
                  <c:v>3515.7625161587375</c:v>
                </c:pt>
                <c:pt idx="6">
                  <c:v>3207.2133222239704</c:v>
                </c:pt>
                <c:pt idx="7">
                  <c:v>3580.1944200950611</c:v>
                </c:pt>
                <c:pt idx="8">
                  <c:v>3444.6792938063163</c:v>
                </c:pt>
                <c:pt idx="9">
                  <c:v>2928.6414273674945</c:v>
                </c:pt>
                <c:pt idx="10">
                  <c:v>3224.0890240180588</c:v>
                </c:pt>
                <c:pt idx="11">
                  <c:v>3493.8768370457533</c:v>
                </c:pt>
                <c:pt idx="12">
                  <c:v>3700.9994295749302</c:v>
                </c:pt>
                <c:pt idx="13">
                  <c:v>3589.4294960687944</c:v>
                </c:pt>
                <c:pt idx="14">
                  <c:v>3556.9241614223224</c:v>
                </c:pt>
                <c:pt idx="15">
                  <c:v>3605.4920028476749</c:v>
                </c:pt>
                <c:pt idx="16">
                  <c:v>3651.8577283825539</c:v>
                </c:pt>
                <c:pt idx="17">
                  <c:v>3663.8581160667145</c:v>
                </c:pt>
                <c:pt idx="18">
                  <c:v>3585.4798277626278</c:v>
                </c:pt>
                <c:pt idx="19">
                  <c:v>3013.0934197387146</c:v>
                </c:pt>
                <c:pt idx="20">
                  <c:v>3073.5080016690458</c:v>
                </c:pt>
                <c:pt idx="21">
                  <c:v>3495.5408078785076</c:v>
                </c:pt>
                <c:pt idx="22">
                  <c:v>3656.339900983975</c:v>
                </c:pt>
                <c:pt idx="23">
                  <c:v>3624.3560577250587</c:v>
                </c:pt>
                <c:pt idx="24">
                  <c:v>3258.5558284228923</c:v>
                </c:pt>
                <c:pt idx="25">
                  <c:v>3232.9968510011331</c:v>
                </c:pt>
                <c:pt idx="26">
                  <c:v>3642.5467712393743</c:v>
                </c:pt>
                <c:pt idx="27">
                  <c:v>3677.0817678820595</c:v>
                </c:pt>
                <c:pt idx="28">
                  <c:v>3400.6494089366979</c:v>
                </c:pt>
                <c:pt idx="29">
                  <c:v>2892.6620497781541</c:v>
                </c:pt>
                <c:pt idx="30">
                  <c:v>3093.3707637999591</c:v>
                </c:pt>
                <c:pt idx="31">
                  <c:v>3560.8897712726916</c:v>
                </c:pt>
                <c:pt idx="32">
                  <c:v>3648.9962395934426</c:v>
                </c:pt>
                <c:pt idx="33">
                  <c:v>3549.9348230896644</c:v>
                </c:pt>
                <c:pt idx="34">
                  <c:v>3348.7279265055645</c:v>
                </c:pt>
                <c:pt idx="35">
                  <c:v>3469.0263587327836</c:v>
                </c:pt>
                <c:pt idx="36">
                  <c:v>3578.2855678562</c:v>
                </c:pt>
                <c:pt idx="37">
                  <c:v>3512.5971087350172</c:v>
                </c:pt>
                <c:pt idx="38">
                  <c:v>2832.2852070947024</c:v>
                </c:pt>
                <c:pt idx="39">
                  <c:v>2603.9392318324249</c:v>
                </c:pt>
                <c:pt idx="40">
                  <c:v>2224.5006907640936</c:v>
                </c:pt>
                <c:pt idx="41">
                  <c:v>1852.6544588077315</c:v>
                </c:pt>
                <c:pt idx="42">
                  <c:v>2507.6237300649054</c:v>
                </c:pt>
                <c:pt idx="43">
                  <c:v>2413.5801680453565</c:v>
                </c:pt>
                <c:pt idx="44">
                  <c:v>1853.0448784873197</c:v>
                </c:pt>
                <c:pt idx="45">
                  <c:v>1947.4439442492007</c:v>
                </c:pt>
                <c:pt idx="46">
                  <c:v>2140.6314833711608</c:v>
                </c:pt>
                <c:pt idx="47">
                  <c:v>2191.1399014670342</c:v>
                </c:pt>
                <c:pt idx="48">
                  <c:v>1890.4919331678464</c:v>
                </c:pt>
                <c:pt idx="49">
                  <c:v>1516.0993681534676</c:v>
                </c:pt>
                <c:pt idx="50">
                  <c:v>3489.257823566712</c:v>
                </c:pt>
                <c:pt idx="51">
                  <c:v>3541.2842928283912</c:v>
                </c:pt>
                <c:pt idx="52">
                  <c:v>3683.3312813796229</c:v>
                </c:pt>
                <c:pt idx="53">
                  <c:v>3709.1279989628729</c:v>
                </c:pt>
                <c:pt idx="54">
                  <c:v>3407.5808825707522</c:v>
                </c:pt>
                <c:pt idx="55">
                  <c:v>3438.2982151479046</c:v>
                </c:pt>
                <c:pt idx="56">
                  <c:v>3568.4771620497277</c:v>
                </c:pt>
                <c:pt idx="57">
                  <c:v>3362.867619971385</c:v>
                </c:pt>
                <c:pt idx="58">
                  <c:v>3301.347258155979</c:v>
                </c:pt>
                <c:pt idx="59">
                  <c:v>2762.8542778359347</c:v>
                </c:pt>
                <c:pt idx="60">
                  <c:v>3427.8839693358855</c:v>
                </c:pt>
                <c:pt idx="61">
                  <c:v>3517.9335251645557</c:v>
                </c:pt>
                <c:pt idx="62">
                  <c:v>3404.5386562167796</c:v>
                </c:pt>
                <c:pt idx="63">
                  <c:v>3319.8339884825014</c:v>
                </c:pt>
                <c:pt idx="64">
                  <c:v>3421.1681721546629</c:v>
                </c:pt>
                <c:pt idx="65">
                  <c:v>3494.4418651908231</c:v>
                </c:pt>
                <c:pt idx="66">
                  <c:v>3324.3403521841501</c:v>
                </c:pt>
                <c:pt idx="67">
                  <c:v>3339.9282346953778</c:v>
                </c:pt>
                <c:pt idx="68">
                  <c:v>3340.7089939798952</c:v>
                </c:pt>
                <c:pt idx="69">
                  <c:v>2521.0487197290254</c:v>
                </c:pt>
                <c:pt idx="70">
                  <c:v>2997.6349371248011</c:v>
                </c:pt>
                <c:pt idx="71">
                  <c:v>3361.7171157721486</c:v>
                </c:pt>
                <c:pt idx="72">
                  <c:v>3442.0816589964361</c:v>
                </c:pt>
                <c:pt idx="73">
                  <c:v>3922.6210022092218</c:v>
                </c:pt>
                <c:pt idx="74">
                  <c:v>2690.1302264674505</c:v>
                </c:pt>
                <c:pt idx="75">
                  <c:v>3417.306787506684</c:v>
                </c:pt>
                <c:pt idx="76">
                  <c:v>3468.6740197078157</c:v>
                </c:pt>
                <c:pt idx="77">
                  <c:v>2997.5012489471951</c:v>
                </c:pt>
                <c:pt idx="78">
                  <c:v>3261.3880877627421</c:v>
                </c:pt>
                <c:pt idx="79">
                  <c:v>1801.6727102822074</c:v>
                </c:pt>
                <c:pt idx="80">
                  <c:v>2809.9848615386618</c:v>
                </c:pt>
                <c:pt idx="81">
                  <c:v>3335.4086235397858</c:v>
                </c:pt>
                <c:pt idx="82">
                  <c:v>3385.7183709270053</c:v>
                </c:pt>
                <c:pt idx="83">
                  <c:v>3551.3353310064699</c:v>
                </c:pt>
                <c:pt idx="84">
                  <c:v>3393.5682853041785</c:v>
                </c:pt>
                <c:pt idx="85">
                  <c:v>3314.4479345872678</c:v>
                </c:pt>
                <c:pt idx="86">
                  <c:v>3329.5253732801416</c:v>
                </c:pt>
                <c:pt idx="87">
                  <c:v>3345.1857911619836</c:v>
                </c:pt>
                <c:pt idx="88">
                  <c:v>2581.4158264830703</c:v>
                </c:pt>
                <c:pt idx="89">
                  <c:v>2250.9572225809511</c:v>
                </c:pt>
                <c:pt idx="90">
                  <c:v>1362.6058573603236</c:v>
                </c:pt>
                <c:pt idx="91">
                  <c:v>1126.3399948444046</c:v>
                </c:pt>
                <c:pt idx="92">
                  <c:v>1837.8606941250848</c:v>
                </c:pt>
                <c:pt idx="93">
                  <c:v>2097.0330492621638</c:v>
                </c:pt>
                <c:pt idx="94">
                  <c:v>1744.3202469578575</c:v>
                </c:pt>
                <c:pt idx="95">
                  <c:v>1398.4399537625197</c:v>
                </c:pt>
                <c:pt idx="96">
                  <c:v>1144.8516959324347</c:v>
                </c:pt>
                <c:pt idx="97">
                  <c:v>1498.6748526118899</c:v>
                </c:pt>
                <c:pt idx="98">
                  <c:v>1210.3000694219766</c:v>
                </c:pt>
                <c:pt idx="99">
                  <c:v>886.2297006300621</c:v>
                </c:pt>
              </c:numCache>
            </c:numRef>
          </c:xVal>
          <c:yVal>
            <c:numRef>
              <c:f>OrigReduced!$N$3:$N$102</c:f>
              <c:numCache>
                <c:formatCode>0</c:formatCode>
                <c:ptCount val="100"/>
                <c:pt idx="0">
                  <c:v>3236.6065950810148</c:v>
                </c:pt>
                <c:pt idx="1">
                  <c:v>3495.2834663876529</c:v>
                </c:pt>
                <c:pt idx="2">
                  <c:v>3366.9167183803493</c:v>
                </c:pt>
                <c:pt idx="3">
                  <c:v>3481.1629252318908</c:v>
                </c:pt>
                <c:pt idx="4">
                  <c:v>3588.2957541580531</c:v>
                </c:pt>
                <c:pt idx="5">
                  <c:v>3425.5021157870269</c:v>
                </c:pt>
                <c:pt idx="6">
                  <c:v>3298.107496892364</c:v>
                </c:pt>
                <c:pt idx="7">
                  <c:v>3538.224530966379</c:v>
                </c:pt>
                <c:pt idx="8">
                  <c:v>3630.2871192076741</c:v>
                </c:pt>
                <c:pt idx="9">
                  <c:v>2831.9639454181934</c:v>
                </c:pt>
                <c:pt idx="10">
                  <c:v>3274.0758166077435</c:v>
                </c:pt>
                <c:pt idx="11">
                  <c:v>3526.6062053653477</c:v>
                </c:pt>
                <c:pt idx="12">
                  <c:v>3736.1497179405887</c:v>
                </c:pt>
                <c:pt idx="13">
                  <c:v>3746.0427831379684</c:v>
                </c:pt>
                <c:pt idx="14">
                  <c:v>3453.8662286780009</c:v>
                </c:pt>
                <c:pt idx="15">
                  <c:v>3726.2717789374224</c:v>
                </c:pt>
                <c:pt idx="16">
                  <c:v>3867.5634917073153</c:v>
                </c:pt>
                <c:pt idx="17">
                  <c:v>3706.0641625518174</c:v>
                </c:pt>
                <c:pt idx="18">
                  <c:v>3643.0835601392146</c:v>
                </c:pt>
                <c:pt idx="19">
                  <c:v>3006.4144346592907</c:v>
                </c:pt>
                <c:pt idx="20">
                  <c:v>3185.4419539301748</c:v>
                </c:pt>
                <c:pt idx="21">
                  <c:v>3536.0380855725393</c:v>
                </c:pt>
                <c:pt idx="22">
                  <c:v>3748.0413264801768</c:v>
                </c:pt>
                <c:pt idx="23">
                  <c:v>3695.8207234465081</c:v>
                </c:pt>
                <c:pt idx="24">
                  <c:v>3315.6075534736024</c:v>
                </c:pt>
                <c:pt idx="25">
                  <c:v>3280.4621589015142</c:v>
                </c:pt>
                <c:pt idx="26">
                  <c:v>3726.293632583046</c:v>
                </c:pt>
                <c:pt idx="27">
                  <c:v>3657.1394490131447</c:v>
                </c:pt>
                <c:pt idx="28">
                  <c:v>3545.2712097075955</c:v>
                </c:pt>
                <c:pt idx="29">
                  <c:v>3037.0086334720477</c:v>
                </c:pt>
                <c:pt idx="30">
                  <c:v>3239.1387967256342</c:v>
                </c:pt>
                <c:pt idx="31">
                  <c:v>3594.9009736269363</c:v>
                </c:pt>
                <c:pt idx="32">
                  <c:v>3672.3403145555499</c:v>
                </c:pt>
                <c:pt idx="33">
                  <c:v>3627.6258389840805</c:v>
                </c:pt>
                <c:pt idx="34">
                  <c:v>3355.3254985635135</c:v>
                </c:pt>
                <c:pt idx="35">
                  <c:v>3572.9334135893714</c:v>
                </c:pt>
                <c:pt idx="36">
                  <c:v>3638.4262305304001</c:v>
                </c:pt>
                <c:pt idx="37">
                  <c:v>3559.8941588884732</c:v>
                </c:pt>
                <c:pt idx="38">
                  <c:v>2965.0451013599841</c:v>
                </c:pt>
                <c:pt idx="39">
                  <c:v>2625.2860388403565</c:v>
                </c:pt>
                <c:pt idx="40">
                  <c:v>2182.1887900087509</c:v>
                </c:pt>
                <c:pt idx="41">
                  <c:v>1869.4730879696626</c:v>
                </c:pt>
                <c:pt idx="42">
                  <c:v>2497.63292249909</c:v>
                </c:pt>
                <c:pt idx="43">
                  <c:v>2416.3785289154753</c:v>
                </c:pt>
                <c:pt idx="44">
                  <c:v>1915.5083624173944</c:v>
                </c:pt>
                <c:pt idx="45">
                  <c:v>1947.6904848821698</c:v>
                </c:pt>
                <c:pt idx="46">
                  <c:v>2171.0886103241082</c:v>
                </c:pt>
                <c:pt idx="47">
                  <c:v>2240.576821752356</c:v>
                </c:pt>
                <c:pt idx="48">
                  <c:v>1846.1562855532327</c:v>
                </c:pt>
                <c:pt idx="49">
                  <c:v>1557.0174042799702</c:v>
                </c:pt>
                <c:pt idx="50">
                  <c:v>3517.6838685982721</c:v>
                </c:pt>
                <c:pt idx="51">
                  <c:v>3722.8308936147218</c:v>
                </c:pt>
                <c:pt idx="52">
                  <c:v>3845.2425518467981</c:v>
                </c:pt>
                <c:pt idx="53">
                  <c:v>3739.1879065542512</c:v>
                </c:pt>
                <c:pt idx="54">
                  <c:v>3572.5498315076625</c:v>
                </c:pt>
                <c:pt idx="55">
                  <c:v>3602.6174352501616</c:v>
                </c:pt>
                <c:pt idx="56">
                  <c:v>3594.4836183989387</c:v>
                </c:pt>
                <c:pt idx="57">
                  <c:v>3506.1763770564253</c:v>
                </c:pt>
                <c:pt idx="58">
                  <c:v>3450.8401421694516</c:v>
                </c:pt>
                <c:pt idx="59">
                  <c:v>2854.7681919093257</c:v>
                </c:pt>
                <c:pt idx="60">
                  <c:v>3433.6489909380271</c:v>
                </c:pt>
                <c:pt idx="61">
                  <c:v>3530.3975123173959</c:v>
                </c:pt>
                <c:pt idx="62">
                  <c:v>3428.4483152564371</c:v>
                </c:pt>
                <c:pt idx="63">
                  <c:v>3324.8988611883842</c:v>
                </c:pt>
                <c:pt idx="64">
                  <c:v>3487.9783851711527</c:v>
                </c:pt>
                <c:pt idx="65">
                  <c:v>3605.086861007755</c:v>
                </c:pt>
                <c:pt idx="66">
                  <c:v>3222.5507841602653</c:v>
                </c:pt>
                <c:pt idx="67">
                  <c:v>3524.6748111137663</c:v>
                </c:pt>
                <c:pt idx="68">
                  <c:v>3232.2513765543058</c:v>
                </c:pt>
                <c:pt idx="69">
                  <c:v>2586.7917321819714</c:v>
                </c:pt>
                <c:pt idx="70">
                  <c:v>2956.5740026711705</c:v>
                </c:pt>
                <c:pt idx="71">
                  <c:v>3421.7789775932897</c:v>
                </c:pt>
                <c:pt idx="72">
                  <c:v>2949.3808614200711</c:v>
                </c:pt>
                <c:pt idx="73">
                  <c:v>4735.1377380069316</c:v>
                </c:pt>
                <c:pt idx="74">
                  <c:v>2777.6045414387586</c:v>
                </c:pt>
                <c:pt idx="75">
                  <c:v>3455.2166013056258</c:v>
                </c:pt>
                <c:pt idx="76">
                  <c:v>3466.4463637113631</c:v>
                </c:pt>
                <c:pt idx="77">
                  <c:v>2992.895263028292</c:v>
                </c:pt>
                <c:pt idx="78">
                  <c:v>3193.1690828763008</c:v>
                </c:pt>
                <c:pt idx="79">
                  <c:v>1858.6489941333984</c:v>
                </c:pt>
                <c:pt idx="80">
                  <c:v>2872.4927137188233</c:v>
                </c:pt>
                <c:pt idx="81">
                  <c:v>3337.8913887344693</c:v>
                </c:pt>
                <c:pt idx="82">
                  <c:v>3400.9251677716952</c:v>
                </c:pt>
                <c:pt idx="83">
                  <c:v>3559.46097239745</c:v>
                </c:pt>
                <c:pt idx="84">
                  <c:v>3424.920020711676</c:v>
                </c:pt>
                <c:pt idx="85">
                  <c:v>3447.194251952661</c:v>
                </c:pt>
                <c:pt idx="86">
                  <c:v>3374.3270833368974</c:v>
                </c:pt>
                <c:pt idx="87">
                  <c:v>3447.8749270913713</c:v>
                </c:pt>
                <c:pt idx="88">
                  <c:v>2597.6593927272447</c:v>
                </c:pt>
                <c:pt idx="89">
                  <c:v>2243.7838128924932</c:v>
                </c:pt>
                <c:pt idx="90">
                  <c:v>1383.9669242876362</c:v>
                </c:pt>
                <c:pt idx="91">
                  <c:v>1179.9318771169353</c:v>
                </c:pt>
                <c:pt idx="92">
                  <c:v>1973.3708993218113</c:v>
                </c:pt>
                <c:pt idx="93">
                  <c:v>2095.0575368490477</c:v>
                </c:pt>
                <c:pt idx="94">
                  <c:v>1829.4060096304447</c:v>
                </c:pt>
                <c:pt idx="95">
                  <c:v>1424.4867227728832</c:v>
                </c:pt>
                <c:pt idx="96">
                  <c:v>1186.7361179010829</c:v>
                </c:pt>
                <c:pt idx="97">
                  <c:v>1494.3203321890355</c:v>
                </c:pt>
                <c:pt idx="98">
                  <c:v>1225.9266886749199</c:v>
                </c:pt>
                <c:pt idx="99">
                  <c:v>951.36593397755973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D6-48FD-B752-24A528CFBD74}"/>
            </c:ext>
          </c:extLst>
        </c:ser>
        <c:ser>
          <c:idx val="2"/>
          <c:order val="2"/>
          <c:tx>
            <c:v>Seed Cotton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OrigReduced!$I$3:$I$102</c:f>
              <c:numCache>
                <c:formatCode>0</c:formatCode>
                <c:ptCount val="100"/>
                <c:pt idx="0">
                  <c:v>5465.899609209926</c:v>
                </c:pt>
                <c:pt idx="1">
                  <c:v>5881.8191318339323</c:v>
                </c:pt>
                <c:pt idx="2">
                  <c:v>5617.5894832503418</c:v>
                </c:pt>
                <c:pt idx="3">
                  <c:v>5479.4383923489077</c:v>
                </c:pt>
                <c:pt idx="4">
                  <c:v>5665.4795646324801</c:v>
                </c:pt>
                <c:pt idx="5">
                  <c:v>5921.2842377410325</c:v>
                </c:pt>
                <c:pt idx="6">
                  <c:v>5388.1183813362695</c:v>
                </c:pt>
                <c:pt idx="7">
                  <c:v>5935.5854859470746</c:v>
                </c:pt>
                <c:pt idx="8">
                  <c:v>5718.1676277184852</c:v>
                </c:pt>
                <c:pt idx="9">
                  <c:v>4845.5703616443998</c:v>
                </c:pt>
                <c:pt idx="10">
                  <c:v>5538.8196053643569</c:v>
                </c:pt>
                <c:pt idx="11">
                  <c:v>5912.7146473081975</c:v>
                </c:pt>
                <c:pt idx="12">
                  <c:v>6168.3323826248834</c:v>
                </c:pt>
                <c:pt idx="13">
                  <c:v>5922.5586685135113</c:v>
                </c:pt>
                <c:pt idx="14">
                  <c:v>6040.0598967548867</c:v>
                </c:pt>
                <c:pt idx="15">
                  <c:v>6009.1533380794581</c:v>
                </c:pt>
                <c:pt idx="16">
                  <c:v>6141.7607250070223</c:v>
                </c:pt>
                <c:pt idx="17">
                  <c:v>6131.3543983157269</c:v>
                </c:pt>
                <c:pt idx="18">
                  <c:v>5975.7997129377127</c:v>
                </c:pt>
                <c:pt idx="19">
                  <c:v>4930.516505026987</c:v>
                </c:pt>
                <c:pt idx="20">
                  <c:v>5201.3212335937696</c:v>
                </c:pt>
                <c:pt idx="21">
                  <c:v>5887.2266237953809</c:v>
                </c:pt>
                <c:pt idx="22">
                  <c:v>6133.2153177795699</c:v>
                </c:pt>
                <c:pt idx="23">
                  <c:v>5984.4018627553287</c:v>
                </c:pt>
                <c:pt idx="24">
                  <c:v>5430.926380704821</c:v>
                </c:pt>
                <c:pt idx="25">
                  <c:v>5357.5376388018776</c:v>
                </c:pt>
                <c:pt idx="26">
                  <c:v>6038.9591207389622</c:v>
                </c:pt>
                <c:pt idx="27">
                  <c:v>6230.610773355711</c:v>
                </c:pt>
                <c:pt idx="28">
                  <c:v>5606.4760525713118</c:v>
                </c:pt>
                <c:pt idx="29">
                  <c:v>4901.4551399018728</c:v>
                </c:pt>
                <c:pt idx="30">
                  <c:v>5155.6179396665984</c:v>
                </c:pt>
                <c:pt idx="31">
                  <c:v>5864.9949173903151</c:v>
                </c:pt>
                <c:pt idx="32">
                  <c:v>6025.0868142124291</c:v>
                </c:pt>
                <c:pt idx="33">
                  <c:v>5742.5416255862219</c:v>
                </c:pt>
                <c:pt idx="34">
                  <c:v>5611.381930901216</c:v>
                </c:pt>
                <c:pt idx="35">
                  <c:v>5889.2773066858881</c:v>
                </c:pt>
                <c:pt idx="36">
                  <c:v>5963.8092797603331</c:v>
                </c:pt>
                <c:pt idx="37">
                  <c:v>5881.5579495097963</c:v>
                </c:pt>
                <c:pt idx="38">
                  <c:v>4700.3882160295061</c:v>
                </c:pt>
                <c:pt idx="39">
                  <c:v>4238.9708425179006</c:v>
                </c:pt>
                <c:pt idx="40">
                  <c:v>3645.7094654189314</c:v>
                </c:pt>
                <c:pt idx="41">
                  <c:v>3087.7574313462192</c:v>
                </c:pt>
                <c:pt idx="42">
                  <c:v>4130.2037906951373</c:v>
                </c:pt>
                <c:pt idx="43">
                  <c:v>3968.9984985634751</c:v>
                </c:pt>
                <c:pt idx="44">
                  <c:v>3073.3427252960423</c:v>
                </c:pt>
                <c:pt idx="45">
                  <c:v>3245.7399070820015</c:v>
                </c:pt>
                <c:pt idx="46">
                  <c:v>3567.7191389519348</c:v>
                </c:pt>
                <c:pt idx="47">
                  <c:v>3631.0318367167993</c:v>
                </c:pt>
                <c:pt idx="48">
                  <c:v>3111.4346400054137</c:v>
                </c:pt>
                <c:pt idx="49">
                  <c:v>2514.5062691325802</c:v>
                </c:pt>
                <c:pt idx="50">
                  <c:v>5682.5055983800739</c:v>
                </c:pt>
                <c:pt idx="51">
                  <c:v>5929.5923042707946</c:v>
                </c:pt>
                <c:pt idx="52">
                  <c:v>6138.8854689660366</c:v>
                </c:pt>
                <c:pt idx="53">
                  <c:v>6124.3741378224186</c:v>
                </c:pt>
                <c:pt idx="54">
                  <c:v>5559.7372294575434</c:v>
                </c:pt>
                <c:pt idx="55">
                  <c:v>5909.5750572854604</c:v>
                </c:pt>
                <c:pt idx="56">
                  <c:v>5947.4619367495461</c:v>
                </c:pt>
                <c:pt idx="57">
                  <c:v>5580.9292416546396</c:v>
                </c:pt>
                <c:pt idx="58">
                  <c:v>5602.2862562646915</c:v>
                </c:pt>
                <c:pt idx="59">
                  <c:v>4646.6185581786176</c:v>
                </c:pt>
                <c:pt idx="60">
                  <c:v>5687.1711309436278</c:v>
                </c:pt>
                <c:pt idx="61">
                  <c:v>5832.3634759307115</c:v>
                </c:pt>
                <c:pt idx="62">
                  <c:v>5554.773596985272</c:v>
                </c:pt>
                <c:pt idx="63">
                  <c:v>5533.0566474708357</c:v>
                </c:pt>
                <c:pt idx="64">
                  <c:v>5674.1325782077329</c:v>
                </c:pt>
                <c:pt idx="65">
                  <c:v>5793.416776500575</c:v>
                </c:pt>
                <c:pt idx="66">
                  <c:v>5566.33733388974</c:v>
                </c:pt>
                <c:pt idx="67">
                  <c:v>5686.9048320488873</c:v>
                </c:pt>
                <c:pt idx="68">
                  <c:v>5502.3442253786507</c:v>
                </c:pt>
                <c:pt idx="69">
                  <c:v>4242.740528324457</c:v>
                </c:pt>
                <c:pt idx="70">
                  <c:v>4905.2208062042191</c:v>
                </c:pt>
                <c:pt idx="71">
                  <c:v>5635.8198705591903</c:v>
                </c:pt>
                <c:pt idx="72">
                  <c:v>5654.8484397798584</c:v>
                </c:pt>
                <c:pt idx="73">
                  <c:v>6570.390178700447</c:v>
                </c:pt>
                <c:pt idx="74">
                  <c:v>4408.8245378216552</c:v>
                </c:pt>
                <c:pt idx="75">
                  <c:v>5695.5113125111402</c:v>
                </c:pt>
                <c:pt idx="76">
                  <c:v>5781.1233661796932</c:v>
                </c:pt>
                <c:pt idx="77">
                  <c:v>4995.8354149119914</c:v>
                </c:pt>
                <c:pt idx="78">
                  <c:v>5365.509434706446</c:v>
                </c:pt>
                <c:pt idx="79">
                  <c:v>3016.7543055888127</c:v>
                </c:pt>
                <c:pt idx="80">
                  <c:v>4632.6777446988744</c:v>
                </c:pt>
                <c:pt idx="81">
                  <c:v>5408.7707408753286</c:v>
                </c:pt>
                <c:pt idx="82">
                  <c:v>5556.0506599827786</c:v>
                </c:pt>
                <c:pt idx="83">
                  <c:v>5854.9041943620177</c:v>
                </c:pt>
                <c:pt idx="84">
                  <c:v>5655.9471421736307</c:v>
                </c:pt>
                <c:pt idx="85">
                  <c:v>5468.8390920689917</c:v>
                </c:pt>
                <c:pt idx="86">
                  <c:v>5463.8365099981811</c:v>
                </c:pt>
                <c:pt idx="87">
                  <c:v>5575.3096519366391</c:v>
                </c:pt>
                <c:pt idx="88">
                  <c:v>4302.3597108051163</c:v>
                </c:pt>
                <c:pt idx="89">
                  <c:v>3626.5421919359769</c:v>
                </c:pt>
                <c:pt idx="90">
                  <c:v>2256.815951253036</c:v>
                </c:pt>
                <c:pt idx="91">
                  <c:v>1865.500616461045</c:v>
                </c:pt>
                <c:pt idx="92">
                  <c:v>2973.0099463788138</c:v>
                </c:pt>
                <c:pt idx="93">
                  <c:v>3495.0550821036068</c:v>
                </c:pt>
                <c:pt idx="94">
                  <c:v>2922.9150084158691</c:v>
                </c:pt>
                <c:pt idx="95">
                  <c:v>2291.8877019996853</c:v>
                </c:pt>
                <c:pt idx="96">
                  <c:v>1876.284723889268</c:v>
                </c:pt>
                <c:pt idx="97">
                  <c:v>2510.2803781249154</c:v>
                </c:pt>
                <c:pt idx="98">
                  <c:v>2017.1667823699609</c:v>
                </c:pt>
                <c:pt idx="99">
                  <c:v>1477.0495010501036</c:v>
                </c:pt>
              </c:numCache>
            </c:numRef>
          </c:xVal>
          <c:yVal>
            <c:numRef>
              <c:f>OrigReduced!$O$3:$O$102</c:f>
              <c:numCache>
                <c:formatCode>0</c:formatCode>
                <c:ptCount val="100"/>
                <c:pt idx="0">
                  <c:v>5827.2402018614448</c:v>
                </c:pt>
                <c:pt idx="1">
                  <c:v>6402.5510322119026</c:v>
                </c:pt>
                <c:pt idx="2">
                  <c:v>6051.555909191793</c:v>
                </c:pt>
                <c:pt idx="3">
                  <c:v>6023.4068211291124</c:v>
                </c:pt>
                <c:pt idx="4">
                  <c:v>6404.2034787731463</c:v>
                </c:pt>
                <c:pt idx="5">
                  <c:v>6116.6332728122024</c:v>
                </c:pt>
                <c:pt idx="6">
                  <c:v>5946.2045438603891</c:v>
                </c:pt>
                <c:pt idx="7">
                  <c:v>6345.6050904467056</c:v>
                </c:pt>
                <c:pt idx="8">
                  <c:v>6367.8325954354759</c:v>
                </c:pt>
                <c:pt idx="9">
                  <c:v>5060.3463451714415</c:v>
                </c:pt>
                <c:pt idx="10">
                  <c:v>5921.4227542918852</c:v>
                </c:pt>
                <c:pt idx="11">
                  <c:v>6331.13106095886</c:v>
                </c:pt>
                <c:pt idx="12">
                  <c:v>6611.2153689875613</c:v>
                </c:pt>
                <c:pt idx="13">
                  <c:v>6620.4329039875374</c:v>
                </c:pt>
                <c:pt idx="14">
                  <c:v>6280.0201920311338</c:v>
                </c:pt>
                <c:pt idx="15">
                  <c:v>6619.84503487439</c:v>
                </c:pt>
                <c:pt idx="16">
                  <c:v>6823.4273685987</c:v>
                </c:pt>
                <c:pt idx="17">
                  <c:v>6579.9804194442295</c:v>
                </c:pt>
                <c:pt idx="18">
                  <c:v>6490.22874862145</c:v>
                </c:pt>
                <c:pt idx="19">
                  <c:v>5295.8506178037951</c:v>
                </c:pt>
                <c:pt idx="20">
                  <c:v>5820.3694024153701</c:v>
                </c:pt>
                <c:pt idx="21">
                  <c:v>6394.2170110147199</c:v>
                </c:pt>
                <c:pt idx="22">
                  <c:v>6700.665295208315</c:v>
                </c:pt>
                <c:pt idx="23">
                  <c:v>6570.5184871571855</c:v>
                </c:pt>
                <c:pt idx="24">
                  <c:v>5923.0942678325864</c:v>
                </c:pt>
                <c:pt idx="25">
                  <c:v>5852.4635899462937</c:v>
                </c:pt>
                <c:pt idx="26">
                  <c:v>6568.1805637982088</c:v>
                </c:pt>
                <c:pt idx="27">
                  <c:v>6499.6410261576766</c:v>
                </c:pt>
                <c:pt idx="28">
                  <c:v>6272.422339033109</c:v>
                </c:pt>
                <c:pt idx="29">
                  <c:v>5360.7681506241552</c:v>
                </c:pt>
                <c:pt idx="30">
                  <c:v>5795.4142512027829</c:v>
                </c:pt>
                <c:pt idx="31">
                  <c:v>6354.6130691025828</c:v>
                </c:pt>
                <c:pt idx="32">
                  <c:v>6459.6959176157779</c:v>
                </c:pt>
                <c:pt idx="33">
                  <c:v>6406.5823960103771</c:v>
                </c:pt>
                <c:pt idx="34">
                  <c:v>5984.1028875620013</c:v>
                </c:pt>
                <c:pt idx="35">
                  <c:v>6331.0006791147425</c:v>
                </c:pt>
                <c:pt idx="36">
                  <c:v>6506.5862038838131</c:v>
                </c:pt>
                <c:pt idx="37">
                  <c:v>6363.6469819207941</c:v>
                </c:pt>
                <c:pt idx="38">
                  <c:v>5226.044861129797</c:v>
                </c:pt>
                <c:pt idx="39">
                  <c:v>4583.7143653001822</c:v>
                </c:pt>
                <c:pt idx="40">
                  <c:v>3842.2165315987495</c:v>
                </c:pt>
                <c:pt idx="41">
                  <c:v>3334.604420330993</c:v>
                </c:pt>
                <c:pt idx="42">
                  <c:v>4372.6580994674814</c:v>
                </c:pt>
                <c:pt idx="43">
                  <c:v>4192.682508420261</c:v>
                </c:pt>
                <c:pt idx="44">
                  <c:v>3420.7866190152577</c:v>
                </c:pt>
                <c:pt idx="45">
                  <c:v>3485.9709231572706</c:v>
                </c:pt>
                <c:pt idx="46">
                  <c:v>3823.7778902252599</c:v>
                </c:pt>
                <c:pt idx="47">
                  <c:v>3946.8474000842461</c:v>
                </c:pt>
                <c:pt idx="48">
                  <c:v>3323.2765711386592</c:v>
                </c:pt>
                <c:pt idx="49">
                  <c:v>2779.2591302647907</c:v>
                </c:pt>
                <c:pt idx="50">
                  <c:v>6187.4955042944939</c:v>
                </c:pt>
                <c:pt idx="51">
                  <c:v>6533.8960605447419</c:v>
                </c:pt>
                <c:pt idx="52">
                  <c:v>6683.8080088922525</c:v>
                </c:pt>
                <c:pt idx="53">
                  <c:v>6703.7393291233147</c:v>
                </c:pt>
                <c:pt idx="54">
                  <c:v>6343.6400694701451</c:v>
                </c:pt>
                <c:pt idx="55">
                  <c:v>6456.7686443403181</c:v>
                </c:pt>
                <c:pt idx="56">
                  <c:v>6382.8110791274157</c:v>
                </c:pt>
                <c:pt idx="57">
                  <c:v>6111.9329651453636</c:v>
                </c:pt>
                <c:pt idx="58">
                  <c:v>6194.8817010029925</c:v>
                </c:pt>
                <c:pt idx="59">
                  <c:v>5082.5493056589057</c:v>
                </c:pt>
                <c:pt idx="60">
                  <c:v>6052.3478176685585</c:v>
                </c:pt>
                <c:pt idx="61">
                  <c:v>6213.5112482141421</c:v>
                </c:pt>
                <c:pt idx="62">
                  <c:v>6115.9512076671363</c:v>
                </c:pt>
                <c:pt idx="63">
                  <c:v>5848.634941799326</c:v>
                </c:pt>
                <c:pt idx="64">
                  <c:v>6075.9454777956507</c:v>
                </c:pt>
                <c:pt idx="65">
                  <c:v>6425.7790028377203</c:v>
                </c:pt>
                <c:pt idx="66">
                  <c:v>5708.5651511205588</c:v>
                </c:pt>
                <c:pt idx="67">
                  <c:v>6260.216776893476</c:v>
                </c:pt>
                <c:pt idx="68">
                  <c:v>5755.7261856728928</c:v>
                </c:pt>
                <c:pt idx="69">
                  <c:v>4509.020343846465</c:v>
                </c:pt>
                <c:pt idx="70">
                  <c:v>5146.1224139710848</c:v>
                </c:pt>
                <c:pt idx="71">
                  <c:v>6054.442659394681</c:v>
                </c:pt>
                <c:pt idx="72">
                  <c:v>5228.8802316947931</c:v>
                </c:pt>
                <c:pt idx="73">
                  <c:v>8251.8059958374924</c:v>
                </c:pt>
                <c:pt idx="74">
                  <c:v>4801.1682040568212</c:v>
                </c:pt>
                <c:pt idx="75">
                  <c:v>6067.1555696954529</c:v>
                </c:pt>
                <c:pt idx="76">
                  <c:v>6199.0582627994409</c:v>
                </c:pt>
                <c:pt idx="77">
                  <c:v>5209.1815512971807</c:v>
                </c:pt>
                <c:pt idx="78">
                  <c:v>5689.7721239156544</c:v>
                </c:pt>
                <c:pt idx="79">
                  <c:v>3269.1509297612129</c:v>
                </c:pt>
                <c:pt idx="80">
                  <c:v>5019.3511288252184</c:v>
                </c:pt>
                <c:pt idx="81">
                  <c:v>5874.0403535436235</c:v>
                </c:pt>
                <c:pt idx="82">
                  <c:v>5972.7751774425378</c:v>
                </c:pt>
                <c:pt idx="83">
                  <c:v>6158.2003747605213</c:v>
                </c:pt>
                <c:pt idx="84">
                  <c:v>6042.9310173428639</c:v>
                </c:pt>
                <c:pt idx="85">
                  <c:v>6030.8087308589529</c:v>
                </c:pt>
                <c:pt idx="86">
                  <c:v>5917.4385600129717</c:v>
                </c:pt>
                <c:pt idx="87">
                  <c:v>6026.804902672231</c:v>
                </c:pt>
                <c:pt idx="88">
                  <c:v>4542.9898623236695</c:v>
                </c:pt>
                <c:pt idx="89">
                  <c:v>3857.365488207216</c:v>
                </c:pt>
                <c:pt idx="90">
                  <c:v>2431.7807449272091</c:v>
                </c:pt>
                <c:pt idx="91">
                  <c:v>2084.1610807429006</c:v>
                </c:pt>
                <c:pt idx="92">
                  <c:v>3486.0579173305364</c:v>
                </c:pt>
                <c:pt idx="93">
                  <c:v>3655.3778035300397</c:v>
                </c:pt>
                <c:pt idx="94">
                  <c:v>3221.6812241132275</c:v>
                </c:pt>
                <c:pt idx="95">
                  <c:v>2483.20153251595</c:v>
                </c:pt>
                <c:pt idx="96">
                  <c:v>2096.4333063936483</c:v>
                </c:pt>
                <c:pt idx="97">
                  <c:v>2650.8946135525448</c:v>
                </c:pt>
                <c:pt idx="98">
                  <c:v>2164.5706333319999</c:v>
                </c:pt>
                <c:pt idx="99">
                  <c:v>1650.0198944971341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9D6-48FD-B752-24A528CFBD74}"/>
            </c:ext>
          </c:extLst>
        </c:ser>
        <c:ser>
          <c:idx val="3"/>
          <c:order val="3"/>
          <c:spPr>
            <a:ln w="22225" cap="rnd">
              <a:solidFill>
                <a:prstClr val="black"/>
              </a:solidFill>
              <a:round/>
            </a:ln>
            <a:effectLst/>
          </c:spPr>
          <c:marker>
            <c:symbol val="none"/>
          </c:marker>
          <c:xVal>
            <c:numRef>
              <c:f>OrigReduced!$X$8:$X$9</c:f>
              <c:numCache>
                <c:formatCode>General</c:formatCode>
                <c:ptCount val="2"/>
                <c:pt idx="0">
                  <c:v>0</c:v>
                </c:pt>
                <c:pt idx="1">
                  <c:v>7000</c:v>
                </c:pt>
              </c:numCache>
            </c:numRef>
          </c:xVal>
          <c:yVal>
            <c:numRef>
              <c:f>OrigReduced!$X$8:$X$9</c:f>
              <c:numCache>
                <c:formatCode>General</c:formatCode>
                <c:ptCount val="2"/>
                <c:pt idx="0">
                  <c:v>0</c:v>
                </c:pt>
                <c:pt idx="1">
                  <c:v>7000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9D6-48FD-B752-24A528CFB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7868744"/>
        <c:axId val="178681000"/>
      </c:scatterChart>
      <c:valAx>
        <c:axId val="247868744"/>
        <c:scaling>
          <c:orientation val="minMax"/>
          <c:max val="700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Bulk Sample Ginning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681000"/>
        <c:crosses val="autoZero"/>
        <c:crossBetween val="midCat"/>
      </c:valAx>
      <c:valAx>
        <c:axId val="178681000"/>
        <c:scaling>
          <c:orientation val="minMax"/>
          <c:max val="7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Moisture</a:t>
                </a:r>
                <a:r>
                  <a:rPr lang="en-US" baseline="0"/>
                  <a:t> Sample Ginning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7868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571500</xdr:colOff>
      <xdr:row>3</xdr:row>
      <xdr:rowOff>56197</xdr:rowOff>
    </xdr:from>
    <xdr:to>
      <xdr:col>11</xdr:col>
      <xdr:colOff>266700</xdr:colOff>
      <xdr:row>18</xdr:row>
      <xdr:rowOff>82867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0E2BF5-76DC-3A75-1A23-388A87245A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581025</xdr:colOff>
      <xdr:row>19</xdr:row>
      <xdr:rowOff>66675</xdr:rowOff>
    </xdr:from>
    <xdr:to>
      <xdr:col>11</xdr:col>
      <xdr:colOff>276225</xdr:colOff>
      <xdr:row>34</xdr:row>
      <xdr:rowOff>87630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BD0F28E-6F24-43BD-A860-C602759004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220980</xdr:colOff>
      <xdr:row>9</xdr:row>
      <xdr:rowOff>189174</xdr:rowOff>
    </xdr:from>
    <xdr:to>
      <xdr:col>2</xdr:col>
      <xdr:colOff>470330</xdr:colOff>
      <xdr:row>9</xdr:row>
      <xdr:rowOff>472439</xdr:rowOff>
    </xdr:to>
    <xdr:sp macro="" textlink="">
      <xdr:nvSpPr>
        <xdr:cNvPr id="2" name="Cloud 1">
          <a:extLst>
            <a:ext uri="{FF2B5EF4-FFF2-40B4-BE49-F238E27FC236}">
              <a16:creationId xmlns:a16="http://schemas.microsoft.com/office/drawing/2014/main" id="{910F5F8B-DE94-4445-8E72-BC4271890584}"/>
            </a:ext>
          </a:extLst>
        </xdr:cNvPr>
        <xdr:cNvSpPr/>
      </xdr:nvSpPr>
      <xdr:spPr>
        <a:xfrm>
          <a:off x="1592580" y="1808424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3</xdr:col>
      <xdr:colOff>228600</xdr:colOff>
      <xdr:row>9</xdr:row>
      <xdr:rowOff>182880</xdr:rowOff>
    </xdr:from>
    <xdr:to>
      <xdr:col>3</xdr:col>
      <xdr:colOff>477950</xdr:colOff>
      <xdr:row>9</xdr:row>
      <xdr:rowOff>466145</xdr:rowOff>
    </xdr:to>
    <xdr:sp macro="" textlink="">
      <xdr:nvSpPr>
        <xdr:cNvPr id="3" name="Cloud 2">
          <a:extLst>
            <a:ext uri="{FF2B5EF4-FFF2-40B4-BE49-F238E27FC236}">
              <a16:creationId xmlns:a16="http://schemas.microsoft.com/office/drawing/2014/main" id="{8E3E0F0E-30E5-4F5F-96F6-A54E7007F70B}"/>
            </a:ext>
          </a:extLst>
        </xdr:cNvPr>
        <xdr:cNvSpPr/>
      </xdr:nvSpPr>
      <xdr:spPr>
        <a:xfrm>
          <a:off x="2286000" y="1811655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1</xdr:col>
      <xdr:colOff>274320</xdr:colOff>
      <xdr:row>9</xdr:row>
      <xdr:rowOff>190500</xdr:rowOff>
    </xdr:from>
    <xdr:to>
      <xdr:col>1</xdr:col>
      <xdr:colOff>523670</xdr:colOff>
      <xdr:row>9</xdr:row>
      <xdr:rowOff>473765</xdr:rowOff>
    </xdr:to>
    <xdr:sp macro="" textlink="">
      <xdr:nvSpPr>
        <xdr:cNvPr id="4" name="Cloud 3">
          <a:extLst>
            <a:ext uri="{FF2B5EF4-FFF2-40B4-BE49-F238E27FC236}">
              <a16:creationId xmlns:a16="http://schemas.microsoft.com/office/drawing/2014/main" id="{44BD33B9-0FA1-409C-AE34-F003DB08EE8B}"/>
            </a:ext>
          </a:extLst>
        </xdr:cNvPr>
        <xdr:cNvSpPr/>
      </xdr:nvSpPr>
      <xdr:spPr>
        <a:xfrm>
          <a:off x="960120" y="1809750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4</xdr:col>
      <xdr:colOff>198120</xdr:colOff>
      <xdr:row>9</xdr:row>
      <xdr:rowOff>198120</xdr:rowOff>
    </xdr:from>
    <xdr:to>
      <xdr:col>4</xdr:col>
      <xdr:colOff>447470</xdr:colOff>
      <xdr:row>9</xdr:row>
      <xdr:rowOff>481385</xdr:rowOff>
    </xdr:to>
    <xdr:sp macro="" textlink="">
      <xdr:nvSpPr>
        <xdr:cNvPr id="5" name="Cloud 4">
          <a:extLst>
            <a:ext uri="{FF2B5EF4-FFF2-40B4-BE49-F238E27FC236}">
              <a16:creationId xmlns:a16="http://schemas.microsoft.com/office/drawing/2014/main" id="{9603B9A2-B23A-4BB9-831F-08242BEBF1B2}"/>
            </a:ext>
          </a:extLst>
        </xdr:cNvPr>
        <xdr:cNvSpPr/>
      </xdr:nvSpPr>
      <xdr:spPr>
        <a:xfrm>
          <a:off x="2941320" y="1807845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1</xdr:col>
      <xdr:colOff>289560</xdr:colOff>
      <xdr:row>11</xdr:row>
      <xdr:rowOff>167640</xdr:rowOff>
    </xdr:from>
    <xdr:to>
      <xdr:col>4</xdr:col>
      <xdr:colOff>462710</xdr:colOff>
      <xdr:row>11</xdr:row>
      <xdr:rowOff>466145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06C7172E-CFC9-4711-9070-7267FABC3E3B}"/>
            </a:ext>
          </a:extLst>
        </xdr:cNvPr>
        <xdr:cNvGrpSpPr/>
      </xdr:nvGrpSpPr>
      <xdr:grpSpPr>
        <a:xfrm>
          <a:off x="894678" y="3226846"/>
          <a:ext cx="1988503" cy="298505"/>
          <a:chOff x="670560" y="2400300"/>
          <a:chExt cx="2184830" cy="298505"/>
        </a:xfrm>
      </xdr:grpSpPr>
      <xdr:sp macro="" textlink="">
        <xdr:nvSpPr>
          <xdr:cNvPr id="7" name="Cloud 6">
            <a:extLst>
              <a:ext uri="{FF2B5EF4-FFF2-40B4-BE49-F238E27FC236}">
                <a16:creationId xmlns:a16="http://schemas.microsoft.com/office/drawing/2014/main" id="{B873F81A-58B3-B0D7-2D8F-BC9A2ADE955A}"/>
              </a:ext>
            </a:extLst>
          </xdr:cNvPr>
          <xdr:cNvSpPr/>
        </xdr:nvSpPr>
        <xdr:spPr>
          <a:xfrm>
            <a:off x="1287780" y="2406594"/>
            <a:ext cx="249350" cy="283265"/>
          </a:xfrm>
          <a:prstGeom prst="cloud">
            <a:avLst/>
          </a:prstGeom>
          <a:noFill/>
          <a:ln w="317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en-US" sz="1100"/>
          </a:p>
          <a:p>
            <a:pPr algn="ctr"/>
            <a:r>
              <a:rPr lang="en-US" sz="1100"/>
              <a:t>A</a:t>
            </a:r>
          </a:p>
        </xdr:txBody>
      </xdr:sp>
      <xdr:sp macro="" textlink="">
        <xdr:nvSpPr>
          <xdr:cNvPr id="8" name="Cloud 7">
            <a:extLst>
              <a:ext uri="{FF2B5EF4-FFF2-40B4-BE49-F238E27FC236}">
                <a16:creationId xmlns:a16="http://schemas.microsoft.com/office/drawing/2014/main" id="{954A3BF3-2232-879C-A6F5-246026B2FFC9}"/>
              </a:ext>
            </a:extLst>
          </xdr:cNvPr>
          <xdr:cNvSpPr/>
        </xdr:nvSpPr>
        <xdr:spPr>
          <a:xfrm>
            <a:off x="1965960" y="2400300"/>
            <a:ext cx="249350" cy="283265"/>
          </a:xfrm>
          <a:prstGeom prst="cloud">
            <a:avLst/>
          </a:prstGeom>
          <a:noFill/>
          <a:ln w="317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en-US" sz="1100"/>
          </a:p>
          <a:p>
            <a:pPr algn="ctr"/>
            <a:r>
              <a:rPr lang="en-US" sz="1100"/>
              <a:t>A</a:t>
            </a:r>
          </a:p>
        </xdr:txBody>
      </xdr:sp>
      <xdr:sp macro="" textlink="">
        <xdr:nvSpPr>
          <xdr:cNvPr id="9" name="Cloud 8">
            <a:extLst>
              <a:ext uri="{FF2B5EF4-FFF2-40B4-BE49-F238E27FC236}">
                <a16:creationId xmlns:a16="http://schemas.microsoft.com/office/drawing/2014/main" id="{5CCEF7AE-4576-399E-1871-2B19CA4ADACC}"/>
              </a:ext>
            </a:extLst>
          </xdr:cNvPr>
          <xdr:cNvSpPr/>
        </xdr:nvSpPr>
        <xdr:spPr>
          <a:xfrm>
            <a:off x="670560" y="2407920"/>
            <a:ext cx="249350" cy="283265"/>
          </a:xfrm>
          <a:prstGeom prst="cloud">
            <a:avLst/>
          </a:prstGeom>
          <a:noFill/>
          <a:ln w="3175">
            <a:solidFill>
              <a:srgbClr val="DEE9D7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en-US" sz="1100"/>
          </a:p>
          <a:p>
            <a:pPr algn="ctr"/>
            <a:r>
              <a:rPr lang="en-US" sz="1100"/>
              <a:t>A</a:t>
            </a:r>
          </a:p>
        </xdr:txBody>
      </xdr:sp>
      <xdr:sp macro="" textlink="">
        <xdr:nvSpPr>
          <xdr:cNvPr id="10" name="Cloud 9">
            <a:extLst>
              <a:ext uri="{FF2B5EF4-FFF2-40B4-BE49-F238E27FC236}">
                <a16:creationId xmlns:a16="http://schemas.microsoft.com/office/drawing/2014/main" id="{FA6FD06D-A08A-55CF-7C26-90DE16100481}"/>
              </a:ext>
            </a:extLst>
          </xdr:cNvPr>
          <xdr:cNvSpPr/>
        </xdr:nvSpPr>
        <xdr:spPr>
          <a:xfrm>
            <a:off x="2606040" y="2415540"/>
            <a:ext cx="249350" cy="283265"/>
          </a:xfrm>
          <a:prstGeom prst="cloud">
            <a:avLst/>
          </a:prstGeom>
          <a:noFill/>
          <a:ln w="3175">
            <a:solidFill>
              <a:srgbClr val="DEE9D7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en-US" sz="1100"/>
          </a:p>
          <a:p>
            <a:pPr algn="ctr"/>
            <a:r>
              <a:rPr lang="en-US" sz="1100"/>
              <a:t>A</a:t>
            </a:r>
          </a:p>
        </xdr:txBody>
      </xdr:sp>
    </xdr:grpSp>
    <xdr:clientData/>
  </xdr:twoCellAnchor>
  <xdr:twoCellAnchor>
    <xdr:from>
      <xdr:col>2</xdr:col>
      <xdr:colOff>220980</xdr:colOff>
      <xdr:row>13</xdr:row>
      <xdr:rowOff>189174</xdr:rowOff>
    </xdr:from>
    <xdr:to>
      <xdr:col>2</xdr:col>
      <xdr:colOff>470330</xdr:colOff>
      <xdr:row>13</xdr:row>
      <xdr:rowOff>472439</xdr:rowOff>
    </xdr:to>
    <xdr:sp macro="" textlink="">
      <xdr:nvSpPr>
        <xdr:cNvPr id="11" name="Cloud 10">
          <a:extLst>
            <a:ext uri="{FF2B5EF4-FFF2-40B4-BE49-F238E27FC236}">
              <a16:creationId xmlns:a16="http://schemas.microsoft.com/office/drawing/2014/main" id="{29D57467-34C1-49FE-8C61-4190CBEFCE4C}"/>
            </a:ext>
          </a:extLst>
        </xdr:cNvPr>
        <xdr:cNvSpPr/>
      </xdr:nvSpPr>
      <xdr:spPr>
        <a:xfrm>
          <a:off x="1592580" y="2532324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3</xdr:col>
      <xdr:colOff>228600</xdr:colOff>
      <xdr:row>13</xdr:row>
      <xdr:rowOff>182880</xdr:rowOff>
    </xdr:from>
    <xdr:to>
      <xdr:col>3</xdr:col>
      <xdr:colOff>477950</xdr:colOff>
      <xdr:row>13</xdr:row>
      <xdr:rowOff>466145</xdr:rowOff>
    </xdr:to>
    <xdr:sp macro="" textlink="">
      <xdr:nvSpPr>
        <xdr:cNvPr id="12" name="Cloud 11">
          <a:extLst>
            <a:ext uri="{FF2B5EF4-FFF2-40B4-BE49-F238E27FC236}">
              <a16:creationId xmlns:a16="http://schemas.microsoft.com/office/drawing/2014/main" id="{E1E1245C-FD51-426E-88F3-A536CD60E8FD}"/>
            </a:ext>
          </a:extLst>
        </xdr:cNvPr>
        <xdr:cNvSpPr/>
      </xdr:nvSpPr>
      <xdr:spPr>
        <a:xfrm>
          <a:off x="2286000" y="2535555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1</xdr:col>
      <xdr:colOff>274320</xdr:colOff>
      <xdr:row>13</xdr:row>
      <xdr:rowOff>190500</xdr:rowOff>
    </xdr:from>
    <xdr:to>
      <xdr:col>1</xdr:col>
      <xdr:colOff>523670</xdr:colOff>
      <xdr:row>13</xdr:row>
      <xdr:rowOff>473765</xdr:rowOff>
    </xdr:to>
    <xdr:sp macro="" textlink="">
      <xdr:nvSpPr>
        <xdr:cNvPr id="13" name="Cloud 12">
          <a:extLst>
            <a:ext uri="{FF2B5EF4-FFF2-40B4-BE49-F238E27FC236}">
              <a16:creationId xmlns:a16="http://schemas.microsoft.com/office/drawing/2014/main" id="{FB63AC9C-5DC3-43FC-97C1-0096267B7CD0}"/>
            </a:ext>
          </a:extLst>
        </xdr:cNvPr>
        <xdr:cNvSpPr/>
      </xdr:nvSpPr>
      <xdr:spPr>
        <a:xfrm>
          <a:off x="960120" y="2533650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4</xdr:col>
      <xdr:colOff>198120</xdr:colOff>
      <xdr:row>13</xdr:row>
      <xdr:rowOff>198120</xdr:rowOff>
    </xdr:from>
    <xdr:to>
      <xdr:col>4</xdr:col>
      <xdr:colOff>447470</xdr:colOff>
      <xdr:row>13</xdr:row>
      <xdr:rowOff>481385</xdr:rowOff>
    </xdr:to>
    <xdr:sp macro="" textlink="">
      <xdr:nvSpPr>
        <xdr:cNvPr id="14" name="Cloud 13">
          <a:extLst>
            <a:ext uri="{FF2B5EF4-FFF2-40B4-BE49-F238E27FC236}">
              <a16:creationId xmlns:a16="http://schemas.microsoft.com/office/drawing/2014/main" id="{1FD9CCA0-F508-4EDE-A944-12237F61F321}"/>
            </a:ext>
          </a:extLst>
        </xdr:cNvPr>
        <xdr:cNvSpPr/>
      </xdr:nvSpPr>
      <xdr:spPr>
        <a:xfrm>
          <a:off x="2941320" y="2531745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2</xdr:col>
      <xdr:colOff>220980</xdr:colOff>
      <xdr:row>15</xdr:row>
      <xdr:rowOff>189174</xdr:rowOff>
    </xdr:from>
    <xdr:to>
      <xdr:col>2</xdr:col>
      <xdr:colOff>470330</xdr:colOff>
      <xdr:row>15</xdr:row>
      <xdr:rowOff>472439</xdr:rowOff>
    </xdr:to>
    <xdr:sp macro="" textlink="">
      <xdr:nvSpPr>
        <xdr:cNvPr id="15" name="Cloud 14">
          <a:extLst>
            <a:ext uri="{FF2B5EF4-FFF2-40B4-BE49-F238E27FC236}">
              <a16:creationId xmlns:a16="http://schemas.microsoft.com/office/drawing/2014/main" id="{E0234288-3D10-4B8D-AEFC-7AF6D1AC3962}"/>
            </a:ext>
          </a:extLst>
        </xdr:cNvPr>
        <xdr:cNvSpPr/>
      </xdr:nvSpPr>
      <xdr:spPr>
        <a:xfrm>
          <a:off x="1592580" y="2894274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3</xdr:col>
      <xdr:colOff>228600</xdr:colOff>
      <xdr:row>15</xdr:row>
      <xdr:rowOff>182880</xdr:rowOff>
    </xdr:from>
    <xdr:to>
      <xdr:col>3</xdr:col>
      <xdr:colOff>477950</xdr:colOff>
      <xdr:row>15</xdr:row>
      <xdr:rowOff>466145</xdr:rowOff>
    </xdr:to>
    <xdr:sp macro="" textlink="">
      <xdr:nvSpPr>
        <xdr:cNvPr id="16" name="Cloud 15">
          <a:extLst>
            <a:ext uri="{FF2B5EF4-FFF2-40B4-BE49-F238E27FC236}">
              <a16:creationId xmlns:a16="http://schemas.microsoft.com/office/drawing/2014/main" id="{91A7BC45-223F-4313-8A64-482D7A8FA686}"/>
            </a:ext>
          </a:extLst>
        </xdr:cNvPr>
        <xdr:cNvSpPr/>
      </xdr:nvSpPr>
      <xdr:spPr>
        <a:xfrm>
          <a:off x="2286000" y="2897505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1</xdr:col>
      <xdr:colOff>274320</xdr:colOff>
      <xdr:row>15</xdr:row>
      <xdr:rowOff>190500</xdr:rowOff>
    </xdr:from>
    <xdr:to>
      <xdr:col>1</xdr:col>
      <xdr:colOff>523670</xdr:colOff>
      <xdr:row>15</xdr:row>
      <xdr:rowOff>473765</xdr:rowOff>
    </xdr:to>
    <xdr:sp macro="" textlink="">
      <xdr:nvSpPr>
        <xdr:cNvPr id="17" name="Cloud 16">
          <a:extLst>
            <a:ext uri="{FF2B5EF4-FFF2-40B4-BE49-F238E27FC236}">
              <a16:creationId xmlns:a16="http://schemas.microsoft.com/office/drawing/2014/main" id="{DF298636-13EF-465E-81ED-3A60D4B6B06D}"/>
            </a:ext>
          </a:extLst>
        </xdr:cNvPr>
        <xdr:cNvSpPr/>
      </xdr:nvSpPr>
      <xdr:spPr>
        <a:xfrm>
          <a:off x="960120" y="2895600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4</xdr:col>
      <xdr:colOff>198120</xdr:colOff>
      <xdr:row>15</xdr:row>
      <xdr:rowOff>198120</xdr:rowOff>
    </xdr:from>
    <xdr:to>
      <xdr:col>4</xdr:col>
      <xdr:colOff>447470</xdr:colOff>
      <xdr:row>15</xdr:row>
      <xdr:rowOff>481385</xdr:rowOff>
    </xdr:to>
    <xdr:sp macro="" textlink="">
      <xdr:nvSpPr>
        <xdr:cNvPr id="18" name="Cloud 17">
          <a:extLst>
            <a:ext uri="{FF2B5EF4-FFF2-40B4-BE49-F238E27FC236}">
              <a16:creationId xmlns:a16="http://schemas.microsoft.com/office/drawing/2014/main" id="{F53E3BF2-EEDD-4A12-BDAB-1A413DD5C77C}"/>
            </a:ext>
          </a:extLst>
        </xdr:cNvPr>
        <xdr:cNvSpPr/>
      </xdr:nvSpPr>
      <xdr:spPr>
        <a:xfrm>
          <a:off x="2941320" y="2893695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2</xdr:col>
      <xdr:colOff>220980</xdr:colOff>
      <xdr:row>17</xdr:row>
      <xdr:rowOff>189174</xdr:rowOff>
    </xdr:from>
    <xdr:to>
      <xdr:col>2</xdr:col>
      <xdr:colOff>470330</xdr:colOff>
      <xdr:row>17</xdr:row>
      <xdr:rowOff>472439</xdr:rowOff>
    </xdr:to>
    <xdr:sp macro="" textlink="">
      <xdr:nvSpPr>
        <xdr:cNvPr id="19" name="Cloud 18">
          <a:extLst>
            <a:ext uri="{FF2B5EF4-FFF2-40B4-BE49-F238E27FC236}">
              <a16:creationId xmlns:a16="http://schemas.microsoft.com/office/drawing/2014/main" id="{185F132E-AFAC-4969-8D9E-6B138CEE13F8}"/>
            </a:ext>
          </a:extLst>
        </xdr:cNvPr>
        <xdr:cNvSpPr/>
      </xdr:nvSpPr>
      <xdr:spPr>
        <a:xfrm>
          <a:off x="1592580" y="3256224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3</xdr:col>
      <xdr:colOff>228600</xdr:colOff>
      <xdr:row>17</xdr:row>
      <xdr:rowOff>182880</xdr:rowOff>
    </xdr:from>
    <xdr:to>
      <xdr:col>3</xdr:col>
      <xdr:colOff>477950</xdr:colOff>
      <xdr:row>17</xdr:row>
      <xdr:rowOff>466145</xdr:rowOff>
    </xdr:to>
    <xdr:sp macro="" textlink="">
      <xdr:nvSpPr>
        <xdr:cNvPr id="20" name="Cloud 19">
          <a:extLst>
            <a:ext uri="{FF2B5EF4-FFF2-40B4-BE49-F238E27FC236}">
              <a16:creationId xmlns:a16="http://schemas.microsoft.com/office/drawing/2014/main" id="{3954DC70-65EA-44D6-BA1D-97D98407506F}"/>
            </a:ext>
          </a:extLst>
        </xdr:cNvPr>
        <xdr:cNvSpPr/>
      </xdr:nvSpPr>
      <xdr:spPr>
        <a:xfrm>
          <a:off x="2286000" y="3259455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1</xdr:col>
      <xdr:colOff>274320</xdr:colOff>
      <xdr:row>17</xdr:row>
      <xdr:rowOff>190500</xdr:rowOff>
    </xdr:from>
    <xdr:to>
      <xdr:col>1</xdr:col>
      <xdr:colOff>523670</xdr:colOff>
      <xdr:row>17</xdr:row>
      <xdr:rowOff>473765</xdr:rowOff>
    </xdr:to>
    <xdr:sp macro="" textlink="">
      <xdr:nvSpPr>
        <xdr:cNvPr id="21" name="Cloud 20">
          <a:extLst>
            <a:ext uri="{FF2B5EF4-FFF2-40B4-BE49-F238E27FC236}">
              <a16:creationId xmlns:a16="http://schemas.microsoft.com/office/drawing/2014/main" id="{D902BA5E-AEF5-4C9C-AED2-72705D3D8186}"/>
            </a:ext>
          </a:extLst>
        </xdr:cNvPr>
        <xdr:cNvSpPr/>
      </xdr:nvSpPr>
      <xdr:spPr>
        <a:xfrm>
          <a:off x="960120" y="3257550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4</xdr:col>
      <xdr:colOff>198120</xdr:colOff>
      <xdr:row>17</xdr:row>
      <xdr:rowOff>198120</xdr:rowOff>
    </xdr:from>
    <xdr:to>
      <xdr:col>4</xdr:col>
      <xdr:colOff>447470</xdr:colOff>
      <xdr:row>17</xdr:row>
      <xdr:rowOff>481385</xdr:rowOff>
    </xdr:to>
    <xdr:sp macro="" textlink="">
      <xdr:nvSpPr>
        <xdr:cNvPr id="22" name="Cloud 21">
          <a:extLst>
            <a:ext uri="{FF2B5EF4-FFF2-40B4-BE49-F238E27FC236}">
              <a16:creationId xmlns:a16="http://schemas.microsoft.com/office/drawing/2014/main" id="{71F8942F-80B1-4841-93F5-7A4F25A396F0}"/>
            </a:ext>
          </a:extLst>
        </xdr:cNvPr>
        <xdr:cNvSpPr/>
      </xdr:nvSpPr>
      <xdr:spPr>
        <a:xfrm>
          <a:off x="2941320" y="3255645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2</xdr:col>
      <xdr:colOff>220980</xdr:colOff>
      <xdr:row>19</xdr:row>
      <xdr:rowOff>189174</xdr:rowOff>
    </xdr:from>
    <xdr:to>
      <xdr:col>2</xdr:col>
      <xdr:colOff>470330</xdr:colOff>
      <xdr:row>19</xdr:row>
      <xdr:rowOff>472439</xdr:rowOff>
    </xdr:to>
    <xdr:sp macro="" textlink="">
      <xdr:nvSpPr>
        <xdr:cNvPr id="23" name="Cloud 22">
          <a:extLst>
            <a:ext uri="{FF2B5EF4-FFF2-40B4-BE49-F238E27FC236}">
              <a16:creationId xmlns:a16="http://schemas.microsoft.com/office/drawing/2014/main" id="{C8F1AA30-4259-4503-9587-92F0D17DBD42}"/>
            </a:ext>
          </a:extLst>
        </xdr:cNvPr>
        <xdr:cNvSpPr/>
      </xdr:nvSpPr>
      <xdr:spPr>
        <a:xfrm>
          <a:off x="1592580" y="3618174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3</xdr:col>
      <xdr:colOff>228600</xdr:colOff>
      <xdr:row>19</xdr:row>
      <xdr:rowOff>182880</xdr:rowOff>
    </xdr:from>
    <xdr:to>
      <xdr:col>3</xdr:col>
      <xdr:colOff>477950</xdr:colOff>
      <xdr:row>19</xdr:row>
      <xdr:rowOff>466145</xdr:rowOff>
    </xdr:to>
    <xdr:sp macro="" textlink="">
      <xdr:nvSpPr>
        <xdr:cNvPr id="24" name="Cloud 23">
          <a:extLst>
            <a:ext uri="{FF2B5EF4-FFF2-40B4-BE49-F238E27FC236}">
              <a16:creationId xmlns:a16="http://schemas.microsoft.com/office/drawing/2014/main" id="{C088FEFA-5A8A-452B-8802-23CDDFA62E7B}"/>
            </a:ext>
          </a:extLst>
        </xdr:cNvPr>
        <xdr:cNvSpPr/>
      </xdr:nvSpPr>
      <xdr:spPr>
        <a:xfrm>
          <a:off x="2286000" y="3621405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1</xdr:col>
      <xdr:colOff>274320</xdr:colOff>
      <xdr:row>19</xdr:row>
      <xdr:rowOff>190500</xdr:rowOff>
    </xdr:from>
    <xdr:to>
      <xdr:col>1</xdr:col>
      <xdr:colOff>523670</xdr:colOff>
      <xdr:row>19</xdr:row>
      <xdr:rowOff>473765</xdr:rowOff>
    </xdr:to>
    <xdr:sp macro="" textlink="">
      <xdr:nvSpPr>
        <xdr:cNvPr id="25" name="Cloud 24">
          <a:extLst>
            <a:ext uri="{FF2B5EF4-FFF2-40B4-BE49-F238E27FC236}">
              <a16:creationId xmlns:a16="http://schemas.microsoft.com/office/drawing/2014/main" id="{04FF38BD-2C19-4817-BEEF-A30894B0CC6C}"/>
            </a:ext>
          </a:extLst>
        </xdr:cNvPr>
        <xdr:cNvSpPr/>
      </xdr:nvSpPr>
      <xdr:spPr>
        <a:xfrm>
          <a:off x="960120" y="3619500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4</xdr:col>
      <xdr:colOff>198120</xdr:colOff>
      <xdr:row>19</xdr:row>
      <xdr:rowOff>198120</xdr:rowOff>
    </xdr:from>
    <xdr:to>
      <xdr:col>4</xdr:col>
      <xdr:colOff>447470</xdr:colOff>
      <xdr:row>19</xdr:row>
      <xdr:rowOff>481385</xdr:rowOff>
    </xdr:to>
    <xdr:sp macro="" textlink="">
      <xdr:nvSpPr>
        <xdr:cNvPr id="26" name="Cloud 25">
          <a:extLst>
            <a:ext uri="{FF2B5EF4-FFF2-40B4-BE49-F238E27FC236}">
              <a16:creationId xmlns:a16="http://schemas.microsoft.com/office/drawing/2014/main" id="{D6262680-43B9-495C-9E92-D64693814403}"/>
            </a:ext>
          </a:extLst>
        </xdr:cNvPr>
        <xdr:cNvSpPr/>
      </xdr:nvSpPr>
      <xdr:spPr>
        <a:xfrm>
          <a:off x="2941320" y="3617595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2</xdr:col>
      <xdr:colOff>220980</xdr:colOff>
      <xdr:row>21</xdr:row>
      <xdr:rowOff>189174</xdr:rowOff>
    </xdr:from>
    <xdr:to>
      <xdr:col>2</xdr:col>
      <xdr:colOff>470330</xdr:colOff>
      <xdr:row>21</xdr:row>
      <xdr:rowOff>472439</xdr:rowOff>
    </xdr:to>
    <xdr:sp macro="" textlink="">
      <xdr:nvSpPr>
        <xdr:cNvPr id="27" name="Cloud 26">
          <a:extLst>
            <a:ext uri="{FF2B5EF4-FFF2-40B4-BE49-F238E27FC236}">
              <a16:creationId xmlns:a16="http://schemas.microsoft.com/office/drawing/2014/main" id="{CA46C585-B92B-4038-8799-FE09E9FFF286}"/>
            </a:ext>
          </a:extLst>
        </xdr:cNvPr>
        <xdr:cNvSpPr/>
      </xdr:nvSpPr>
      <xdr:spPr>
        <a:xfrm>
          <a:off x="1592580" y="3980124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3</xdr:col>
      <xdr:colOff>228600</xdr:colOff>
      <xdr:row>21</xdr:row>
      <xdr:rowOff>182880</xdr:rowOff>
    </xdr:from>
    <xdr:to>
      <xdr:col>3</xdr:col>
      <xdr:colOff>477950</xdr:colOff>
      <xdr:row>21</xdr:row>
      <xdr:rowOff>466145</xdr:rowOff>
    </xdr:to>
    <xdr:sp macro="" textlink="">
      <xdr:nvSpPr>
        <xdr:cNvPr id="28" name="Cloud 27">
          <a:extLst>
            <a:ext uri="{FF2B5EF4-FFF2-40B4-BE49-F238E27FC236}">
              <a16:creationId xmlns:a16="http://schemas.microsoft.com/office/drawing/2014/main" id="{D2C3C58A-A256-416C-B4B2-DFC094182F40}"/>
            </a:ext>
          </a:extLst>
        </xdr:cNvPr>
        <xdr:cNvSpPr/>
      </xdr:nvSpPr>
      <xdr:spPr>
        <a:xfrm>
          <a:off x="2286000" y="3983355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1</xdr:col>
      <xdr:colOff>274320</xdr:colOff>
      <xdr:row>21</xdr:row>
      <xdr:rowOff>190500</xdr:rowOff>
    </xdr:from>
    <xdr:to>
      <xdr:col>1</xdr:col>
      <xdr:colOff>523670</xdr:colOff>
      <xdr:row>21</xdr:row>
      <xdr:rowOff>473765</xdr:rowOff>
    </xdr:to>
    <xdr:sp macro="" textlink="">
      <xdr:nvSpPr>
        <xdr:cNvPr id="29" name="Cloud 28">
          <a:extLst>
            <a:ext uri="{FF2B5EF4-FFF2-40B4-BE49-F238E27FC236}">
              <a16:creationId xmlns:a16="http://schemas.microsoft.com/office/drawing/2014/main" id="{21385587-61E5-4B19-BF94-471901B65033}"/>
            </a:ext>
          </a:extLst>
        </xdr:cNvPr>
        <xdr:cNvSpPr/>
      </xdr:nvSpPr>
      <xdr:spPr>
        <a:xfrm>
          <a:off x="960120" y="3981450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4</xdr:col>
      <xdr:colOff>198120</xdr:colOff>
      <xdr:row>21</xdr:row>
      <xdr:rowOff>198120</xdr:rowOff>
    </xdr:from>
    <xdr:to>
      <xdr:col>4</xdr:col>
      <xdr:colOff>447470</xdr:colOff>
      <xdr:row>21</xdr:row>
      <xdr:rowOff>481385</xdr:rowOff>
    </xdr:to>
    <xdr:sp macro="" textlink="">
      <xdr:nvSpPr>
        <xdr:cNvPr id="30" name="Cloud 29">
          <a:extLst>
            <a:ext uri="{FF2B5EF4-FFF2-40B4-BE49-F238E27FC236}">
              <a16:creationId xmlns:a16="http://schemas.microsoft.com/office/drawing/2014/main" id="{6FF80FA8-716D-4DE4-9049-AEDEE50BFD43}"/>
            </a:ext>
          </a:extLst>
        </xdr:cNvPr>
        <xdr:cNvSpPr/>
      </xdr:nvSpPr>
      <xdr:spPr>
        <a:xfrm>
          <a:off x="2941320" y="3979545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2</xdr:col>
      <xdr:colOff>220980</xdr:colOff>
      <xdr:row>23</xdr:row>
      <xdr:rowOff>189174</xdr:rowOff>
    </xdr:from>
    <xdr:to>
      <xdr:col>2</xdr:col>
      <xdr:colOff>470330</xdr:colOff>
      <xdr:row>23</xdr:row>
      <xdr:rowOff>472439</xdr:rowOff>
    </xdr:to>
    <xdr:sp macro="" textlink="">
      <xdr:nvSpPr>
        <xdr:cNvPr id="31" name="Cloud 30">
          <a:extLst>
            <a:ext uri="{FF2B5EF4-FFF2-40B4-BE49-F238E27FC236}">
              <a16:creationId xmlns:a16="http://schemas.microsoft.com/office/drawing/2014/main" id="{F2E5CDC3-383E-4A0E-A938-B5CF3C315CB9}"/>
            </a:ext>
          </a:extLst>
        </xdr:cNvPr>
        <xdr:cNvSpPr/>
      </xdr:nvSpPr>
      <xdr:spPr>
        <a:xfrm>
          <a:off x="1592580" y="4342074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3</xdr:col>
      <xdr:colOff>228600</xdr:colOff>
      <xdr:row>23</xdr:row>
      <xdr:rowOff>182880</xdr:rowOff>
    </xdr:from>
    <xdr:to>
      <xdr:col>3</xdr:col>
      <xdr:colOff>477950</xdr:colOff>
      <xdr:row>23</xdr:row>
      <xdr:rowOff>466145</xdr:rowOff>
    </xdr:to>
    <xdr:sp macro="" textlink="">
      <xdr:nvSpPr>
        <xdr:cNvPr id="32" name="Cloud 31">
          <a:extLst>
            <a:ext uri="{FF2B5EF4-FFF2-40B4-BE49-F238E27FC236}">
              <a16:creationId xmlns:a16="http://schemas.microsoft.com/office/drawing/2014/main" id="{98614FA3-EEA8-4507-A451-EFD965E33B7F}"/>
            </a:ext>
          </a:extLst>
        </xdr:cNvPr>
        <xdr:cNvSpPr/>
      </xdr:nvSpPr>
      <xdr:spPr>
        <a:xfrm>
          <a:off x="2286000" y="4345305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1</xdr:col>
      <xdr:colOff>274320</xdr:colOff>
      <xdr:row>23</xdr:row>
      <xdr:rowOff>190500</xdr:rowOff>
    </xdr:from>
    <xdr:to>
      <xdr:col>1</xdr:col>
      <xdr:colOff>523670</xdr:colOff>
      <xdr:row>23</xdr:row>
      <xdr:rowOff>473765</xdr:rowOff>
    </xdr:to>
    <xdr:sp macro="" textlink="">
      <xdr:nvSpPr>
        <xdr:cNvPr id="33" name="Cloud 32">
          <a:extLst>
            <a:ext uri="{FF2B5EF4-FFF2-40B4-BE49-F238E27FC236}">
              <a16:creationId xmlns:a16="http://schemas.microsoft.com/office/drawing/2014/main" id="{9D21153A-F260-4997-961A-EB0BEBB94250}"/>
            </a:ext>
          </a:extLst>
        </xdr:cNvPr>
        <xdr:cNvSpPr/>
      </xdr:nvSpPr>
      <xdr:spPr>
        <a:xfrm>
          <a:off x="960120" y="4343400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4</xdr:col>
      <xdr:colOff>198120</xdr:colOff>
      <xdr:row>23</xdr:row>
      <xdr:rowOff>198120</xdr:rowOff>
    </xdr:from>
    <xdr:to>
      <xdr:col>4</xdr:col>
      <xdr:colOff>447470</xdr:colOff>
      <xdr:row>23</xdr:row>
      <xdr:rowOff>481385</xdr:rowOff>
    </xdr:to>
    <xdr:sp macro="" textlink="">
      <xdr:nvSpPr>
        <xdr:cNvPr id="34" name="Cloud 33">
          <a:extLst>
            <a:ext uri="{FF2B5EF4-FFF2-40B4-BE49-F238E27FC236}">
              <a16:creationId xmlns:a16="http://schemas.microsoft.com/office/drawing/2014/main" id="{86496A70-5FD6-4BD9-B5B9-DD7DEC1CB02E}"/>
            </a:ext>
          </a:extLst>
        </xdr:cNvPr>
        <xdr:cNvSpPr/>
      </xdr:nvSpPr>
      <xdr:spPr>
        <a:xfrm>
          <a:off x="2941320" y="4341495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2</xdr:col>
      <xdr:colOff>220980</xdr:colOff>
      <xdr:row>25</xdr:row>
      <xdr:rowOff>189174</xdr:rowOff>
    </xdr:from>
    <xdr:to>
      <xdr:col>2</xdr:col>
      <xdr:colOff>470330</xdr:colOff>
      <xdr:row>25</xdr:row>
      <xdr:rowOff>472439</xdr:rowOff>
    </xdr:to>
    <xdr:sp macro="" textlink="">
      <xdr:nvSpPr>
        <xdr:cNvPr id="35" name="Cloud 34">
          <a:extLst>
            <a:ext uri="{FF2B5EF4-FFF2-40B4-BE49-F238E27FC236}">
              <a16:creationId xmlns:a16="http://schemas.microsoft.com/office/drawing/2014/main" id="{58D2FE95-2315-44BC-9678-6DD290618B1D}"/>
            </a:ext>
          </a:extLst>
        </xdr:cNvPr>
        <xdr:cNvSpPr/>
      </xdr:nvSpPr>
      <xdr:spPr>
        <a:xfrm>
          <a:off x="1592580" y="4704024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3</xdr:col>
      <xdr:colOff>228600</xdr:colOff>
      <xdr:row>25</xdr:row>
      <xdr:rowOff>182880</xdr:rowOff>
    </xdr:from>
    <xdr:to>
      <xdr:col>3</xdr:col>
      <xdr:colOff>477950</xdr:colOff>
      <xdr:row>25</xdr:row>
      <xdr:rowOff>466145</xdr:rowOff>
    </xdr:to>
    <xdr:sp macro="" textlink="">
      <xdr:nvSpPr>
        <xdr:cNvPr id="36" name="Cloud 35">
          <a:extLst>
            <a:ext uri="{FF2B5EF4-FFF2-40B4-BE49-F238E27FC236}">
              <a16:creationId xmlns:a16="http://schemas.microsoft.com/office/drawing/2014/main" id="{BBDE3389-A5CA-4E88-AD36-79C7E6EBD944}"/>
            </a:ext>
          </a:extLst>
        </xdr:cNvPr>
        <xdr:cNvSpPr/>
      </xdr:nvSpPr>
      <xdr:spPr>
        <a:xfrm>
          <a:off x="2286000" y="4707255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1</xdr:col>
      <xdr:colOff>274320</xdr:colOff>
      <xdr:row>25</xdr:row>
      <xdr:rowOff>190500</xdr:rowOff>
    </xdr:from>
    <xdr:to>
      <xdr:col>1</xdr:col>
      <xdr:colOff>523670</xdr:colOff>
      <xdr:row>25</xdr:row>
      <xdr:rowOff>473765</xdr:rowOff>
    </xdr:to>
    <xdr:sp macro="" textlink="">
      <xdr:nvSpPr>
        <xdr:cNvPr id="37" name="Cloud 36">
          <a:extLst>
            <a:ext uri="{FF2B5EF4-FFF2-40B4-BE49-F238E27FC236}">
              <a16:creationId xmlns:a16="http://schemas.microsoft.com/office/drawing/2014/main" id="{0E748898-FBFC-481F-99FC-06877EBFAC80}"/>
            </a:ext>
          </a:extLst>
        </xdr:cNvPr>
        <xdr:cNvSpPr/>
      </xdr:nvSpPr>
      <xdr:spPr>
        <a:xfrm>
          <a:off x="960120" y="4705350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4</xdr:col>
      <xdr:colOff>198120</xdr:colOff>
      <xdr:row>25</xdr:row>
      <xdr:rowOff>198120</xdr:rowOff>
    </xdr:from>
    <xdr:to>
      <xdr:col>4</xdr:col>
      <xdr:colOff>447470</xdr:colOff>
      <xdr:row>25</xdr:row>
      <xdr:rowOff>481385</xdr:rowOff>
    </xdr:to>
    <xdr:sp macro="" textlink="">
      <xdr:nvSpPr>
        <xdr:cNvPr id="38" name="Cloud 37">
          <a:extLst>
            <a:ext uri="{FF2B5EF4-FFF2-40B4-BE49-F238E27FC236}">
              <a16:creationId xmlns:a16="http://schemas.microsoft.com/office/drawing/2014/main" id="{2B31CFEC-2EF7-438F-85F2-313AE84F634A}"/>
            </a:ext>
          </a:extLst>
        </xdr:cNvPr>
        <xdr:cNvSpPr/>
      </xdr:nvSpPr>
      <xdr:spPr>
        <a:xfrm>
          <a:off x="2941320" y="4703445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2</xdr:col>
      <xdr:colOff>220980</xdr:colOff>
      <xdr:row>27</xdr:row>
      <xdr:rowOff>189174</xdr:rowOff>
    </xdr:from>
    <xdr:to>
      <xdr:col>2</xdr:col>
      <xdr:colOff>470330</xdr:colOff>
      <xdr:row>27</xdr:row>
      <xdr:rowOff>472439</xdr:rowOff>
    </xdr:to>
    <xdr:sp macro="" textlink="">
      <xdr:nvSpPr>
        <xdr:cNvPr id="39" name="Cloud 38">
          <a:extLst>
            <a:ext uri="{FF2B5EF4-FFF2-40B4-BE49-F238E27FC236}">
              <a16:creationId xmlns:a16="http://schemas.microsoft.com/office/drawing/2014/main" id="{0749861F-932B-4B17-93DA-E7DB94AA23B6}"/>
            </a:ext>
          </a:extLst>
        </xdr:cNvPr>
        <xdr:cNvSpPr/>
      </xdr:nvSpPr>
      <xdr:spPr>
        <a:xfrm>
          <a:off x="1592580" y="5065974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3</xdr:col>
      <xdr:colOff>228600</xdr:colOff>
      <xdr:row>27</xdr:row>
      <xdr:rowOff>182880</xdr:rowOff>
    </xdr:from>
    <xdr:to>
      <xdr:col>3</xdr:col>
      <xdr:colOff>477950</xdr:colOff>
      <xdr:row>27</xdr:row>
      <xdr:rowOff>466145</xdr:rowOff>
    </xdr:to>
    <xdr:sp macro="" textlink="">
      <xdr:nvSpPr>
        <xdr:cNvPr id="40" name="Cloud 39">
          <a:extLst>
            <a:ext uri="{FF2B5EF4-FFF2-40B4-BE49-F238E27FC236}">
              <a16:creationId xmlns:a16="http://schemas.microsoft.com/office/drawing/2014/main" id="{5F0DC7FB-0893-4A88-8CB3-0A851C04F645}"/>
            </a:ext>
          </a:extLst>
        </xdr:cNvPr>
        <xdr:cNvSpPr/>
      </xdr:nvSpPr>
      <xdr:spPr>
        <a:xfrm>
          <a:off x="2286000" y="5069205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1</xdr:col>
      <xdr:colOff>274320</xdr:colOff>
      <xdr:row>27</xdr:row>
      <xdr:rowOff>190500</xdr:rowOff>
    </xdr:from>
    <xdr:to>
      <xdr:col>1</xdr:col>
      <xdr:colOff>523670</xdr:colOff>
      <xdr:row>27</xdr:row>
      <xdr:rowOff>473765</xdr:rowOff>
    </xdr:to>
    <xdr:sp macro="" textlink="">
      <xdr:nvSpPr>
        <xdr:cNvPr id="41" name="Cloud 40">
          <a:extLst>
            <a:ext uri="{FF2B5EF4-FFF2-40B4-BE49-F238E27FC236}">
              <a16:creationId xmlns:a16="http://schemas.microsoft.com/office/drawing/2014/main" id="{52CF56F7-BF78-45C0-85BF-2660ED99C9D6}"/>
            </a:ext>
          </a:extLst>
        </xdr:cNvPr>
        <xdr:cNvSpPr/>
      </xdr:nvSpPr>
      <xdr:spPr>
        <a:xfrm>
          <a:off x="960120" y="5067300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4</xdr:col>
      <xdr:colOff>198120</xdr:colOff>
      <xdr:row>27</xdr:row>
      <xdr:rowOff>198120</xdr:rowOff>
    </xdr:from>
    <xdr:to>
      <xdr:col>4</xdr:col>
      <xdr:colOff>447470</xdr:colOff>
      <xdr:row>27</xdr:row>
      <xdr:rowOff>481385</xdr:rowOff>
    </xdr:to>
    <xdr:sp macro="" textlink="">
      <xdr:nvSpPr>
        <xdr:cNvPr id="42" name="Cloud 41">
          <a:extLst>
            <a:ext uri="{FF2B5EF4-FFF2-40B4-BE49-F238E27FC236}">
              <a16:creationId xmlns:a16="http://schemas.microsoft.com/office/drawing/2014/main" id="{90C2B67D-BC55-48EA-8A9A-3E2F7B452797}"/>
            </a:ext>
          </a:extLst>
        </xdr:cNvPr>
        <xdr:cNvSpPr/>
      </xdr:nvSpPr>
      <xdr:spPr>
        <a:xfrm>
          <a:off x="2941320" y="5065395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1</xdr:col>
      <xdr:colOff>236220</xdr:colOff>
      <xdr:row>8</xdr:row>
      <xdr:rowOff>30480</xdr:rowOff>
    </xdr:from>
    <xdr:to>
      <xdr:col>4</xdr:col>
      <xdr:colOff>409370</xdr:colOff>
      <xdr:row>8</xdr:row>
      <xdr:rowOff>328985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BAB45D22-80DD-4FBF-AC95-20734C9C6880}"/>
            </a:ext>
          </a:extLst>
        </xdr:cNvPr>
        <xdr:cNvGrpSpPr/>
      </xdr:nvGrpSpPr>
      <xdr:grpSpPr>
        <a:xfrm>
          <a:off x="841338" y="2036333"/>
          <a:ext cx="1988503" cy="298505"/>
          <a:chOff x="670560" y="2400300"/>
          <a:chExt cx="2184830" cy="298505"/>
        </a:xfrm>
      </xdr:grpSpPr>
      <xdr:sp macro="" textlink="">
        <xdr:nvSpPr>
          <xdr:cNvPr id="44" name="Cloud 43">
            <a:extLst>
              <a:ext uri="{FF2B5EF4-FFF2-40B4-BE49-F238E27FC236}">
                <a16:creationId xmlns:a16="http://schemas.microsoft.com/office/drawing/2014/main" id="{B38D61D6-9BA4-2A35-200D-78DD9A64C9B2}"/>
              </a:ext>
            </a:extLst>
          </xdr:cNvPr>
          <xdr:cNvSpPr/>
        </xdr:nvSpPr>
        <xdr:spPr>
          <a:xfrm>
            <a:off x="1287780" y="2406594"/>
            <a:ext cx="249350" cy="283265"/>
          </a:xfrm>
          <a:prstGeom prst="cloud">
            <a:avLst/>
          </a:prstGeom>
          <a:noFill/>
          <a:ln w="317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en-US" sz="1100"/>
          </a:p>
          <a:p>
            <a:pPr algn="ctr"/>
            <a:r>
              <a:rPr lang="en-US" sz="1100"/>
              <a:t>A</a:t>
            </a:r>
          </a:p>
        </xdr:txBody>
      </xdr:sp>
      <xdr:sp macro="" textlink="">
        <xdr:nvSpPr>
          <xdr:cNvPr id="45" name="Cloud 44">
            <a:extLst>
              <a:ext uri="{FF2B5EF4-FFF2-40B4-BE49-F238E27FC236}">
                <a16:creationId xmlns:a16="http://schemas.microsoft.com/office/drawing/2014/main" id="{F7798347-0912-7363-E1F2-A2A49435BB45}"/>
              </a:ext>
            </a:extLst>
          </xdr:cNvPr>
          <xdr:cNvSpPr/>
        </xdr:nvSpPr>
        <xdr:spPr>
          <a:xfrm>
            <a:off x="1965960" y="2400300"/>
            <a:ext cx="249350" cy="283265"/>
          </a:xfrm>
          <a:prstGeom prst="cloud">
            <a:avLst/>
          </a:prstGeom>
          <a:noFill/>
          <a:ln w="317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en-US" sz="1100"/>
          </a:p>
          <a:p>
            <a:pPr algn="ctr"/>
            <a:r>
              <a:rPr lang="en-US" sz="1100"/>
              <a:t>A</a:t>
            </a:r>
          </a:p>
        </xdr:txBody>
      </xdr:sp>
      <xdr:sp macro="" textlink="">
        <xdr:nvSpPr>
          <xdr:cNvPr id="46" name="Cloud 45">
            <a:extLst>
              <a:ext uri="{FF2B5EF4-FFF2-40B4-BE49-F238E27FC236}">
                <a16:creationId xmlns:a16="http://schemas.microsoft.com/office/drawing/2014/main" id="{E3D20A54-9D0D-BFA3-F6E2-3E5CB605C4F0}"/>
              </a:ext>
            </a:extLst>
          </xdr:cNvPr>
          <xdr:cNvSpPr/>
        </xdr:nvSpPr>
        <xdr:spPr>
          <a:xfrm>
            <a:off x="670560" y="2407920"/>
            <a:ext cx="249350" cy="283265"/>
          </a:xfrm>
          <a:prstGeom prst="cloud">
            <a:avLst/>
          </a:prstGeom>
          <a:noFill/>
          <a:ln w="3175">
            <a:solidFill>
              <a:srgbClr val="DEE9D7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en-US" sz="1100"/>
          </a:p>
          <a:p>
            <a:pPr algn="ctr"/>
            <a:r>
              <a:rPr lang="en-US" sz="1100"/>
              <a:t>A</a:t>
            </a:r>
          </a:p>
        </xdr:txBody>
      </xdr:sp>
      <xdr:sp macro="" textlink="">
        <xdr:nvSpPr>
          <xdr:cNvPr id="47" name="Cloud 46">
            <a:extLst>
              <a:ext uri="{FF2B5EF4-FFF2-40B4-BE49-F238E27FC236}">
                <a16:creationId xmlns:a16="http://schemas.microsoft.com/office/drawing/2014/main" id="{EAC7953E-D207-14F4-44B0-DC787D5AB6DA}"/>
              </a:ext>
            </a:extLst>
          </xdr:cNvPr>
          <xdr:cNvSpPr/>
        </xdr:nvSpPr>
        <xdr:spPr>
          <a:xfrm>
            <a:off x="2606040" y="2415540"/>
            <a:ext cx="249350" cy="283265"/>
          </a:xfrm>
          <a:prstGeom prst="cloud">
            <a:avLst/>
          </a:prstGeom>
          <a:noFill/>
          <a:ln w="3175">
            <a:solidFill>
              <a:srgbClr val="DEE9D7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en-US" sz="1100"/>
          </a:p>
          <a:p>
            <a:pPr algn="ctr"/>
            <a:r>
              <a:rPr lang="en-US" sz="1100"/>
              <a:t>A</a:t>
            </a:r>
          </a:p>
        </xdr:txBody>
      </xdr:sp>
    </xdr:grpSp>
    <xdr:clientData/>
  </xdr:twoCellAnchor>
  <xdr:twoCellAnchor>
    <xdr:from>
      <xdr:col>1</xdr:col>
      <xdr:colOff>259080</xdr:colOff>
      <xdr:row>29</xdr:row>
      <xdr:rowOff>152400</xdr:rowOff>
    </xdr:from>
    <xdr:to>
      <xdr:col>4</xdr:col>
      <xdr:colOff>432230</xdr:colOff>
      <xdr:row>29</xdr:row>
      <xdr:rowOff>450905</xdr:rowOff>
    </xdr:to>
    <xdr:grpSp>
      <xdr:nvGrpSpPr>
        <xdr:cNvPr id="48" name="Group 47">
          <a:extLst>
            <a:ext uri="{FF2B5EF4-FFF2-40B4-BE49-F238E27FC236}">
              <a16:creationId xmlns:a16="http://schemas.microsoft.com/office/drawing/2014/main" id="{38C39470-763C-4555-B81C-44C07608578D}"/>
            </a:ext>
          </a:extLst>
        </xdr:cNvPr>
        <xdr:cNvGrpSpPr/>
      </xdr:nvGrpSpPr>
      <xdr:grpSpPr>
        <a:xfrm>
          <a:off x="864198" y="9273988"/>
          <a:ext cx="1988503" cy="298505"/>
          <a:chOff x="670560" y="2400300"/>
          <a:chExt cx="2184830" cy="298505"/>
        </a:xfrm>
      </xdr:grpSpPr>
      <xdr:sp macro="" textlink="">
        <xdr:nvSpPr>
          <xdr:cNvPr id="49" name="Cloud 48">
            <a:extLst>
              <a:ext uri="{FF2B5EF4-FFF2-40B4-BE49-F238E27FC236}">
                <a16:creationId xmlns:a16="http://schemas.microsoft.com/office/drawing/2014/main" id="{9E159ED6-45CD-2C39-D725-F310F63B67B4}"/>
              </a:ext>
            </a:extLst>
          </xdr:cNvPr>
          <xdr:cNvSpPr/>
        </xdr:nvSpPr>
        <xdr:spPr>
          <a:xfrm>
            <a:off x="1287780" y="2406594"/>
            <a:ext cx="249350" cy="283265"/>
          </a:xfrm>
          <a:prstGeom prst="cloud">
            <a:avLst/>
          </a:prstGeom>
          <a:noFill/>
          <a:ln w="317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en-US" sz="1100"/>
          </a:p>
          <a:p>
            <a:pPr algn="ctr"/>
            <a:r>
              <a:rPr lang="en-US" sz="1100"/>
              <a:t>A</a:t>
            </a:r>
          </a:p>
        </xdr:txBody>
      </xdr:sp>
      <xdr:sp macro="" textlink="">
        <xdr:nvSpPr>
          <xdr:cNvPr id="50" name="Cloud 49">
            <a:extLst>
              <a:ext uri="{FF2B5EF4-FFF2-40B4-BE49-F238E27FC236}">
                <a16:creationId xmlns:a16="http://schemas.microsoft.com/office/drawing/2014/main" id="{5EEBE7EE-5D2C-A54D-1638-B5AC3E756E98}"/>
              </a:ext>
            </a:extLst>
          </xdr:cNvPr>
          <xdr:cNvSpPr/>
        </xdr:nvSpPr>
        <xdr:spPr>
          <a:xfrm>
            <a:off x="1965960" y="2400300"/>
            <a:ext cx="249350" cy="283265"/>
          </a:xfrm>
          <a:prstGeom prst="cloud">
            <a:avLst/>
          </a:prstGeom>
          <a:noFill/>
          <a:ln w="317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en-US" sz="1100"/>
          </a:p>
          <a:p>
            <a:pPr algn="ctr"/>
            <a:r>
              <a:rPr lang="en-US" sz="1100"/>
              <a:t>A</a:t>
            </a:r>
          </a:p>
        </xdr:txBody>
      </xdr:sp>
      <xdr:sp macro="" textlink="">
        <xdr:nvSpPr>
          <xdr:cNvPr id="51" name="Cloud 50">
            <a:extLst>
              <a:ext uri="{FF2B5EF4-FFF2-40B4-BE49-F238E27FC236}">
                <a16:creationId xmlns:a16="http://schemas.microsoft.com/office/drawing/2014/main" id="{B189BA33-3A74-F37C-19ED-3AA1FE63FC45}"/>
              </a:ext>
            </a:extLst>
          </xdr:cNvPr>
          <xdr:cNvSpPr/>
        </xdr:nvSpPr>
        <xdr:spPr>
          <a:xfrm>
            <a:off x="670560" y="2407920"/>
            <a:ext cx="249350" cy="283265"/>
          </a:xfrm>
          <a:prstGeom prst="cloud">
            <a:avLst/>
          </a:prstGeom>
          <a:noFill/>
          <a:ln w="3175">
            <a:solidFill>
              <a:srgbClr val="DEE9D7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en-US" sz="1100"/>
          </a:p>
          <a:p>
            <a:pPr algn="ctr"/>
            <a:r>
              <a:rPr lang="en-US" sz="1100"/>
              <a:t>A</a:t>
            </a:r>
          </a:p>
        </xdr:txBody>
      </xdr:sp>
      <xdr:sp macro="" textlink="">
        <xdr:nvSpPr>
          <xdr:cNvPr id="52" name="Cloud 51">
            <a:extLst>
              <a:ext uri="{FF2B5EF4-FFF2-40B4-BE49-F238E27FC236}">
                <a16:creationId xmlns:a16="http://schemas.microsoft.com/office/drawing/2014/main" id="{D0E1C84E-65A3-7E62-4E27-F3C1483B49F2}"/>
              </a:ext>
            </a:extLst>
          </xdr:cNvPr>
          <xdr:cNvSpPr/>
        </xdr:nvSpPr>
        <xdr:spPr>
          <a:xfrm>
            <a:off x="2606040" y="2415540"/>
            <a:ext cx="249350" cy="283265"/>
          </a:xfrm>
          <a:prstGeom prst="cloud">
            <a:avLst/>
          </a:prstGeom>
          <a:noFill/>
          <a:ln w="3175">
            <a:solidFill>
              <a:srgbClr val="DEE9D7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en-US" sz="1100"/>
          </a:p>
          <a:p>
            <a:pPr algn="ctr"/>
            <a:r>
              <a:rPr lang="en-US" sz="1100"/>
              <a:t>A</a:t>
            </a:r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523875</xdr:colOff>
      <xdr:row>5</xdr:row>
      <xdr:rowOff>47625</xdr:rowOff>
    </xdr:from>
    <xdr:to>
      <xdr:col>22</xdr:col>
      <xdr:colOff>152400</xdr:colOff>
      <xdr:row>23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0C6CC4-4D3D-4BC9-80F4-EFB403876B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2016-1214%20-%20KRT%20Work%20Backup/USDA-ALARC/02-Cotton/2015Cotton/HARVEST-F13_201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rvest image"/>
      <sheetName val="Field weights"/>
      <sheetName val="Ginning"/>
      <sheetName val="Moisture content"/>
    </sheetNames>
    <sheetDataSet>
      <sheetData sheetId="0" refreshError="1"/>
      <sheetData sheetId="1" refreshError="1"/>
      <sheetData sheetId="2">
        <row r="34">
          <cell r="H34">
            <v>89.673723723586022</v>
          </cell>
        </row>
        <row r="35">
          <cell r="H35">
            <v>88.568442768903452</v>
          </cell>
        </row>
      </sheetData>
      <sheetData sheetId="3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7E8EA-A5C9-47F2-8D6E-B68B0450AD04}">
  <dimension ref="A1:AZ139"/>
  <sheetViews>
    <sheetView tabSelected="1" zoomScaleNormal="100" workbookViewId="0"/>
  </sheetViews>
  <sheetFormatPr defaultRowHeight="15" x14ac:dyDescent="0.25"/>
  <cols>
    <col min="1" max="2" width="8.85546875" customWidth="1"/>
    <col min="3" max="6" width="10.5703125" bestFit="1" customWidth="1"/>
    <col min="7" max="12" width="10.5703125" customWidth="1"/>
    <col min="13" max="13" width="10.5703125" bestFit="1" customWidth="1"/>
    <col min="30" max="30" width="10.5703125" bestFit="1" customWidth="1"/>
    <col min="31" max="31" width="8.85546875" customWidth="1"/>
    <col min="33" max="33" width="9.5703125" bestFit="1" customWidth="1"/>
    <col min="39" max="39" width="10.5703125" bestFit="1" customWidth="1"/>
  </cols>
  <sheetData>
    <row r="1" spans="1:1" x14ac:dyDescent="0.25">
      <c r="A1" t="s">
        <v>36</v>
      </c>
    </row>
    <row r="2" spans="1:1" x14ac:dyDescent="0.25">
      <c r="A2" t="s">
        <v>37</v>
      </c>
    </row>
    <row r="3" spans="1:1" x14ac:dyDescent="0.25">
      <c r="A3" t="s">
        <v>22</v>
      </c>
    </row>
    <row r="4" spans="1:1" x14ac:dyDescent="0.25">
      <c r="A4" t="s">
        <v>26</v>
      </c>
    </row>
    <row r="5" spans="1:1" x14ac:dyDescent="0.25">
      <c r="A5" t="s">
        <v>181</v>
      </c>
    </row>
    <row r="6" spans="1:1" x14ac:dyDescent="0.25">
      <c r="A6" t="s">
        <v>23</v>
      </c>
    </row>
    <row r="7" spans="1:1" x14ac:dyDescent="0.25">
      <c r="A7" t="s">
        <v>186</v>
      </c>
    </row>
    <row r="8" spans="1:1" x14ac:dyDescent="0.25">
      <c r="A8" t="s">
        <v>187</v>
      </c>
    </row>
    <row r="9" spans="1:1" x14ac:dyDescent="0.25">
      <c r="A9" t="s">
        <v>188</v>
      </c>
    </row>
    <row r="10" spans="1:1" x14ac:dyDescent="0.25">
      <c r="A10" t="s">
        <v>189</v>
      </c>
    </row>
    <row r="11" spans="1:1" x14ac:dyDescent="0.25">
      <c r="A11" t="s">
        <v>163</v>
      </c>
    </row>
    <row r="12" spans="1:1" x14ac:dyDescent="0.25">
      <c r="A12" t="s">
        <v>164</v>
      </c>
    </row>
    <row r="13" spans="1:1" x14ac:dyDescent="0.25">
      <c r="A13" t="s">
        <v>185</v>
      </c>
    </row>
    <row r="14" spans="1:1" x14ac:dyDescent="0.25">
      <c r="A14" t="s">
        <v>182</v>
      </c>
    </row>
    <row r="15" spans="1:1" x14ac:dyDescent="0.25">
      <c r="A15" t="s">
        <v>183</v>
      </c>
    </row>
    <row r="16" spans="1:1" x14ac:dyDescent="0.25">
      <c r="A16" t="s">
        <v>184</v>
      </c>
    </row>
    <row r="17" spans="1:28" x14ac:dyDescent="0.25">
      <c r="A17" t="s">
        <v>190</v>
      </c>
    </row>
    <row r="18" spans="1:28" x14ac:dyDescent="0.25">
      <c r="A18" t="s">
        <v>165</v>
      </c>
    </row>
    <row r="19" spans="1:28" x14ac:dyDescent="0.25">
      <c r="A19" t="s">
        <v>166</v>
      </c>
    </row>
    <row r="20" spans="1:28" x14ac:dyDescent="0.25">
      <c r="A20" t="s">
        <v>167</v>
      </c>
    </row>
    <row r="21" spans="1:28" x14ac:dyDescent="0.25">
      <c r="A21" t="s">
        <v>168</v>
      </c>
    </row>
    <row r="22" spans="1:28" x14ac:dyDescent="0.25">
      <c r="A22" t="s">
        <v>169</v>
      </c>
    </row>
    <row r="23" spans="1:28" x14ac:dyDescent="0.25">
      <c r="A23" t="s">
        <v>170</v>
      </c>
    </row>
    <row r="24" spans="1:28" x14ac:dyDescent="0.25">
      <c r="A24" t="s">
        <v>171</v>
      </c>
    </row>
    <row r="25" spans="1:28" x14ac:dyDescent="0.25">
      <c r="A25" t="s">
        <v>172</v>
      </c>
    </row>
    <row r="26" spans="1:28" x14ac:dyDescent="0.25">
      <c r="A26" t="s">
        <v>173</v>
      </c>
    </row>
    <row r="28" spans="1:28" x14ac:dyDescent="0.25">
      <c r="A28" t="s">
        <v>5</v>
      </c>
    </row>
    <row r="29" spans="1:28" x14ac:dyDescent="0.25">
      <c r="A29">
        <v>0.453592</v>
      </c>
      <c r="B29" t="s">
        <v>142</v>
      </c>
    </row>
    <row r="30" spans="1:28" x14ac:dyDescent="0.25">
      <c r="A30">
        <f>2*1.016*16</f>
        <v>32.512</v>
      </c>
      <c r="B30" t="s">
        <v>174</v>
      </c>
    </row>
    <row r="31" spans="1:28" x14ac:dyDescent="0.25">
      <c r="A31">
        <v>10000</v>
      </c>
      <c r="B31" t="s">
        <v>6</v>
      </c>
    </row>
    <row r="32" spans="1:28" x14ac:dyDescent="0.25">
      <c r="A32">
        <v>0.28000000000000003</v>
      </c>
      <c r="B32" t="s">
        <v>175</v>
      </c>
      <c r="AB32" t="s">
        <v>191</v>
      </c>
    </row>
    <row r="34" spans="1:52" x14ac:dyDescent="0.25">
      <c r="B34" s="1"/>
      <c r="C34" s="1" t="s">
        <v>0</v>
      </c>
      <c r="D34" s="1" t="s">
        <v>0</v>
      </c>
      <c r="E34" t="s">
        <v>0</v>
      </c>
      <c r="F34" s="1" t="s">
        <v>0</v>
      </c>
      <c r="G34" t="s">
        <v>149</v>
      </c>
      <c r="H34" t="s">
        <v>149</v>
      </c>
      <c r="I34" t="s">
        <v>149</v>
      </c>
      <c r="J34" t="s">
        <v>149</v>
      </c>
      <c r="K34" s="1" t="s">
        <v>149</v>
      </c>
      <c r="L34" s="1" t="s">
        <v>149</v>
      </c>
      <c r="M34" s="1" t="s">
        <v>7</v>
      </c>
      <c r="N34" t="s">
        <v>7</v>
      </c>
      <c r="O34" t="s">
        <v>7</v>
      </c>
      <c r="P34" t="s">
        <v>7</v>
      </c>
      <c r="Q34" t="s">
        <v>7</v>
      </c>
      <c r="R34" s="1" t="s">
        <v>7</v>
      </c>
      <c r="S34" s="1" t="s">
        <v>7</v>
      </c>
      <c r="T34" s="1" t="s">
        <v>7</v>
      </c>
      <c r="U34" s="1" t="s">
        <v>16</v>
      </c>
      <c r="V34" s="1" t="s">
        <v>16</v>
      </c>
      <c r="W34" s="1" t="s">
        <v>16</v>
      </c>
      <c r="X34" s="1" t="s">
        <v>16</v>
      </c>
      <c r="Y34" s="1" t="s">
        <v>16</v>
      </c>
      <c r="Z34" s="1" t="s">
        <v>16</v>
      </c>
      <c r="AC34" t="s">
        <v>0</v>
      </c>
      <c r="AD34" t="s">
        <v>0</v>
      </c>
      <c r="AE34" t="s">
        <v>0</v>
      </c>
      <c r="AF34" t="s">
        <v>0</v>
      </c>
      <c r="AG34" t="s">
        <v>149</v>
      </c>
      <c r="AH34" t="s">
        <v>149</v>
      </c>
      <c r="AI34" t="s">
        <v>149</v>
      </c>
      <c r="AJ34" t="s">
        <v>149</v>
      </c>
      <c r="AK34" t="s">
        <v>149</v>
      </c>
      <c r="AL34" t="s">
        <v>149</v>
      </c>
      <c r="AM34" t="s">
        <v>7</v>
      </c>
      <c r="AN34" t="s">
        <v>7</v>
      </c>
      <c r="AO34" t="s">
        <v>7</v>
      </c>
      <c r="AP34" t="s">
        <v>7</v>
      </c>
      <c r="AQ34" t="s">
        <v>7</v>
      </c>
      <c r="AR34" t="s">
        <v>7</v>
      </c>
      <c r="AS34" t="s">
        <v>7</v>
      </c>
      <c r="AT34" t="s">
        <v>7</v>
      </c>
      <c r="AU34" t="s">
        <v>16</v>
      </c>
      <c r="AV34" t="s">
        <v>16</v>
      </c>
      <c r="AW34" t="s">
        <v>16</v>
      </c>
      <c r="AX34" t="s">
        <v>16</v>
      </c>
      <c r="AY34" t="s">
        <v>16</v>
      </c>
      <c r="AZ34" t="s">
        <v>16</v>
      </c>
    </row>
    <row r="35" spans="1:52" x14ac:dyDescent="0.25">
      <c r="B35" s="1"/>
      <c r="C35" s="1"/>
      <c r="D35" s="1"/>
      <c r="F35" s="1"/>
      <c r="H35" t="s">
        <v>152</v>
      </c>
      <c r="I35" t="s">
        <v>153</v>
      </c>
      <c r="J35" t="s">
        <v>154</v>
      </c>
      <c r="K35" s="1"/>
      <c r="L35" s="1"/>
      <c r="M35" s="1"/>
      <c r="R35" s="1"/>
      <c r="S35" s="1"/>
      <c r="T35" s="1"/>
      <c r="U35" s="1"/>
      <c r="V35" s="1"/>
      <c r="W35" s="1"/>
      <c r="X35" s="1"/>
      <c r="Y35" s="1"/>
      <c r="Z35" s="1"/>
      <c r="AH35" t="s">
        <v>152</v>
      </c>
      <c r="AI35" t="s">
        <v>153</v>
      </c>
      <c r="AJ35" t="s">
        <v>154</v>
      </c>
    </row>
    <row r="36" spans="1:52" x14ac:dyDescent="0.25">
      <c r="B36" s="1"/>
      <c r="C36" s="1"/>
      <c r="D36" s="1"/>
      <c r="E36" t="s">
        <v>1</v>
      </c>
      <c r="F36" s="1"/>
      <c r="G36" t="s">
        <v>150</v>
      </c>
      <c r="H36" t="s">
        <v>151</v>
      </c>
      <c r="I36" t="s">
        <v>8</v>
      </c>
      <c r="J36" t="s">
        <v>8</v>
      </c>
      <c r="K36" s="1"/>
      <c r="L36" s="1"/>
      <c r="M36" s="1" t="s">
        <v>24</v>
      </c>
      <c r="N36" t="s">
        <v>8</v>
      </c>
      <c r="O36" t="s">
        <v>10</v>
      </c>
      <c r="P36" t="s">
        <v>10</v>
      </c>
      <c r="Q36" t="s">
        <v>11</v>
      </c>
      <c r="R36" s="1"/>
      <c r="S36" s="1"/>
      <c r="T36" s="1"/>
      <c r="U36" s="1"/>
      <c r="V36" s="1"/>
      <c r="W36" s="1"/>
      <c r="X36" s="1"/>
      <c r="Y36" s="1"/>
      <c r="Z36" s="1"/>
      <c r="AE36" t="s">
        <v>1</v>
      </c>
      <c r="AG36" t="s">
        <v>150</v>
      </c>
      <c r="AH36" t="s">
        <v>151</v>
      </c>
      <c r="AI36" t="s">
        <v>8</v>
      </c>
      <c r="AJ36" t="s">
        <v>8</v>
      </c>
      <c r="AM36" t="s">
        <v>24</v>
      </c>
      <c r="AN36" t="s">
        <v>8</v>
      </c>
      <c r="AO36" t="s">
        <v>10</v>
      </c>
      <c r="AP36" t="s">
        <v>10</v>
      </c>
      <c r="AQ36" t="s">
        <v>11</v>
      </c>
    </row>
    <row r="37" spans="1:52" x14ac:dyDescent="0.25">
      <c r="A37" t="s">
        <v>35</v>
      </c>
      <c r="B37" s="1" t="s">
        <v>27</v>
      </c>
      <c r="C37" s="1" t="s">
        <v>21</v>
      </c>
      <c r="D37" s="1" t="s">
        <v>2</v>
      </c>
      <c r="E37" t="s">
        <v>148</v>
      </c>
      <c r="F37" s="1" t="s">
        <v>3</v>
      </c>
      <c r="G37" t="s">
        <v>151</v>
      </c>
      <c r="H37" t="s">
        <v>141</v>
      </c>
      <c r="I37" t="s">
        <v>144</v>
      </c>
      <c r="J37" t="s">
        <v>144</v>
      </c>
      <c r="K37" s="1" t="s">
        <v>155</v>
      </c>
      <c r="L37" s="1" t="s">
        <v>156</v>
      </c>
      <c r="M37" s="1" t="s">
        <v>25</v>
      </c>
      <c r="N37" t="s">
        <v>158</v>
      </c>
      <c r="O37" t="s">
        <v>143</v>
      </c>
      <c r="P37" t="s">
        <v>158</v>
      </c>
      <c r="Q37" t="s">
        <v>159</v>
      </c>
      <c r="R37" s="1" t="s">
        <v>12</v>
      </c>
      <c r="S37" s="1" t="s">
        <v>13</v>
      </c>
      <c r="T37" s="1" t="s">
        <v>14</v>
      </c>
      <c r="U37" s="1" t="s">
        <v>17</v>
      </c>
      <c r="V37" s="1" t="s">
        <v>18</v>
      </c>
      <c r="W37" s="1" t="s">
        <v>19</v>
      </c>
      <c r="X37" s="1" t="s">
        <v>160</v>
      </c>
      <c r="Y37" s="1" t="s">
        <v>161</v>
      </c>
      <c r="Z37" s="1" t="s">
        <v>162</v>
      </c>
      <c r="AB37" t="s">
        <v>20</v>
      </c>
      <c r="AC37" t="s">
        <v>21</v>
      </c>
      <c r="AD37" t="s">
        <v>2</v>
      </c>
      <c r="AE37" t="s">
        <v>148</v>
      </c>
      <c r="AF37" t="s">
        <v>3</v>
      </c>
      <c r="AG37" t="s">
        <v>151</v>
      </c>
      <c r="AH37" t="s">
        <v>141</v>
      </c>
      <c r="AI37" t="s">
        <v>144</v>
      </c>
      <c r="AJ37" t="s">
        <v>144</v>
      </c>
      <c r="AK37" t="s">
        <v>155</v>
      </c>
      <c r="AL37" t="s">
        <v>156</v>
      </c>
      <c r="AM37" t="s">
        <v>25</v>
      </c>
      <c r="AN37" t="s">
        <v>158</v>
      </c>
      <c r="AO37" t="s">
        <v>143</v>
      </c>
      <c r="AP37" t="s">
        <v>158</v>
      </c>
      <c r="AQ37" t="s">
        <v>159</v>
      </c>
      <c r="AR37" t="s">
        <v>12</v>
      </c>
      <c r="AS37" t="s">
        <v>13</v>
      </c>
      <c r="AT37" t="s">
        <v>14</v>
      </c>
      <c r="AU37" t="s">
        <v>17</v>
      </c>
      <c r="AV37" t="s">
        <v>18</v>
      </c>
      <c r="AW37" t="s">
        <v>19</v>
      </c>
      <c r="AX37" t="s">
        <v>160</v>
      </c>
      <c r="AY37" t="s">
        <v>161</v>
      </c>
      <c r="AZ37" t="s">
        <v>162</v>
      </c>
    </row>
    <row r="38" spans="1:52" x14ac:dyDescent="0.25">
      <c r="B38" s="1"/>
      <c r="C38" s="1"/>
      <c r="D38" s="1"/>
      <c r="E38" t="s">
        <v>140</v>
      </c>
      <c r="F38" s="1" t="s">
        <v>4</v>
      </c>
      <c r="G38" t="s">
        <v>9</v>
      </c>
      <c r="H38" t="s">
        <v>9</v>
      </c>
      <c r="I38" t="s">
        <v>9</v>
      </c>
      <c r="J38" t="s">
        <v>9</v>
      </c>
      <c r="K38" s="1" t="s">
        <v>157</v>
      </c>
      <c r="L38" s="1" t="s">
        <v>4</v>
      </c>
      <c r="M38" s="1"/>
      <c r="N38" t="s">
        <v>140</v>
      </c>
      <c r="O38" t="s">
        <v>38</v>
      </c>
      <c r="P38" t="s">
        <v>38</v>
      </c>
      <c r="Q38" t="s">
        <v>38</v>
      </c>
      <c r="R38" s="5" t="s">
        <v>15</v>
      </c>
      <c r="S38" s="5" t="s">
        <v>15</v>
      </c>
      <c r="T38" s="5" t="s">
        <v>15</v>
      </c>
      <c r="U38" s="5" t="s">
        <v>4</v>
      </c>
      <c r="V38" s="5" t="s">
        <v>4</v>
      </c>
      <c r="W38" s="5" t="s">
        <v>4</v>
      </c>
      <c r="X38" s="5" t="s">
        <v>4</v>
      </c>
      <c r="Y38" s="5" t="s">
        <v>4</v>
      </c>
      <c r="Z38" s="5" t="s">
        <v>4</v>
      </c>
      <c r="AE38" t="s">
        <v>140</v>
      </c>
      <c r="AF38" s="7" t="s">
        <v>4</v>
      </c>
      <c r="AG38" t="s">
        <v>9</v>
      </c>
      <c r="AH38" t="s">
        <v>9</v>
      </c>
      <c r="AI38" t="s">
        <v>9</v>
      </c>
      <c r="AJ38" t="s">
        <v>9</v>
      </c>
      <c r="AK38" t="s">
        <v>157</v>
      </c>
      <c r="AL38" t="s">
        <v>4</v>
      </c>
      <c r="AN38" t="s">
        <v>140</v>
      </c>
      <c r="AO38" t="s">
        <v>38</v>
      </c>
      <c r="AP38" t="s">
        <v>38</v>
      </c>
      <c r="AQ38" t="s">
        <v>38</v>
      </c>
      <c r="AR38" t="s">
        <v>15</v>
      </c>
      <c r="AS38" t="s">
        <v>15</v>
      </c>
      <c r="AT38" t="s">
        <v>15</v>
      </c>
      <c r="AU38" t="s">
        <v>4</v>
      </c>
      <c r="AV38" t="s">
        <v>4</v>
      </c>
      <c r="AW38" t="s">
        <v>4</v>
      </c>
      <c r="AX38" t="s">
        <v>4</v>
      </c>
      <c r="AY38" t="s">
        <v>4</v>
      </c>
      <c r="AZ38" t="s">
        <v>4</v>
      </c>
    </row>
    <row r="39" spans="1:52" x14ac:dyDescent="0.25">
      <c r="A39" t="s">
        <v>35</v>
      </c>
      <c r="B39" s="1" t="s">
        <v>27</v>
      </c>
      <c r="C39" s="1" t="s">
        <v>21</v>
      </c>
      <c r="D39" s="1" t="s">
        <v>2</v>
      </c>
      <c r="F39" s="1" t="s">
        <v>3</v>
      </c>
      <c r="K39" s="1" t="s">
        <v>155</v>
      </c>
      <c r="L39" s="1" t="s">
        <v>156</v>
      </c>
      <c r="M39" s="1" t="s">
        <v>25</v>
      </c>
      <c r="R39" s="1" t="s">
        <v>12</v>
      </c>
      <c r="S39" s="1" t="s">
        <v>13</v>
      </c>
      <c r="T39" s="1" t="s">
        <v>14</v>
      </c>
      <c r="U39" s="1" t="s">
        <v>17</v>
      </c>
      <c r="V39" s="1" t="s">
        <v>18</v>
      </c>
      <c r="W39" s="1" t="s">
        <v>19</v>
      </c>
      <c r="X39" s="1" t="s">
        <v>160</v>
      </c>
      <c r="Y39" s="1" t="s">
        <v>161</v>
      </c>
      <c r="Z39" s="1" t="s">
        <v>162</v>
      </c>
      <c r="AB39" t="s">
        <v>20</v>
      </c>
      <c r="AC39" t="s">
        <v>21</v>
      </c>
      <c r="AD39" t="s">
        <v>2</v>
      </c>
      <c r="AF39" t="s">
        <v>3</v>
      </c>
      <c r="AK39" t="s">
        <v>155</v>
      </c>
      <c r="AL39" t="s">
        <v>156</v>
      </c>
      <c r="AM39" t="s">
        <v>25</v>
      </c>
      <c r="AR39" t="s">
        <v>12</v>
      </c>
      <c r="AS39" t="s">
        <v>13</v>
      </c>
      <c r="AT39" t="s">
        <v>14</v>
      </c>
      <c r="AU39" t="s">
        <v>17</v>
      </c>
      <c r="AV39" t="s">
        <v>18</v>
      </c>
      <c r="AW39" t="s">
        <v>19</v>
      </c>
      <c r="AX39" t="s">
        <v>160</v>
      </c>
      <c r="AY39" t="s">
        <v>161</v>
      </c>
      <c r="AZ39" t="s">
        <v>162</v>
      </c>
    </row>
    <row r="40" spans="1:52" x14ac:dyDescent="0.25">
      <c r="A40">
        <v>1</v>
      </c>
      <c r="B40" s="1" t="s">
        <v>39</v>
      </c>
      <c r="C40" s="1" t="s">
        <v>139</v>
      </c>
      <c r="D40" s="2">
        <v>42325</v>
      </c>
      <c r="E40" s="3">
        <v>46.9</v>
      </c>
      <c r="F40" s="4">
        <f>E40*$A$29/$A$30*$A$31</f>
        <v>6543.2655019685035</v>
      </c>
      <c r="G40" s="7">
        <v>8.84</v>
      </c>
      <c r="H40" s="7">
        <v>222.38</v>
      </c>
      <c r="I40" s="7">
        <f>H40-G40</f>
        <v>213.54</v>
      </c>
      <c r="J40" s="7">
        <v>196.75</v>
      </c>
      <c r="K40" s="5">
        <f>(I40-J40)/I40*100</f>
        <v>7.8626955137210794</v>
      </c>
      <c r="L40" s="4">
        <f>F40*(1-K40/100)</f>
        <v>6028.7884588943671</v>
      </c>
      <c r="M40" s="2">
        <v>42339</v>
      </c>
      <c r="N40" s="7">
        <v>4.28</v>
      </c>
      <c r="O40" s="7">
        <v>1</v>
      </c>
      <c r="P40" s="7">
        <f>O40-$A$32</f>
        <v>0.72</v>
      </c>
      <c r="Q40" s="7">
        <v>1.04</v>
      </c>
      <c r="R40" s="6">
        <f>P40/(N40*$A$29)</f>
        <v>0.37087139778792516</v>
      </c>
      <c r="S40" s="6">
        <f>Q40/(N40*$A$29)</f>
        <v>0.53570313013811421</v>
      </c>
      <c r="T40" s="6">
        <f>1-R40-S40</f>
        <v>9.3425472073960569E-2</v>
      </c>
      <c r="U40" s="4">
        <f>F40*R40</f>
        <v>2426.7100228125687</v>
      </c>
      <c r="V40" s="4">
        <f>F40*S40</f>
        <v>3505.2478107292663</v>
      </c>
      <c r="W40" s="4">
        <f>U40+V40</f>
        <v>5931.9578335418355</v>
      </c>
      <c r="X40" s="4">
        <f>L40*R40</f>
        <v>2235.905202717865</v>
      </c>
      <c r="Y40" s="4">
        <f>L40*S40</f>
        <v>3229.6408483702503</v>
      </c>
      <c r="Z40" s="4">
        <f>X40+Y40</f>
        <v>5465.5460510881148</v>
      </c>
      <c r="AA40" s="3"/>
      <c r="AB40" t="s">
        <v>28</v>
      </c>
      <c r="AC40" t="str">
        <f>C40</f>
        <v>Machine</v>
      </c>
      <c r="AD40" s="8">
        <f>D40</f>
        <v>42325</v>
      </c>
      <c r="AE40" s="3">
        <f>SUM(E40:E49)</f>
        <v>483.15000000000003</v>
      </c>
      <c r="AF40" s="3">
        <f>AE40*$A$29/($A$30*10)*$A$31</f>
        <v>6740.6795890748026</v>
      </c>
      <c r="AG40" s="7">
        <f>SUM(G40:G49)</f>
        <v>88.19</v>
      </c>
      <c r="AH40" s="7">
        <f>SUM(H40:H49)</f>
        <v>2434.25</v>
      </c>
      <c r="AI40" s="7">
        <f>AH40-AG40</f>
        <v>2346.06</v>
      </c>
      <c r="AJ40" s="7">
        <f>SUM(J40:J49)</f>
        <v>2188.89</v>
      </c>
      <c r="AK40" s="7">
        <f>(AI40-AJ40)/AI40*100</f>
        <v>6.6993171530139923</v>
      </c>
      <c r="AL40" s="3">
        <f>AF40*(1-AK40/100)</f>
        <v>6289.1000851342014</v>
      </c>
      <c r="AM40" s="11">
        <f>M40</f>
        <v>42339</v>
      </c>
      <c r="AN40" s="7">
        <f>SUM(N40:N49)</f>
        <v>37.6</v>
      </c>
      <c r="AO40" s="7">
        <f>SUM(O40:O49)</f>
        <v>8.9</v>
      </c>
      <c r="AP40" s="7">
        <f>AO40-10*$A$32</f>
        <v>6.1</v>
      </c>
      <c r="AQ40" s="7">
        <f>SUM(Q40:Q49)</f>
        <v>9.1</v>
      </c>
      <c r="AR40" s="9">
        <f>AP40/(AN40*$A$29)</f>
        <v>0.35766513199790007</v>
      </c>
      <c r="AS40" s="9">
        <f>AQ40/(AN40*$A$29)</f>
        <v>0.53356601658703129</v>
      </c>
      <c r="AT40" s="9">
        <f>1-AR40-AS40</f>
        <v>0.10876885141506865</v>
      </c>
      <c r="AU40" s="3">
        <f>AF40*AR40</f>
        <v>2410.9060549819901</v>
      </c>
      <c r="AV40" s="3">
        <f>AF40*AS40</f>
        <v>3596.5975574321492</v>
      </c>
      <c r="AW40" s="3">
        <f>AU40+AV40</f>
        <v>6007.5036124141388</v>
      </c>
      <c r="AX40" s="3">
        <f>AL40*AR40</f>
        <v>2249.3918120975286</v>
      </c>
      <c r="AY40" s="3">
        <f>AL40*AS40</f>
        <v>3355.650080342215</v>
      </c>
      <c r="AZ40" s="3">
        <f>AX40+AY40</f>
        <v>5605.0418924397436</v>
      </c>
    </row>
    <row r="41" spans="1:52" x14ac:dyDescent="0.25">
      <c r="A41">
        <f>A40+1</f>
        <v>2</v>
      </c>
      <c r="B41" s="1" t="s">
        <v>40</v>
      </c>
      <c r="C41" s="1" t="s">
        <v>139</v>
      </c>
      <c r="D41" s="2">
        <v>42325</v>
      </c>
      <c r="E41" s="3">
        <v>51.6</v>
      </c>
      <c r="F41" s="4">
        <f t="shared" ref="F41:F104" si="0">E41*$A$29/$A$30*$A$31</f>
        <v>7198.9872047244098</v>
      </c>
      <c r="G41" s="7">
        <v>8.76</v>
      </c>
      <c r="H41" s="7">
        <v>230.37</v>
      </c>
      <c r="I41" s="7">
        <f t="shared" ref="I41:I104" si="1">H41-G41</f>
        <v>221.61</v>
      </c>
      <c r="J41" s="7">
        <v>206.31</v>
      </c>
      <c r="K41" s="5">
        <f t="shared" ref="K41:K104" si="2">(I41-J41)/I41*100</f>
        <v>6.9040205766887821</v>
      </c>
      <c r="L41" s="4">
        <f t="shared" ref="L41:L104" si="3">F41*(1-K41/100)</f>
        <v>6701.9676467970439</v>
      </c>
      <c r="M41" s="2">
        <v>42339</v>
      </c>
      <c r="N41" s="7">
        <v>4.12</v>
      </c>
      <c r="O41" s="7">
        <v>0.94</v>
      </c>
      <c r="P41" s="7">
        <f t="shared" ref="P41:P104" si="4">O41-$A$32</f>
        <v>0.65999999999999992</v>
      </c>
      <c r="Q41" s="7">
        <v>0.98</v>
      </c>
      <c r="R41" s="6">
        <f t="shared" ref="R41:R104" si="5">P41/(N41*$A$29)</f>
        <v>0.35316798964109053</v>
      </c>
      <c r="S41" s="6">
        <f t="shared" ref="S41:S104" si="6">Q41/(N41*$A$29)</f>
        <v>0.52440095431555867</v>
      </c>
      <c r="T41" s="6">
        <f t="shared" ref="T41:T104" si="7">1-R41-S41</f>
        <v>0.12243105604335081</v>
      </c>
      <c r="U41" s="4">
        <f t="shared" ref="U41:U104" si="8">F41*R41</f>
        <v>2542.4518385444535</v>
      </c>
      <c r="V41" s="4">
        <f t="shared" ref="V41:V104" si="9">F41*S41</f>
        <v>3775.1557602629764</v>
      </c>
      <c r="W41" s="4">
        <f t="shared" ref="W41:W104" si="10">U41+V41</f>
        <v>6317.6075988074299</v>
      </c>
      <c r="X41" s="4">
        <f t="shared" ref="X41:X104" si="11">L41*R41</f>
        <v>2366.9204404589423</v>
      </c>
      <c r="Y41" s="4">
        <f t="shared" ref="Y41:Y104" si="12">L41*S41</f>
        <v>3514.5182297723691</v>
      </c>
      <c r="Z41" s="4">
        <f t="shared" ref="Z41:Z104" si="13">X41+Y41</f>
        <v>5881.4386702313113</v>
      </c>
      <c r="AA41" s="3"/>
      <c r="AE41" s="3"/>
      <c r="AF41" s="3"/>
      <c r="AG41" s="7"/>
      <c r="AH41" s="7"/>
      <c r="AI41" s="7"/>
      <c r="AJ41" s="7"/>
      <c r="AK41" s="7"/>
      <c r="AL41" s="3"/>
      <c r="AM41" s="9"/>
      <c r="AN41" s="7"/>
      <c r="AO41" s="7"/>
      <c r="AP41" s="7"/>
      <c r="AQ41" s="7"/>
      <c r="AR41" s="9"/>
      <c r="AS41" s="9"/>
      <c r="AT41" s="9"/>
      <c r="AU41" s="3"/>
      <c r="AV41" s="3"/>
      <c r="AW41" s="3"/>
      <c r="AX41" s="3"/>
      <c r="AY41" s="3"/>
      <c r="AZ41" s="3"/>
    </row>
    <row r="42" spans="1:52" x14ac:dyDescent="0.25">
      <c r="A42">
        <f t="shared" ref="A42:A105" si="14">A41+1</f>
        <v>3</v>
      </c>
      <c r="B42" s="1" t="s">
        <v>41</v>
      </c>
      <c r="C42" s="1" t="s">
        <v>139</v>
      </c>
      <c r="D42" s="2">
        <v>42325</v>
      </c>
      <c r="E42" s="3">
        <v>47.9</v>
      </c>
      <c r="F42" s="4">
        <f t="shared" si="0"/>
        <v>6682.7807578740149</v>
      </c>
      <c r="G42" s="7">
        <v>8.7899999999999991</v>
      </c>
      <c r="H42" s="7">
        <v>237.22</v>
      </c>
      <c r="I42" s="7">
        <f t="shared" si="1"/>
        <v>228.43</v>
      </c>
      <c r="J42" s="7">
        <v>213.65</v>
      </c>
      <c r="K42" s="5">
        <f t="shared" si="2"/>
        <v>6.4702534693341498</v>
      </c>
      <c r="L42" s="4">
        <f t="shared" si="3"/>
        <v>6250.387904039676</v>
      </c>
      <c r="M42" s="2">
        <v>42339</v>
      </c>
      <c r="N42" s="7">
        <v>3.14</v>
      </c>
      <c r="O42" s="7">
        <v>0.8</v>
      </c>
      <c r="P42" s="7">
        <f t="shared" si="4"/>
        <v>0.52</v>
      </c>
      <c r="Q42" s="7">
        <v>0.76</v>
      </c>
      <c r="R42" s="6">
        <f t="shared" si="5"/>
        <v>0.36509703773744084</v>
      </c>
      <c r="S42" s="6">
        <f t="shared" si="6"/>
        <v>0.53360336284702892</v>
      </c>
      <c r="T42" s="6">
        <f t="shared" si="7"/>
        <v>0.10129959941553024</v>
      </c>
      <c r="U42" s="4">
        <f t="shared" si="8"/>
        <v>2439.8634585485729</v>
      </c>
      <c r="V42" s="4">
        <f t="shared" si="9"/>
        <v>3565.954285570991</v>
      </c>
      <c r="W42" s="4">
        <f t="shared" si="10"/>
        <v>6005.8177441195639</v>
      </c>
      <c r="X42" s="4">
        <f t="shared" si="11"/>
        <v>2281.9981084748174</v>
      </c>
      <c r="Y42" s="4">
        <f t="shared" si="12"/>
        <v>3335.2280046939636</v>
      </c>
      <c r="Z42" s="4">
        <f t="shared" si="13"/>
        <v>5617.226113168781</v>
      </c>
      <c r="AA42" s="3"/>
      <c r="AE42" s="3"/>
      <c r="AF42" s="3"/>
      <c r="AG42" s="7"/>
      <c r="AH42" s="7"/>
      <c r="AI42" s="7"/>
      <c r="AJ42" s="7"/>
      <c r="AK42" s="7"/>
      <c r="AL42" s="3"/>
      <c r="AM42" s="9"/>
      <c r="AN42" s="7"/>
      <c r="AO42" s="7"/>
      <c r="AP42" s="7"/>
      <c r="AQ42" s="7"/>
      <c r="AR42" s="9"/>
      <c r="AS42" s="9"/>
      <c r="AT42" s="9"/>
      <c r="AU42" s="3"/>
      <c r="AV42" s="3"/>
      <c r="AW42" s="3"/>
      <c r="AX42" s="3"/>
      <c r="AY42" s="3"/>
      <c r="AZ42" s="3"/>
    </row>
    <row r="43" spans="1:52" x14ac:dyDescent="0.25">
      <c r="A43">
        <f t="shared" si="14"/>
        <v>4</v>
      </c>
      <c r="B43" s="1" t="s">
        <v>42</v>
      </c>
      <c r="C43" s="1" t="s">
        <v>139</v>
      </c>
      <c r="D43" s="2">
        <v>42325</v>
      </c>
      <c r="E43" s="3">
        <v>47.6</v>
      </c>
      <c r="F43" s="4">
        <f t="shared" si="0"/>
        <v>6640.9261811023625</v>
      </c>
      <c r="G43" s="7">
        <v>8.7799999999999994</v>
      </c>
      <c r="H43" s="7">
        <v>230.39</v>
      </c>
      <c r="I43" s="7">
        <f t="shared" si="1"/>
        <v>221.60999999999999</v>
      </c>
      <c r="J43" s="7">
        <v>206.88</v>
      </c>
      <c r="K43" s="5">
        <f t="shared" si="2"/>
        <v>6.6468119669689951</v>
      </c>
      <c r="L43" s="4">
        <f t="shared" si="3"/>
        <v>6199.5163049792736</v>
      </c>
      <c r="M43" s="2">
        <v>42339</v>
      </c>
      <c r="N43" s="7">
        <v>4.54</v>
      </c>
      <c r="O43" s="7">
        <v>1</v>
      </c>
      <c r="P43" s="7">
        <f t="shared" si="4"/>
        <v>0.72</v>
      </c>
      <c r="Q43" s="7">
        <v>1.1000000000000001</v>
      </c>
      <c r="R43" s="6">
        <f t="shared" si="5"/>
        <v>0.34963206663707486</v>
      </c>
      <c r="S43" s="6">
        <f t="shared" si="6"/>
        <v>0.5341601018066422</v>
      </c>
      <c r="T43" s="6">
        <f t="shared" si="7"/>
        <v>0.11620783155628289</v>
      </c>
      <c r="U43" s="4">
        <f t="shared" si="8"/>
        <v>2321.8807450830764</v>
      </c>
      <c r="V43" s="4">
        <f t="shared" si="9"/>
        <v>3547.3178049880335</v>
      </c>
      <c r="W43" s="4">
        <f t="shared" si="10"/>
        <v>5869.1985500711098</v>
      </c>
      <c r="X43" s="4">
        <f t="shared" si="11"/>
        <v>2167.5496978601454</v>
      </c>
      <c r="Y43" s="4">
        <f t="shared" si="12"/>
        <v>3311.5342606196668</v>
      </c>
      <c r="Z43" s="4">
        <f t="shared" si="13"/>
        <v>5479.0839584798123</v>
      </c>
      <c r="AA43" s="3"/>
      <c r="AE43" s="3"/>
      <c r="AF43" s="3"/>
      <c r="AG43" s="7"/>
      <c r="AH43" s="7"/>
      <c r="AI43" s="7"/>
      <c r="AJ43" s="7"/>
      <c r="AK43" s="7"/>
      <c r="AL43" s="3"/>
      <c r="AM43" s="9"/>
      <c r="AN43" s="7"/>
      <c r="AO43" s="7"/>
      <c r="AP43" s="7"/>
      <c r="AQ43" s="7"/>
      <c r="AR43" s="9"/>
      <c r="AS43" s="9"/>
      <c r="AT43" s="9"/>
      <c r="AU43" s="3"/>
      <c r="AV43" s="3"/>
      <c r="AW43" s="3"/>
      <c r="AX43" s="3"/>
      <c r="AY43" s="3"/>
      <c r="AZ43" s="3"/>
    </row>
    <row r="44" spans="1:52" x14ac:dyDescent="0.25">
      <c r="A44">
        <f t="shared" si="14"/>
        <v>5</v>
      </c>
      <c r="B44" s="1" t="s">
        <v>43</v>
      </c>
      <c r="C44" s="1" t="s">
        <v>139</v>
      </c>
      <c r="D44" s="2">
        <v>42325</v>
      </c>
      <c r="E44" s="3">
        <v>50.5</v>
      </c>
      <c r="F44" s="4">
        <f t="shared" si="0"/>
        <v>7045.5204232283468</v>
      </c>
      <c r="G44" s="7">
        <v>8.81</v>
      </c>
      <c r="H44" s="7">
        <v>252.65</v>
      </c>
      <c r="I44" s="7">
        <f t="shared" si="1"/>
        <v>243.84</v>
      </c>
      <c r="J44" s="7">
        <v>227.67</v>
      </c>
      <c r="K44" s="5">
        <f t="shared" si="2"/>
        <v>6.6313976377952821</v>
      </c>
      <c r="L44" s="4">
        <f t="shared" si="3"/>
        <v>6578.3039483119983</v>
      </c>
      <c r="M44" s="2">
        <v>42339</v>
      </c>
      <c r="N44" s="7">
        <v>2.56</v>
      </c>
      <c r="O44" s="7">
        <v>0.68</v>
      </c>
      <c r="P44" s="7">
        <f t="shared" si="4"/>
        <v>0.4</v>
      </c>
      <c r="Q44" s="7">
        <v>0.6</v>
      </c>
      <c r="R44" s="6">
        <f t="shared" si="5"/>
        <v>0.34447256565371526</v>
      </c>
      <c r="S44" s="6">
        <f t="shared" si="6"/>
        <v>0.51670884848057286</v>
      </c>
      <c r="T44" s="6">
        <f t="shared" si="7"/>
        <v>0.13881858586571183</v>
      </c>
      <c r="U44" s="4">
        <f t="shared" si="8"/>
        <v>2426.9884965551182</v>
      </c>
      <c r="V44" s="4">
        <f t="shared" si="9"/>
        <v>3640.4827448326773</v>
      </c>
      <c r="W44" s="4">
        <f t="shared" si="10"/>
        <v>6067.4712413877951</v>
      </c>
      <c r="X44" s="4">
        <f t="shared" si="11"/>
        <v>2266.0452387249993</v>
      </c>
      <c r="Y44" s="4">
        <f t="shared" si="12"/>
        <v>3399.0678580874983</v>
      </c>
      <c r="Z44" s="4">
        <f t="shared" si="13"/>
        <v>5665.113096812498</v>
      </c>
      <c r="AA44" s="3"/>
      <c r="AE44" s="3"/>
      <c r="AF44" s="3"/>
      <c r="AG44" s="7"/>
      <c r="AH44" s="7"/>
      <c r="AI44" s="7"/>
      <c r="AJ44" s="7"/>
      <c r="AK44" s="7"/>
      <c r="AL44" s="3"/>
      <c r="AM44" s="9"/>
      <c r="AN44" s="7"/>
      <c r="AO44" s="7"/>
      <c r="AP44" s="7"/>
      <c r="AQ44" s="7"/>
      <c r="AR44" s="9"/>
      <c r="AS44" s="9"/>
      <c r="AT44" s="9"/>
      <c r="AU44" s="3"/>
      <c r="AV44" s="3"/>
      <c r="AW44" s="3"/>
      <c r="AX44" s="3"/>
      <c r="AY44" s="3"/>
      <c r="AZ44" s="3"/>
    </row>
    <row r="45" spans="1:52" x14ac:dyDescent="0.25">
      <c r="A45">
        <f t="shared" si="14"/>
        <v>6</v>
      </c>
      <c r="B45" s="1" t="s">
        <v>44</v>
      </c>
      <c r="C45" s="1" t="s">
        <v>139</v>
      </c>
      <c r="D45" s="2">
        <v>42325</v>
      </c>
      <c r="E45" s="3">
        <v>48.6</v>
      </c>
      <c r="F45" s="4">
        <f t="shared" si="0"/>
        <v>6780.4414370078739</v>
      </c>
      <c r="G45" s="7">
        <v>8.82</v>
      </c>
      <c r="H45" s="7">
        <v>370.5</v>
      </c>
      <c r="I45" s="7">
        <f>H45-G45</f>
        <v>361.68</v>
      </c>
      <c r="J45" s="7">
        <v>338</v>
      </c>
      <c r="K45" s="5">
        <f t="shared" si="2"/>
        <v>6.5472240654722427</v>
      </c>
      <c r="L45" s="4">
        <f t="shared" si="3"/>
        <v>6336.5107434988422</v>
      </c>
      <c r="M45" s="2">
        <v>42339</v>
      </c>
      <c r="N45" s="7">
        <v>3.02</v>
      </c>
      <c r="O45" s="7">
        <v>0.8</v>
      </c>
      <c r="P45" s="7">
        <f t="shared" si="4"/>
        <v>0.52</v>
      </c>
      <c r="Q45" s="7">
        <v>0.76</v>
      </c>
      <c r="R45" s="6">
        <f t="shared" si="5"/>
        <v>0.37960420479985574</v>
      </c>
      <c r="S45" s="6">
        <f t="shared" si="6"/>
        <v>0.55480614547671225</v>
      </c>
      <c r="T45" s="6">
        <f t="shared" si="7"/>
        <v>6.5589649723431953E-2</v>
      </c>
      <c r="U45" s="4">
        <f t="shared" si="8"/>
        <v>2573.8840798873653</v>
      </c>
      <c r="V45" s="4">
        <f t="shared" si="9"/>
        <v>3761.8305782969182</v>
      </c>
      <c r="W45" s="4">
        <f t="shared" si="10"/>
        <v>6335.7146581842835</v>
      </c>
      <c r="X45" s="4">
        <f t="shared" si="11"/>
        <v>2405.3661219916207</v>
      </c>
      <c r="Y45" s="4">
        <f t="shared" si="12"/>
        <v>3515.5351013723689</v>
      </c>
      <c r="Z45" s="4">
        <f t="shared" si="13"/>
        <v>5920.9012233639896</v>
      </c>
      <c r="AA45" s="3"/>
      <c r="AE45" s="3"/>
      <c r="AF45" s="3"/>
      <c r="AG45" s="7"/>
      <c r="AH45" s="7"/>
      <c r="AI45" s="7"/>
      <c r="AJ45" s="7"/>
      <c r="AK45" s="7"/>
      <c r="AL45" s="3"/>
      <c r="AM45" s="9"/>
      <c r="AN45" s="7"/>
      <c r="AO45" s="7"/>
      <c r="AP45" s="7"/>
      <c r="AQ45" s="7"/>
      <c r="AR45" s="9"/>
      <c r="AS45" s="9"/>
      <c r="AT45" s="9"/>
      <c r="AU45" s="3"/>
      <c r="AV45" s="3"/>
      <c r="AW45" s="3"/>
      <c r="AX45" s="3"/>
      <c r="AY45" s="3"/>
      <c r="AZ45" s="3"/>
    </row>
    <row r="46" spans="1:52" x14ac:dyDescent="0.25">
      <c r="A46">
        <f t="shared" si="14"/>
        <v>7</v>
      </c>
      <c r="B46" s="1" t="s">
        <v>45</v>
      </c>
      <c r="C46" s="1" t="s">
        <v>139</v>
      </c>
      <c r="D46" s="2">
        <v>42325</v>
      </c>
      <c r="E46" s="3">
        <v>47.5</v>
      </c>
      <c r="F46" s="4">
        <f t="shared" si="0"/>
        <v>6626.9746555118099</v>
      </c>
      <c r="G46" s="7">
        <v>8.84</v>
      </c>
      <c r="H46" s="7">
        <v>244.67</v>
      </c>
      <c r="I46" s="7">
        <f t="shared" si="1"/>
        <v>235.82999999999998</v>
      </c>
      <c r="J46" s="7">
        <v>219.49</v>
      </c>
      <c r="K46" s="5">
        <f t="shared" si="2"/>
        <v>6.9287198405631081</v>
      </c>
      <c r="L46" s="4">
        <f t="shared" si="3"/>
        <v>6167.8101477262744</v>
      </c>
      <c r="M46" s="2">
        <v>42339</v>
      </c>
      <c r="N46" s="7">
        <v>4.24</v>
      </c>
      <c r="O46" s="7">
        <v>0.96</v>
      </c>
      <c r="P46" s="7">
        <f t="shared" si="4"/>
        <v>0.67999999999999994</v>
      </c>
      <c r="Q46" s="7">
        <v>1</v>
      </c>
      <c r="R46" s="6">
        <f t="shared" si="5"/>
        <v>0.35357184097286992</v>
      </c>
      <c r="S46" s="6">
        <f t="shared" si="6"/>
        <v>0.51995858966598518</v>
      </c>
      <c r="T46" s="6">
        <f t="shared" si="7"/>
        <v>0.12646956936114495</v>
      </c>
      <c r="U46" s="4">
        <f t="shared" si="8"/>
        <v>2343.111629029861</v>
      </c>
      <c r="V46" s="4">
        <f t="shared" si="9"/>
        <v>3445.7523956321488</v>
      </c>
      <c r="W46" s="4">
        <f t="shared" si="10"/>
        <v>5788.8640246620098</v>
      </c>
      <c r="X46" s="4">
        <f t="shared" si="11"/>
        <v>2180.7639887027276</v>
      </c>
      <c r="Y46" s="4">
        <f t="shared" si="12"/>
        <v>3207.0058657393056</v>
      </c>
      <c r="Z46" s="4">
        <f t="shared" si="13"/>
        <v>5387.7698544420327</v>
      </c>
      <c r="AA46" s="3"/>
      <c r="AE46" s="3"/>
      <c r="AF46" s="3"/>
      <c r="AG46" s="7"/>
      <c r="AH46" s="7"/>
      <c r="AI46" s="7"/>
      <c r="AJ46" s="7"/>
      <c r="AK46" s="7"/>
      <c r="AL46" s="3"/>
      <c r="AM46" s="9"/>
      <c r="AN46" s="7"/>
      <c r="AO46" s="7"/>
      <c r="AP46" s="7"/>
      <c r="AQ46" s="7"/>
      <c r="AR46" s="9"/>
      <c r="AS46" s="9"/>
      <c r="AT46" s="9"/>
      <c r="AU46" s="3"/>
      <c r="AV46" s="3"/>
      <c r="AW46" s="3"/>
      <c r="AX46" s="3"/>
      <c r="AY46" s="3"/>
      <c r="AZ46" s="3"/>
    </row>
    <row r="47" spans="1:52" x14ac:dyDescent="0.25">
      <c r="A47">
        <f t="shared" si="14"/>
        <v>8</v>
      </c>
      <c r="B47" s="1" t="s">
        <v>46</v>
      </c>
      <c r="C47" s="1" t="s">
        <v>139</v>
      </c>
      <c r="D47" s="2">
        <v>42325</v>
      </c>
      <c r="E47" s="3">
        <v>50.5</v>
      </c>
      <c r="F47" s="4">
        <f t="shared" si="0"/>
        <v>7045.5204232283468</v>
      </c>
      <c r="G47" s="7">
        <v>8.83</v>
      </c>
      <c r="H47" s="7">
        <v>200.78</v>
      </c>
      <c r="I47" s="7">
        <f t="shared" si="1"/>
        <v>191.95</v>
      </c>
      <c r="J47" s="7">
        <v>179.29</v>
      </c>
      <c r="K47" s="5">
        <f t="shared" si="2"/>
        <v>6.5954675696796023</v>
      </c>
      <c r="L47" s="4">
        <f t="shared" si="3"/>
        <v>6580.8354085991677</v>
      </c>
      <c r="M47" s="2">
        <v>42339</v>
      </c>
      <c r="N47" s="7">
        <v>3.08</v>
      </c>
      <c r="O47" s="7">
        <v>0.78</v>
      </c>
      <c r="P47" s="7">
        <f t="shared" si="4"/>
        <v>0.5</v>
      </c>
      <c r="Q47" s="7">
        <v>0.76</v>
      </c>
      <c r="R47" s="6">
        <f t="shared" si="5"/>
        <v>0.3578935747051587</v>
      </c>
      <c r="S47" s="6">
        <f t="shared" si="6"/>
        <v>0.54399823355184118</v>
      </c>
      <c r="T47" s="6">
        <f t="shared" si="7"/>
        <v>9.8108191743000117E-2</v>
      </c>
      <c r="U47" s="4">
        <f t="shared" si="8"/>
        <v>2521.5464899273957</v>
      </c>
      <c r="V47" s="4">
        <f t="shared" si="9"/>
        <v>3832.7506646896413</v>
      </c>
      <c r="W47" s="4">
        <f t="shared" si="10"/>
        <v>6354.2971546170374</v>
      </c>
      <c r="X47" s="4">
        <f t="shared" si="11"/>
        <v>2355.23870892984</v>
      </c>
      <c r="Y47" s="4">
        <f t="shared" si="12"/>
        <v>3579.9628375733564</v>
      </c>
      <c r="Z47" s="4">
        <f t="shared" si="13"/>
        <v>5935.2015465031964</v>
      </c>
      <c r="AA47" s="3"/>
      <c r="AE47" s="3"/>
      <c r="AF47" s="3"/>
      <c r="AG47" s="7"/>
      <c r="AH47" s="7"/>
      <c r="AI47" s="7"/>
      <c r="AJ47" s="7"/>
      <c r="AK47" s="7"/>
      <c r="AL47" s="3"/>
      <c r="AM47" s="9"/>
      <c r="AN47" s="7"/>
      <c r="AO47" s="7"/>
      <c r="AP47" s="7"/>
      <c r="AQ47" s="7"/>
      <c r="AR47" s="9"/>
      <c r="AS47" s="9"/>
      <c r="AT47" s="9"/>
      <c r="AU47" s="3"/>
      <c r="AV47" s="3"/>
      <c r="AW47" s="3"/>
      <c r="AX47" s="3"/>
      <c r="AY47" s="3"/>
      <c r="AZ47" s="3"/>
    </row>
    <row r="48" spans="1:52" x14ac:dyDescent="0.25">
      <c r="A48">
        <f t="shared" si="14"/>
        <v>9</v>
      </c>
      <c r="B48" s="1" t="s">
        <v>47</v>
      </c>
      <c r="C48" s="1" t="s">
        <v>139</v>
      </c>
      <c r="D48" s="2">
        <v>42325</v>
      </c>
      <c r="E48" s="3">
        <v>50.300000000000004</v>
      </c>
      <c r="F48" s="4">
        <f t="shared" si="0"/>
        <v>7017.6173720472443</v>
      </c>
      <c r="G48" s="7">
        <v>8.85</v>
      </c>
      <c r="H48" s="7">
        <v>224.17</v>
      </c>
      <c r="I48" s="7">
        <f t="shared" si="1"/>
        <v>215.32</v>
      </c>
      <c r="J48" s="7">
        <v>201.34</v>
      </c>
      <c r="K48" s="5">
        <f t="shared" si="2"/>
        <v>6.4926620843395826</v>
      </c>
      <c r="L48" s="4">
        <f t="shared" si="3"/>
        <v>6561.9871897083049</v>
      </c>
      <c r="M48" s="2">
        <v>42339</v>
      </c>
      <c r="N48" s="7">
        <v>4.2</v>
      </c>
      <c r="O48" s="7">
        <v>0.94</v>
      </c>
      <c r="P48" s="7">
        <f t="shared" si="4"/>
        <v>0.65999999999999992</v>
      </c>
      <c r="Q48" s="7">
        <v>1</v>
      </c>
      <c r="R48" s="6">
        <f t="shared" si="5"/>
        <v>0.34644098031459353</v>
      </c>
      <c r="S48" s="6">
        <f t="shared" si="6"/>
        <v>0.52491057623423276</v>
      </c>
      <c r="T48" s="6">
        <f t="shared" si="7"/>
        <v>0.12864844345117366</v>
      </c>
      <c r="U48" s="4">
        <f t="shared" si="8"/>
        <v>2431.1902418447689</v>
      </c>
      <c r="V48" s="4">
        <f t="shared" si="9"/>
        <v>3683.6215785526811</v>
      </c>
      <c r="W48" s="4">
        <f t="shared" si="10"/>
        <v>6114.81182039745</v>
      </c>
      <c r="X48" s="4">
        <f t="shared" si="11"/>
        <v>2273.3412748143496</v>
      </c>
      <c r="Y48" s="4">
        <f t="shared" si="12"/>
        <v>3444.45647699144</v>
      </c>
      <c r="Z48" s="4">
        <f t="shared" si="13"/>
        <v>5717.7977518057896</v>
      </c>
      <c r="AA48" s="3"/>
      <c r="AE48" s="3"/>
      <c r="AF48" s="3"/>
      <c r="AG48" s="7"/>
      <c r="AH48" s="7"/>
      <c r="AI48" s="7"/>
      <c r="AJ48" s="7"/>
      <c r="AK48" s="7"/>
      <c r="AL48" s="3"/>
      <c r="AM48" s="9"/>
      <c r="AN48" s="7"/>
      <c r="AO48" s="7"/>
      <c r="AP48" s="7"/>
      <c r="AQ48" s="7"/>
      <c r="AR48" s="9"/>
      <c r="AS48" s="9"/>
      <c r="AT48" s="9"/>
      <c r="AU48" s="3"/>
      <c r="AV48" s="3"/>
      <c r="AW48" s="3"/>
      <c r="AX48" s="3"/>
      <c r="AY48" s="3"/>
      <c r="AZ48" s="3"/>
    </row>
    <row r="49" spans="1:52" x14ac:dyDescent="0.25">
      <c r="A49">
        <f t="shared" si="14"/>
        <v>10</v>
      </c>
      <c r="B49" s="1" t="s">
        <v>48</v>
      </c>
      <c r="C49" s="1" t="s">
        <v>139</v>
      </c>
      <c r="D49" s="2">
        <v>42325</v>
      </c>
      <c r="E49" s="3">
        <v>41.749999999999993</v>
      </c>
      <c r="F49" s="4">
        <f t="shared" si="0"/>
        <v>5824.7619340551173</v>
      </c>
      <c r="G49" s="7">
        <v>8.8699999999999992</v>
      </c>
      <c r="H49" s="7">
        <v>221.12</v>
      </c>
      <c r="I49" s="7">
        <f t="shared" si="1"/>
        <v>212.25</v>
      </c>
      <c r="J49" s="7">
        <v>199.51</v>
      </c>
      <c r="K49" s="5">
        <f t="shared" si="2"/>
        <v>6.0023557126030669</v>
      </c>
      <c r="L49" s="4">
        <f t="shared" si="3"/>
        <v>5475.1390033608313</v>
      </c>
      <c r="M49" s="2">
        <v>42339</v>
      </c>
      <c r="N49" s="7">
        <v>4.42</v>
      </c>
      <c r="O49" s="7">
        <v>1</v>
      </c>
      <c r="P49" s="7">
        <f t="shared" si="4"/>
        <v>0.72</v>
      </c>
      <c r="Q49" s="7">
        <v>1.1000000000000001</v>
      </c>
      <c r="R49" s="6">
        <f t="shared" si="5"/>
        <v>0.35912433993943887</v>
      </c>
      <c r="S49" s="6">
        <f t="shared" si="6"/>
        <v>0.54866218601858718</v>
      </c>
      <c r="T49" s="6">
        <f t="shared" si="7"/>
        <v>9.2213474041973997E-2</v>
      </c>
      <c r="U49" s="4">
        <f t="shared" si="8"/>
        <v>2091.8137848719134</v>
      </c>
      <c r="V49" s="4">
        <f t="shared" si="9"/>
        <v>3195.8266157765343</v>
      </c>
      <c r="W49" s="4">
        <f t="shared" si="10"/>
        <v>5287.6404006484481</v>
      </c>
      <c r="X49" s="4">
        <f t="shared" si="11"/>
        <v>1966.2556806586358</v>
      </c>
      <c r="Y49" s="4">
        <f t="shared" si="12"/>
        <v>3004.0017343395825</v>
      </c>
      <c r="Z49" s="4">
        <f t="shared" si="13"/>
        <v>4970.2574149982183</v>
      </c>
      <c r="AA49" s="3"/>
      <c r="AE49" s="3"/>
      <c r="AF49" s="3"/>
      <c r="AG49" s="7"/>
      <c r="AH49" s="7"/>
      <c r="AI49" s="7"/>
      <c r="AJ49" s="7"/>
      <c r="AK49" s="7"/>
      <c r="AL49" s="3"/>
      <c r="AM49" s="9"/>
      <c r="AN49" s="7"/>
      <c r="AO49" s="7"/>
      <c r="AP49" s="7"/>
      <c r="AQ49" s="7"/>
      <c r="AR49" s="9"/>
      <c r="AS49" s="9"/>
      <c r="AT49" s="9"/>
      <c r="AU49" s="3"/>
      <c r="AV49" s="3"/>
      <c r="AW49" s="3"/>
      <c r="AX49" s="3"/>
      <c r="AY49" s="3"/>
      <c r="AZ49" s="3"/>
    </row>
    <row r="50" spans="1:52" x14ac:dyDescent="0.25">
      <c r="A50">
        <f t="shared" si="14"/>
        <v>11</v>
      </c>
      <c r="B50" s="1" t="s">
        <v>49</v>
      </c>
      <c r="C50" s="1" t="s">
        <v>139</v>
      </c>
      <c r="D50" s="2">
        <v>42325</v>
      </c>
      <c r="E50" s="3">
        <v>47.800000000000004</v>
      </c>
      <c r="F50" s="4">
        <f t="shared" si="0"/>
        <v>6668.829232283465</v>
      </c>
      <c r="G50" s="7">
        <v>8.82</v>
      </c>
      <c r="H50" s="7">
        <v>226.33</v>
      </c>
      <c r="I50" s="7">
        <f t="shared" si="1"/>
        <v>217.51000000000002</v>
      </c>
      <c r="J50" s="7">
        <v>203.01</v>
      </c>
      <c r="K50" s="5">
        <f t="shared" si="2"/>
        <v>6.666360167348639</v>
      </c>
      <c r="L50" s="4">
        <f t="shared" si="3"/>
        <v>6224.2610567140182</v>
      </c>
      <c r="M50" s="2">
        <v>42339</v>
      </c>
      <c r="N50" s="7">
        <v>3.32</v>
      </c>
      <c r="O50" s="7">
        <v>0.84</v>
      </c>
      <c r="P50" s="7">
        <f t="shared" si="4"/>
        <v>0.55999999999999994</v>
      </c>
      <c r="Q50" s="7">
        <v>0.78</v>
      </c>
      <c r="R50" s="6">
        <f t="shared" si="5"/>
        <v>0.3718643600309986</v>
      </c>
      <c r="S50" s="6">
        <f t="shared" si="6"/>
        <v>0.51795393004317669</v>
      </c>
      <c r="T50" s="6">
        <f t="shared" si="7"/>
        <v>0.11018170992582477</v>
      </c>
      <c r="U50" s="4">
        <f t="shared" si="8"/>
        <v>2479.8999146191063</v>
      </c>
      <c r="V50" s="4">
        <f t="shared" si="9"/>
        <v>3454.1463096480416</v>
      </c>
      <c r="W50" s="4">
        <f t="shared" si="10"/>
        <v>5934.0462242671474</v>
      </c>
      <c r="X50" s="4">
        <f t="shared" si="11"/>
        <v>2314.5808545208256</v>
      </c>
      <c r="Y50" s="4">
        <f t="shared" si="12"/>
        <v>3223.8804759397217</v>
      </c>
      <c r="Z50" s="4">
        <f t="shared" si="13"/>
        <v>5538.4613304605473</v>
      </c>
      <c r="AA50" s="3"/>
      <c r="AB50" t="s">
        <v>145</v>
      </c>
      <c r="AC50" t="str">
        <f>C50</f>
        <v>Machine</v>
      </c>
      <c r="AD50" s="8">
        <f>D50</f>
        <v>42325</v>
      </c>
      <c r="AE50" s="3">
        <f>SUM(E50:E59)</f>
        <v>504.1</v>
      </c>
      <c r="AF50" s="3">
        <f>AE50*$A$29/($A$30*10)*$A$31</f>
        <v>7032.9640501968506</v>
      </c>
      <c r="AG50" s="7">
        <f>SUM(G50:G59)</f>
        <v>87.57</v>
      </c>
      <c r="AH50" s="7">
        <f>SUM(H50:H59)</f>
        <v>2694.77</v>
      </c>
      <c r="AI50" s="7">
        <f>AH50-AG50</f>
        <v>2607.1999999999998</v>
      </c>
      <c r="AJ50" s="7">
        <f>SUM(J50:J59)</f>
        <v>2441.7599999999998</v>
      </c>
      <c r="AK50" s="7">
        <f>(AI50-AJ50)/AI50*100</f>
        <v>6.3455047560601443</v>
      </c>
      <c r="AL50" s="3">
        <f>AF50*(1-AK50/100)</f>
        <v>6586.6869818996092</v>
      </c>
      <c r="AM50" s="11">
        <f>M50</f>
        <v>42339</v>
      </c>
      <c r="AN50" s="7">
        <f>SUM(N50:N59)</f>
        <v>36.140000000000008</v>
      </c>
      <c r="AO50" s="7">
        <f>SUM(O50:O59)</f>
        <v>8.6999999999999993</v>
      </c>
      <c r="AP50" s="7">
        <f>AO50-10*$A$32</f>
        <v>5.8999999999999986</v>
      </c>
      <c r="AQ50" s="7">
        <f>SUM(Q50:Q59)</f>
        <v>8.74</v>
      </c>
      <c r="AR50" s="9">
        <f>AP50/(AN50*$A$29)</f>
        <v>0.35991378193371004</v>
      </c>
      <c r="AS50" s="9">
        <f>AQ50/(AN50*$A$29)</f>
        <v>0.53316041594925878</v>
      </c>
      <c r="AT50" s="9">
        <f>1-AR50-AS50</f>
        <v>0.10692580211703118</v>
      </c>
      <c r="AU50" s="3">
        <f>AF50*AR50</f>
        <v>2531.2606895101712</v>
      </c>
      <c r="AV50" s="3">
        <f>AF50*AS50</f>
        <v>3749.6980383591367</v>
      </c>
      <c r="AW50" s="3">
        <f>AU50+AV50</f>
        <v>6280.9587278693079</v>
      </c>
      <c r="AX50" s="3">
        <f>AL50*AR50</f>
        <v>2370.6394220690227</v>
      </c>
      <c r="AY50" s="3">
        <f>AL50*AS50</f>
        <v>3511.7607709971635</v>
      </c>
      <c r="AZ50" s="3">
        <f>AX50+AY50</f>
        <v>5882.4001930661861</v>
      </c>
    </row>
    <row r="51" spans="1:52" x14ac:dyDescent="0.25">
      <c r="A51">
        <f t="shared" si="14"/>
        <v>12</v>
      </c>
      <c r="B51" s="1" t="s">
        <v>50</v>
      </c>
      <c r="C51" s="1" t="s">
        <v>139</v>
      </c>
      <c r="D51" s="2">
        <v>42325</v>
      </c>
      <c r="E51" s="3">
        <v>50.400000000000006</v>
      </c>
      <c r="F51" s="4">
        <f t="shared" si="0"/>
        <v>7031.5688976377951</v>
      </c>
      <c r="G51" s="7">
        <v>8.82</v>
      </c>
      <c r="H51" s="7">
        <v>310.91000000000003</v>
      </c>
      <c r="I51" s="7">
        <f t="shared" si="1"/>
        <v>302.09000000000003</v>
      </c>
      <c r="J51" s="7">
        <v>282.8</v>
      </c>
      <c r="K51" s="5">
        <f t="shared" si="2"/>
        <v>6.3855142507199893</v>
      </c>
      <c r="L51" s="4">
        <f t="shared" si="3"/>
        <v>6582.5670636299392</v>
      </c>
      <c r="M51" s="2">
        <v>42339</v>
      </c>
      <c r="N51" s="7">
        <v>3.24</v>
      </c>
      <c r="O51" s="7">
        <v>0.82</v>
      </c>
      <c r="P51" s="7">
        <f t="shared" si="4"/>
        <v>0.53999999999999992</v>
      </c>
      <c r="Q51" s="7">
        <v>0.78</v>
      </c>
      <c r="R51" s="6">
        <f t="shared" si="5"/>
        <v>0.3674374033639628</v>
      </c>
      <c r="S51" s="6">
        <f t="shared" si="6"/>
        <v>0.53074291597016865</v>
      </c>
      <c r="T51" s="6">
        <f t="shared" si="7"/>
        <v>0.10181968066586855</v>
      </c>
      <c r="U51" s="4">
        <f t="shared" si="8"/>
        <v>2583.6614173228336</v>
      </c>
      <c r="V51" s="4">
        <f t="shared" si="9"/>
        <v>3731.9553805774276</v>
      </c>
      <c r="W51" s="4">
        <f t="shared" si="10"/>
        <v>6315.6167979002612</v>
      </c>
      <c r="X51" s="4">
        <f t="shared" si="11"/>
        <v>2418.6813493293303</v>
      </c>
      <c r="Y51" s="4">
        <f t="shared" si="12"/>
        <v>3493.6508379201446</v>
      </c>
      <c r="Z51" s="4">
        <f t="shared" si="13"/>
        <v>5912.3321872494744</v>
      </c>
      <c r="AA51" s="3"/>
      <c r="AE51" s="3"/>
      <c r="AF51" s="3"/>
      <c r="AG51" s="7"/>
      <c r="AH51" s="7"/>
      <c r="AI51" s="7"/>
      <c r="AJ51" s="7"/>
      <c r="AK51" s="7"/>
      <c r="AL51" s="3"/>
      <c r="AM51" s="9"/>
      <c r="AN51" s="7"/>
      <c r="AO51" s="7"/>
      <c r="AP51" s="7"/>
      <c r="AQ51" s="7"/>
      <c r="AR51" s="9"/>
      <c r="AS51" s="9"/>
      <c r="AT51" s="9"/>
      <c r="AU51" s="3"/>
      <c r="AV51" s="3"/>
      <c r="AW51" s="3"/>
      <c r="AX51" s="3"/>
      <c r="AY51" s="3"/>
      <c r="AZ51" s="3"/>
    </row>
    <row r="52" spans="1:52" x14ac:dyDescent="0.25">
      <c r="A52">
        <f t="shared" si="14"/>
        <v>13</v>
      </c>
      <c r="B52" s="1" t="s">
        <v>51</v>
      </c>
      <c r="C52" s="1" t="s">
        <v>139</v>
      </c>
      <c r="D52" s="2">
        <v>42325</v>
      </c>
      <c r="E52" s="3">
        <v>51.8</v>
      </c>
      <c r="F52" s="4">
        <f t="shared" si="0"/>
        <v>7226.8902559055114</v>
      </c>
      <c r="G52" s="7">
        <v>8.8000000000000007</v>
      </c>
      <c r="H52" s="7">
        <v>255.48</v>
      </c>
      <c r="I52" s="7">
        <f t="shared" si="1"/>
        <v>246.67999999999998</v>
      </c>
      <c r="J52" s="7">
        <v>232.13</v>
      </c>
      <c r="K52" s="5">
        <f t="shared" si="2"/>
        <v>5.8983298200097227</v>
      </c>
      <c r="L52" s="4">
        <f t="shared" si="3"/>
        <v>6800.6244328820603</v>
      </c>
      <c r="M52" s="2">
        <v>42339</v>
      </c>
      <c r="N52" s="7">
        <v>3.16</v>
      </c>
      <c r="O52" s="7">
        <v>0.8</v>
      </c>
      <c r="P52" s="7">
        <f t="shared" si="4"/>
        <v>0.52</v>
      </c>
      <c r="Q52" s="7">
        <v>0.78</v>
      </c>
      <c r="R52" s="6">
        <f t="shared" si="5"/>
        <v>0.36278629699226722</v>
      </c>
      <c r="S52" s="6">
        <f t="shared" si="6"/>
        <v>0.5441794454884008</v>
      </c>
      <c r="T52" s="6">
        <f t="shared" si="7"/>
        <v>9.303425751933192E-2</v>
      </c>
      <c r="U52" s="4">
        <f t="shared" si="8"/>
        <v>2621.816754709459</v>
      </c>
      <c r="V52" s="4">
        <f t="shared" si="9"/>
        <v>3932.7251320641881</v>
      </c>
      <c r="W52" s="4">
        <f t="shared" si="10"/>
        <v>6554.5418867736471</v>
      </c>
      <c r="X52" s="4">
        <f t="shared" si="11"/>
        <v>2467.1733552404198</v>
      </c>
      <c r="Y52" s="4">
        <f t="shared" si="12"/>
        <v>3700.76003286063</v>
      </c>
      <c r="Z52" s="4">
        <f t="shared" si="13"/>
        <v>6167.9333881010498</v>
      </c>
      <c r="AA52" s="3"/>
      <c r="AE52" s="3"/>
      <c r="AF52" s="3"/>
      <c r="AG52" s="7"/>
      <c r="AH52" s="7"/>
      <c r="AI52" s="7"/>
      <c r="AJ52" s="7"/>
      <c r="AK52" s="7"/>
      <c r="AL52" s="3"/>
      <c r="AM52" s="9"/>
      <c r="AN52" s="7"/>
      <c r="AO52" s="7"/>
      <c r="AP52" s="7"/>
      <c r="AQ52" s="7"/>
      <c r="AR52" s="9"/>
      <c r="AS52" s="9"/>
      <c r="AT52" s="9"/>
      <c r="AU52" s="3"/>
      <c r="AV52" s="3"/>
      <c r="AW52" s="3"/>
      <c r="AX52" s="3"/>
      <c r="AY52" s="3"/>
      <c r="AZ52" s="3"/>
    </row>
    <row r="53" spans="1:52" x14ac:dyDescent="0.25">
      <c r="A53">
        <f t="shared" si="14"/>
        <v>14</v>
      </c>
      <c r="B53" s="1" t="s">
        <v>52</v>
      </c>
      <c r="C53" s="1" t="s">
        <v>139</v>
      </c>
      <c r="D53" s="2">
        <v>42325</v>
      </c>
      <c r="E53" s="3">
        <v>52.7</v>
      </c>
      <c r="F53" s="4">
        <f t="shared" si="0"/>
        <v>7352.4539862204729</v>
      </c>
      <c r="G53" s="7">
        <v>8.8000000000000007</v>
      </c>
      <c r="H53" s="7">
        <v>382.92</v>
      </c>
      <c r="I53" s="7">
        <f t="shared" si="1"/>
        <v>374.12</v>
      </c>
      <c r="J53" s="7">
        <v>350</v>
      </c>
      <c r="K53" s="5">
        <f t="shared" si="2"/>
        <v>6.4471292633379678</v>
      </c>
      <c r="L53" s="4">
        <f t="shared" si="3"/>
        <v>6878.4317737013935</v>
      </c>
      <c r="M53" s="2">
        <v>42339</v>
      </c>
      <c r="N53" s="7">
        <v>3.38</v>
      </c>
      <c r="O53" s="7">
        <v>0.8</v>
      </c>
      <c r="P53" s="7">
        <f t="shared" si="4"/>
        <v>0.52</v>
      </c>
      <c r="Q53" s="7">
        <v>0.8</v>
      </c>
      <c r="R53" s="6">
        <f t="shared" si="5"/>
        <v>0.33917298772058119</v>
      </c>
      <c r="S53" s="6">
        <f t="shared" si="6"/>
        <v>0.52180459649320188</v>
      </c>
      <c r="T53" s="6">
        <f t="shared" si="7"/>
        <v>0.13902241578621699</v>
      </c>
      <c r="U53" s="4">
        <f t="shared" si="8"/>
        <v>2493.7537855844948</v>
      </c>
      <c r="V53" s="4">
        <f t="shared" si="9"/>
        <v>3836.5442855146075</v>
      </c>
      <c r="W53" s="4">
        <f t="shared" si="10"/>
        <v>6330.2980710991023</v>
      </c>
      <c r="X53" s="4">
        <f t="shared" si="11"/>
        <v>2332.9782555184784</v>
      </c>
      <c r="Y53" s="4">
        <f t="shared" si="12"/>
        <v>3589.1973161822743</v>
      </c>
      <c r="Z53" s="4">
        <f t="shared" si="13"/>
        <v>5922.1755717007527</v>
      </c>
      <c r="AA53" s="3"/>
      <c r="AE53" s="3"/>
      <c r="AF53" s="3"/>
      <c r="AG53" s="7"/>
      <c r="AH53" s="7"/>
      <c r="AI53" s="7"/>
      <c r="AJ53" s="7"/>
      <c r="AK53" s="7"/>
      <c r="AL53" s="3"/>
      <c r="AM53" s="9"/>
      <c r="AN53" s="7"/>
      <c r="AO53" s="7"/>
      <c r="AP53" s="7"/>
      <c r="AQ53" s="7"/>
      <c r="AR53" s="9"/>
      <c r="AS53" s="9"/>
      <c r="AT53" s="9"/>
      <c r="AU53" s="3"/>
      <c r="AV53" s="3"/>
      <c r="AW53" s="3"/>
      <c r="AX53" s="3"/>
      <c r="AY53" s="3"/>
      <c r="AZ53" s="3"/>
    </row>
    <row r="54" spans="1:52" x14ac:dyDescent="0.25">
      <c r="A54">
        <f t="shared" si="14"/>
        <v>15</v>
      </c>
      <c r="B54" s="1" t="s">
        <v>53</v>
      </c>
      <c r="C54" s="1" t="s">
        <v>139</v>
      </c>
      <c r="D54" s="2">
        <v>42325</v>
      </c>
      <c r="E54" s="3">
        <v>50</v>
      </c>
      <c r="F54" s="4">
        <f t="shared" si="0"/>
        <v>6975.7627952755911</v>
      </c>
      <c r="G54" s="7">
        <v>8.74</v>
      </c>
      <c r="H54" s="7">
        <v>273.58</v>
      </c>
      <c r="I54" s="7">
        <f t="shared" si="1"/>
        <v>264.83999999999997</v>
      </c>
      <c r="J54" s="7">
        <v>247.31</v>
      </c>
      <c r="K54" s="5">
        <f t="shared" si="2"/>
        <v>6.6190907717867304</v>
      </c>
      <c r="L54" s="4">
        <f t="shared" si="3"/>
        <v>6514.0307238317728</v>
      </c>
      <c r="M54" s="2">
        <v>42339</v>
      </c>
      <c r="N54" s="7">
        <v>4.28</v>
      </c>
      <c r="O54" s="7">
        <v>1.02</v>
      </c>
      <c r="P54" s="7">
        <f t="shared" si="4"/>
        <v>0.74</v>
      </c>
      <c r="Q54" s="7">
        <v>1.06</v>
      </c>
      <c r="R54" s="6">
        <f t="shared" si="5"/>
        <v>0.38117338105981197</v>
      </c>
      <c r="S54" s="6">
        <f t="shared" si="6"/>
        <v>0.54600511341000102</v>
      </c>
      <c r="T54" s="6">
        <f t="shared" si="7"/>
        <v>7.282150553018707E-2</v>
      </c>
      <c r="U54" s="4">
        <f t="shared" si="8"/>
        <v>2658.9750901464422</v>
      </c>
      <c r="V54" s="4">
        <f t="shared" si="9"/>
        <v>3808.8021561557148</v>
      </c>
      <c r="W54" s="4">
        <f t="shared" si="10"/>
        <v>6467.7772463021574</v>
      </c>
      <c r="X54" s="4">
        <f t="shared" si="11"/>
        <v>2482.975115330451</v>
      </c>
      <c r="Y54" s="4">
        <f t="shared" si="12"/>
        <v>3556.694084121998</v>
      </c>
      <c r="Z54" s="4">
        <f t="shared" si="13"/>
        <v>6039.669199452449</v>
      </c>
      <c r="AA54" s="3"/>
      <c r="AE54" s="3"/>
      <c r="AF54" s="3"/>
      <c r="AG54" s="7"/>
      <c r="AH54" s="7"/>
      <c r="AI54" s="7"/>
      <c r="AJ54" s="7"/>
      <c r="AK54" s="7"/>
      <c r="AL54" s="3"/>
      <c r="AM54" s="9"/>
      <c r="AN54" s="7"/>
      <c r="AO54" s="7"/>
      <c r="AP54" s="7"/>
      <c r="AQ54" s="7"/>
      <c r="AR54" s="9"/>
      <c r="AS54" s="9"/>
      <c r="AT54" s="9"/>
      <c r="AU54" s="3"/>
      <c r="AV54" s="3"/>
      <c r="AW54" s="3"/>
      <c r="AX54" s="3"/>
      <c r="AY54" s="3"/>
      <c r="AZ54" s="3"/>
    </row>
    <row r="55" spans="1:52" x14ac:dyDescent="0.25">
      <c r="A55">
        <f t="shared" si="14"/>
        <v>16</v>
      </c>
      <c r="B55" s="1" t="s">
        <v>54</v>
      </c>
      <c r="C55" s="1" t="s">
        <v>139</v>
      </c>
      <c r="D55" s="2">
        <v>42325</v>
      </c>
      <c r="E55" s="3">
        <v>52</v>
      </c>
      <c r="F55" s="4">
        <f t="shared" si="0"/>
        <v>7254.7933070866147</v>
      </c>
      <c r="G55" s="7">
        <v>8.68</v>
      </c>
      <c r="H55" s="7">
        <v>243.32</v>
      </c>
      <c r="I55" s="7">
        <f t="shared" si="1"/>
        <v>234.64</v>
      </c>
      <c r="J55" s="7">
        <v>219.79</v>
      </c>
      <c r="K55" s="5">
        <f t="shared" si="2"/>
        <v>6.3288441868394125</v>
      </c>
      <c r="L55" s="4">
        <f t="shared" si="3"/>
        <v>6795.6487426038493</v>
      </c>
      <c r="M55" s="2">
        <v>42339</v>
      </c>
      <c r="N55" s="7">
        <v>3.74</v>
      </c>
      <c r="O55" s="7">
        <v>0.88</v>
      </c>
      <c r="P55" s="7">
        <f t="shared" si="4"/>
        <v>0.6</v>
      </c>
      <c r="Q55" s="7">
        <v>0.9</v>
      </c>
      <c r="R55" s="6">
        <f t="shared" si="5"/>
        <v>0.35368306206156852</v>
      </c>
      <c r="S55" s="6">
        <f t="shared" si="6"/>
        <v>0.53052459309235278</v>
      </c>
      <c r="T55" s="6">
        <f t="shared" si="7"/>
        <v>0.1157923448460787</v>
      </c>
      <c r="U55" s="4">
        <f t="shared" si="8"/>
        <v>2565.897511474167</v>
      </c>
      <c r="V55" s="4">
        <f t="shared" si="9"/>
        <v>3848.8462672112505</v>
      </c>
      <c r="W55" s="4">
        <f t="shared" si="10"/>
        <v>6414.7437786854171</v>
      </c>
      <c r="X55" s="4">
        <f t="shared" si="11"/>
        <v>2403.5058559789773</v>
      </c>
      <c r="Y55" s="4">
        <f t="shared" si="12"/>
        <v>3605.2587839684661</v>
      </c>
      <c r="Z55" s="4">
        <f t="shared" si="13"/>
        <v>6008.7646399474434</v>
      </c>
      <c r="AA55" s="3"/>
      <c r="AE55" s="3"/>
      <c r="AF55" s="3"/>
      <c r="AG55" s="7"/>
      <c r="AH55" s="7"/>
      <c r="AI55" s="7"/>
      <c r="AJ55" s="7"/>
      <c r="AK55" s="7"/>
      <c r="AL55" s="3"/>
      <c r="AM55" s="9"/>
      <c r="AN55" s="7"/>
      <c r="AO55" s="7"/>
      <c r="AP55" s="7"/>
      <c r="AQ55" s="7"/>
      <c r="AR55" s="9"/>
      <c r="AS55" s="9"/>
      <c r="AT55" s="9"/>
      <c r="AU55" s="3"/>
      <c r="AV55" s="3"/>
      <c r="AW55" s="3"/>
      <c r="AX55" s="3"/>
      <c r="AY55" s="3"/>
      <c r="AZ55" s="3"/>
    </row>
    <row r="56" spans="1:52" x14ac:dyDescent="0.25">
      <c r="A56">
        <f t="shared" si="14"/>
        <v>17</v>
      </c>
      <c r="B56" s="1" t="s">
        <v>55</v>
      </c>
      <c r="C56" s="1" t="s">
        <v>139</v>
      </c>
      <c r="D56" s="2">
        <v>42325</v>
      </c>
      <c r="E56" s="3">
        <v>54.1</v>
      </c>
      <c r="F56" s="4">
        <f t="shared" si="0"/>
        <v>7547.7753444881891</v>
      </c>
      <c r="G56" s="7">
        <v>8.7200000000000006</v>
      </c>
      <c r="H56" s="7">
        <v>278.08</v>
      </c>
      <c r="I56" s="7">
        <f t="shared" si="1"/>
        <v>269.35999999999996</v>
      </c>
      <c r="J56" s="7">
        <v>251.22</v>
      </c>
      <c r="K56" s="5">
        <f t="shared" si="2"/>
        <v>6.7344817344817205</v>
      </c>
      <c r="L56" s="4">
        <f t="shared" si="3"/>
        <v>7039.4717925539171</v>
      </c>
      <c r="M56" s="2">
        <v>42339</v>
      </c>
      <c r="N56" s="7">
        <v>3.74</v>
      </c>
      <c r="O56" s="7">
        <v>0.88</v>
      </c>
      <c r="P56" s="7">
        <f t="shared" si="4"/>
        <v>0.6</v>
      </c>
      <c r="Q56" s="7">
        <v>0.88</v>
      </c>
      <c r="R56" s="6">
        <f t="shared" si="5"/>
        <v>0.35368306206156852</v>
      </c>
      <c r="S56" s="6">
        <f t="shared" si="6"/>
        <v>0.51873515769030054</v>
      </c>
      <c r="T56" s="6">
        <f t="shared" si="7"/>
        <v>0.12758178024813094</v>
      </c>
      <c r="U56" s="4">
        <f t="shared" si="8"/>
        <v>2669.5202955913928</v>
      </c>
      <c r="V56" s="4">
        <f t="shared" si="9"/>
        <v>3915.2964335340434</v>
      </c>
      <c r="W56" s="4">
        <f t="shared" si="10"/>
        <v>6584.8167291254358</v>
      </c>
      <c r="X56" s="4">
        <f t="shared" si="11"/>
        <v>2489.7419388865083</v>
      </c>
      <c r="Y56" s="4">
        <f t="shared" si="12"/>
        <v>3651.6215103668787</v>
      </c>
      <c r="Z56" s="4">
        <f t="shared" si="13"/>
        <v>6141.3634492533874</v>
      </c>
      <c r="AA56" s="3"/>
      <c r="AE56" s="3"/>
      <c r="AF56" s="3"/>
      <c r="AG56" s="7"/>
      <c r="AH56" s="7"/>
      <c r="AI56" s="7"/>
      <c r="AJ56" s="7"/>
      <c r="AK56" s="7"/>
      <c r="AL56" s="3"/>
      <c r="AM56" s="9"/>
      <c r="AN56" s="7"/>
      <c r="AO56" s="7"/>
      <c r="AP56" s="7"/>
      <c r="AQ56" s="7"/>
      <c r="AR56" s="9"/>
      <c r="AS56" s="9"/>
      <c r="AT56" s="9"/>
      <c r="AU56" s="3"/>
      <c r="AV56" s="3"/>
      <c r="AW56" s="3"/>
      <c r="AX56" s="3"/>
      <c r="AY56" s="3"/>
      <c r="AZ56" s="3"/>
    </row>
    <row r="57" spans="1:52" x14ac:dyDescent="0.25">
      <c r="A57">
        <f t="shared" si="14"/>
        <v>18</v>
      </c>
      <c r="B57" s="1" t="s">
        <v>56</v>
      </c>
      <c r="C57" s="1" t="s">
        <v>139</v>
      </c>
      <c r="D57" s="2">
        <v>42325</v>
      </c>
      <c r="E57" s="3">
        <v>52.1</v>
      </c>
      <c r="F57" s="4">
        <f t="shared" si="0"/>
        <v>7268.7448326771655</v>
      </c>
      <c r="G57" s="7">
        <v>8.6999999999999993</v>
      </c>
      <c r="H57" s="7">
        <v>229.97</v>
      </c>
      <c r="I57" s="7">
        <f t="shared" si="1"/>
        <v>221.27</v>
      </c>
      <c r="J57" s="7">
        <v>207.51</v>
      </c>
      <c r="K57" s="5">
        <f t="shared" si="2"/>
        <v>6.2186469019749708</v>
      </c>
      <c r="L57" s="4">
        <f t="shared" si="3"/>
        <v>6816.7272573274213</v>
      </c>
      <c r="M57" s="2">
        <v>42339</v>
      </c>
      <c r="N57" s="7">
        <v>4.0199999999999996</v>
      </c>
      <c r="O57" s="7">
        <v>0.94</v>
      </c>
      <c r="P57" s="7">
        <f t="shared" si="4"/>
        <v>0.65999999999999992</v>
      </c>
      <c r="Q57" s="7">
        <v>0.98</v>
      </c>
      <c r="R57" s="6">
        <f t="shared" si="5"/>
        <v>0.36195326301524705</v>
      </c>
      <c r="S57" s="6">
        <f t="shared" si="6"/>
        <v>0.53744575417415474</v>
      </c>
      <c r="T57" s="6">
        <f t="shared" si="7"/>
        <v>0.10060098281059815</v>
      </c>
      <c r="U57" s="4">
        <f t="shared" si="8"/>
        <v>2630.9459102127162</v>
      </c>
      <c r="V57" s="4">
        <f t="shared" si="9"/>
        <v>3906.5560484976695</v>
      </c>
      <c r="W57" s="4">
        <f t="shared" si="10"/>
        <v>6537.5019587103852</v>
      </c>
      <c r="X57" s="4">
        <f t="shared" si="11"/>
        <v>2467.3366738746358</v>
      </c>
      <c r="Y57" s="4">
        <f t="shared" si="12"/>
        <v>3663.6211218138533</v>
      </c>
      <c r="Z57" s="4">
        <f t="shared" si="13"/>
        <v>6130.9577956884896</v>
      </c>
      <c r="AA57" s="3"/>
      <c r="AE57" s="3"/>
      <c r="AF57" s="3"/>
      <c r="AG57" s="7"/>
      <c r="AH57" s="7"/>
      <c r="AI57" s="7"/>
      <c r="AJ57" s="7"/>
      <c r="AK57" s="7"/>
      <c r="AL57" s="3"/>
      <c r="AM57" s="9"/>
      <c r="AN57" s="7"/>
      <c r="AO57" s="7"/>
      <c r="AP57" s="7"/>
      <c r="AQ57" s="7"/>
      <c r="AR57" s="9"/>
      <c r="AS57" s="9"/>
      <c r="AT57" s="9"/>
      <c r="AU57" s="3"/>
      <c r="AV57" s="3"/>
      <c r="AW57" s="3"/>
      <c r="AX57" s="3"/>
      <c r="AY57" s="3"/>
      <c r="AZ57" s="3"/>
    </row>
    <row r="58" spans="1:52" x14ac:dyDescent="0.25">
      <c r="A58">
        <f t="shared" si="14"/>
        <v>19</v>
      </c>
      <c r="B58" s="1" t="s">
        <v>57</v>
      </c>
      <c r="C58" s="1" t="s">
        <v>139</v>
      </c>
      <c r="D58" s="2">
        <v>42325</v>
      </c>
      <c r="E58" s="3">
        <v>51.3</v>
      </c>
      <c r="F58" s="4">
        <f t="shared" si="0"/>
        <v>7157.1326279527548</v>
      </c>
      <c r="G58" s="7">
        <v>8.69</v>
      </c>
      <c r="H58" s="7">
        <v>253.65</v>
      </c>
      <c r="I58" s="7">
        <f t="shared" si="1"/>
        <v>244.96</v>
      </c>
      <c r="J58" s="7">
        <v>230.06</v>
      </c>
      <c r="K58" s="5">
        <f t="shared" si="2"/>
        <v>6.082625734813849</v>
      </c>
      <c r="L58" s="4">
        <f t="shared" si="3"/>
        <v>6721.7910368501416</v>
      </c>
      <c r="M58" s="2">
        <v>42339</v>
      </c>
      <c r="N58" s="7">
        <v>3.72</v>
      </c>
      <c r="O58" s="7">
        <v>0.88</v>
      </c>
      <c r="P58" s="7">
        <f t="shared" si="4"/>
        <v>0.6</v>
      </c>
      <c r="Q58" s="7">
        <v>0.9</v>
      </c>
      <c r="R58" s="6">
        <f t="shared" si="5"/>
        <v>0.35558458390060921</v>
      </c>
      <c r="S58" s="6">
        <f t="shared" si="6"/>
        <v>0.53337687585091387</v>
      </c>
      <c r="T58" s="6">
        <f t="shared" si="7"/>
        <v>0.11103854024847692</v>
      </c>
      <c r="U58" s="4">
        <f t="shared" si="8"/>
        <v>2544.966027432054</v>
      </c>
      <c r="V58" s="4">
        <f t="shared" si="9"/>
        <v>3817.4490411480815</v>
      </c>
      <c r="W58" s="4">
        <f t="shared" si="10"/>
        <v>6362.415068580136</v>
      </c>
      <c r="X58" s="4">
        <f t="shared" si="11"/>
        <v>2390.1652689052021</v>
      </c>
      <c r="Y58" s="4">
        <f t="shared" si="12"/>
        <v>3585.2479033578038</v>
      </c>
      <c r="Z58" s="4">
        <f t="shared" si="13"/>
        <v>5975.4131722630063</v>
      </c>
      <c r="AA58" s="3"/>
      <c r="AE58" s="3"/>
      <c r="AF58" s="3"/>
      <c r="AG58" s="7"/>
      <c r="AH58" s="7"/>
      <c r="AI58" s="7"/>
      <c r="AJ58" s="7"/>
      <c r="AK58" s="7"/>
      <c r="AL58" s="3"/>
      <c r="AM58" s="9"/>
      <c r="AN58" s="7"/>
      <c r="AO58" s="7"/>
      <c r="AP58" s="7"/>
      <c r="AQ58" s="7"/>
      <c r="AR58" s="9"/>
      <c r="AS58" s="9"/>
      <c r="AT58" s="9"/>
      <c r="AU58" s="3"/>
      <c r="AV58" s="3"/>
      <c r="AW58" s="3"/>
      <c r="AX58" s="3"/>
      <c r="AY58" s="3"/>
      <c r="AZ58" s="3"/>
    </row>
    <row r="59" spans="1:52" x14ac:dyDescent="0.25">
      <c r="A59">
        <f t="shared" si="14"/>
        <v>20</v>
      </c>
      <c r="B59" s="1" t="s">
        <v>58</v>
      </c>
      <c r="C59" s="1" t="s">
        <v>139</v>
      </c>
      <c r="D59" s="2">
        <v>42325</v>
      </c>
      <c r="E59" s="3">
        <v>41.900000000000006</v>
      </c>
      <c r="F59" s="4">
        <f t="shared" si="0"/>
        <v>5845.6892224409448</v>
      </c>
      <c r="G59" s="7">
        <v>8.8000000000000007</v>
      </c>
      <c r="H59" s="7">
        <v>240.53</v>
      </c>
      <c r="I59" s="7">
        <f t="shared" si="1"/>
        <v>231.73</v>
      </c>
      <c r="J59" s="7">
        <v>217.93</v>
      </c>
      <c r="K59" s="5">
        <f t="shared" si="2"/>
        <v>5.9552064903119941</v>
      </c>
      <c r="L59" s="4">
        <f t="shared" si="3"/>
        <v>5497.5663584626727</v>
      </c>
      <c r="M59" s="2">
        <v>42339</v>
      </c>
      <c r="N59" s="7">
        <v>3.54</v>
      </c>
      <c r="O59" s="7">
        <v>0.84</v>
      </c>
      <c r="P59" s="7">
        <f t="shared" si="4"/>
        <v>0.55999999999999994</v>
      </c>
      <c r="Q59" s="7">
        <v>0.88</v>
      </c>
      <c r="R59" s="6">
        <f t="shared" si="5"/>
        <v>0.34875414556579526</v>
      </c>
      <c r="S59" s="6">
        <f t="shared" si="6"/>
        <v>0.54804222874624975</v>
      </c>
      <c r="T59" s="6">
        <f t="shared" si="7"/>
        <v>0.10320362568795505</v>
      </c>
      <c r="U59" s="4">
        <f t="shared" si="8"/>
        <v>2038.7083500155697</v>
      </c>
      <c r="V59" s="4">
        <f t="shared" si="9"/>
        <v>3203.6845500244672</v>
      </c>
      <c r="W59" s="4">
        <f t="shared" si="10"/>
        <v>5242.3929000400367</v>
      </c>
      <c r="X59" s="4">
        <f t="shared" si="11"/>
        <v>1917.2990580369099</v>
      </c>
      <c r="Y59" s="4">
        <f t="shared" si="12"/>
        <v>3012.8985197722873</v>
      </c>
      <c r="Z59" s="4">
        <f t="shared" si="13"/>
        <v>4930.1975778091974</v>
      </c>
      <c r="AA59" s="3"/>
      <c r="AE59" s="3"/>
      <c r="AF59" s="3"/>
      <c r="AG59" s="7"/>
      <c r="AH59" s="7"/>
      <c r="AI59" s="7"/>
      <c r="AJ59" s="7"/>
      <c r="AK59" s="7"/>
      <c r="AL59" s="3"/>
      <c r="AM59" s="9"/>
      <c r="AN59" s="7"/>
      <c r="AO59" s="7"/>
      <c r="AP59" s="7"/>
      <c r="AQ59" s="7"/>
      <c r="AR59" s="9"/>
      <c r="AS59" s="9"/>
      <c r="AT59" s="9"/>
      <c r="AU59" s="3"/>
      <c r="AV59" s="3"/>
      <c r="AW59" s="3"/>
      <c r="AX59" s="3"/>
      <c r="AY59" s="3"/>
      <c r="AZ59" s="3"/>
    </row>
    <row r="60" spans="1:52" x14ac:dyDescent="0.25">
      <c r="A60">
        <f t="shared" si="14"/>
        <v>21</v>
      </c>
      <c r="B60" s="1" t="s">
        <v>59</v>
      </c>
      <c r="C60" s="1" t="s">
        <v>139</v>
      </c>
      <c r="D60" s="2">
        <v>42325</v>
      </c>
      <c r="E60" s="3">
        <v>46.499999999999993</v>
      </c>
      <c r="F60" s="4">
        <f t="shared" si="0"/>
        <v>6487.4593996062977</v>
      </c>
      <c r="G60" s="7">
        <v>8.85</v>
      </c>
      <c r="H60" s="7">
        <v>210.14</v>
      </c>
      <c r="I60" s="7">
        <f t="shared" si="1"/>
        <v>201.29</v>
      </c>
      <c r="J60" s="7">
        <v>188.54</v>
      </c>
      <c r="K60" s="5">
        <f t="shared" si="2"/>
        <v>6.3341447662576389</v>
      </c>
      <c r="L60" s="4">
        <f t="shared" si="3"/>
        <v>6076.5343295830462</v>
      </c>
      <c r="M60" s="2">
        <v>42339</v>
      </c>
      <c r="N60" s="7">
        <v>3.4</v>
      </c>
      <c r="O60" s="7">
        <v>0.82</v>
      </c>
      <c r="P60" s="7">
        <f t="shared" si="4"/>
        <v>0.53999999999999992</v>
      </c>
      <c r="Q60" s="7">
        <v>0.78</v>
      </c>
      <c r="R60" s="6">
        <f t="shared" si="5"/>
        <v>0.35014623144095286</v>
      </c>
      <c r="S60" s="6">
        <f t="shared" si="6"/>
        <v>0.5057667787480431</v>
      </c>
      <c r="T60" s="6">
        <f t="shared" si="7"/>
        <v>0.14408698981100398</v>
      </c>
      <c r="U60" s="4">
        <f t="shared" si="8"/>
        <v>2271.5594603983318</v>
      </c>
      <c r="V60" s="4">
        <f t="shared" si="9"/>
        <v>3281.141442797591</v>
      </c>
      <c r="W60" s="4">
        <f t="shared" si="10"/>
        <v>5552.7009031959224</v>
      </c>
      <c r="X60" s="4">
        <f t="shared" si="11"/>
        <v>2127.6755957250807</v>
      </c>
      <c r="Y60" s="4">
        <f t="shared" si="12"/>
        <v>3073.3091938251168</v>
      </c>
      <c r="Z60" s="4">
        <f t="shared" si="13"/>
        <v>5200.9847895501971</v>
      </c>
      <c r="AA60" s="3"/>
      <c r="AB60" t="s">
        <v>29</v>
      </c>
      <c r="AC60" t="str">
        <f>C60</f>
        <v>Machine</v>
      </c>
      <c r="AD60" s="8">
        <f>D60</f>
        <v>42325</v>
      </c>
      <c r="AE60" s="3">
        <f>SUM(E60:E69)</f>
        <v>489.09999999999997</v>
      </c>
      <c r="AF60" s="3">
        <f>AE60*$A$29/($A$30*10)*$A$31</f>
        <v>6823.6911663385827</v>
      </c>
      <c r="AG60" s="7">
        <f>SUM(G60:G69)</f>
        <v>88.639999999999986</v>
      </c>
      <c r="AH60" s="7">
        <f>SUM(H60:H69)</f>
        <v>2611.44</v>
      </c>
      <c r="AI60" s="7">
        <f>AH60-AG60</f>
        <v>2522.8000000000002</v>
      </c>
      <c r="AJ60" s="7">
        <f>SUM(J60:J69)</f>
        <v>2373.63</v>
      </c>
      <c r="AK60" s="7">
        <f>(AI60-AJ60)/AI60*100</f>
        <v>5.9128745837957855</v>
      </c>
      <c r="AL60" s="3">
        <f>AF60*(1-AK60/100)</f>
        <v>6420.2148656874297</v>
      </c>
      <c r="AM60" s="11">
        <f>M60</f>
        <v>42339</v>
      </c>
      <c r="AN60" s="7">
        <f>SUM(N60:N69)</f>
        <v>30.3</v>
      </c>
      <c r="AO60" s="7">
        <f>SUM(O60:O69)</f>
        <v>7.6800000000000006</v>
      </c>
      <c r="AP60" s="7">
        <f>AO60-10*$A$32</f>
        <v>4.8800000000000008</v>
      </c>
      <c r="AQ60" s="7">
        <f>SUM(Q60:Q69)</f>
        <v>7.26</v>
      </c>
      <c r="AR60" s="9">
        <f>AP60/(AN60*$A$29)</f>
        <v>0.35506822344874045</v>
      </c>
      <c r="AS60" s="9">
        <f>AQ60/(AN60*$A$29)</f>
        <v>0.52823674226185557</v>
      </c>
      <c r="AT60" s="9">
        <f>1-AR60-AS60</f>
        <v>0.11669503428940398</v>
      </c>
      <c r="AU60" s="3">
        <f>AF60*AR60</f>
        <v>2422.8758997947043</v>
      </c>
      <c r="AV60" s="3">
        <f>AF60*AS60</f>
        <v>3604.5243919076947</v>
      </c>
      <c r="AW60" s="3">
        <f>AU60+AV60</f>
        <v>6027.400291702399</v>
      </c>
      <c r="AX60" s="3">
        <f>AL60*AR60</f>
        <v>2279.6142865188294</v>
      </c>
      <c r="AY60" s="3">
        <f>AL60*AS60</f>
        <v>3391.3933852718646</v>
      </c>
      <c r="AZ60" s="3">
        <f>AX60+AY60</f>
        <v>5671.0076717906941</v>
      </c>
    </row>
    <row r="61" spans="1:52" x14ac:dyDescent="0.25">
      <c r="A61">
        <f t="shared" si="14"/>
        <v>22</v>
      </c>
      <c r="B61" s="1" t="s">
        <v>60</v>
      </c>
      <c r="C61" s="1" t="s">
        <v>139</v>
      </c>
      <c r="D61" s="2">
        <v>42325</v>
      </c>
      <c r="E61" s="3">
        <v>50.6</v>
      </c>
      <c r="F61" s="4">
        <f t="shared" si="0"/>
        <v>7059.4719488188975</v>
      </c>
      <c r="G61" s="7">
        <v>8.8000000000000007</v>
      </c>
      <c r="H61" s="7">
        <v>212.31</v>
      </c>
      <c r="I61" s="7">
        <f t="shared" si="1"/>
        <v>203.51</v>
      </c>
      <c r="J61" s="7">
        <v>191.24</v>
      </c>
      <c r="K61" s="5">
        <f t="shared" si="2"/>
        <v>6.0291877549014705</v>
      </c>
      <c r="L61" s="4">
        <f t="shared" si="3"/>
        <v>6633.8431305200047</v>
      </c>
      <c r="M61" s="2">
        <v>42339</v>
      </c>
      <c r="N61" s="7">
        <v>3.18</v>
      </c>
      <c r="O61" s="7">
        <v>0.8</v>
      </c>
      <c r="P61" s="7">
        <f t="shared" si="4"/>
        <v>0.52</v>
      </c>
      <c r="Q61" s="7">
        <v>0.76</v>
      </c>
      <c r="R61" s="6">
        <f t="shared" si="5"/>
        <v>0.36050462216841644</v>
      </c>
      <c r="S61" s="6">
        <f t="shared" si="6"/>
        <v>0.5268913708615317</v>
      </c>
      <c r="T61" s="6">
        <f t="shared" si="7"/>
        <v>0.1126040069700518</v>
      </c>
      <c r="U61" s="4">
        <f t="shared" si="8"/>
        <v>2544.9722676174911</v>
      </c>
      <c r="V61" s="4">
        <f t="shared" si="9"/>
        <v>3719.5748526717175</v>
      </c>
      <c r="W61" s="4">
        <f t="shared" si="10"/>
        <v>6264.5471202892086</v>
      </c>
      <c r="X61" s="4">
        <f t="shared" si="11"/>
        <v>2391.5311112926593</v>
      </c>
      <c r="Y61" s="4">
        <f t="shared" si="12"/>
        <v>3495.3147011200404</v>
      </c>
      <c r="Z61" s="4">
        <f t="shared" si="13"/>
        <v>5886.8458124126992</v>
      </c>
      <c r="AA61" s="3"/>
      <c r="AE61" s="3"/>
      <c r="AF61" s="3"/>
      <c r="AG61" s="7"/>
      <c r="AH61" s="7"/>
      <c r="AI61" s="7"/>
      <c r="AJ61" s="7"/>
      <c r="AK61" s="7"/>
      <c r="AL61" s="3"/>
      <c r="AM61" s="9"/>
      <c r="AN61" s="7"/>
      <c r="AO61" s="7"/>
      <c r="AP61" s="7"/>
      <c r="AQ61" s="7"/>
      <c r="AR61" s="9"/>
      <c r="AS61" s="9"/>
      <c r="AT61" s="9"/>
      <c r="AU61" s="3"/>
      <c r="AV61" s="3"/>
      <c r="AW61" s="3"/>
      <c r="AX61" s="3"/>
      <c r="AY61" s="3"/>
      <c r="AZ61" s="3"/>
    </row>
    <row r="62" spans="1:52" x14ac:dyDescent="0.25">
      <c r="A62">
        <f t="shared" si="14"/>
        <v>23</v>
      </c>
      <c r="B62" s="1" t="s">
        <v>61</v>
      </c>
      <c r="C62" s="1" t="s">
        <v>139</v>
      </c>
      <c r="D62" s="2">
        <v>42325</v>
      </c>
      <c r="E62" s="3">
        <v>53.3</v>
      </c>
      <c r="F62" s="4">
        <f t="shared" si="0"/>
        <v>7436.1631397637793</v>
      </c>
      <c r="G62" s="7">
        <v>8.76</v>
      </c>
      <c r="H62" s="7">
        <v>282.79000000000002</v>
      </c>
      <c r="I62" s="7">
        <f t="shared" si="1"/>
        <v>274.03000000000003</v>
      </c>
      <c r="J62" s="7">
        <v>256.27999999999997</v>
      </c>
      <c r="K62" s="5">
        <f t="shared" si="2"/>
        <v>6.4773929861694182</v>
      </c>
      <c r="L62" s="4">
        <f t="shared" si="3"/>
        <v>6954.4936301086045</v>
      </c>
      <c r="M62" s="2">
        <v>42339</v>
      </c>
      <c r="N62" s="7">
        <v>2.6</v>
      </c>
      <c r="O62" s="7">
        <v>0.7</v>
      </c>
      <c r="P62" s="7">
        <f t="shared" si="4"/>
        <v>0.41999999999999993</v>
      </c>
      <c r="Q62" s="7">
        <v>0.62</v>
      </c>
      <c r="R62" s="6">
        <f t="shared" si="5"/>
        <v>0.35613163710661017</v>
      </c>
      <c r="S62" s="6">
        <f t="shared" si="6"/>
        <v>0.52571813096690079</v>
      </c>
      <c r="T62" s="6">
        <f t="shared" si="7"/>
        <v>0.1181502319264891</v>
      </c>
      <c r="U62" s="4">
        <f t="shared" si="8"/>
        <v>2648.252952755905</v>
      </c>
      <c r="V62" s="4">
        <f t="shared" si="9"/>
        <v>3909.3257874015749</v>
      </c>
      <c r="W62" s="4">
        <f t="shared" si="10"/>
        <v>6557.5787401574798</v>
      </c>
      <c r="X62" s="4">
        <f t="shared" si="11"/>
        <v>2476.7152017380695</v>
      </c>
      <c r="Y62" s="4">
        <f t="shared" si="12"/>
        <v>3656.1033930419126</v>
      </c>
      <c r="Z62" s="4">
        <f t="shared" si="13"/>
        <v>6132.818594779982</v>
      </c>
      <c r="AA62" s="3"/>
      <c r="AE62" s="3"/>
      <c r="AF62" s="3"/>
      <c r="AG62" s="7"/>
      <c r="AH62" s="7"/>
      <c r="AI62" s="7"/>
      <c r="AJ62" s="7"/>
      <c r="AK62" s="7"/>
      <c r="AL62" s="3"/>
      <c r="AM62" s="9"/>
      <c r="AN62" s="7"/>
      <c r="AO62" s="7"/>
      <c r="AP62" s="7"/>
      <c r="AQ62" s="7"/>
      <c r="AR62" s="9"/>
      <c r="AS62" s="9"/>
      <c r="AT62" s="9"/>
      <c r="AU62" s="3"/>
      <c r="AV62" s="3"/>
      <c r="AW62" s="3"/>
      <c r="AX62" s="3"/>
      <c r="AY62" s="3"/>
      <c r="AZ62" s="3"/>
    </row>
    <row r="63" spans="1:52" x14ac:dyDescent="0.25">
      <c r="A63">
        <f t="shared" si="14"/>
        <v>24</v>
      </c>
      <c r="B63" s="1" t="s">
        <v>62</v>
      </c>
      <c r="C63" s="1" t="s">
        <v>139</v>
      </c>
      <c r="D63" s="2">
        <v>42325</v>
      </c>
      <c r="E63" s="3">
        <v>52.5</v>
      </c>
      <c r="F63" s="4">
        <f t="shared" si="0"/>
        <v>7324.5509350393686</v>
      </c>
      <c r="G63" s="7">
        <v>8.86</v>
      </c>
      <c r="H63" s="7">
        <v>247.49</v>
      </c>
      <c r="I63" s="7">
        <f t="shared" si="1"/>
        <v>238.63</v>
      </c>
      <c r="J63" s="7">
        <v>224.19</v>
      </c>
      <c r="K63" s="5">
        <f t="shared" si="2"/>
        <v>6.0512089846205415</v>
      </c>
      <c r="L63" s="4">
        <f t="shared" si="3"/>
        <v>6881.3270507751586</v>
      </c>
      <c r="M63" s="2">
        <v>42339</v>
      </c>
      <c r="N63" s="7">
        <v>3.6</v>
      </c>
      <c r="O63" s="7">
        <v>0.84</v>
      </c>
      <c r="P63" s="7">
        <f t="shared" si="4"/>
        <v>0.55999999999999994</v>
      </c>
      <c r="Q63" s="7">
        <v>0.86</v>
      </c>
      <c r="R63" s="6">
        <f t="shared" si="5"/>
        <v>0.34294157647303203</v>
      </c>
      <c r="S63" s="6">
        <f t="shared" si="6"/>
        <v>0.52666027815501348</v>
      </c>
      <c r="T63" s="6">
        <f t="shared" si="7"/>
        <v>0.13039814537195449</v>
      </c>
      <c r="U63" s="4">
        <f t="shared" si="8"/>
        <v>2511.8930446194217</v>
      </c>
      <c r="V63" s="4">
        <f t="shared" si="9"/>
        <v>3857.5500328083981</v>
      </c>
      <c r="W63" s="4">
        <f t="shared" si="10"/>
        <v>6369.4430774278198</v>
      </c>
      <c r="X63" s="4">
        <f t="shared" si="11"/>
        <v>2359.8931470193529</v>
      </c>
      <c r="Y63" s="4">
        <f t="shared" si="12"/>
        <v>3624.1216186368638</v>
      </c>
      <c r="Z63" s="4">
        <f t="shared" si="13"/>
        <v>5984.0147656562167</v>
      </c>
      <c r="AE63" s="3"/>
      <c r="AF63" s="3"/>
      <c r="AG63" s="7"/>
      <c r="AH63" s="7"/>
      <c r="AI63" s="7"/>
      <c r="AJ63" s="7"/>
      <c r="AK63" s="7"/>
      <c r="AL63" s="3"/>
      <c r="AM63" s="9"/>
      <c r="AN63" s="7"/>
      <c r="AO63" s="7"/>
      <c r="AP63" s="7"/>
      <c r="AQ63" s="7"/>
      <c r="AR63" s="9"/>
      <c r="AS63" s="9"/>
      <c r="AT63" s="9"/>
      <c r="AU63" s="3"/>
      <c r="AV63" s="3"/>
      <c r="AW63" s="3"/>
      <c r="AX63" s="3"/>
      <c r="AY63" s="3"/>
      <c r="AZ63" s="3"/>
    </row>
    <row r="64" spans="1:52" x14ac:dyDescent="0.25">
      <c r="A64">
        <f t="shared" si="14"/>
        <v>25</v>
      </c>
      <c r="B64" s="1" t="s">
        <v>63</v>
      </c>
      <c r="C64" s="1" t="s">
        <v>139</v>
      </c>
      <c r="D64" s="2">
        <v>42325</v>
      </c>
      <c r="E64" s="3">
        <v>46.6</v>
      </c>
      <c r="F64" s="4">
        <f t="shared" si="0"/>
        <v>6501.4109251968503</v>
      </c>
      <c r="G64" s="7">
        <v>8.8699999999999992</v>
      </c>
      <c r="H64" s="7">
        <v>318.94</v>
      </c>
      <c r="I64" s="7">
        <f t="shared" si="1"/>
        <v>310.07</v>
      </c>
      <c r="J64" s="7">
        <v>291.35000000000002</v>
      </c>
      <c r="K64" s="5">
        <f t="shared" si="2"/>
        <v>6.0373464056503279</v>
      </c>
      <c r="L64" s="4">
        <f t="shared" si="3"/>
        <v>6108.8982263879207</v>
      </c>
      <c r="M64" s="2">
        <v>42339</v>
      </c>
      <c r="N64" s="7">
        <v>2.48</v>
      </c>
      <c r="O64" s="7">
        <v>0.68</v>
      </c>
      <c r="P64" s="7">
        <f t="shared" si="4"/>
        <v>0.4</v>
      </c>
      <c r="Q64" s="7">
        <v>0.6</v>
      </c>
      <c r="R64" s="6">
        <f t="shared" si="5"/>
        <v>0.35558458390060932</v>
      </c>
      <c r="S64" s="6">
        <f t="shared" si="6"/>
        <v>0.53337687585091387</v>
      </c>
      <c r="T64" s="6">
        <f t="shared" si="7"/>
        <v>0.11103854024847681</v>
      </c>
      <c r="U64" s="4">
        <f t="shared" si="8"/>
        <v>2311.8014986029975</v>
      </c>
      <c r="V64" s="4">
        <f t="shared" si="9"/>
        <v>3467.7022479044954</v>
      </c>
      <c r="W64" s="4">
        <f t="shared" si="10"/>
        <v>5779.5037465074929</v>
      </c>
      <c r="X64" s="4">
        <f t="shared" si="11"/>
        <v>2172.2300339213189</v>
      </c>
      <c r="Y64" s="4">
        <f t="shared" si="12"/>
        <v>3258.3450508819778</v>
      </c>
      <c r="Z64" s="4">
        <f t="shared" si="13"/>
        <v>5430.5750848032967</v>
      </c>
      <c r="AE64" s="3"/>
      <c r="AF64" s="3"/>
      <c r="AG64" s="7"/>
      <c r="AH64" s="7"/>
      <c r="AI64" s="7"/>
      <c r="AJ64" s="7"/>
      <c r="AK64" s="7"/>
      <c r="AL64" s="3"/>
      <c r="AM64" s="9"/>
      <c r="AN64" s="7"/>
      <c r="AO64" s="7"/>
      <c r="AP64" s="7"/>
      <c r="AQ64" s="7"/>
      <c r="AR64" s="9"/>
      <c r="AS64" s="9"/>
      <c r="AT64" s="9"/>
      <c r="AU64" s="3"/>
      <c r="AV64" s="3"/>
      <c r="AW64" s="3"/>
      <c r="AX64" s="3"/>
      <c r="AY64" s="3"/>
      <c r="AZ64" s="3"/>
    </row>
    <row r="65" spans="1:52" x14ac:dyDescent="0.25">
      <c r="A65">
        <f t="shared" si="14"/>
        <v>26</v>
      </c>
      <c r="B65" s="1" t="s">
        <v>64</v>
      </c>
      <c r="C65" s="1" t="s">
        <v>139</v>
      </c>
      <c r="D65" s="2">
        <v>42325</v>
      </c>
      <c r="E65" s="3">
        <v>45.9</v>
      </c>
      <c r="F65" s="4">
        <f t="shared" si="0"/>
        <v>6403.7502460629912</v>
      </c>
      <c r="G65" s="7">
        <v>8.8800000000000008</v>
      </c>
      <c r="H65" s="7">
        <v>228.27</v>
      </c>
      <c r="I65" s="7">
        <f t="shared" si="1"/>
        <v>219.39000000000001</v>
      </c>
      <c r="J65" s="7">
        <v>206.69</v>
      </c>
      <c r="K65" s="5">
        <f t="shared" si="2"/>
        <v>5.7887779752951438</v>
      </c>
      <c r="L65" s="4">
        <f t="shared" si="3"/>
        <v>6033.0513622259878</v>
      </c>
      <c r="M65" s="2">
        <v>42339</v>
      </c>
      <c r="N65" s="7">
        <v>2.88</v>
      </c>
      <c r="O65" s="7">
        <v>0.74</v>
      </c>
      <c r="P65" s="7">
        <f t="shared" si="4"/>
        <v>0.45999999999999996</v>
      </c>
      <c r="Q65" s="7">
        <v>0.7</v>
      </c>
      <c r="R65" s="6">
        <f t="shared" si="5"/>
        <v>0.35212751155713112</v>
      </c>
      <c r="S65" s="6">
        <f t="shared" si="6"/>
        <v>0.53584621323911263</v>
      </c>
      <c r="T65" s="6">
        <f t="shared" si="7"/>
        <v>0.11202627520375619</v>
      </c>
      <c r="U65" s="4">
        <f t="shared" si="8"/>
        <v>2254.9366387795271</v>
      </c>
      <c r="V65" s="4">
        <f t="shared" si="9"/>
        <v>3431.4253198818897</v>
      </c>
      <c r="W65" s="4">
        <f t="shared" si="10"/>
        <v>5686.3619586614168</v>
      </c>
      <c r="X65" s="4">
        <f t="shared" si="11"/>
        <v>2124.403363276997</v>
      </c>
      <c r="Y65" s="4">
        <f t="shared" si="12"/>
        <v>3232.7877267258655</v>
      </c>
      <c r="Z65" s="4">
        <f t="shared" si="13"/>
        <v>5357.1910900028624</v>
      </c>
      <c r="AE65" s="3"/>
      <c r="AF65" s="3"/>
      <c r="AG65" s="7"/>
      <c r="AH65" s="7"/>
      <c r="AI65" s="7"/>
      <c r="AJ65" s="7"/>
      <c r="AK65" s="7"/>
      <c r="AL65" s="3"/>
      <c r="AM65" s="9"/>
      <c r="AN65" s="7"/>
      <c r="AO65" s="7"/>
      <c r="AP65" s="7"/>
      <c r="AQ65" s="7"/>
      <c r="AR65" s="9"/>
      <c r="AS65" s="9"/>
      <c r="AT65" s="9"/>
      <c r="AU65" s="3"/>
      <c r="AV65" s="3"/>
      <c r="AW65" s="3"/>
      <c r="AX65" s="3"/>
      <c r="AY65" s="3"/>
      <c r="AZ65" s="3"/>
    </row>
    <row r="66" spans="1:52" x14ac:dyDescent="0.25">
      <c r="A66">
        <f t="shared" si="14"/>
        <v>27</v>
      </c>
      <c r="B66" s="1" t="s">
        <v>65</v>
      </c>
      <c r="C66" s="1" t="s">
        <v>139</v>
      </c>
      <c r="D66" s="2">
        <v>42325</v>
      </c>
      <c r="E66" s="3">
        <v>51.699999999999996</v>
      </c>
      <c r="F66" s="4">
        <f t="shared" si="0"/>
        <v>7212.9387303149597</v>
      </c>
      <c r="G66" s="7">
        <v>8.91</v>
      </c>
      <c r="H66" s="7">
        <v>300.25</v>
      </c>
      <c r="I66" s="7">
        <f t="shared" si="1"/>
        <v>291.33999999999997</v>
      </c>
      <c r="J66" s="7">
        <v>273.95</v>
      </c>
      <c r="K66" s="5">
        <f t="shared" si="2"/>
        <v>5.9689709617628841</v>
      </c>
      <c r="L66" s="4">
        <f t="shared" si="3"/>
        <v>6782.4005120127113</v>
      </c>
      <c r="M66" s="2">
        <v>42339</v>
      </c>
      <c r="N66" s="7">
        <v>3.12</v>
      </c>
      <c r="O66" s="7">
        <v>0.78</v>
      </c>
      <c r="P66" s="7">
        <f t="shared" si="4"/>
        <v>0.5</v>
      </c>
      <c r="Q66" s="7">
        <v>0.76</v>
      </c>
      <c r="R66" s="6">
        <f t="shared" si="5"/>
        <v>0.35330519554227202</v>
      </c>
      <c r="S66" s="6">
        <f t="shared" si="6"/>
        <v>0.53702389722425348</v>
      </c>
      <c r="T66" s="6">
        <f t="shared" si="7"/>
        <v>0.1096709072334745</v>
      </c>
      <c r="U66" s="4">
        <f t="shared" si="8"/>
        <v>2548.3687285483543</v>
      </c>
      <c r="V66" s="4">
        <f t="shared" si="9"/>
        <v>3873.5204673934982</v>
      </c>
      <c r="W66" s="4">
        <f t="shared" si="10"/>
        <v>6421.8891959418524</v>
      </c>
      <c r="X66" s="4">
        <f t="shared" si="11"/>
        <v>2396.2573391426567</v>
      </c>
      <c r="Y66" s="4">
        <f t="shared" si="12"/>
        <v>3642.3111554968386</v>
      </c>
      <c r="Z66" s="4">
        <f t="shared" si="13"/>
        <v>6038.5684946394958</v>
      </c>
      <c r="AE66" s="3"/>
      <c r="AF66" s="3"/>
      <c r="AG66" s="7"/>
      <c r="AH66" s="7"/>
      <c r="AI66" s="7"/>
      <c r="AJ66" s="7"/>
      <c r="AK66" s="7"/>
      <c r="AL66" s="3"/>
      <c r="AM66" s="9"/>
      <c r="AN66" s="7"/>
      <c r="AO66" s="7"/>
      <c r="AP66" s="7"/>
      <c r="AQ66" s="7"/>
      <c r="AR66" s="9"/>
      <c r="AS66" s="9"/>
      <c r="AT66" s="9"/>
      <c r="AU66" s="3"/>
      <c r="AV66" s="3"/>
      <c r="AW66" s="3"/>
      <c r="AX66" s="3"/>
      <c r="AY66" s="3"/>
      <c r="AZ66" s="3"/>
    </row>
    <row r="67" spans="1:52" x14ac:dyDescent="0.25">
      <c r="A67">
        <f t="shared" si="14"/>
        <v>28</v>
      </c>
      <c r="B67" s="1" t="s">
        <v>66</v>
      </c>
      <c r="C67" s="1" t="s">
        <v>139</v>
      </c>
      <c r="D67" s="2">
        <v>42325</v>
      </c>
      <c r="E67" s="3">
        <v>50.999999999999993</v>
      </c>
      <c r="F67" s="4">
        <f t="shared" si="0"/>
        <v>7115.2780511811025</v>
      </c>
      <c r="G67" s="7">
        <v>8.93</v>
      </c>
      <c r="H67" s="7">
        <v>196.38</v>
      </c>
      <c r="I67" s="7">
        <f t="shared" si="1"/>
        <v>187.45</v>
      </c>
      <c r="J67" s="7">
        <v>176.97</v>
      </c>
      <c r="K67" s="5">
        <f t="shared" si="2"/>
        <v>5.5908242197919389</v>
      </c>
      <c r="L67" s="4">
        <f t="shared" si="3"/>
        <v>6717.4753625901294</v>
      </c>
      <c r="M67" s="2">
        <v>42339</v>
      </c>
      <c r="N67" s="7">
        <v>2.9</v>
      </c>
      <c r="O67" s="7">
        <v>0.78</v>
      </c>
      <c r="P67" s="7">
        <f t="shared" si="4"/>
        <v>0.5</v>
      </c>
      <c r="Q67" s="7">
        <v>0.72</v>
      </c>
      <c r="R67" s="6">
        <f t="shared" si="5"/>
        <v>0.38010765865237545</v>
      </c>
      <c r="S67" s="6">
        <f t="shared" si="6"/>
        <v>0.54735502845942063</v>
      </c>
      <c r="T67" s="6">
        <f t="shared" si="7"/>
        <v>7.2537312888203864E-2</v>
      </c>
      <c r="U67" s="4">
        <f t="shared" si="8"/>
        <v>2704.5716806950859</v>
      </c>
      <c r="V67" s="4">
        <f t="shared" si="9"/>
        <v>3894.5832202009233</v>
      </c>
      <c r="W67" s="4">
        <f t="shared" si="10"/>
        <v>6599.1549008960092</v>
      </c>
      <c r="X67" s="4">
        <f t="shared" si="11"/>
        <v>2553.363832129151</v>
      </c>
      <c r="Y67" s="4">
        <f t="shared" si="12"/>
        <v>3676.8439182659772</v>
      </c>
      <c r="Z67" s="4">
        <f t="shared" si="13"/>
        <v>6230.2077503951277</v>
      </c>
      <c r="AE67" s="3"/>
      <c r="AF67" s="3"/>
      <c r="AG67" s="7"/>
      <c r="AH67" s="7"/>
      <c r="AI67" s="7"/>
      <c r="AJ67" s="7"/>
      <c r="AK67" s="7"/>
      <c r="AL67" s="3"/>
      <c r="AM67" s="9"/>
      <c r="AN67" s="7"/>
      <c r="AO67" s="7"/>
      <c r="AP67" s="7"/>
      <c r="AQ67" s="7"/>
      <c r="AR67" s="9"/>
      <c r="AS67" s="9"/>
      <c r="AT67" s="9"/>
      <c r="AU67" s="3"/>
      <c r="AV67" s="3"/>
      <c r="AW67" s="3"/>
      <c r="AX67" s="3"/>
      <c r="AY67" s="3"/>
      <c r="AZ67" s="3"/>
    </row>
    <row r="68" spans="1:52" x14ac:dyDescent="0.25">
      <c r="A68">
        <f t="shared" si="14"/>
        <v>29</v>
      </c>
      <c r="B68" s="1" t="s">
        <v>67</v>
      </c>
      <c r="C68" s="1" t="s">
        <v>139</v>
      </c>
      <c r="D68" s="2">
        <v>42325</v>
      </c>
      <c r="E68" s="3">
        <v>48.999999999999993</v>
      </c>
      <c r="F68" s="4">
        <f t="shared" si="0"/>
        <v>6836.247539370077</v>
      </c>
      <c r="G68" s="7">
        <v>8.89</v>
      </c>
      <c r="H68" s="7">
        <v>279.56</v>
      </c>
      <c r="I68" s="7">
        <f t="shared" si="1"/>
        <v>270.67</v>
      </c>
      <c r="J68" s="7">
        <v>255.83</v>
      </c>
      <c r="K68" s="5">
        <f t="shared" si="2"/>
        <v>5.4826910998633034</v>
      </c>
      <c r="L68" s="4">
        <f t="shared" si="3"/>
        <v>6461.4372039644095</v>
      </c>
      <c r="M68" s="2">
        <v>42339</v>
      </c>
      <c r="N68" s="7">
        <v>3.1</v>
      </c>
      <c r="O68" s="7">
        <v>0.76</v>
      </c>
      <c r="P68" s="7">
        <f t="shared" si="4"/>
        <v>0.48</v>
      </c>
      <c r="Q68" s="7">
        <v>0.74</v>
      </c>
      <c r="R68" s="6">
        <f t="shared" si="5"/>
        <v>0.34136120054458491</v>
      </c>
      <c r="S68" s="6">
        <f t="shared" si="6"/>
        <v>0.52626518417290169</v>
      </c>
      <c r="T68" s="6">
        <f t="shared" si="7"/>
        <v>0.13237361528251335</v>
      </c>
      <c r="U68" s="4">
        <f t="shared" si="8"/>
        <v>2333.6296672593339</v>
      </c>
      <c r="V68" s="4">
        <f t="shared" si="9"/>
        <v>3597.6790703581396</v>
      </c>
      <c r="W68" s="4">
        <f t="shared" si="10"/>
        <v>5931.3087376174735</v>
      </c>
      <c r="X68" s="4">
        <f t="shared" si="11"/>
        <v>2205.6839611887367</v>
      </c>
      <c r="Y68" s="4">
        <f t="shared" si="12"/>
        <v>3400.429440165969</v>
      </c>
      <c r="Z68" s="4">
        <f t="shared" si="13"/>
        <v>5606.1134013547053</v>
      </c>
      <c r="AE68" s="3"/>
      <c r="AF68" s="3"/>
      <c r="AG68" s="7"/>
      <c r="AH68" s="7"/>
      <c r="AI68" s="7"/>
      <c r="AJ68" s="7"/>
      <c r="AK68" s="7"/>
      <c r="AL68" s="3"/>
      <c r="AM68" s="9"/>
      <c r="AN68" s="7"/>
      <c r="AO68" s="7"/>
      <c r="AP68" s="7"/>
      <c r="AQ68" s="7"/>
      <c r="AR68" s="9"/>
      <c r="AS68" s="9"/>
      <c r="AT68" s="9"/>
      <c r="AU68" s="3"/>
      <c r="AV68" s="3"/>
      <c r="AW68" s="3"/>
      <c r="AX68" s="3"/>
      <c r="AY68" s="3"/>
      <c r="AZ68" s="3"/>
    </row>
    <row r="69" spans="1:52" x14ac:dyDescent="0.25">
      <c r="A69">
        <f t="shared" si="14"/>
        <v>30</v>
      </c>
      <c r="B69" s="1" t="s">
        <v>68</v>
      </c>
      <c r="C69" s="1" t="s">
        <v>139</v>
      </c>
      <c r="D69" s="2">
        <v>42325</v>
      </c>
      <c r="E69" s="3">
        <v>42</v>
      </c>
      <c r="F69" s="4">
        <f t="shared" si="0"/>
        <v>5859.6407480314956</v>
      </c>
      <c r="G69" s="7">
        <v>8.89</v>
      </c>
      <c r="H69" s="7">
        <v>335.31</v>
      </c>
      <c r="I69" s="7">
        <f t="shared" si="1"/>
        <v>326.42</v>
      </c>
      <c r="J69" s="7">
        <v>308.58999999999997</v>
      </c>
      <c r="K69" s="5">
        <f t="shared" si="2"/>
        <v>5.4622878500092034</v>
      </c>
      <c r="L69" s="4">
        <f t="shared" si="3"/>
        <v>5539.5703033975824</v>
      </c>
      <c r="M69" s="2">
        <v>42339</v>
      </c>
      <c r="N69" s="7">
        <v>3.04</v>
      </c>
      <c r="O69" s="7">
        <v>0.78</v>
      </c>
      <c r="P69" s="7">
        <f t="shared" si="4"/>
        <v>0.5</v>
      </c>
      <c r="Q69" s="7">
        <v>0.72</v>
      </c>
      <c r="R69" s="6">
        <f t="shared" si="5"/>
        <v>0.36260270068812128</v>
      </c>
      <c r="S69" s="6">
        <f t="shared" si="6"/>
        <v>0.52214788899089459</v>
      </c>
      <c r="T69" s="6">
        <f t="shared" si="7"/>
        <v>0.11524941032098412</v>
      </c>
      <c r="U69" s="4">
        <f t="shared" si="8"/>
        <v>2124.7215602983833</v>
      </c>
      <c r="V69" s="4">
        <f t="shared" si="9"/>
        <v>3059.5990468296718</v>
      </c>
      <c r="W69" s="4">
        <f t="shared" si="10"/>
        <v>5184.3206071280547</v>
      </c>
      <c r="X69" s="4">
        <f t="shared" si="11"/>
        <v>2008.6631526636788</v>
      </c>
      <c r="Y69" s="4">
        <f t="shared" si="12"/>
        <v>2892.4749398356971</v>
      </c>
      <c r="Z69" s="4">
        <f t="shared" si="13"/>
        <v>4901.1380924993755</v>
      </c>
      <c r="AE69" s="3"/>
      <c r="AF69" s="3"/>
      <c r="AG69" s="7"/>
      <c r="AH69" s="7"/>
      <c r="AI69" s="7"/>
      <c r="AJ69" s="7"/>
      <c r="AK69" s="7"/>
      <c r="AL69" s="3"/>
      <c r="AM69" s="9"/>
      <c r="AN69" s="7"/>
      <c r="AO69" s="7"/>
      <c r="AP69" s="7"/>
      <c r="AQ69" s="7"/>
      <c r="AR69" s="9"/>
      <c r="AS69" s="9"/>
      <c r="AT69" s="9"/>
      <c r="AU69" s="3"/>
      <c r="AV69" s="3"/>
      <c r="AW69" s="3"/>
      <c r="AX69" s="3"/>
      <c r="AY69" s="3"/>
      <c r="AZ69" s="3"/>
    </row>
    <row r="70" spans="1:52" x14ac:dyDescent="0.25">
      <c r="A70">
        <f t="shared" si="14"/>
        <v>31</v>
      </c>
      <c r="B70" s="1" t="s">
        <v>69</v>
      </c>
      <c r="C70" s="1" t="s">
        <v>139</v>
      </c>
      <c r="D70" s="2">
        <v>42325</v>
      </c>
      <c r="E70" s="3">
        <v>46</v>
      </c>
      <c r="F70" s="4">
        <f t="shared" si="0"/>
        <v>6417.7017716535438</v>
      </c>
      <c r="G70" s="7">
        <v>8.92</v>
      </c>
      <c r="H70" s="7">
        <v>203.1</v>
      </c>
      <c r="I70" s="7">
        <f t="shared" si="1"/>
        <v>194.18</v>
      </c>
      <c r="J70" s="7">
        <v>181.78</v>
      </c>
      <c r="K70" s="5">
        <f t="shared" si="2"/>
        <v>6.3858275826552706</v>
      </c>
      <c r="L70" s="4">
        <f t="shared" si="3"/>
        <v>6007.878401746736</v>
      </c>
      <c r="M70" s="2">
        <v>42339</v>
      </c>
      <c r="N70" s="7">
        <v>3.34</v>
      </c>
      <c r="O70" s="7">
        <v>0.8</v>
      </c>
      <c r="P70" s="7">
        <f t="shared" si="4"/>
        <v>0.52</v>
      </c>
      <c r="Q70" s="7">
        <v>0.78</v>
      </c>
      <c r="R70" s="6">
        <f t="shared" si="5"/>
        <v>0.34323493966933066</v>
      </c>
      <c r="S70" s="6">
        <f t="shared" si="6"/>
        <v>0.51485240950399591</v>
      </c>
      <c r="T70" s="6">
        <f t="shared" si="7"/>
        <v>0.14191265082667348</v>
      </c>
      <c r="U70" s="4">
        <f t="shared" si="8"/>
        <v>2202.7794804092605</v>
      </c>
      <c r="V70" s="4">
        <f t="shared" si="9"/>
        <v>3304.1692206138905</v>
      </c>
      <c r="W70" s="4">
        <f t="shared" si="10"/>
        <v>5506.9487010231514</v>
      </c>
      <c r="X70" s="4">
        <f t="shared" si="11"/>
        <v>2062.1137807642158</v>
      </c>
      <c r="Y70" s="4">
        <f t="shared" si="12"/>
        <v>3093.170671146323</v>
      </c>
      <c r="Z70" s="4">
        <f t="shared" si="13"/>
        <v>5155.2844519105383</v>
      </c>
      <c r="AB70" t="s">
        <v>30</v>
      </c>
      <c r="AC70" t="str">
        <f>C70</f>
        <v>Machine</v>
      </c>
      <c r="AD70" s="8">
        <f>D70</f>
        <v>42325</v>
      </c>
      <c r="AE70" s="3">
        <f>SUM(E70:E79)</f>
        <v>472.79999999999995</v>
      </c>
      <c r="AF70" s="3">
        <f>AE70*$A$29/($A$30*10)*$A$31</f>
        <v>6596.2812992125973</v>
      </c>
      <c r="AG70" s="7">
        <f>SUM(G70:G79)</f>
        <v>88.45</v>
      </c>
      <c r="AH70" s="7">
        <f>SUM(H70:H79)</f>
        <v>2555.2000000000003</v>
      </c>
      <c r="AI70" s="7">
        <f>AH70-AG70</f>
        <v>2466.7500000000005</v>
      </c>
      <c r="AJ70" s="7">
        <f>SUM(J70:J79)</f>
        <v>2316.92</v>
      </c>
      <c r="AK70" s="7">
        <f>(AI70-AJ70)/AI70*100</f>
        <v>6.0739839870274794</v>
      </c>
      <c r="AL70" s="3">
        <f>AF70*(1-AK70/100)</f>
        <v>6195.6242293591358</v>
      </c>
      <c r="AM70" s="11">
        <f>M70</f>
        <v>42339</v>
      </c>
      <c r="AN70" s="7">
        <f>SUM(N70:N79)</f>
        <v>32.839999999999996</v>
      </c>
      <c r="AO70" s="7">
        <f>SUM(O70:O79)</f>
        <v>8.06</v>
      </c>
      <c r="AP70" s="7">
        <f>AO70-10*$A$32</f>
        <v>5.26</v>
      </c>
      <c r="AQ70" s="7">
        <f>SUM(Q70:Q79)</f>
        <v>7.9800000000000013</v>
      </c>
      <c r="AR70" s="9">
        <f>AP70/(AN70*$A$29)</f>
        <v>0.35311584805623236</v>
      </c>
      <c r="AS70" s="9">
        <f>AQ70/(AN70*$A$29)</f>
        <v>0.53571567822979749</v>
      </c>
      <c r="AT70" s="9">
        <f>1-AR70-AS70</f>
        <v>0.1111684737139701</v>
      </c>
      <c r="AU70" s="3">
        <f>AF70*AR70</f>
        <v>2329.2514649889226</v>
      </c>
      <c r="AV70" s="3">
        <f>AF70*AS70</f>
        <v>3533.7313100022061</v>
      </c>
      <c r="AW70" s="3">
        <f>AU70+AV70</f>
        <v>5862.9827749911292</v>
      </c>
      <c r="AX70" s="3">
        <f>AL70*AR70</f>
        <v>2187.7731039878922</v>
      </c>
      <c r="AY70" s="3">
        <f>AL70*AS70</f>
        <v>3319.0930360880957</v>
      </c>
      <c r="AZ70" s="3">
        <f>AX70+AY70</f>
        <v>5506.8661400759884</v>
      </c>
    </row>
    <row r="71" spans="1:52" x14ac:dyDescent="0.25">
      <c r="A71">
        <f t="shared" si="14"/>
        <v>32</v>
      </c>
      <c r="B71" s="1" t="s">
        <v>70</v>
      </c>
      <c r="C71" s="1" t="s">
        <v>139</v>
      </c>
      <c r="D71" s="2">
        <v>42325</v>
      </c>
      <c r="E71" s="3">
        <v>49.9</v>
      </c>
      <c r="F71" s="4">
        <f t="shared" si="0"/>
        <v>6961.8112696850394</v>
      </c>
      <c r="G71" s="7">
        <v>8.9</v>
      </c>
      <c r="H71" s="7">
        <v>294.08</v>
      </c>
      <c r="I71" s="7">
        <f t="shared" si="1"/>
        <v>285.18</v>
      </c>
      <c r="J71" s="7">
        <v>268.52999999999997</v>
      </c>
      <c r="K71" s="5">
        <f t="shared" si="2"/>
        <v>5.8384178413633618</v>
      </c>
      <c r="L71" s="4">
        <f t="shared" si="3"/>
        <v>6555.3516384337026</v>
      </c>
      <c r="M71" s="2">
        <v>42339</v>
      </c>
      <c r="N71" s="7">
        <v>2.76</v>
      </c>
      <c r="O71" s="7">
        <v>0.72</v>
      </c>
      <c r="P71" s="7">
        <f t="shared" si="4"/>
        <v>0.43999999999999995</v>
      </c>
      <c r="Q71" s="7">
        <v>0.68</v>
      </c>
      <c r="R71" s="6">
        <f t="shared" si="5"/>
        <v>0.35146186408726887</v>
      </c>
      <c r="S71" s="6">
        <f t="shared" si="6"/>
        <v>0.54316833540759746</v>
      </c>
      <c r="T71" s="6">
        <f t="shared" si="7"/>
        <v>0.10536980050513367</v>
      </c>
      <c r="U71" s="4">
        <f t="shared" si="8"/>
        <v>2446.81116626726</v>
      </c>
      <c r="V71" s="4">
        <f t="shared" si="9"/>
        <v>3781.4354387766753</v>
      </c>
      <c r="W71" s="4">
        <f t="shared" si="10"/>
        <v>6228.2466050439352</v>
      </c>
      <c r="X71" s="4">
        <f t="shared" si="11"/>
        <v>2303.9561065914413</v>
      </c>
      <c r="Y71" s="4">
        <f t="shared" si="12"/>
        <v>3560.6594374595011</v>
      </c>
      <c r="Z71" s="4">
        <f t="shared" si="13"/>
        <v>5864.6155440509428</v>
      </c>
      <c r="AE71" s="3"/>
      <c r="AF71" s="3"/>
      <c r="AG71" s="7"/>
      <c r="AH71" s="7"/>
      <c r="AI71" s="7"/>
      <c r="AJ71" s="7"/>
      <c r="AK71" s="7"/>
      <c r="AL71" s="3"/>
      <c r="AM71" s="9"/>
      <c r="AN71" s="7"/>
      <c r="AO71" s="7"/>
      <c r="AP71" s="7"/>
      <c r="AQ71" s="7"/>
      <c r="AR71" s="9"/>
      <c r="AS71" s="9"/>
      <c r="AT71" s="9"/>
      <c r="AU71" s="3"/>
      <c r="AV71" s="3"/>
      <c r="AW71" s="3"/>
      <c r="AX71" s="3"/>
      <c r="AY71" s="3"/>
      <c r="AZ71" s="3"/>
    </row>
    <row r="72" spans="1:52" x14ac:dyDescent="0.25">
      <c r="A72">
        <f t="shared" si="14"/>
        <v>33</v>
      </c>
      <c r="B72" s="1" t="s">
        <v>71</v>
      </c>
      <c r="C72" s="1" t="s">
        <v>139</v>
      </c>
      <c r="D72" s="2">
        <v>42325</v>
      </c>
      <c r="E72" s="3">
        <v>50.6</v>
      </c>
      <c r="F72" s="4">
        <f t="shared" si="0"/>
        <v>7059.4719488188975</v>
      </c>
      <c r="G72" s="7">
        <v>8.85</v>
      </c>
      <c r="H72" s="7">
        <v>263.73</v>
      </c>
      <c r="I72" s="7">
        <f t="shared" si="1"/>
        <v>254.88000000000002</v>
      </c>
      <c r="J72" s="7">
        <v>239.02</v>
      </c>
      <c r="K72" s="5">
        <f t="shared" si="2"/>
        <v>6.222536095417456</v>
      </c>
      <c r="L72" s="4">
        <f t="shared" si="3"/>
        <v>6620.1937586577715</v>
      </c>
      <c r="M72" s="2">
        <v>42339</v>
      </c>
      <c r="N72" s="7">
        <v>3.44</v>
      </c>
      <c r="O72" s="7">
        <v>0.84</v>
      </c>
      <c r="P72" s="7">
        <f t="shared" si="4"/>
        <v>0.55999999999999994</v>
      </c>
      <c r="Q72" s="7">
        <v>0.86</v>
      </c>
      <c r="R72" s="6">
        <f t="shared" si="5"/>
        <v>0.35889234747177767</v>
      </c>
      <c r="S72" s="6">
        <f t="shared" si="6"/>
        <v>0.55115610504594437</v>
      </c>
      <c r="T72" s="6">
        <f t="shared" si="7"/>
        <v>8.995154748227796E-2</v>
      </c>
      <c r="U72" s="4">
        <f t="shared" si="8"/>
        <v>2533.5904596227792</v>
      </c>
      <c r="V72" s="4">
        <f t="shared" si="9"/>
        <v>3890.8710629921261</v>
      </c>
      <c r="W72" s="4">
        <f t="shared" si="10"/>
        <v>6424.4615226149053</v>
      </c>
      <c r="X72" s="4">
        <f t="shared" si="11"/>
        <v>2375.9368787626986</v>
      </c>
      <c r="Y72" s="4">
        <f t="shared" si="12"/>
        <v>3648.760206671288</v>
      </c>
      <c r="Z72" s="4">
        <f t="shared" si="13"/>
        <v>6024.697085433987</v>
      </c>
      <c r="AE72" s="3"/>
      <c r="AF72" s="3"/>
      <c r="AG72" s="7"/>
      <c r="AH72" s="7"/>
      <c r="AI72" s="7"/>
      <c r="AJ72" s="7"/>
      <c r="AK72" s="7"/>
      <c r="AL72" s="3"/>
      <c r="AM72" s="9"/>
      <c r="AN72" s="7"/>
      <c r="AO72" s="7"/>
      <c r="AP72" s="7"/>
      <c r="AQ72" s="7"/>
      <c r="AR72" s="9"/>
      <c r="AS72" s="9"/>
      <c r="AT72" s="9"/>
      <c r="AU72" s="3"/>
      <c r="AV72" s="3"/>
      <c r="AW72" s="3"/>
      <c r="AX72" s="3"/>
      <c r="AY72" s="3"/>
      <c r="AZ72" s="3"/>
    </row>
    <row r="73" spans="1:52" x14ac:dyDescent="0.25">
      <c r="A73">
        <f t="shared" si="14"/>
        <v>34</v>
      </c>
      <c r="B73" s="1" t="s">
        <v>72</v>
      </c>
      <c r="C73" s="1" t="s">
        <v>139</v>
      </c>
      <c r="D73" s="2">
        <v>42325</v>
      </c>
      <c r="E73" s="3">
        <v>50.699999999999996</v>
      </c>
      <c r="F73" s="4">
        <f t="shared" si="0"/>
        <v>7073.4234744094483</v>
      </c>
      <c r="G73" s="7">
        <v>8.91</v>
      </c>
      <c r="H73" s="7">
        <v>224.21</v>
      </c>
      <c r="I73" s="7">
        <f t="shared" si="1"/>
        <v>215.3</v>
      </c>
      <c r="J73" s="7">
        <v>201.8</v>
      </c>
      <c r="K73" s="5">
        <f t="shared" si="2"/>
        <v>6.2703204830469108</v>
      </c>
      <c r="L73" s="4">
        <f t="shared" si="3"/>
        <v>6629.8971534409047</v>
      </c>
      <c r="M73" s="2">
        <v>42339</v>
      </c>
      <c r="N73" s="7">
        <v>2.8</v>
      </c>
      <c r="O73" s="7">
        <v>0.7</v>
      </c>
      <c r="P73" s="7">
        <f t="shared" si="4"/>
        <v>0.41999999999999993</v>
      </c>
      <c r="Q73" s="7">
        <v>0.68</v>
      </c>
      <c r="R73" s="6">
        <f t="shared" si="5"/>
        <v>0.33069366302756659</v>
      </c>
      <c r="S73" s="6">
        <f t="shared" si="6"/>
        <v>0.53540878775891743</v>
      </c>
      <c r="T73" s="6">
        <f t="shared" si="7"/>
        <v>0.13389754921351604</v>
      </c>
      <c r="U73" s="4">
        <f t="shared" si="8"/>
        <v>2339.1363188976375</v>
      </c>
      <c r="V73" s="4">
        <f t="shared" si="9"/>
        <v>3787.1730877390328</v>
      </c>
      <c r="W73" s="4">
        <f t="shared" si="10"/>
        <v>6126.3094066366702</v>
      </c>
      <c r="X73" s="4">
        <f t="shared" si="11"/>
        <v>2192.4649751674096</v>
      </c>
      <c r="Y73" s="4">
        <f t="shared" si="12"/>
        <v>3549.7051978900922</v>
      </c>
      <c r="Z73" s="4">
        <f t="shared" si="13"/>
        <v>5742.1701730575023</v>
      </c>
      <c r="AE73" s="3"/>
      <c r="AF73" s="3"/>
      <c r="AG73" s="7"/>
      <c r="AH73" s="7"/>
      <c r="AI73" s="7"/>
      <c r="AJ73" s="7"/>
      <c r="AK73" s="7"/>
      <c r="AL73" s="3"/>
      <c r="AM73" s="9"/>
      <c r="AN73" s="7"/>
      <c r="AO73" s="7"/>
      <c r="AP73" s="7"/>
      <c r="AQ73" s="7"/>
      <c r="AR73" s="9"/>
      <c r="AS73" s="9"/>
      <c r="AT73" s="9"/>
      <c r="AU73" s="3"/>
      <c r="AV73" s="3"/>
      <c r="AW73" s="3"/>
      <c r="AX73" s="3"/>
      <c r="AY73" s="3"/>
      <c r="AZ73" s="3"/>
    </row>
    <row r="74" spans="1:52" x14ac:dyDescent="0.25">
      <c r="A74">
        <f t="shared" si="14"/>
        <v>35</v>
      </c>
      <c r="B74" s="1" t="s">
        <v>73</v>
      </c>
      <c r="C74" s="1" t="s">
        <v>139</v>
      </c>
      <c r="D74" s="2">
        <v>42325</v>
      </c>
      <c r="E74" s="3">
        <v>46.9</v>
      </c>
      <c r="F74" s="4">
        <f t="shared" si="0"/>
        <v>6543.2655019685035</v>
      </c>
      <c r="G74" s="7">
        <v>8.8699999999999992</v>
      </c>
      <c r="H74" s="7">
        <v>215.03</v>
      </c>
      <c r="I74" s="7">
        <f t="shared" si="1"/>
        <v>206.16</v>
      </c>
      <c r="J74" s="7">
        <v>195.3</v>
      </c>
      <c r="K74" s="5">
        <f t="shared" si="2"/>
        <v>5.2677532013969666</v>
      </c>
      <c r="L74" s="4">
        <f t="shared" si="3"/>
        <v>6198.5824240126549</v>
      </c>
      <c r="M74" s="2">
        <v>42339</v>
      </c>
      <c r="N74" s="7">
        <v>3.02</v>
      </c>
      <c r="O74" s="7">
        <v>0.78</v>
      </c>
      <c r="P74" s="7">
        <f t="shared" si="4"/>
        <v>0.5</v>
      </c>
      <c r="Q74" s="7">
        <v>0.74</v>
      </c>
      <c r="R74" s="6">
        <f t="shared" si="5"/>
        <v>0.36500404307678436</v>
      </c>
      <c r="S74" s="6">
        <f t="shared" si="6"/>
        <v>0.54020598375364082</v>
      </c>
      <c r="T74" s="6">
        <f t="shared" si="7"/>
        <v>9.4789973169574826E-2</v>
      </c>
      <c r="U74" s="4">
        <f t="shared" si="8"/>
        <v>2388.3183631433485</v>
      </c>
      <c r="V74" s="4">
        <f t="shared" si="9"/>
        <v>3534.7111774521559</v>
      </c>
      <c r="W74" s="4">
        <f t="shared" si="10"/>
        <v>5923.0295405955039</v>
      </c>
      <c r="X74" s="4">
        <f t="shared" si="11"/>
        <v>2262.5076461093136</v>
      </c>
      <c r="Y74" s="4">
        <f t="shared" si="12"/>
        <v>3348.5113162417838</v>
      </c>
      <c r="Z74" s="4">
        <f t="shared" si="13"/>
        <v>5611.0189623510978</v>
      </c>
      <c r="AE74" s="3"/>
      <c r="AF74" s="3"/>
      <c r="AG74" s="7"/>
      <c r="AH74" s="7"/>
      <c r="AI74" s="7"/>
      <c r="AJ74" s="7"/>
      <c r="AK74" s="7"/>
      <c r="AL74" s="3"/>
      <c r="AM74" s="9"/>
      <c r="AN74" s="7"/>
      <c r="AO74" s="7"/>
      <c r="AP74" s="7"/>
      <c r="AQ74" s="7"/>
      <c r="AR74" s="9"/>
      <c r="AS74" s="9"/>
      <c r="AT74" s="9"/>
      <c r="AU74" s="3"/>
      <c r="AV74" s="3"/>
      <c r="AW74" s="3"/>
      <c r="AX74" s="3"/>
      <c r="AY74" s="3"/>
      <c r="AZ74" s="3"/>
    </row>
    <row r="75" spans="1:52" x14ac:dyDescent="0.25">
      <c r="A75">
        <f t="shared" si="14"/>
        <v>36</v>
      </c>
      <c r="B75" s="1" t="s">
        <v>74</v>
      </c>
      <c r="C75" s="1" t="s">
        <v>139</v>
      </c>
      <c r="D75" s="2">
        <v>42325</v>
      </c>
      <c r="E75" s="3">
        <v>49.9</v>
      </c>
      <c r="F75" s="4">
        <f t="shared" si="0"/>
        <v>6961.8112696850394</v>
      </c>
      <c r="G75" s="7">
        <v>8.85</v>
      </c>
      <c r="H75" s="7">
        <v>282.26</v>
      </c>
      <c r="I75" s="7">
        <f t="shared" si="1"/>
        <v>273.40999999999997</v>
      </c>
      <c r="J75" s="7">
        <v>257.23</v>
      </c>
      <c r="K75" s="5">
        <f t="shared" si="2"/>
        <v>5.9178523097179889</v>
      </c>
      <c r="L75" s="4">
        <f t="shared" si="3"/>
        <v>6549.8215606637759</v>
      </c>
      <c r="M75" s="2">
        <v>42339</v>
      </c>
      <c r="N75" s="7">
        <v>3.58</v>
      </c>
      <c r="O75" s="7">
        <v>0.88</v>
      </c>
      <c r="P75" s="7">
        <f t="shared" si="4"/>
        <v>0.6</v>
      </c>
      <c r="Q75" s="7">
        <v>0.86</v>
      </c>
      <c r="R75" s="6">
        <f t="shared" si="5"/>
        <v>0.36949012628778394</v>
      </c>
      <c r="S75" s="6">
        <f t="shared" si="6"/>
        <v>0.52960251434582362</v>
      </c>
      <c r="T75" s="6">
        <f t="shared" si="7"/>
        <v>0.1009073593663925</v>
      </c>
      <c r="U75" s="4">
        <f t="shared" si="8"/>
        <v>2572.3205252276425</v>
      </c>
      <c r="V75" s="4">
        <f t="shared" si="9"/>
        <v>3686.9927528262874</v>
      </c>
      <c r="W75" s="4">
        <f t="shared" si="10"/>
        <v>6259.3132780539299</v>
      </c>
      <c r="X75" s="4">
        <f t="shared" si="11"/>
        <v>2420.0943956121087</v>
      </c>
      <c r="Y75" s="4">
        <f t="shared" si="12"/>
        <v>3468.8019670440221</v>
      </c>
      <c r="Z75" s="4">
        <f t="shared" si="13"/>
        <v>5888.8963626561308</v>
      </c>
      <c r="AE75" s="3"/>
      <c r="AF75" s="3"/>
      <c r="AG75" s="7"/>
      <c r="AH75" s="7"/>
      <c r="AI75" s="7"/>
      <c r="AJ75" s="7"/>
      <c r="AK75" s="7"/>
      <c r="AL75" s="3"/>
      <c r="AM75" s="9"/>
      <c r="AN75" s="7"/>
      <c r="AO75" s="7"/>
      <c r="AP75" s="7"/>
      <c r="AQ75" s="7"/>
      <c r="AR75" s="9"/>
      <c r="AS75" s="9"/>
      <c r="AT75" s="9"/>
      <c r="AU75" s="3"/>
      <c r="AV75" s="3"/>
      <c r="AW75" s="3"/>
      <c r="AX75" s="3"/>
      <c r="AY75" s="3"/>
      <c r="AZ75" s="3"/>
    </row>
    <row r="76" spans="1:52" x14ac:dyDescent="0.25">
      <c r="A76">
        <f t="shared" si="14"/>
        <v>37</v>
      </c>
      <c r="B76" s="1" t="s">
        <v>75</v>
      </c>
      <c r="C76" s="1" t="s">
        <v>139</v>
      </c>
      <c r="D76" s="2">
        <v>42325</v>
      </c>
      <c r="E76" s="3">
        <v>51.4</v>
      </c>
      <c r="F76" s="4">
        <f t="shared" si="0"/>
        <v>7171.0841535433065</v>
      </c>
      <c r="G76" s="7">
        <v>8.76</v>
      </c>
      <c r="H76" s="7">
        <v>257.35000000000002</v>
      </c>
      <c r="I76" s="7">
        <f t="shared" si="1"/>
        <v>248.59000000000003</v>
      </c>
      <c r="J76" s="7">
        <v>232.86</v>
      </c>
      <c r="K76" s="5">
        <f t="shared" si="2"/>
        <v>6.3276881612293403</v>
      </c>
      <c r="L76" s="4">
        <f t="shared" si="3"/>
        <v>6717.3203105277535</v>
      </c>
      <c r="M76" s="2">
        <v>42339</v>
      </c>
      <c r="N76" s="7">
        <v>2.98</v>
      </c>
      <c r="O76" s="7">
        <v>0.76</v>
      </c>
      <c r="P76" s="7">
        <f t="shared" si="4"/>
        <v>0.48</v>
      </c>
      <c r="Q76" s="7">
        <v>0.72</v>
      </c>
      <c r="R76" s="6">
        <f t="shared" si="5"/>
        <v>0.35510728915711853</v>
      </c>
      <c r="S76" s="6">
        <f t="shared" si="6"/>
        <v>0.5326609337356778</v>
      </c>
      <c r="T76" s="6">
        <f t="shared" si="7"/>
        <v>0.11223177710720367</v>
      </c>
      <c r="U76" s="4">
        <f t="shared" si="8"/>
        <v>2546.5042540823333</v>
      </c>
      <c r="V76" s="4">
        <f t="shared" si="9"/>
        <v>3819.7563811235004</v>
      </c>
      <c r="W76" s="4">
        <f t="shared" si="10"/>
        <v>6366.2606352058338</v>
      </c>
      <c r="X76" s="4">
        <f t="shared" si="11"/>
        <v>2385.3694058715641</v>
      </c>
      <c r="Y76" s="4">
        <f t="shared" si="12"/>
        <v>3578.0541088073464</v>
      </c>
      <c r="Z76" s="4">
        <f t="shared" si="13"/>
        <v>5963.4235146789106</v>
      </c>
      <c r="AE76" s="3"/>
      <c r="AF76" s="3"/>
      <c r="AG76" s="7"/>
      <c r="AH76" s="7"/>
      <c r="AI76" s="7"/>
      <c r="AJ76" s="7"/>
      <c r="AK76" s="7"/>
      <c r="AL76" s="3"/>
      <c r="AM76" s="9"/>
      <c r="AN76" s="7"/>
      <c r="AO76" s="7"/>
      <c r="AP76" s="7"/>
      <c r="AQ76" s="7"/>
      <c r="AR76" s="9"/>
      <c r="AS76" s="9"/>
      <c r="AT76" s="9"/>
      <c r="AU76" s="3"/>
      <c r="AV76" s="3"/>
      <c r="AW76" s="3"/>
      <c r="AX76" s="3"/>
      <c r="AY76" s="3"/>
      <c r="AZ76" s="3"/>
    </row>
    <row r="77" spans="1:52" x14ac:dyDescent="0.25">
      <c r="A77">
        <f t="shared" si="14"/>
        <v>38</v>
      </c>
      <c r="B77" s="1" t="s">
        <v>76</v>
      </c>
      <c r="C77" s="1" t="s">
        <v>139</v>
      </c>
      <c r="D77" s="2">
        <v>42325</v>
      </c>
      <c r="E77" s="3">
        <v>50.4</v>
      </c>
      <c r="F77" s="4">
        <f t="shared" si="0"/>
        <v>7031.5688976377951</v>
      </c>
      <c r="G77" s="7">
        <v>8.75</v>
      </c>
      <c r="H77" s="7">
        <v>257.14999999999998</v>
      </c>
      <c r="I77" s="7">
        <f t="shared" si="1"/>
        <v>248.39999999999998</v>
      </c>
      <c r="J77" s="7">
        <v>231.67</v>
      </c>
      <c r="K77" s="5">
        <f t="shared" si="2"/>
        <v>6.7351046698872752</v>
      </c>
      <c r="L77" s="4">
        <f t="shared" si="3"/>
        <v>6557.9853724466511</v>
      </c>
      <c r="M77" s="2">
        <v>42339</v>
      </c>
      <c r="N77" s="7">
        <v>3.54</v>
      </c>
      <c r="O77" s="7">
        <v>0.86</v>
      </c>
      <c r="P77" s="7">
        <f t="shared" si="4"/>
        <v>0.57999999999999996</v>
      </c>
      <c r="Q77" s="7">
        <v>0.86</v>
      </c>
      <c r="R77" s="6">
        <f t="shared" si="5"/>
        <v>0.36120965076457368</v>
      </c>
      <c r="S77" s="6">
        <f t="shared" si="6"/>
        <v>0.53558672354747128</v>
      </c>
      <c r="T77" s="6">
        <f t="shared" si="7"/>
        <v>0.10320362568795505</v>
      </c>
      <c r="U77" s="4">
        <f t="shared" si="8"/>
        <v>2539.8705458427862</v>
      </c>
      <c r="V77" s="4">
        <f t="shared" si="9"/>
        <v>3766.0149472841313</v>
      </c>
      <c r="W77" s="4">
        <f t="shared" si="10"/>
        <v>6305.8854931269179</v>
      </c>
      <c r="X77" s="4">
        <f t="shared" si="11"/>
        <v>2368.8076061006373</v>
      </c>
      <c r="Y77" s="4">
        <f t="shared" si="12"/>
        <v>3512.3698987009452</v>
      </c>
      <c r="Z77" s="4">
        <f t="shared" si="13"/>
        <v>5881.1775048015825</v>
      </c>
      <c r="AE77" s="3"/>
      <c r="AF77" s="3"/>
      <c r="AG77" s="7"/>
      <c r="AH77" s="7"/>
      <c r="AI77" s="7"/>
      <c r="AJ77" s="7"/>
      <c r="AK77" s="7"/>
      <c r="AL77" s="3"/>
      <c r="AM77" s="9"/>
      <c r="AN77" s="7"/>
      <c r="AO77" s="7"/>
      <c r="AP77" s="7"/>
      <c r="AQ77" s="7"/>
      <c r="AR77" s="9"/>
      <c r="AS77" s="9"/>
      <c r="AT77" s="9"/>
      <c r="AU77" s="3"/>
      <c r="AV77" s="3"/>
      <c r="AW77" s="3"/>
      <c r="AX77" s="3"/>
      <c r="AY77" s="3"/>
      <c r="AZ77" s="3"/>
    </row>
    <row r="78" spans="1:52" x14ac:dyDescent="0.25">
      <c r="A78">
        <f t="shared" si="14"/>
        <v>39</v>
      </c>
      <c r="B78" s="1" t="s">
        <v>77</v>
      </c>
      <c r="C78" s="1" t="s">
        <v>139</v>
      </c>
      <c r="D78" s="2">
        <v>42325</v>
      </c>
      <c r="E78" s="3">
        <v>40.999999999999993</v>
      </c>
      <c r="F78" s="4">
        <f t="shared" si="0"/>
        <v>5720.1254921259833</v>
      </c>
      <c r="G78" s="7">
        <v>8.7799999999999994</v>
      </c>
      <c r="H78" s="7">
        <v>280.08</v>
      </c>
      <c r="I78" s="7">
        <f t="shared" si="1"/>
        <v>271.3</v>
      </c>
      <c r="J78" s="7">
        <v>255.38</v>
      </c>
      <c r="K78" s="5">
        <f t="shared" si="2"/>
        <v>5.8680427570954725</v>
      </c>
      <c r="L78" s="4">
        <f t="shared" si="3"/>
        <v>5384.4660824885132</v>
      </c>
      <c r="M78" s="2">
        <v>42339</v>
      </c>
      <c r="N78" s="7">
        <v>3.94</v>
      </c>
      <c r="O78" s="7">
        <v>0.9</v>
      </c>
      <c r="P78" s="7">
        <f t="shared" si="4"/>
        <v>0.62</v>
      </c>
      <c r="Q78" s="7">
        <v>0.94</v>
      </c>
      <c r="R78" s="6">
        <f t="shared" si="5"/>
        <v>0.34692059403907155</v>
      </c>
      <c r="S78" s="6">
        <f t="shared" si="6"/>
        <v>0.52597638451085038</v>
      </c>
      <c r="T78" s="6">
        <f t="shared" si="7"/>
        <v>0.12710302145007801</v>
      </c>
      <c r="U78" s="4">
        <f t="shared" si="8"/>
        <v>1984.4293337063825</v>
      </c>
      <c r="V78" s="4">
        <f t="shared" si="9"/>
        <v>3008.6509252967735</v>
      </c>
      <c r="W78" s="4">
        <f t="shared" si="10"/>
        <v>4993.0802590031562</v>
      </c>
      <c r="X78" s="4">
        <f t="shared" si="11"/>
        <v>1867.9821719201475</v>
      </c>
      <c r="Y78" s="4">
        <f t="shared" si="12"/>
        <v>2832.1020025886105</v>
      </c>
      <c r="Z78" s="4">
        <f t="shared" si="13"/>
        <v>4700.0841745087582</v>
      </c>
      <c r="AE78" s="3"/>
      <c r="AF78" s="3"/>
      <c r="AG78" s="7"/>
      <c r="AH78" s="7"/>
      <c r="AI78" s="7"/>
      <c r="AJ78" s="7"/>
      <c r="AK78" s="7"/>
      <c r="AL78" s="3"/>
      <c r="AM78" s="9"/>
      <c r="AN78" s="7"/>
      <c r="AO78" s="7"/>
      <c r="AP78" s="7"/>
      <c r="AQ78" s="7"/>
      <c r="AR78" s="9"/>
      <c r="AS78" s="9"/>
      <c r="AT78" s="9"/>
      <c r="AU78" s="3"/>
      <c r="AV78" s="3"/>
      <c r="AW78" s="3"/>
      <c r="AX78" s="3"/>
      <c r="AY78" s="3"/>
      <c r="AZ78" s="3"/>
    </row>
    <row r="79" spans="1:52" x14ac:dyDescent="0.25">
      <c r="A79">
        <f t="shared" si="14"/>
        <v>40</v>
      </c>
      <c r="B79" s="1" t="s">
        <v>78</v>
      </c>
      <c r="C79" s="1" t="s">
        <v>139</v>
      </c>
      <c r="D79" s="2">
        <v>42325</v>
      </c>
      <c r="E79" s="3">
        <v>35.999999999999993</v>
      </c>
      <c r="F79" s="4">
        <f t="shared" si="0"/>
        <v>5022.5492125984247</v>
      </c>
      <c r="G79" s="7">
        <v>8.86</v>
      </c>
      <c r="H79" s="7">
        <v>278.20999999999998</v>
      </c>
      <c r="I79" s="7">
        <f t="shared" si="1"/>
        <v>269.34999999999997</v>
      </c>
      <c r="J79" s="7">
        <v>253.35</v>
      </c>
      <c r="K79" s="5">
        <f t="shared" si="2"/>
        <v>5.9402264711342028</v>
      </c>
      <c r="L79" s="4">
        <f t="shared" si="3"/>
        <v>4724.1984147459107</v>
      </c>
      <c r="M79" s="2">
        <v>42339</v>
      </c>
      <c r="N79" s="7">
        <v>3.44</v>
      </c>
      <c r="O79" s="7">
        <v>0.82</v>
      </c>
      <c r="P79" s="7">
        <f t="shared" si="4"/>
        <v>0.53999999999999992</v>
      </c>
      <c r="Q79" s="7">
        <v>0.86</v>
      </c>
      <c r="R79" s="6">
        <f t="shared" si="5"/>
        <v>0.34607476363349987</v>
      </c>
      <c r="S79" s="6">
        <f t="shared" si="6"/>
        <v>0.55115610504594437</v>
      </c>
      <c r="T79" s="6">
        <f t="shared" si="7"/>
        <v>0.10276913132055576</v>
      </c>
      <c r="U79" s="4">
        <f t="shared" si="8"/>
        <v>1738.1775315876207</v>
      </c>
      <c r="V79" s="4">
        <f t="shared" si="9"/>
        <v>2768.2086614173227</v>
      </c>
      <c r="W79" s="4">
        <f t="shared" si="10"/>
        <v>4506.3861930049434</v>
      </c>
      <c r="X79" s="4">
        <f t="shared" si="11"/>
        <v>1634.9258497409458</v>
      </c>
      <c r="Y79" s="4">
        <f t="shared" si="12"/>
        <v>2603.7707977355808</v>
      </c>
      <c r="Z79" s="4">
        <f t="shared" si="13"/>
        <v>4238.6966474765268</v>
      </c>
      <c r="AE79" s="3"/>
      <c r="AF79" s="3"/>
      <c r="AG79" s="7"/>
      <c r="AH79" s="7"/>
      <c r="AI79" s="7"/>
      <c r="AJ79" s="7"/>
      <c r="AK79" s="7"/>
      <c r="AL79" s="3"/>
      <c r="AM79" s="9"/>
      <c r="AN79" s="7"/>
      <c r="AO79" s="7"/>
      <c r="AP79" s="7"/>
      <c r="AQ79" s="7"/>
      <c r="AR79" s="9"/>
      <c r="AS79" s="9"/>
      <c r="AT79" s="9"/>
      <c r="AU79" s="3"/>
      <c r="AV79" s="3"/>
      <c r="AW79" s="3"/>
      <c r="AX79" s="3"/>
      <c r="AY79" s="3"/>
      <c r="AZ79" s="3"/>
    </row>
    <row r="80" spans="1:52" x14ac:dyDescent="0.25">
      <c r="A80">
        <f t="shared" si="14"/>
        <v>41</v>
      </c>
      <c r="B80" s="1" t="s">
        <v>79</v>
      </c>
      <c r="C80" s="1" t="s">
        <v>139</v>
      </c>
      <c r="D80" s="2">
        <v>42325</v>
      </c>
      <c r="E80" s="3">
        <v>29.999999999999996</v>
      </c>
      <c r="F80" s="4">
        <f t="shared" si="0"/>
        <v>4185.4576771653537</v>
      </c>
      <c r="G80" s="7">
        <v>8.7799999999999994</v>
      </c>
      <c r="H80" s="7">
        <v>197.16</v>
      </c>
      <c r="I80" s="7">
        <f t="shared" si="1"/>
        <v>188.38</v>
      </c>
      <c r="J80" s="7">
        <v>177.86</v>
      </c>
      <c r="K80" s="5">
        <f t="shared" si="2"/>
        <v>5.5844569487206615</v>
      </c>
      <c r="L80" s="4">
        <f t="shared" si="3"/>
        <v>3951.7225950771308</v>
      </c>
      <c r="M80" s="2">
        <v>42339</v>
      </c>
      <c r="N80" s="7">
        <v>2.82</v>
      </c>
      <c r="O80" s="7">
        <v>0.74</v>
      </c>
      <c r="P80" s="7">
        <f t="shared" si="4"/>
        <v>0.45999999999999996</v>
      </c>
      <c r="Q80" s="7">
        <v>0.72</v>
      </c>
      <c r="R80" s="6">
        <f t="shared" si="5"/>
        <v>0.35961958627111262</v>
      </c>
      <c r="S80" s="6">
        <f t="shared" si="6"/>
        <v>0.56288283068521983</v>
      </c>
      <c r="T80" s="6">
        <f t="shared" si="7"/>
        <v>7.7497583043667495E-2</v>
      </c>
      <c r="U80" s="4">
        <f t="shared" si="8"/>
        <v>1505.1725582174565</v>
      </c>
      <c r="V80" s="4">
        <f t="shared" si="9"/>
        <v>2355.9222650360193</v>
      </c>
      <c r="W80" s="4">
        <f t="shared" si="10"/>
        <v>3861.0948232534756</v>
      </c>
      <c r="X80" s="4">
        <f t="shared" si="11"/>
        <v>1421.1168446998454</v>
      </c>
      <c r="Y80" s="4">
        <f t="shared" si="12"/>
        <v>2224.356800399758</v>
      </c>
      <c r="Z80" s="4">
        <f t="shared" si="13"/>
        <v>3645.4736450996033</v>
      </c>
      <c r="AB80" t="s">
        <v>31</v>
      </c>
      <c r="AC80" t="str">
        <f>C80</f>
        <v>Machine</v>
      </c>
      <c r="AD80" s="8">
        <f>D80</f>
        <v>42325</v>
      </c>
      <c r="AE80" s="3">
        <f>SUM(E80:E89)</f>
        <v>285.7</v>
      </c>
      <c r="AF80" s="3">
        <f>AE80*$A$29/($A$30*10)*$A$31</f>
        <v>3985.9508612204718</v>
      </c>
      <c r="AG80" s="7">
        <f>SUM(G80:G89)</f>
        <v>86.71</v>
      </c>
      <c r="AH80" s="7">
        <f>SUM(H80:H89)</f>
        <v>2228.58</v>
      </c>
      <c r="AI80" s="7">
        <f>AH80-AG80</f>
        <v>2141.87</v>
      </c>
      <c r="AJ80" s="7">
        <f>SUM(J80:J89)</f>
        <v>2023.1900000000003</v>
      </c>
      <c r="AK80" s="7">
        <f>(AI80-AJ80)/AI80*100</f>
        <v>5.5409525321331179</v>
      </c>
      <c r="AL80" s="3">
        <f>AF80*(1-AK80/100)</f>
        <v>3765.0912160460944</v>
      </c>
      <c r="AM80" s="11">
        <f>M80</f>
        <v>42339</v>
      </c>
      <c r="AN80" s="7">
        <f>SUM(N80:N89)</f>
        <v>34.26</v>
      </c>
      <c r="AO80" s="7">
        <f>SUM(O80:O89)</f>
        <v>8.34</v>
      </c>
      <c r="AP80" s="7">
        <f>AO80-10*$A$32</f>
        <v>5.5399999999999991</v>
      </c>
      <c r="AQ80" s="7">
        <f>SUM(Q80:Q89)</f>
        <v>8.4599999999999991</v>
      </c>
      <c r="AR80" s="9">
        <f>AP80/(AN80*$A$29)</f>
        <v>0.35649793601337204</v>
      </c>
      <c r="AS80" s="9">
        <f>AQ80/(AN80*$A$29)</f>
        <v>0.54439937521175585</v>
      </c>
      <c r="AT80" s="9">
        <f>1-AR80-AS80</f>
        <v>9.9102688774872161E-2</v>
      </c>
      <c r="AU80" s="3">
        <f>AF80*AR80</f>
        <v>1420.983255075821</v>
      </c>
      <c r="AV80" s="3">
        <f>AF80*AS80</f>
        <v>2169.949158473185</v>
      </c>
      <c r="AW80" s="3">
        <f>AU80+AV80</f>
        <v>3590.932413549006</v>
      </c>
      <c r="AX80" s="3">
        <f>AL80*AR80</f>
        <v>1342.2472474225096</v>
      </c>
      <c r="AY80" s="3">
        <f>AL80*AS80</f>
        <v>2049.7133056307639</v>
      </c>
      <c r="AZ80" s="3">
        <f>AX80+AY80</f>
        <v>3391.9605530532735</v>
      </c>
    </row>
    <row r="81" spans="1:52" x14ac:dyDescent="0.25">
      <c r="A81">
        <f t="shared" si="14"/>
        <v>42</v>
      </c>
      <c r="B81" s="1" t="s">
        <v>80</v>
      </c>
      <c r="C81" s="1" t="s">
        <v>139</v>
      </c>
      <c r="D81" s="2">
        <v>42325</v>
      </c>
      <c r="E81" s="3">
        <v>26.3</v>
      </c>
      <c r="F81" s="4">
        <f t="shared" si="0"/>
        <v>3669.251230314961</v>
      </c>
      <c r="G81" s="7">
        <v>8.76</v>
      </c>
      <c r="H81" s="7">
        <v>242.81</v>
      </c>
      <c r="I81" s="7">
        <f t="shared" si="1"/>
        <v>234.05</v>
      </c>
      <c r="J81" s="7">
        <v>220.78</v>
      </c>
      <c r="K81" s="5">
        <f t="shared" si="2"/>
        <v>5.6697286904507624</v>
      </c>
      <c r="L81" s="4">
        <f t="shared" si="3"/>
        <v>3461.2146405850763</v>
      </c>
      <c r="M81" s="2">
        <v>42339</v>
      </c>
      <c r="N81" s="7">
        <v>3.46</v>
      </c>
      <c r="O81" s="7">
        <v>0.84</v>
      </c>
      <c r="P81" s="7">
        <f t="shared" si="4"/>
        <v>0.55999999999999994</v>
      </c>
      <c r="Q81" s="7">
        <v>0.84</v>
      </c>
      <c r="R81" s="6">
        <f t="shared" si="5"/>
        <v>0.35681782523205646</v>
      </c>
      <c r="S81" s="6">
        <f t="shared" si="6"/>
        <v>0.53522673784808472</v>
      </c>
      <c r="T81" s="6">
        <f t="shared" si="7"/>
        <v>0.10795543691985887</v>
      </c>
      <c r="U81" s="4">
        <f t="shared" si="8"/>
        <v>1309.2542442310319</v>
      </c>
      <c r="V81" s="4">
        <f t="shared" si="9"/>
        <v>1963.881366346548</v>
      </c>
      <c r="W81" s="4">
        <f t="shared" si="10"/>
        <v>3273.1356105775799</v>
      </c>
      <c r="X81" s="4">
        <f t="shared" si="11"/>
        <v>1235.023080714921</v>
      </c>
      <c r="Y81" s="4">
        <f t="shared" si="12"/>
        <v>1852.5346210723815</v>
      </c>
      <c r="Z81" s="4">
        <f t="shared" si="13"/>
        <v>3087.5577017873024</v>
      </c>
      <c r="AE81" s="3"/>
      <c r="AF81" s="3"/>
      <c r="AG81" s="7"/>
      <c r="AH81" s="7"/>
      <c r="AI81" s="7"/>
      <c r="AJ81" s="7"/>
      <c r="AK81" s="7"/>
      <c r="AL81" s="3"/>
      <c r="AM81" s="9"/>
      <c r="AN81" s="7"/>
      <c r="AO81" s="7"/>
      <c r="AP81" s="7"/>
      <c r="AQ81" s="7"/>
      <c r="AR81" s="9"/>
      <c r="AS81" s="9"/>
      <c r="AT81" s="9"/>
      <c r="AU81" s="3"/>
      <c r="AV81" s="3"/>
      <c r="AW81" s="3"/>
      <c r="AX81" s="3"/>
      <c r="AY81" s="3"/>
      <c r="AZ81" s="3"/>
    </row>
    <row r="82" spans="1:52" x14ac:dyDescent="0.25">
      <c r="A82">
        <f t="shared" si="14"/>
        <v>43</v>
      </c>
      <c r="B82" s="1" t="s">
        <v>81</v>
      </c>
      <c r="C82" s="1" t="s">
        <v>139</v>
      </c>
      <c r="D82" s="2">
        <v>42325</v>
      </c>
      <c r="E82" s="3">
        <v>34.1</v>
      </c>
      <c r="F82" s="4">
        <f t="shared" si="0"/>
        <v>4757.4702263779527</v>
      </c>
      <c r="G82" s="7">
        <v>8.81</v>
      </c>
      <c r="H82" s="7">
        <v>273.06</v>
      </c>
      <c r="I82" s="7">
        <f t="shared" si="1"/>
        <v>264.25</v>
      </c>
      <c r="J82" s="7">
        <v>248.98</v>
      </c>
      <c r="K82" s="5">
        <f t="shared" si="2"/>
        <v>5.7786187322611209</v>
      </c>
      <c r="L82" s="4">
        <f t="shared" si="3"/>
        <v>4482.5541606947309</v>
      </c>
      <c r="M82" s="2">
        <v>42339</v>
      </c>
      <c r="N82" s="7">
        <v>4.0199999999999996</v>
      </c>
      <c r="O82" s="7">
        <v>0.94</v>
      </c>
      <c r="P82" s="7">
        <f t="shared" si="4"/>
        <v>0.65999999999999992</v>
      </c>
      <c r="Q82" s="7">
        <v>1.02</v>
      </c>
      <c r="R82" s="6">
        <f t="shared" si="5"/>
        <v>0.36195326301524705</v>
      </c>
      <c r="S82" s="6">
        <f t="shared" si="6"/>
        <v>0.55938231556901818</v>
      </c>
      <c r="T82" s="6">
        <f t="shared" si="7"/>
        <v>7.8664421415734709E-2</v>
      </c>
      <c r="U82" s="4">
        <f t="shared" si="8"/>
        <v>1721.9818721353861</v>
      </c>
      <c r="V82" s="4">
        <f t="shared" si="9"/>
        <v>2661.2447114819602</v>
      </c>
      <c r="W82" s="4">
        <f t="shared" si="10"/>
        <v>4383.2265836173465</v>
      </c>
      <c r="X82" s="4">
        <f t="shared" si="11"/>
        <v>1622.47510510603</v>
      </c>
      <c r="Y82" s="4">
        <f t="shared" si="12"/>
        <v>2507.4615260729552</v>
      </c>
      <c r="Z82" s="4">
        <f t="shared" si="13"/>
        <v>4129.9366311789854</v>
      </c>
      <c r="AE82" s="3"/>
      <c r="AF82" s="3"/>
      <c r="AG82" s="7"/>
      <c r="AH82" s="7"/>
      <c r="AI82" s="7"/>
      <c r="AJ82" s="7"/>
      <c r="AK82" s="7"/>
      <c r="AL82" s="3"/>
      <c r="AM82" s="9"/>
      <c r="AN82" s="7"/>
      <c r="AO82" s="7"/>
      <c r="AP82" s="7"/>
      <c r="AQ82" s="7"/>
      <c r="AR82" s="9"/>
      <c r="AS82" s="9"/>
      <c r="AT82" s="9"/>
      <c r="AU82" s="3"/>
      <c r="AV82" s="3"/>
      <c r="AW82" s="3"/>
      <c r="AX82" s="3"/>
      <c r="AY82" s="3"/>
      <c r="AZ82" s="3"/>
    </row>
    <row r="83" spans="1:52" x14ac:dyDescent="0.25">
      <c r="A83">
        <f t="shared" si="14"/>
        <v>44</v>
      </c>
      <c r="B83" s="1" t="s">
        <v>82</v>
      </c>
      <c r="C83" s="1" t="s">
        <v>139</v>
      </c>
      <c r="D83" s="2">
        <v>42325</v>
      </c>
      <c r="E83" s="3">
        <v>32.800000000000004</v>
      </c>
      <c r="F83" s="4">
        <f t="shared" si="0"/>
        <v>4576.1003937007881</v>
      </c>
      <c r="G83" s="7">
        <v>8.7899999999999991</v>
      </c>
      <c r="H83" s="7">
        <v>232.65</v>
      </c>
      <c r="I83" s="7">
        <f t="shared" si="1"/>
        <v>223.86</v>
      </c>
      <c r="J83" s="7">
        <v>211.83</v>
      </c>
      <c r="K83" s="5">
        <f t="shared" si="2"/>
        <v>5.3738943982846425</v>
      </c>
      <c r="L83" s="4">
        <f t="shared" si="3"/>
        <v>4330.1855909838205</v>
      </c>
      <c r="M83" s="2">
        <v>42339</v>
      </c>
      <c r="N83" s="7">
        <v>3.56</v>
      </c>
      <c r="O83" s="7">
        <v>0.86</v>
      </c>
      <c r="P83" s="7">
        <f t="shared" si="4"/>
        <v>0.57999999999999996</v>
      </c>
      <c r="Q83" s="7">
        <v>0.9</v>
      </c>
      <c r="R83" s="6">
        <f t="shared" si="5"/>
        <v>0.35918038306364913</v>
      </c>
      <c r="S83" s="6">
        <f t="shared" si="6"/>
        <v>0.55734887027117974</v>
      </c>
      <c r="T83" s="6">
        <f t="shared" si="7"/>
        <v>8.347074666517118E-2</v>
      </c>
      <c r="U83" s="4">
        <f t="shared" si="8"/>
        <v>1643.6454923471647</v>
      </c>
      <c r="V83" s="4">
        <f t="shared" si="9"/>
        <v>2550.4843846766353</v>
      </c>
      <c r="W83" s="4">
        <f t="shared" si="10"/>
        <v>4194.1298770238</v>
      </c>
      <c r="X83" s="4">
        <f t="shared" si="11"/>
        <v>1555.3177193062625</v>
      </c>
      <c r="Y83" s="4">
        <f t="shared" si="12"/>
        <v>2413.424047199373</v>
      </c>
      <c r="Z83" s="4">
        <f t="shared" si="13"/>
        <v>3968.7417665056355</v>
      </c>
      <c r="AE83" s="3"/>
      <c r="AF83" s="3"/>
      <c r="AG83" s="7"/>
      <c r="AH83" s="7"/>
      <c r="AI83" s="7"/>
      <c r="AJ83" s="7"/>
      <c r="AK83" s="7"/>
      <c r="AL83" s="3"/>
      <c r="AM83" s="9"/>
      <c r="AN83" s="7"/>
      <c r="AO83" s="7"/>
      <c r="AP83" s="7"/>
      <c r="AQ83" s="7"/>
      <c r="AR83" s="9"/>
      <c r="AS83" s="9"/>
      <c r="AT83" s="9"/>
      <c r="AU83" s="3"/>
      <c r="AV83" s="3"/>
      <c r="AW83" s="3"/>
      <c r="AX83" s="3"/>
      <c r="AY83" s="3"/>
      <c r="AZ83" s="3"/>
    </row>
    <row r="84" spans="1:52" x14ac:dyDescent="0.25">
      <c r="A84">
        <f t="shared" si="14"/>
        <v>45</v>
      </c>
      <c r="B84" s="1" t="s">
        <v>83</v>
      </c>
      <c r="C84" s="1" t="s">
        <v>139</v>
      </c>
      <c r="D84" s="2">
        <v>42325</v>
      </c>
      <c r="E84" s="3">
        <v>26.7</v>
      </c>
      <c r="F84" s="4">
        <f t="shared" si="0"/>
        <v>3725.057332677165</v>
      </c>
      <c r="G84" s="7">
        <v>8.73</v>
      </c>
      <c r="H84" s="7">
        <v>200.43</v>
      </c>
      <c r="I84" s="7">
        <f t="shared" si="1"/>
        <v>191.70000000000002</v>
      </c>
      <c r="J84" s="7">
        <v>181.45</v>
      </c>
      <c r="K84" s="5">
        <f t="shared" si="2"/>
        <v>5.3468961919666294</v>
      </c>
      <c r="L84" s="4">
        <f t="shared" si="3"/>
        <v>3525.8823840076757</v>
      </c>
      <c r="M84" s="2">
        <v>42339</v>
      </c>
      <c r="N84" s="7">
        <v>3.44</v>
      </c>
      <c r="O84" s="7">
        <v>0.82</v>
      </c>
      <c r="P84" s="7">
        <f t="shared" si="4"/>
        <v>0.53999999999999992</v>
      </c>
      <c r="Q84" s="7">
        <v>0.82</v>
      </c>
      <c r="R84" s="6">
        <f t="shared" si="5"/>
        <v>0.34607476363349987</v>
      </c>
      <c r="S84" s="6">
        <f t="shared" si="6"/>
        <v>0.52552093736938876</v>
      </c>
      <c r="T84" s="6">
        <f t="shared" si="7"/>
        <v>0.12840429899711137</v>
      </c>
      <c r="U84" s="4">
        <f t="shared" si="8"/>
        <v>1289.1483359274853</v>
      </c>
      <c r="V84" s="4">
        <f t="shared" si="9"/>
        <v>1957.5956212232188</v>
      </c>
      <c r="W84" s="4">
        <f t="shared" si="10"/>
        <v>3246.7439571507039</v>
      </c>
      <c r="X84" s="4">
        <f t="shared" si="11"/>
        <v>1220.2189126449773</v>
      </c>
      <c r="Y84" s="4">
        <f t="shared" si="12"/>
        <v>1852.9250154979288</v>
      </c>
      <c r="Z84" s="4">
        <f t="shared" si="13"/>
        <v>3073.1439281429061</v>
      </c>
      <c r="AE84" s="3"/>
      <c r="AF84" s="3"/>
      <c r="AG84" s="7"/>
      <c r="AH84" s="7"/>
      <c r="AI84" s="7"/>
      <c r="AJ84" s="7"/>
      <c r="AK84" s="7"/>
      <c r="AL84" s="3"/>
      <c r="AM84" s="9"/>
      <c r="AN84" s="7"/>
      <c r="AO84" s="7"/>
      <c r="AP84" s="7"/>
      <c r="AQ84" s="7"/>
      <c r="AR84" s="9"/>
      <c r="AS84" s="9"/>
      <c r="AT84" s="9"/>
      <c r="AU84" s="3"/>
      <c r="AV84" s="3"/>
      <c r="AW84" s="3"/>
      <c r="AX84" s="3"/>
      <c r="AY84" s="3"/>
      <c r="AZ84" s="3"/>
    </row>
    <row r="85" spans="1:52" x14ac:dyDescent="0.25">
      <c r="A85">
        <f t="shared" si="14"/>
        <v>46</v>
      </c>
      <c r="B85" s="1" t="s">
        <v>84</v>
      </c>
      <c r="C85" s="1" t="s">
        <v>139</v>
      </c>
      <c r="D85" s="2">
        <v>42325</v>
      </c>
      <c r="E85" s="3">
        <v>27.2</v>
      </c>
      <c r="F85" s="4">
        <f t="shared" si="0"/>
        <v>3794.8149606299207</v>
      </c>
      <c r="G85" s="7">
        <v>8.77</v>
      </c>
      <c r="H85" s="7">
        <v>167.28</v>
      </c>
      <c r="I85" s="7">
        <f t="shared" si="1"/>
        <v>158.51</v>
      </c>
      <c r="J85" s="7">
        <v>149.63</v>
      </c>
      <c r="K85" s="5">
        <f t="shared" si="2"/>
        <v>5.6021702100813799</v>
      </c>
      <c r="L85" s="4">
        <f t="shared" si="3"/>
        <v>3582.2229673777997</v>
      </c>
      <c r="M85" s="2">
        <v>42339</v>
      </c>
      <c r="N85" s="7">
        <v>2.92</v>
      </c>
      <c r="O85" s="7">
        <v>0.76</v>
      </c>
      <c r="P85" s="7">
        <f t="shared" si="4"/>
        <v>0.48</v>
      </c>
      <c r="Q85" s="7">
        <v>0.72</v>
      </c>
      <c r="R85" s="6">
        <f t="shared" si="5"/>
        <v>0.36240401427678531</v>
      </c>
      <c r="S85" s="6">
        <f t="shared" si="6"/>
        <v>0.543606021415178</v>
      </c>
      <c r="T85" s="6">
        <f t="shared" si="7"/>
        <v>9.3989964308036744E-2</v>
      </c>
      <c r="U85" s="4">
        <f t="shared" si="8"/>
        <v>1375.2561751698843</v>
      </c>
      <c r="V85" s="4">
        <f t="shared" si="9"/>
        <v>2062.8842627548265</v>
      </c>
      <c r="W85" s="4">
        <f t="shared" si="10"/>
        <v>3438.1404379247106</v>
      </c>
      <c r="X85" s="4">
        <f t="shared" si="11"/>
        <v>1298.2119834122125</v>
      </c>
      <c r="Y85" s="4">
        <f t="shared" si="12"/>
        <v>1947.3179751183186</v>
      </c>
      <c r="Z85" s="4">
        <f t="shared" si="13"/>
        <v>3245.5299585305311</v>
      </c>
      <c r="AE85" s="3"/>
      <c r="AF85" s="3"/>
      <c r="AG85" s="7"/>
      <c r="AH85" s="7"/>
      <c r="AI85" s="7"/>
      <c r="AJ85" s="7"/>
      <c r="AK85" s="7"/>
      <c r="AL85" s="3"/>
      <c r="AM85" s="9"/>
      <c r="AN85" s="7"/>
      <c r="AO85" s="7"/>
      <c r="AP85" s="7"/>
      <c r="AQ85" s="7"/>
      <c r="AR85" s="9"/>
      <c r="AS85" s="9"/>
      <c r="AT85" s="9"/>
      <c r="AU85" s="3"/>
      <c r="AV85" s="3"/>
      <c r="AW85" s="3"/>
      <c r="AX85" s="3"/>
      <c r="AY85" s="3"/>
      <c r="AZ85" s="3"/>
    </row>
    <row r="86" spans="1:52" x14ac:dyDescent="0.25">
      <c r="A86">
        <f t="shared" si="14"/>
        <v>47</v>
      </c>
      <c r="B86" s="1" t="s">
        <v>85</v>
      </c>
      <c r="C86" s="1" t="s">
        <v>139</v>
      </c>
      <c r="D86" s="2">
        <v>42325</v>
      </c>
      <c r="E86" s="3">
        <v>29.900000000000002</v>
      </c>
      <c r="F86" s="4">
        <f t="shared" si="0"/>
        <v>4171.506151574803</v>
      </c>
      <c r="G86" s="7">
        <v>8.77</v>
      </c>
      <c r="H86" s="7">
        <v>205.61</v>
      </c>
      <c r="I86" s="7">
        <f t="shared" si="1"/>
        <v>196.84</v>
      </c>
      <c r="J86" s="7">
        <v>186.12</v>
      </c>
      <c r="K86" s="5">
        <f t="shared" si="2"/>
        <v>5.4460475513107083</v>
      </c>
      <c r="L86" s="4">
        <f t="shared" si="3"/>
        <v>3944.3239429541877</v>
      </c>
      <c r="M86" s="2">
        <v>42339</v>
      </c>
      <c r="N86" s="7">
        <v>3.9</v>
      </c>
      <c r="O86" s="7">
        <v>0.92</v>
      </c>
      <c r="P86" s="7">
        <f t="shared" si="4"/>
        <v>0.64</v>
      </c>
      <c r="Q86" s="7">
        <v>0.96</v>
      </c>
      <c r="R86" s="6">
        <f t="shared" si="5"/>
        <v>0.36178452023528657</v>
      </c>
      <c r="S86" s="6">
        <f t="shared" si="6"/>
        <v>0.54267678035292988</v>
      </c>
      <c r="T86" s="6">
        <f t="shared" si="7"/>
        <v>9.5538699411783612E-2</v>
      </c>
      <c r="U86" s="4">
        <f t="shared" si="8"/>
        <v>1509.1863517060367</v>
      </c>
      <c r="V86" s="4">
        <f t="shared" si="9"/>
        <v>2263.7795275590552</v>
      </c>
      <c r="W86" s="4">
        <f t="shared" si="10"/>
        <v>3772.9658792650916</v>
      </c>
      <c r="X86" s="4">
        <f t="shared" si="11"/>
        <v>1426.9953453542346</v>
      </c>
      <c r="Y86" s="4">
        <f t="shared" si="12"/>
        <v>2140.4930180313522</v>
      </c>
      <c r="Z86" s="4">
        <f t="shared" si="13"/>
        <v>3567.488363385587</v>
      </c>
      <c r="AE86" s="3"/>
      <c r="AF86" s="3"/>
      <c r="AG86" s="7"/>
      <c r="AH86" s="7"/>
      <c r="AI86" s="7"/>
      <c r="AJ86" s="7"/>
      <c r="AK86" s="7"/>
      <c r="AL86" s="3"/>
      <c r="AM86" s="9"/>
      <c r="AN86" s="7"/>
      <c r="AO86" s="7"/>
      <c r="AP86" s="7"/>
      <c r="AQ86" s="7"/>
      <c r="AR86" s="9"/>
      <c r="AS86" s="9"/>
      <c r="AT86" s="9"/>
      <c r="AU86" s="3"/>
      <c r="AV86" s="3"/>
      <c r="AW86" s="3"/>
      <c r="AX86" s="3"/>
      <c r="AY86" s="3"/>
      <c r="AZ86" s="3"/>
    </row>
    <row r="87" spans="1:52" x14ac:dyDescent="0.25">
      <c r="A87">
        <f t="shared" si="14"/>
        <v>48</v>
      </c>
      <c r="B87" s="1" t="s">
        <v>86</v>
      </c>
      <c r="C87" s="1" t="s">
        <v>139</v>
      </c>
      <c r="D87" s="2">
        <v>42325</v>
      </c>
      <c r="E87" s="3">
        <v>30.7</v>
      </c>
      <c r="F87" s="4">
        <f t="shared" si="0"/>
        <v>4283.1183562992128</v>
      </c>
      <c r="G87" s="7">
        <v>8.7200000000000006</v>
      </c>
      <c r="H87" s="7">
        <v>252.83</v>
      </c>
      <c r="I87" s="7">
        <f t="shared" si="1"/>
        <v>244.11</v>
      </c>
      <c r="J87" s="7">
        <v>231.42</v>
      </c>
      <c r="K87" s="5">
        <f t="shared" si="2"/>
        <v>5.1984760968415982</v>
      </c>
      <c r="L87" s="4">
        <f t="shared" si="3"/>
        <v>4060.4614723475634</v>
      </c>
      <c r="M87" s="2">
        <v>42339</v>
      </c>
      <c r="N87" s="7">
        <v>2.86</v>
      </c>
      <c r="O87" s="7">
        <v>0.74</v>
      </c>
      <c r="P87" s="7">
        <f t="shared" si="4"/>
        <v>0.45999999999999996</v>
      </c>
      <c r="Q87" s="7">
        <v>0.7</v>
      </c>
      <c r="R87" s="6">
        <f t="shared" si="5"/>
        <v>0.35458994170788033</v>
      </c>
      <c r="S87" s="6">
        <f t="shared" si="6"/>
        <v>0.53959338955547009</v>
      </c>
      <c r="T87" s="6">
        <f t="shared" si="7"/>
        <v>0.10581666873664952</v>
      </c>
      <c r="U87" s="4">
        <f t="shared" si="8"/>
        <v>1518.75068828809</v>
      </c>
      <c r="V87" s="4">
        <f t="shared" si="9"/>
        <v>2311.1423517427461</v>
      </c>
      <c r="W87" s="4">
        <f t="shared" si="10"/>
        <v>3829.8930400308363</v>
      </c>
      <c r="X87" s="4">
        <f t="shared" si="11"/>
        <v>1439.7987967868164</v>
      </c>
      <c r="Y87" s="4">
        <f t="shared" si="12"/>
        <v>2190.9981690234163</v>
      </c>
      <c r="Z87" s="4">
        <f t="shared" si="13"/>
        <v>3630.7969658102329</v>
      </c>
      <c r="AE87" s="3"/>
      <c r="AF87" s="3"/>
      <c r="AG87" s="7"/>
      <c r="AH87" s="7"/>
      <c r="AI87" s="7"/>
      <c r="AJ87" s="7"/>
      <c r="AK87" s="7"/>
      <c r="AL87" s="3"/>
      <c r="AM87" s="9"/>
      <c r="AN87" s="7"/>
      <c r="AO87" s="7"/>
      <c r="AP87" s="7"/>
      <c r="AQ87" s="7"/>
      <c r="AR87" s="9"/>
      <c r="AS87" s="9"/>
      <c r="AT87" s="9"/>
      <c r="AU87" s="3"/>
      <c r="AV87" s="3"/>
      <c r="AW87" s="3"/>
      <c r="AX87" s="3"/>
      <c r="AY87" s="3"/>
      <c r="AZ87" s="3"/>
    </row>
    <row r="88" spans="1:52" x14ac:dyDescent="0.25">
      <c r="A88">
        <f t="shared" si="14"/>
        <v>49</v>
      </c>
      <c r="B88" s="1" t="s">
        <v>87</v>
      </c>
      <c r="C88" s="1" t="s">
        <v>139</v>
      </c>
      <c r="D88" s="2">
        <v>42325</v>
      </c>
      <c r="E88" s="3">
        <v>26.2</v>
      </c>
      <c r="F88" s="4">
        <f t="shared" si="0"/>
        <v>3655.2997047244089</v>
      </c>
      <c r="G88" s="7">
        <v>7.8</v>
      </c>
      <c r="H88" s="7">
        <v>232.46</v>
      </c>
      <c r="I88" s="7">
        <f t="shared" si="1"/>
        <v>224.66</v>
      </c>
      <c r="J88" s="7">
        <v>211.9</v>
      </c>
      <c r="K88" s="5">
        <f t="shared" si="2"/>
        <v>5.6796937594587336</v>
      </c>
      <c r="L88" s="4">
        <f t="shared" si="3"/>
        <v>3447.6898755056632</v>
      </c>
      <c r="M88" s="2">
        <v>42339</v>
      </c>
      <c r="N88" s="7">
        <v>3.86</v>
      </c>
      <c r="O88" s="7">
        <v>0.9</v>
      </c>
      <c r="P88" s="7">
        <f t="shared" si="4"/>
        <v>0.62</v>
      </c>
      <c r="Q88" s="7">
        <v>0.96</v>
      </c>
      <c r="R88" s="6">
        <f t="shared" si="5"/>
        <v>0.3541106581642337</v>
      </c>
      <c r="S88" s="6">
        <f t="shared" si="6"/>
        <v>0.54830037393171671</v>
      </c>
      <c r="T88" s="6">
        <f t="shared" si="7"/>
        <v>9.7588967904049584E-2</v>
      </c>
      <c r="U88" s="4">
        <f t="shared" si="8"/>
        <v>1294.3805842274896</v>
      </c>
      <c r="V88" s="4">
        <f t="shared" si="9"/>
        <v>2004.2021949328871</v>
      </c>
      <c r="W88" s="4">
        <f t="shared" si="10"/>
        <v>3298.582779160377</v>
      </c>
      <c r="X88" s="4">
        <f t="shared" si="11"/>
        <v>1220.8637309614753</v>
      </c>
      <c r="Y88" s="4">
        <f t="shared" si="12"/>
        <v>1890.3696479403488</v>
      </c>
      <c r="Z88" s="4">
        <f t="shared" si="13"/>
        <v>3111.2333789018239</v>
      </c>
      <c r="AE88" s="3"/>
      <c r="AF88" s="3"/>
      <c r="AG88" s="7"/>
      <c r="AH88" s="7"/>
      <c r="AI88" s="7"/>
      <c r="AJ88" s="7"/>
      <c r="AK88" s="7"/>
      <c r="AL88" s="3"/>
      <c r="AM88" s="9"/>
      <c r="AN88" s="7"/>
      <c r="AO88" s="7"/>
      <c r="AP88" s="7"/>
      <c r="AQ88" s="7"/>
      <c r="AR88" s="9"/>
      <c r="AS88" s="9"/>
      <c r="AT88" s="9"/>
      <c r="AU88" s="3"/>
      <c r="AV88" s="3"/>
      <c r="AW88" s="3"/>
      <c r="AX88" s="3"/>
      <c r="AY88" s="3"/>
      <c r="AZ88" s="3"/>
    </row>
    <row r="89" spans="1:52" x14ac:dyDescent="0.25">
      <c r="A89">
        <f t="shared" si="14"/>
        <v>50</v>
      </c>
      <c r="B89" s="1" t="s">
        <v>88</v>
      </c>
      <c r="C89" s="1" t="s">
        <v>139</v>
      </c>
      <c r="D89" s="2">
        <v>42325</v>
      </c>
      <c r="E89" s="3">
        <v>21.8</v>
      </c>
      <c r="F89" s="4">
        <f t="shared" si="0"/>
        <v>3041.4325787401576</v>
      </c>
      <c r="G89" s="7">
        <v>8.7799999999999994</v>
      </c>
      <c r="H89" s="7">
        <v>224.29</v>
      </c>
      <c r="I89" s="7">
        <f t="shared" si="1"/>
        <v>215.51</v>
      </c>
      <c r="J89" s="7">
        <v>203.22</v>
      </c>
      <c r="K89" s="5">
        <f t="shared" si="2"/>
        <v>5.7027516124541755</v>
      </c>
      <c r="L89" s="4">
        <f t="shared" si="3"/>
        <v>2867.9872333143467</v>
      </c>
      <c r="M89" s="2">
        <v>42339</v>
      </c>
      <c r="N89" s="7">
        <v>3.42</v>
      </c>
      <c r="O89" s="7">
        <v>0.82</v>
      </c>
      <c r="P89" s="7">
        <f t="shared" si="4"/>
        <v>0.53999999999999992</v>
      </c>
      <c r="Q89" s="7">
        <v>0.82</v>
      </c>
      <c r="R89" s="6">
        <f t="shared" si="5"/>
        <v>0.3480985926605964</v>
      </c>
      <c r="S89" s="6">
        <f t="shared" si="6"/>
        <v>0.52859415922535014</v>
      </c>
      <c r="T89" s="6">
        <f t="shared" si="7"/>
        <v>0.12330724811405347</v>
      </c>
      <c r="U89" s="4">
        <f t="shared" si="8"/>
        <v>1058.7184003315374</v>
      </c>
      <c r="V89" s="4">
        <f t="shared" si="9"/>
        <v>1607.6834967997422</v>
      </c>
      <c r="W89" s="4">
        <f t="shared" si="10"/>
        <v>2666.4018971312798</v>
      </c>
      <c r="X89" s="4">
        <f t="shared" si="11"/>
        <v>998.34231968528161</v>
      </c>
      <c r="Y89" s="4">
        <f t="shared" si="12"/>
        <v>1516.0013002628352</v>
      </c>
      <c r="Z89" s="4">
        <f t="shared" si="13"/>
        <v>2514.3436199481166</v>
      </c>
      <c r="AE89" s="3"/>
      <c r="AF89" s="3"/>
      <c r="AG89" s="7"/>
      <c r="AH89" s="7"/>
      <c r="AI89" s="7"/>
      <c r="AJ89" s="7"/>
      <c r="AK89" s="7"/>
      <c r="AL89" s="3"/>
      <c r="AM89" s="9"/>
      <c r="AN89" s="7"/>
      <c r="AO89" s="7"/>
      <c r="AP89" s="7"/>
      <c r="AQ89" s="7"/>
      <c r="AR89" s="9"/>
      <c r="AS89" s="9"/>
      <c r="AT89" s="9"/>
      <c r="AU89" s="3"/>
      <c r="AV89" s="3"/>
      <c r="AW89" s="3"/>
      <c r="AX89" s="3"/>
      <c r="AY89" s="3"/>
      <c r="AZ89" s="3"/>
    </row>
    <row r="90" spans="1:52" x14ac:dyDescent="0.25">
      <c r="A90">
        <f t="shared" si="14"/>
        <v>51</v>
      </c>
      <c r="B90" s="1" t="s">
        <v>89</v>
      </c>
      <c r="C90" s="1" t="s">
        <v>139</v>
      </c>
      <c r="D90" s="2">
        <v>42325</v>
      </c>
      <c r="E90" s="3">
        <v>48.800000000000004</v>
      </c>
      <c r="F90" s="4">
        <f t="shared" si="0"/>
        <v>6808.3444881889764</v>
      </c>
      <c r="G90" s="7">
        <v>8.8699999999999992</v>
      </c>
      <c r="H90" s="7">
        <v>198.79</v>
      </c>
      <c r="I90" s="7">
        <f t="shared" si="1"/>
        <v>189.92</v>
      </c>
      <c r="J90" s="7">
        <v>179.11</v>
      </c>
      <c r="K90" s="5">
        <f t="shared" si="2"/>
        <v>5.6918702611625811</v>
      </c>
      <c r="L90" s="4">
        <f t="shared" si="3"/>
        <v>6420.8223529882462</v>
      </c>
      <c r="M90" s="2">
        <v>42339</v>
      </c>
      <c r="N90" s="7">
        <v>2.84</v>
      </c>
      <c r="O90" s="7">
        <v>0.72</v>
      </c>
      <c r="P90" s="7">
        <f t="shared" si="4"/>
        <v>0.43999999999999995</v>
      </c>
      <c r="Q90" s="7">
        <v>0.7</v>
      </c>
      <c r="R90" s="6">
        <f t="shared" si="5"/>
        <v>0.34156152988762745</v>
      </c>
      <c r="S90" s="6">
        <f t="shared" si="6"/>
        <v>0.54339334300304376</v>
      </c>
      <c r="T90" s="6">
        <f t="shared" si="7"/>
        <v>0.11504512710932879</v>
      </c>
      <c r="U90" s="4">
        <f t="shared" si="8"/>
        <v>2325.4685593878226</v>
      </c>
      <c r="V90" s="4">
        <f t="shared" si="9"/>
        <v>3699.6090717533548</v>
      </c>
      <c r="W90" s="4">
        <f t="shared" si="10"/>
        <v>6025.0776311411773</v>
      </c>
      <c r="X90" s="4">
        <f t="shared" si="11"/>
        <v>2193.105906023341</v>
      </c>
      <c r="Y90" s="4">
        <f t="shared" si="12"/>
        <v>3489.0321232189526</v>
      </c>
      <c r="Z90" s="4">
        <f t="shared" si="13"/>
        <v>5682.1380292422937</v>
      </c>
      <c r="AB90" t="s">
        <v>32</v>
      </c>
      <c r="AC90" t="str">
        <f>C90</f>
        <v>Machine</v>
      </c>
      <c r="AD90" s="8">
        <f>D90</f>
        <v>42325</v>
      </c>
      <c r="AE90" s="3">
        <f>SUM(E90:E99)</f>
        <v>494.9</v>
      </c>
      <c r="AF90" s="3">
        <f>AE90*$A$29/($A$30*10)*$A$31</f>
        <v>6904.610014763779</v>
      </c>
      <c r="AG90" s="7">
        <f>SUM(G90:G99)</f>
        <v>87.950000000000017</v>
      </c>
      <c r="AH90" s="7">
        <f>SUM(H90:H99)</f>
        <v>2265.1999999999998</v>
      </c>
      <c r="AI90" s="7">
        <f>AH90-AG90</f>
        <v>2177.25</v>
      </c>
      <c r="AJ90" s="7">
        <f>SUM(J90:J99)</f>
        <v>2049.3000000000002</v>
      </c>
      <c r="AK90" s="7">
        <f>(AI90-AJ90)/AI90*100</f>
        <v>5.8766792972786686</v>
      </c>
      <c r="AL90" s="3">
        <f>AF90*(1-AK90/100)</f>
        <v>6498.8482274683265</v>
      </c>
      <c r="AM90" s="11">
        <f>M90</f>
        <v>42339</v>
      </c>
      <c r="AN90" s="7">
        <f>SUM(N90:N99)</f>
        <v>32.6</v>
      </c>
      <c r="AO90" s="7">
        <f>SUM(O90:O99)</f>
        <v>8</v>
      </c>
      <c r="AP90" s="7">
        <f>AO90-10*$A$32</f>
        <v>5.1999999999999993</v>
      </c>
      <c r="AQ90" s="7">
        <f>SUM(Q90:Q99)</f>
        <v>7.8</v>
      </c>
      <c r="AR90" s="9">
        <f>AP90/(AN90*$A$29)</f>
        <v>0.35165788297409944</v>
      </c>
      <c r="AS90" s="9">
        <f>AQ90/(AN90*$A$29)</f>
        <v>0.52748682446114925</v>
      </c>
      <c r="AT90" s="9">
        <f>1-AR90-AS90</f>
        <v>0.12085529256475125</v>
      </c>
      <c r="AU90" s="3">
        <f>AF90*AR90</f>
        <v>2428.0605405535962</v>
      </c>
      <c r="AV90" s="3">
        <f>AF90*AS90</f>
        <v>3642.0908108303947</v>
      </c>
      <c r="AW90" s="3">
        <f>AU90+AV90</f>
        <v>6070.1513513839909</v>
      </c>
      <c r="AX90" s="3">
        <f>AL90*AR90</f>
        <v>2285.3712094414905</v>
      </c>
      <c r="AY90" s="3">
        <f>AL90*AS90</f>
        <v>3428.0568141622362</v>
      </c>
      <c r="AZ90" s="3">
        <f>AX90+AY90</f>
        <v>5713.4280236037266</v>
      </c>
    </row>
    <row r="91" spans="1:52" x14ac:dyDescent="0.25">
      <c r="A91">
        <f t="shared" si="14"/>
        <v>52</v>
      </c>
      <c r="B91" s="1" t="s">
        <v>90</v>
      </c>
      <c r="C91" s="1" t="s">
        <v>139</v>
      </c>
      <c r="D91" s="2">
        <v>42325</v>
      </c>
      <c r="E91" s="3">
        <v>50.9</v>
      </c>
      <c r="F91" s="4">
        <f t="shared" si="0"/>
        <v>7101.3265255905499</v>
      </c>
      <c r="G91" s="7">
        <v>8.81</v>
      </c>
      <c r="H91" s="7">
        <v>203.77</v>
      </c>
      <c r="I91" s="7">
        <f t="shared" si="1"/>
        <v>194.96</v>
      </c>
      <c r="J91" s="7">
        <v>184.59</v>
      </c>
      <c r="K91" s="5">
        <f t="shared" si="2"/>
        <v>5.3190398030365227</v>
      </c>
      <c r="L91" s="4">
        <f t="shared" si="3"/>
        <v>6723.6041411507986</v>
      </c>
      <c r="M91" s="2">
        <v>42339</v>
      </c>
      <c r="N91" s="7">
        <v>3.6</v>
      </c>
      <c r="O91" s="7">
        <v>0.86</v>
      </c>
      <c r="P91" s="7">
        <f t="shared" si="4"/>
        <v>0.57999999999999996</v>
      </c>
      <c r="Q91" s="7">
        <v>0.86</v>
      </c>
      <c r="R91" s="6">
        <f t="shared" si="5"/>
        <v>0.35518948991849747</v>
      </c>
      <c r="S91" s="6">
        <f t="shared" si="6"/>
        <v>0.52666027815501348</v>
      </c>
      <c r="T91" s="6">
        <f t="shared" si="7"/>
        <v>0.11815023192648899</v>
      </c>
      <c r="U91" s="4">
        <f t="shared" si="8"/>
        <v>2522.3165463692035</v>
      </c>
      <c r="V91" s="4">
        <f t="shared" si="9"/>
        <v>3739.9866032370946</v>
      </c>
      <c r="W91" s="4">
        <f t="shared" si="10"/>
        <v>6262.3031496062977</v>
      </c>
      <c r="X91" s="4">
        <f t="shared" si="11"/>
        <v>2388.1535253092493</v>
      </c>
      <c r="Y91" s="4">
        <f t="shared" si="12"/>
        <v>3541.05522718268</v>
      </c>
      <c r="Z91" s="4">
        <f t="shared" si="13"/>
        <v>5929.2087524919298</v>
      </c>
      <c r="AE91" s="3"/>
      <c r="AF91" s="3"/>
      <c r="AG91" s="7"/>
      <c r="AH91" s="7"/>
      <c r="AI91" s="7"/>
      <c r="AJ91" s="7"/>
      <c r="AK91" s="7"/>
      <c r="AL91" s="3"/>
      <c r="AM91" s="9"/>
      <c r="AN91" s="7"/>
      <c r="AO91" s="7"/>
      <c r="AP91" s="7"/>
      <c r="AQ91" s="7"/>
      <c r="AR91" s="9"/>
      <c r="AS91" s="9"/>
      <c r="AT91" s="9"/>
      <c r="AU91" s="3"/>
      <c r="AV91" s="3"/>
      <c r="AW91" s="3"/>
      <c r="AX91" s="3"/>
      <c r="AY91" s="3"/>
      <c r="AZ91" s="3"/>
    </row>
    <row r="92" spans="1:52" x14ac:dyDescent="0.25">
      <c r="A92">
        <f t="shared" si="14"/>
        <v>53</v>
      </c>
      <c r="B92" s="1" t="s">
        <v>91</v>
      </c>
      <c r="C92" s="1" t="s">
        <v>139</v>
      </c>
      <c r="D92" s="2">
        <v>42325</v>
      </c>
      <c r="E92" s="3">
        <v>52.300000000000004</v>
      </c>
      <c r="F92" s="4">
        <f t="shared" si="0"/>
        <v>7296.647883858268</v>
      </c>
      <c r="G92" s="7">
        <v>8.84</v>
      </c>
      <c r="H92" s="7">
        <v>207.89</v>
      </c>
      <c r="I92" s="7">
        <f t="shared" si="1"/>
        <v>199.04999999999998</v>
      </c>
      <c r="J92" s="7">
        <v>187.82</v>
      </c>
      <c r="K92" s="5">
        <f t="shared" si="2"/>
        <v>5.6417985430796236</v>
      </c>
      <c r="L92" s="4">
        <f t="shared" si="3"/>
        <v>6884.985709853102</v>
      </c>
      <c r="M92" s="2">
        <v>42339</v>
      </c>
      <c r="N92" s="7">
        <v>2.72</v>
      </c>
      <c r="O92" s="7">
        <v>0.72</v>
      </c>
      <c r="P92" s="7">
        <f t="shared" si="4"/>
        <v>0.43999999999999995</v>
      </c>
      <c r="Q92" s="7">
        <v>0.66</v>
      </c>
      <c r="R92" s="6">
        <f t="shared" si="5"/>
        <v>0.35663042091208158</v>
      </c>
      <c r="S92" s="6">
        <f t="shared" si="6"/>
        <v>0.53494563136812245</v>
      </c>
      <c r="T92" s="6">
        <f t="shared" si="7"/>
        <v>0.10842394771979591</v>
      </c>
      <c r="U92" s="4">
        <f t="shared" si="8"/>
        <v>2602.2066060676234</v>
      </c>
      <c r="V92" s="4">
        <f t="shared" si="9"/>
        <v>3903.309909101436</v>
      </c>
      <c r="W92" s="4">
        <f t="shared" si="10"/>
        <v>6505.5165151690599</v>
      </c>
      <c r="X92" s="4">
        <f t="shared" si="11"/>
        <v>2455.3953516785787</v>
      </c>
      <c r="Y92" s="4">
        <f t="shared" si="12"/>
        <v>3683.0930275178684</v>
      </c>
      <c r="Z92" s="4">
        <f t="shared" si="13"/>
        <v>6138.4883791964476</v>
      </c>
      <c r="AE92" s="3"/>
      <c r="AF92" s="3"/>
      <c r="AG92" s="7"/>
      <c r="AH92" s="7"/>
      <c r="AI92" s="7"/>
      <c r="AJ92" s="7"/>
      <c r="AK92" s="7"/>
      <c r="AL92" s="3"/>
      <c r="AM92" s="9"/>
      <c r="AN92" s="7"/>
      <c r="AO92" s="7"/>
      <c r="AP92" s="7"/>
      <c r="AQ92" s="7"/>
      <c r="AR92" s="9"/>
      <c r="AS92" s="9"/>
      <c r="AT92" s="9"/>
      <c r="AU92" s="3"/>
      <c r="AV92" s="3"/>
      <c r="AW92" s="3"/>
      <c r="AX92" s="3"/>
      <c r="AY92" s="3"/>
      <c r="AZ92" s="3"/>
    </row>
    <row r="93" spans="1:52" x14ac:dyDescent="0.25">
      <c r="A93">
        <f t="shared" si="14"/>
        <v>54</v>
      </c>
      <c r="B93" s="1" t="s">
        <v>92</v>
      </c>
      <c r="C93" s="1" t="s">
        <v>139</v>
      </c>
      <c r="D93" s="2">
        <v>42325</v>
      </c>
      <c r="E93" s="3">
        <v>53.9</v>
      </c>
      <c r="F93" s="4">
        <f t="shared" si="0"/>
        <v>7519.8722933070858</v>
      </c>
      <c r="G93" s="7">
        <v>8.81</v>
      </c>
      <c r="H93" s="7">
        <v>252.39</v>
      </c>
      <c r="I93" s="7">
        <f t="shared" si="1"/>
        <v>243.57999999999998</v>
      </c>
      <c r="J93" s="7">
        <v>228.11</v>
      </c>
      <c r="K93" s="5">
        <f t="shared" si="2"/>
        <v>6.35109614910911</v>
      </c>
      <c r="L93" s="4">
        <f t="shared" si="3"/>
        <v>7042.2779736689363</v>
      </c>
      <c r="M93" s="2">
        <v>42339</v>
      </c>
      <c r="N93" s="7">
        <v>3.6</v>
      </c>
      <c r="O93" s="7">
        <v>0.84</v>
      </c>
      <c r="P93" s="7">
        <f t="shared" si="4"/>
        <v>0.55999999999999994</v>
      </c>
      <c r="Q93" s="7">
        <v>0.86</v>
      </c>
      <c r="R93" s="6">
        <f t="shared" si="5"/>
        <v>0.34294157647303203</v>
      </c>
      <c r="S93" s="6">
        <f t="shared" si="6"/>
        <v>0.52666027815501348</v>
      </c>
      <c r="T93" s="6">
        <f t="shared" si="7"/>
        <v>0.13039814537195449</v>
      </c>
      <c r="U93" s="4">
        <f t="shared" si="8"/>
        <v>2578.8768591426069</v>
      </c>
      <c r="V93" s="4">
        <f t="shared" si="9"/>
        <v>3960.4180336832887</v>
      </c>
      <c r="W93" s="4">
        <f t="shared" si="10"/>
        <v>6539.2948928258957</v>
      </c>
      <c r="X93" s="4">
        <f t="shared" si="11"/>
        <v>2415.0899102513345</v>
      </c>
      <c r="Y93" s="4">
        <f t="shared" si="12"/>
        <v>3708.8880764574069</v>
      </c>
      <c r="Z93" s="4">
        <f t="shared" si="13"/>
        <v>6123.9779867087418</v>
      </c>
      <c r="AE93" s="3"/>
      <c r="AF93" s="3"/>
      <c r="AG93" s="7"/>
      <c r="AH93" s="7"/>
      <c r="AI93" s="7"/>
      <c r="AJ93" s="7"/>
      <c r="AK93" s="7"/>
      <c r="AL93" s="3"/>
      <c r="AM93" s="9"/>
      <c r="AN93" s="7"/>
      <c r="AO93" s="7"/>
      <c r="AP93" s="7"/>
      <c r="AQ93" s="7"/>
      <c r="AR93" s="9"/>
      <c r="AS93" s="9"/>
      <c r="AT93" s="9"/>
      <c r="AU93" s="3"/>
      <c r="AV93" s="3"/>
      <c r="AW93" s="3"/>
      <c r="AX93" s="3"/>
      <c r="AY93" s="3"/>
      <c r="AZ93" s="3"/>
    </row>
    <row r="94" spans="1:52" x14ac:dyDescent="0.25">
      <c r="A94">
        <f t="shared" si="14"/>
        <v>55</v>
      </c>
      <c r="B94" s="1" t="s">
        <v>93</v>
      </c>
      <c r="C94" s="1" t="s">
        <v>139</v>
      </c>
      <c r="D94" s="2">
        <v>42325</v>
      </c>
      <c r="E94" s="3">
        <v>50.3</v>
      </c>
      <c r="F94" s="4">
        <f t="shared" si="0"/>
        <v>7017.6173720472434</v>
      </c>
      <c r="G94" s="7">
        <v>8.84</v>
      </c>
      <c r="H94" s="7">
        <v>233.71</v>
      </c>
      <c r="I94" s="7">
        <f t="shared" si="1"/>
        <v>224.87</v>
      </c>
      <c r="J94" s="7">
        <v>209.83</v>
      </c>
      <c r="K94" s="5">
        <f t="shared" si="2"/>
        <v>6.6883088006403666</v>
      </c>
      <c r="L94" s="4">
        <f t="shared" si="3"/>
        <v>6548.2574517573403</v>
      </c>
      <c r="M94" s="2">
        <v>42339</v>
      </c>
      <c r="N94" s="7">
        <v>3.22</v>
      </c>
      <c r="O94" s="7">
        <v>0.76</v>
      </c>
      <c r="P94" s="7">
        <f t="shared" si="4"/>
        <v>0.48</v>
      </c>
      <c r="Q94" s="7">
        <v>0.76</v>
      </c>
      <c r="R94" s="6">
        <f t="shared" si="5"/>
        <v>0.32863966512056308</v>
      </c>
      <c r="S94" s="6">
        <f t="shared" si="6"/>
        <v>0.52034613644089156</v>
      </c>
      <c r="T94" s="6">
        <f t="shared" si="7"/>
        <v>0.15101419843854536</v>
      </c>
      <c r="U94" s="4">
        <f t="shared" si="8"/>
        <v>2306.2674230938519</v>
      </c>
      <c r="V94" s="4">
        <f t="shared" si="9"/>
        <v>3651.5900865652657</v>
      </c>
      <c r="W94" s="4">
        <f t="shared" si="10"/>
        <v>5957.8575096591176</v>
      </c>
      <c r="X94" s="4">
        <f t="shared" si="11"/>
        <v>2152.0171360687641</v>
      </c>
      <c r="Y94" s="4">
        <f t="shared" si="12"/>
        <v>3407.3604654422097</v>
      </c>
      <c r="Z94" s="4">
        <f t="shared" si="13"/>
        <v>5559.3776015109743</v>
      </c>
      <c r="AE94" s="3"/>
      <c r="AF94" s="3"/>
      <c r="AG94" s="7"/>
      <c r="AH94" s="7"/>
      <c r="AI94" s="7"/>
      <c r="AJ94" s="7"/>
      <c r="AK94" s="7"/>
      <c r="AL94" s="3"/>
      <c r="AM94" s="9"/>
      <c r="AN94" s="7"/>
      <c r="AO94" s="7"/>
      <c r="AP94" s="7"/>
      <c r="AQ94" s="7"/>
      <c r="AR94" s="9"/>
      <c r="AS94" s="9"/>
      <c r="AT94" s="9"/>
      <c r="AU94" s="3"/>
      <c r="AV94" s="3"/>
      <c r="AW94" s="3"/>
      <c r="AX94" s="3"/>
      <c r="AY94" s="3"/>
      <c r="AZ94" s="3"/>
    </row>
    <row r="95" spans="1:52" x14ac:dyDescent="0.25">
      <c r="A95">
        <f t="shared" si="14"/>
        <v>56</v>
      </c>
      <c r="B95" s="1" t="s">
        <v>94</v>
      </c>
      <c r="C95" s="1" t="s">
        <v>139</v>
      </c>
      <c r="D95" s="2">
        <v>42325</v>
      </c>
      <c r="E95" s="3">
        <v>51.4</v>
      </c>
      <c r="F95" s="4">
        <f t="shared" si="0"/>
        <v>7171.0841535433065</v>
      </c>
      <c r="G95" s="7">
        <v>8.82</v>
      </c>
      <c r="H95" s="7">
        <v>181.29</v>
      </c>
      <c r="I95" s="7">
        <f t="shared" si="1"/>
        <v>172.47</v>
      </c>
      <c r="J95" s="7">
        <v>162.91999999999999</v>
      </c>
      <c r="K95" s="5">
        <f t="shared" si="2"/>
        <v>5.537194874470929</v>
      </c>
      <c r="L95" s="4">
        <f t="shared" si="3"/>
        <v>6774.0072493493099</v>
      </c>
      <c r="M95" s="2">
        <v>42339</v>
      </c>
      <c r="N95" s="7">
        <v>2.78</v>
      </c>
      <c r="O95" s="7">
        <v>0.74</v>
      </c>
      <c r="P95" s="7">
        <f t="shared" si="4"/>
        <v>0.45999999999999996</v>
      </c>
      <c r="Q95" s="7">
        <v>0.64</v>
      </c>
      <c r="R95" s="6">
        <f t="shared" si="5"/>
        <v>0.36479396880738768</v>
      </c>
      <c r="S95" s="6">
        <f t="shared" si="6"/>
        <v>0.50753943486245245</v>
      </c>
      <c r="T95" s="6">
        <f t="shared" si="7"/>
        <v>0.12766659633015986</v>
      </c>
      <c r="U95" s="4">
        <f t="shared" si="8"/>
        <v>2615.9682490228292</v>
      </c>
      <c r="V95" s="4">
        <f t="shared" si="9"/>
        <v>3639.6079986404579</v>
      </c>
      <c r="W95" s="4">
        <f t="shared" si="10"/>
        <v>6255.5762476632872</v>
      </c>
      <c r="X95" s="4">
        <f t="shared" si="11"/>
        <v>2471.1169892201501</v>
      </c>
      <c r="Y95" s="4">
        <f t="shared" si="12"/>
        <v>3438.0758110889046</v>
      </c>
      <c r="Z95" s="4">
        <f t="shared" si="13"/>
        <v>5909.1928003090543</v>
      </c>
      <c r="AE95" s="3"/>
      <c r="AF95" s="3"/>
      <c r="AG95" s="7"/>
      <c r="AH95" s="7"/>
      <c r="AI95" s="7"/>
      <c r="AJ95" s="7"/>
      <c r="AK95" s="7"/>
      <c r="AL95" s="3"/>
      <c r="AM95" s="9"/>
      <c r="AN95" s="7"/>
      <c r="AO95" s="7"/>
      <c r="AP95" s="7"/>
      <c r="AQ95" s="7"/>
      <c r="AR95" s="9"/>
      <c r="AS95" s="9"/>
      <c r="AT95" s="9"/>
      <c r="AU95" s="3"/>
      <c r="AV95" s="3"/>
      <c r="AW95" s="3"/>
      <c r="AX95" s="3"/>
      <c r="AY95" s="3"/>
      <c r="AZ95" s="3"/>
    </row>
    <row r="96" spans="1:52" x14ac:dyDescent="0.25">
      <c r="A96">
        <f t="shared" si="14"/>
        <v>57</v>
      </c>
      <c r="B96" s="1" t="s">
        <v>95</v>
      </c>
      <c r="C96" s="1" t="s">
        <v>139</v>
      </c>
      <c r="D96" s="2">
        <v>42325</v>
      </c>
      <c r="E96" s="3">
        <v>50.699999999999996</v>
      </c>
      <c r="F96" s="4">
        <f t="shared" si="0"/>
        <v>7073.4234744094483</v>
      </c>
      <c r="G96" s="7">
        <v>8.7799999999999994</v>
      </c>
      <c r="H96" s="7">
        <v>247.28</v>
      </c>
      <c r="I96" s="7">
        <f t="shared" si="1"/>
        <v>238.5</v>
      </c>
      <c r="J96" s="7">
        <v>223.49</v>
      </c>
      <c r="K96" s="5">
        <f t="shared" si="2"/>
        <v>6.2935010482180251</v>
      </c>
      <c r="L96" s="4">
        <f t="shared" si="3"/>
        <v>6628.2574939025899</v>
      </c>
      <c r="M96" s="2">
        <v>42339</v>
      </c>
      <c r="N96" s="7">
        <v>3.44</v>
      </c>
      <c r="O96" s="7">
        <v>0.84</v>
      </c>
      <c r="P96" s="7">
        <f t="shared" si="4"/>
        <v>0.55999999999999994</v>
      </c>
      <c r="Q96" s="7">
        <v>0.84</v>
      </c>
      <c r="R96" s="6">
        <f t="shared" si="5"/>
        <v>0.35889234747177767</v>
      </c>
      <c r="S96" s="6">
        <f t="shared" si="6"/>
        <v>0.53833852120766656</v>
      </c>
      <c r="T96" s="6">
        <f t="shared" si="7"/>
        <v>0.10276913132055576</v>
      </c>
      <c r="U96" s="4">
        <f t="shared" si="8"/>
        <v>2538.5975553927847</v>
      </c>
      <c r="V96" s="4">
        <f t="shared" si="9"/>
        <v>3807.8963330891775</v>
      </c>
      <c r="W96" s="4">
        <f t="shared" si="10"/>
        <v>6346.4938884819621</v>
      </c>
      <c r="X96" s="4">
        <f t="shared" si="11"/>
        <v>2378.8308916341025</v>
      </c>
      <c r="Y96" s="4">
        <f t="shared" si="12"/>
        <v>3568.2463374511544</v>
      </c>
      <c r="Z96" s="4">
        <f t="shared" si="13"/>
        <v>5947.0772290852565</v>
      </c>
      <c r="AE96" s="3"/>
      <c r="AF96" s="3"/>
      <c r="AG96" s="7"/>
      <c r="AH96" s="7"/>
      <c r="AI96" s="7"/>
      <c r="AJ96" s="7"/>
      <c r="AK96" s="7"/>
      <c r="AL96" s="3"/>
      <c r="AM96" s="9"/>
      <c r="AN96" s="7"/>
      <c r="AO96" s="7"/>
      <c r="AP96" s="7"/>
      <c r="AQ96" s="7"/>
      <c r="AR96" s="9"/>
      <c r="AS96" s="9"/>
      <c r="AT96" s="9"/>
      <c r="AU96" s="3"/>
      <c r="AV96" s="3"/>
      <c r="AW96" s="3"/>
      <c r="AX96" s="3"/>
      <c r="AY96" s="3"/>
      <c r="AZ96" s="3"/>
    </row>
    <row r="97" spans="1:52" x14ac:dyDescent="0.25">
      <c r="A97">
        <f t="shared" si="14"/>
        <v>58</v>
      </c>
      <c r="B97" s="1" t="s">
        <v>96</v>
      </c>
      <c r="C97" s="1" t="s">
        <v>139</v>
      </c>
      <c r="D97" s="2">
        <v>42325</v>
      </c>
      <c r="E97" s="3">
        <v>47.6</v>
      </c>
      <c r="F97" s="4">
        <f t="shared" si="0"/>
        <v>6640.9261811023625</v>
      </c>
      <c r="G97" s="7">
        <v>8.76</v>
      </c>
      <c r="H97" s="7">
        <v>279.97000000000003</v>
      </c>
      <c r="I97" s="7">
        <f t="shared" si="1"/>
        <v>271.21000000000004</v>
      </c>
      <c r="J97" s="7">
        <v>255.79</v>
      </c>
      <c r="K97" s="5">
        <f t="shared" si="2"/>
        <v>5.6856310608016081</v>
      </c>
      <c r="L97" s="4">
        <f t="shared" si="3"/>
        <v>6263.3476194247005</v>
      </c>
      <c r="M97" s="2">
        <v>42339</v>
      </c>
      <c r="N97" s="7">
        <v>3.86</v>
      </c>
      <c r="O97" s="7">
        <v>0.9</v>
      </c>
      <c r="P97" s="7">
        <f t="shared" si="4"/>
        <v>0.62</v>
      </c>
      <c r="Q97" s="7">
        <v>0.94</v>
      </c>
      <c r="R97" s="6">
        <f t="shared" si="5"/>
        <v>0.3541106581642337</v>
      </c>
      <c r="S97" s="6">
        <f t="shared" si="6"/>
        <v>0.53687744947480598</v>
      </c>
      <c r="T97" s="6">
        <f t="shared" si="7"/>
        <v>0.10901189236096032</v>
      </c>
      <c r="U97" s="4">
        <f t="shared" si="8"/>
        <v>2351.6227408102486</v>
      </c>
      <c r="V97" s="4">
        <f t="shared" si="9"/>
        <v>3565.3635102607</v>
      </c>
      <c r="W97" s="4">
        <f t="shared" si="10"/>
        <v>5916.9862510709481</v>
      </c>
      <c r="X97" s="4">
        <f t="shared" si="11"/>
        <v>2217.918147825867</v>
      </c>
      <c r="Y97" s="4">
        <f t="shared" si="12"/>
        <v>3362.6500950908307</v>
      </c>
      <c r="Z97" s="4">
        <f t="shared" si="13"/>
        <v>5580.5682429166973</v>
      </c>
      <c r="AE97" s="3"/>
      <c r="AF97" s="3"/>
      <c r="AG97" s="7"/>
      <c r="AH97" s="7"/>
      <c r="AI97" s="7"/>
      <c r="AJ97" s="7"/>
      <c r="AK97" s="7"/>
      <c r="AL97" s="3"/>
      <c r="AM97" s="9"/>
      <c r="AN97" s="7"/>
      <c r="AO97" s="7"/>
      <c r="AP97" s="7"/>
      <c r="AQ97" s="7"/>
      <c r="AR97" s="9"/>
      <c r="AS97" s="9"/>
      <c r="AT97" s="9"/>
      <c r="AU97" s="3"/>
      <c r="AV97" s="3"/>
      <c r="AW97" s="3"/>
      <c r="AX97" s="3"/>
      <c r="AY97" s="3"/>
      <c r="AZ97" s="3"/>
    </row>
    <row r="98" spans="1:52" x14ac:dyDescent="0.25">
      <c r="A98">
        <f t="shared" si="14"/>
        <v>59</v>
      </c>
      <c r="B98" s="1" t="s">
        <v>97</v>
      </c>
      <c r="C98" s="1" t="s">
        <v>139</v>
      </c>
      <c r="D98" s="2">
        <v>42325</v>
      </c>
      <c r="E98" s="3">
        <v>48.999999999999993</v>
      </c>
      <c r="F98" s="4">
        <f t="shared" si="0"/>
        <v>6836.247539370077</v>
      </c>
      <c r="G98" s="7">
        <v>8.7100000000000009</v>
      </c>
      <c r="H98" s="7">
        <v>204.39</v>
      </c>
      <c r="I98" s="7">
        <f t="shared" si="1"/>
        <v>195.67999999999998</v>
      </c>
      <c r="J98" s="7">
        <v>184.43</v>
      </c>
      <c r="K98" s="5">
        <f t="shared" si="2"/>
        <v>5.7491823385118419</v>
      </c>
      <c r="L98" s="4">
        <f t="shared" si="3"/>
        <v>6443.2192032196626</v>
      </c>
      <c r="M98" s="2">
        <v>42339</v>
      </c>
      <c r="N98" s="7">
        <v>2.84</v>
      </c>
      <c r="O98" s="7">
        <v>0.74</v>
      </c>
      <c r="P98" s="7">
        <f t="shared" si="4"/>
        <v>0.45999999999999996</v>
      </c>
      <c r="Q98" s="7">
        <v>0.66</v>
      </c>
      <c r="R98" s="6">
        <f t="shared" si="5"/>
        <v>0.35708705397342871</v>
      </c>
      <c r="S98" s="6">
        <f t="shared" si="6"/>
        <v>0.51234229483144123</v>
      </c>
      <c r="T98" s="6">
        <f t="shared" si="7"/>
        <v>0.13057065119513001</v>
      </c>
      <c r="U98" s="4">
        <f t="shared" si="8"/>
        <v>2441.135494066762</v>
      </c>
      <c r="V98" s="4">
        <f t="shared" si="9"/>
        <v>3502.4987523566588</v>
      </c>
      <c r="W98" s="4">
        <f t="shared" si="10"/>
        <v>5943.6342464234203</v>
      </c>
      <c r="X98" s="4">
        <f t="shared" si="11"/>
        <v>2300.7901633827319</v>
      </c>
      <c r="Y98" s="4">
        <f t="shared" si="12"/>
        <v>3301.133712679572</v>
      </c>
      <c r="Z98" s="4">
        <f t="shared" si="13"/>
        <v>5601.9238760623039</v>
      </c>
      <c r="AE98" s="3"/>
      <c r="AF98" s="3"/>
      <c r="AG98" s="7"/>
      <c r="AH98" s="7"/>
      <c r="AI98" s="7"/>
      <c r="AJ98" s="7"/>
      <c r="AK98" s="7"/>
      <c r="AL98" s="3"/>
      <c r="AM98" s="9"/>
      <c r="AN98" s="7"/>
      <c r="AO98" s="7"/>
      <c r="AP98" s="7"/>
      <c r="AQ98" s="7"/>
      <c r="AR98" s="9"/>
      <c r="AS98" s="9"/>
      <c r="AT98" s="9"/>
      <c r="AU98" s="3"/>
      <c r="AV98" s="3"/>
      <c r="AW98" s="3"/>
      <c r="AX98" s="3"/>
      <c r="AY98" s="3"/>
      <c r="AZ98" s="3"/>
    </row>
    <row r="99" spans="1:52" x14ac:dyDescent="0.25">
      <c r="A99">
        <f t="shared" si="14"/>
        <v>60</v>
      </c>
      <c r="B99" s="1" t="s">
        <v>98</v>
      </c>
      <c r="C99" s="1" t="s">
        <v>139</v>
      </c>
      <c r="D99" s="2">
        <v>42325</v>
      </c>
      <c r="E99" s="3">
        <v>39.999999999999993</v>
      </c>
      <c r="F99" s="4">
        <f t="shared" si="0"/>
        <v>5580.6102362204711</v>
      </c>
      <c r="G99" s="7">
        <v>8.7100000000000009</v>
      </c>
      <c r="H99" s="7">
        <v>255.72</v>
      </c>
      <c r="I99" s="7">
        <f t="shared" si="1"/>
        <v>247.01</v>
      </c>
      <c r="J99" s="7">
        <v>233.21</v>
      </c>
      <c r="K99" s="5">
        <f t="shared" si="2"/>
        <v>5.5868183474353197</v>
      </c>
      <c r="L99" s="4">
        <f t="shared" si="3"/>
        <v>5268.8316796444524</v>
      </c>
      <c r="M99" s="2">
        <v>42339</v>
      </c>
      <c r="N99" s="7">
        <v>3.7</v>
      </c>
      <c r="O99" s="7">
        <v>0.88</v>
      </c>
      <c r="P99" s="7">
        <f t="shared" si="4"/>
        <v>0.6</v>
      </c>
      <c r="Q99" s="7">
        <v>0.88</v>
      </c>
      <c r="R99" s="6">
        <f t="shared" si="5"/>
        <v>0.35750666273250442</v>
      </c>
      <c r="S99" s="6">
        <f t="shared" si="6"/>
        <v>0.52434310534100648</v>
      </c>
      <c r="T99" s="6">
        <f t="shared" si="7"/>
        <v>0.1181502319264891</v>
      </c>
      <c r="U99" s="4">
        <f t="shared" si="8"/>
        <v>1995.1053415620338</v>
      </c>
      <c r="V99" s="4">
        <f t="shared" si="9"/>
        <v>2926.1545009576494</v>
      </c>
      <c r="W99" s="4">
        <f t="shared" si="10"/>
        <v>4921.2598425196829</v>
      </c>
      <c r="X99" s="4">
        <f t="shared" si="11"/>
        <v>1883.6424302889841</v>
      </c>
      <c r="Y99" s="4">
        <f t="shared" si="12"/>
        <v>2762.6755644238433</v>
      </c>
      <c r="Z99" s="4">
        <f t="shared" si="13"/>
        <v>4646.3179947128274</v>
      </c>
      <c r="AE99" s="3"/>
      <c r="AF99" s="3"/>
      <c r="AG99" s="7"/>
      <c r="AH99" s="7"/>
      <c r="AI99" s="7"/>
      <c r="AJ99" s="7"/>
      <c r="AK99" s="7"/>
      <c r="AL99" s="3"/>
      <c r="AM99" s="9"/>
      <c r="AN99" s="7"/>
      <c r="AO99" s="7"/>
      <c r="AP99" s="7"/>
      <c r="AQ99" s="7"/>
      <c r="AR99" s="9"/>
      <c r="AS99" s="9"/>
      <c r="AT99" s="9"/>
      <c r="AU99" s="3"/>
      <c r="AV99" s="3"/>
      <c r="AW99" s="3"/>
      <c r="AX99" s="3"/>
      <c r="AY99" s="3"/>
      <c r="AZ99" s="3"/>
    </row>
    <row r="100" spans="1:52" x14ac:dyDescent="0.25">
      <c r="A100">
        <f t="shared" si="14"/>
        <v>61</v>
      </c>
      <c r="B100" s="1" t="s">
        <v>99</v>
      </c>
      <c r="C100" s="1" t="s">
        <v>139</v>
      </c>
      <c r="D100" s="2">
        <v>42325</v>
      </c>
      <c r="E100" s="3">
        <v>47.4</v>
      </c>
      <c r="F100" s="4">
        <f t="shared" si="0"/>
        <v>6613.0231299212592</v>
      </c>
      <c r="G100" s="7">
        <v>8.77</v>
      </c>
      <c r="H100" s="7">
        <v>237.78</v>
      </c>
      <c r="I100" s="7">
        <f t="shared" si="1"/>
        <v>229.01</v>
      </c>
      <c r="J100" s="7">
        <v>216.59</v>
      </c>
      <c r="K100" s="5">
        <f t="shared" si="2"/>
        <v>5.4233439587790873</v>
      </c>
      <c r="L100" s="4">
        <f t="shared" si="3"/>
        <v>6254.3761395120109</v>
      </c>
      <c r="M100" s="2">
        <v>42339</v>
      </c>
      <c r="N100" s="7">
        <v>3.54</v>
      </c>
      <c r="O100" s="7">
        <v>0.86</v>
      </c>
      <c r="P100" s="7">
        <f t="shared" si="4"/>
        <v>0.57999999999999996</v>
      </c>
      <c r="Q100" s="7">
        <v>0.88</v>
      </c>
      <c r="R100" s="6">
        <f t="shared" si="5"/>
        <v>0.36120965076457368</v>
      </c>
      <c r="S100" s="6">
        <f t="shared" si="6"/>
        <v>0.54804222874624975</v>
      </c>
      <c r="T100" s="6">
        <f t="shared" si="7"/>
        <v>9.0748120489176576E-2</v>
      </c>
      <c r="U100" s="4">
        <f t="shared" si="8"/>
        <v>2388.6877752569058</v>
      </c>
      <c r="V100" s="4">
        <f t="shared" si="9"/>
        <v>3624.2159348725472</v>
      </c>
      <c r="W100" s="4">
        <f t="shared" si="10"/>
        <v>6012.9037101294525</v>
      </c>
      <c r="X100" s="4">
        <f t="shared" si="11"/>
        <v>2259.1410211034158</v>
      </c>
      <c r="Y100" s="4">
        <f t="shared" si="12"/>
        <v>3427.6622389155277</v>
      </c>
      <c r="Z100" s="4">
        <f t="shared" si="13"/>
        <v>5686.8032600189435</v>
      </c>
      <c r="AB100" t="s">
        <v>33</v>
      </c>
      <c r="AC100" t="str">
        <f>C100</f>
        <v>Machine</v>
      </c>
      <c r="AD100" s="8">
        <f>D100</f>
        <v>42325</v>
      </c>
      <c r="AE100" s="3">
        <f>SUM(E100:E109)</f>
        <v>462.9</v>
      </c>
      <c r="AF100" s="3">
        <f>AE100*$A$29/($A$30*10)*$A$31</f>
        <v>6458.1611958661415</v>
      </c>
      <c r="AG100" s="7">
        <f>SUM(G100:G109)</f>
        <v>87.649999999999977</v>
      </c>
      <c r="AH100" s="7">
        <f>SUM(H100:H109)</f>
        <v>2363.9</v>
      </c>
      <c r="AI100" s="7">
        <f>AH100-AG100</f>
        <v>2276.25</v>
      </c>
      <c r="AJ100" s="7">
        <f>SUM(J100:J109)</f>
        <v>2155.4500000000003</v>
      </c>
      <c r="AK100" s="7">
        <f>(AI100-AJ100)/AI100*100</f>
        <v>5.3069741900054801</v>
      </c>
      <c r="AL100" s="3">
        <f>AF100*(1-AK100/100)</f>
        <v>6115.4282480525762</v>
      </c>
      <c r="AM100" s="11">
        <f>M100</f>
        <v>42339</v>
      </c>
      <c r="AN100" s="7">
        <f>SUM(N100:N109)</f>
        <v>32.479999999999997</v>
      </c>
      <c r="AO100" s="7">
        <f>SUM(O100:O109)</f>
        <v>8.1000000000000014</v>
      </c>
      <c r="AP100" s="7">
        <f>AO100-10*$A$32</f>
        <v>5.3000000000000007</v>
      </c>
      <c r="AQ100" s="7">
        <f>SUM(Q100:Q109)</f>
        <v>7.98</v>
      </c>
      <c r="AR100" s="9">
        <f>AP100/(AN100*$A$29)</f>
        <v>0.35974474836742687</v>
      </c>
      <c r="AS100" s="9">
        <f>AQ100/(AN100*$A$29)</f>
        <v>0.54165341357963515</v>
      </c>
      <c r="AT100" s="9">
        <f>1-AR100-AS100</f>
        <v>9.8601838052937985E-2</v>
      </c>
      <c r="AU100" s="3">
        <f>AF100*AR100</f>
        <v>2323.2895743231456</v>
      </c>
      <c r="AV100" s="3">
        <f>AF100*AS100</f>
        <v>3498.0850571884343</v>
      </c>
      <c r="AW100" s="3">
        <f>AU100+AV100</f>
        <v>5821.3746315115804</v>
      </c>
      <c r="AX100" s="3">
        <f>AL100*AR100</f>
        <v>2199.993196254728</v>
      </c>
      <c r="AY100" s="3">
        <f>AL100*AS100</f>
        <v>3312.4425860590059</v>
      </c>
      <c r="AZ100" s="3">
        <f>AX100+AY100</f>
        <v>5512.4357823137343</v>
      </c>
    </row>
    <row r="101" spans="1:52" x14ac:dyDescent="0.25">
      <c r="A101">
        <f t="shared" si="14"/>
        <v>62</v>
      </c>
      <c r="B101" s="1" t="s">
        <v>100</v>
      </c>
      <c r="C101" s="1" t="s">
        <v>139</v>
      </c>
      <c r="D101" s="2">
        <v>42325</v>
      </c>
      <c r="E101" s="3">
        <v>48.699999999999996</v>
      </c>
      <c r="F101" s="4">
        <f t="shared" si="0"/>
        <v>6794.3929625984247</v>
      </c>
      <c r="G101" s="7">
        <v>8.77</v>
      </c>
      <c r="H101" s="7">
        <v>242.54</v>
      </c>
      <c r="I101" s="7">
        <f t="shared" si="1"/>
        <v>233.76999999999998</v>
      </c>
      <c r="J101" s="7">
        <v>221.04</v>
      </c>
      <c r="K101" s="5">
        <f t="shared" si="2"/>
        <v>5.4455233776789109</v>
      </c>
      <c r="L101" s="4">
        <f t="shared" si="3"/>
        <v>6424.4027054487569</v>
      </c>
      <c r="M101" s="2">
        <v>42339</v>
      </c>
      <c r="N101" s="7">
        <v>3.06</v>
      </c>
      <c r="O101" s="7">
        <v>0.78</v>
      </c>
      <c r="P101" s="7">
        <f t="shared" si="4"/>
        <v>0.5</v>
      </c>
      <c r="Q101" s="7">
        <v>0.76</v>
      </c>
      <c r="R101" s="6">
        <f t="shared" si="5"/>
        <v>0.36023274839604208</v>
      </c>
      <c r="S101" s="6">
        <f t="shared" si="6"/>
        <v>0.54755377756198398</v>
      </c>
      <c r="T101" s="6">
        <f t="shared" si="7"/>
        <v>9.2213474041973886E-2</v>
      </c>
      <c r="U101" s="4">
        <f t="shared" si="8"/>
        <v>2447.5628505995574</v>
      </c>
      <c r="V101" s="4">
        <f t="shared" si="9"/>
        <v>3720.295532911327</v>
      </c>
      <c r="W101" s="4">
        <f t="shared" si="10"/>
        <v>6167.8583835108839</v>
      </c>
      <c r="X101" s="4">
        <f t="shared" si="11"/>
        <v>2314.2802433867741</v>
      </c>
      <c r="Y101" s="4">
        <f t="shared" si="12"/>
        <v>3517.7059699478968</v>
      </c>
      <c r="Z101" s="4">
        <f t="shared" si="13"/>
        <v>5831.9862133346705</v>
      </c>
      <c r="AE101" s="3"/>
      <c r="AF101" s="3"/>
      <c r="AG101" s="7"/>
      <c r="AH101" s="7"/>
      <c r="AI101" s="7"/>
      <c r="AJ101" s="7"/>
      <c r="AK101" s="7"/>
      <c r="AL101" s="3"/>
      <c r="AM101" s="9"/>
      <c r="AN101" s="7"/>
      <c r="AO101" s="7"/>
      <c r="AP101" s="7"/>
      <c r="AQ101" s="7"/>
      <c r="AR101" s="9"/>
      <c r="AS101" s="9"/>
      <c r="AT101" s="9"/>
      <c r="AU101" s="3"/>
      <c r="AV101" s="3"/>
      <c r="AW101" s="3"/>
      <c r="AX101" s="3"/>
      <c r="AY101" s="3"/>
      <c r="AZ101" s="3"/>
    </row>
    <row r="102" spans="1:52" x14ac:dyDescent="0.25">
      <c r="A102">
        <f t="shared" si="14"/>
        <v>63</v>
      </c>
      <c r="B102" s="1" t="s">
        <v>101</v>
      </c>
      <c r="C102" s="1" t="s">
        <v>139</v>
      </c>
      <c r="D102" s="2">
        <v>42325</v>
      </c>
      <c r="E102" s="3">
        <v>49.199999999999996</v>
      </c>
      <c r="F102" s="4">
        <f t="shared" si="0"/>
        <v>6864.1505905511804</v>
      </c>
      <c r="G102" s="7">
        <v>8.8000000000000007</v>
      </c>
      <c r="H102" s="7">
        <v>204.84</v>
      </c>
      <c r="I102" s="7">
        <f t="shared" si="1"/>
        <v>196.04</v>
      </c>
      <c r="J102" s="7">
        <v>184.53</v>
      </c>
      <c r="K102" s="5">
        <f t="shared" si="2"/>
        <v>5.8712507651499646</v>
      </c>
      <c r="L102" s="4">
        <f t="shared" si="3"/>
        <v>6461.1390964823986</v>
      </c>
      <c r="M102" s="2">
        <v>42339</v>
      </c>
      <c r="N102" s="7">
        <v>3.18</v>
      </c>
      <c r="O102" s="7">
        <v>0.76</v>
      </c>
      <c r="P102" s="7">
        <f t="shared" si="4"/>
        <v>0.48</v>
      </c>
      <c r="Q102" s="7">
        <v>0.76</v>
      </c>
      <c r="R102" s="6">
        <f t="shared" si="5"/>
        <v>0.33277349738623052</v>
      </c>
      <c r="S102" s="6">
        <f t="shared" si="6"/>
        <v>0.5268913708615317</v>
      </c>
      <c r="T102" s="6">
        <f t="shared" si="7"/>
        <v>0.14033513175223777</v>
      </c>
      <c r="U102" s="4">
        <f t="shared" si="8"/>
        <v>2284.2073986034761</v>
      </c>
      <c r="V102" s="4">
        <f t="shared" si="9"/>
        <v>3616.6617144555039</v>
      </c>
      <c r="W102" s="4">
        <f t="shared" si="10"/>
        <v>5900.8691130589796</v>
      </c>
      <c r="X102" s="4">
        <f t="shared" si="11"/>
        <v>2150.0958542353574</v>
      </c>
      <c r="Y102" s="4">
        <f t="shared" si="12"/>
        <v>3404.3184358726494</v>
      </c>
      <c r="Z102" s="4">
        <f t="shared" si="13"/>
        <v>5554.4142901080068</v>
      </c>
      <c r="AE102" s="3"/>
      <c r="AF102" s="3"/>
      <c r="AG102" s="7"/>
      <c r="AH102" s="7"/>
      <c r="AI102" s="7"/>
      <c r="AJ102" s="7"/>
      <c r="AK102" s="7"/>
      <c r="AL102" s="3"/>
      <c r="AM102" s="9"/>
      <c r="AN102" s="7"/>
      <c r="AO102" s="7"/>
      <c r="AP102" s="7"/>
      <c r="AQ102" s="7"/>
      <c r="AR102" s="9"/>
      <c r="AS102" s="9"/>
      <c r="AT102" s="9"/>
      <c r="AU102" s="3"/>
      <c r="AV102" s="3"/>
      <c r="AW102" s="3"/>
      <c r="AX102" s="3"/>
      <c r="AY102" s="3"/>
      <c r="AZ102" s="3"/>
    </row>
    <row r="103" spans="1:52" x14ac:dyDescent="0.25">
      <c r="A103">
        <f t="shared" si="14"/>
        <v>64</v>
      </c>
      <c r="B103" s="1" t="s">
        <v>102</v>
      </c>
      <c r="C103" s="1" t="s">
        <v>139</v>
      </c>
      <c r="D103" s="2">
        <v>42325</v>
      </c>
      <c r="E103" s="3">
        <v>45.9</v>
      </c>
      <c r="F103" s="4">
        <f t="shared" si="0"/>
        <v>6403.7502460629912</v>
      </c>
      <c r="G103" s="7">
        <v>8.7100000000000009</v>
      </c>
      <c r="H103" s="7">
        <v>270.74</v>
      </c>
      <c r="I103" s="7">
        <f t="shared" si="1"/>
        <v>262.03000000000003</v>
      </c>
      <c r="J103" s="7">
        <v>247.82</v>
      </c>
      <c r="K103" s="5">
        <f t="shared" si="2"/>
        <v>5.4230431629966169</v>
      </c>
      <c r="L103" s="4">
        <f t="shared" si="3"/>
        <v>6056.4721061684932</v>
      </c>
      <c r="M103" s="2">
        <v>42339</v>
      </c>
      <c r="N103" s="7">
        <v>3.62</v>
      </c>
      <c r="O103" s="7">
        <v>0.88</v>
      </c>
      <c r="P103" s="7">
        <f t="shared" si="4"/>
        <v>0.6</v>
      </c>
      <c r="Q103" s="7">
        <v>0.9</v>
      </c>
      <c r="R103" s="6">
        <f t="shared" si="5"/>
        <v>0.36540736246139954</v>
      </c>
      <c r="S103" s="6">
        <f t="shared" si="6"/>
        <v>0.5481110436920994</v>
      </c>
      <c r="T103" s="6">
        <f t="shared" si="7"/>
        <v>8.6481593846501004E-2</v>
      </c>
      <c r="U103" s="4">
        <f t="shared" si="8"/>
        <v>2339.977487275416</v>
      </c>
      <c r="V103" s="4">
        <f t="shared" si="9"/>
        <v>3509.9662309131245</v>
      </c>
      <c r="W103" s="4">
        <f t="shared" si="10"/>
        <v>5849.9437181885405</v>
      </c>
      <c r="X103" s="4">
        <f t="shared" si="11"/>
        <v>2213.0794981360664</v>
      </c>
      <c r="Y103" s="4">
        <f t="shared" si="12"/>
        <v>3319.6192472041002</v>
      </c>
      <c r="Z103" s="4">
        <f t="shared" si="13"/>
        <v>5532.6987453401671</v>
      </c>
      <c r="AE103" s="3"/>
      <c r="AF103" s="3"/>
      <c r="AG103" s="7"/>
      <c r="AH103" s="7"/>
      <c r="AI103" s="7"/>
      <c r="AJ103" s="7"/>
      <c r="AK103" s="7"/>
      <c r="AL103" s="3"/>
      <c r="AM103" s="9"/>
      <c r="AN103" s="7"/>
      <c r="AO103" s="7"/>
      <c r="AP103" s="7"/>
      <c r="AQ103" s="7"/>
      <c r="AR103" s="9"/>
      <c r="AS103" s="9"/>
      <c r="AT103" s="9"/>
      <c r="AU103" s="3"/>
      <c r="AV103" s="3"/>
      <c r="AW103" s="3"/>
      <c r="AX103" s="3"/>
      <c r="AY103" s="3"/>
      <c r="AZ103" s="3"/>
    </row>
    <row r="104" spans="1:52" x14ac:dyDescent="0.25">
      <c r="A104">
        <f t="shared" si="14"/>
        <v>65</v>
      </c>
      <c r="B104" s="1" t="s">
        <v>103</v>
      </c>
      <c r="C104" s="1" t="s">
        <v>139</v>
      </c>
      <c r="D104" s="2">
        <v>42325</v>
      </c>
      <c r="E104" s="3">
        <v>47.6</v>
      </c>
      <c r="F104" s="4">
        <f t="shared" si="0"/>
        <v>6640.9261811023625</v>
      </c>
      <c r="G104" s="7">
        <v>8.68</v>
      </c>
      <c r="H104" s="7">
        <v>256.99</v>
      </c>
      <c r="I104" s="7">
        <f t="shared" si="1"/>
        <v>248.31</v>
      </c>
      <c r="J104" s="7">
        <v>234.91</v>
      </c>
      <c r="K104" s="5">
        <f t="shared" si="2"/>
        <v>5.396480206193873</v>
      </c>
      <c r="L104" s="4">
        <f t="shared" si="3"/>
        <v>6282.5499142312265</v>
      </c>
      <c r="M104" s="2">
        <v>42339</v>
      </c>
      <c r="N104" s="7">
        <v>3.32</v>
      </c>
      <c r="O104" s="7">
        <v>0.82</v>
      </c>
      <c r="P104" s="7">
        <f t="shared" si="4"/>
        <v>0.53999999999999992</v>
      </c>
      <c r="Q104" s="7">
        <v>0.82</v>
      </c>
      <c r="R104" s="6">
        <f t="shared" si="5"/>
        <v>0.35858349002989148</v>
      </c>
      <c r="S104" s="6">
        <f t="shared" si="6"/>
        <v>0.54451567004539081</v>
      </c>
      <c r="T104" s="6">
        <f t="shared" si="7"/>
        <v>9.6900839924717763E-2</v>
      </c>
      <c r="U104" s="4">
        <f t="shared" si="8"/>
        <v>2381.3264870505645</v>
      </c>
      <c r="V104" s="4">
        <f t="shared" si="9"/>
        <v>3616.0883692249313</v>
      </c>
      <c r="W104" s="4">
        <f t="shared" si="10"/>
        <v>5997.4148562754963</v>
      </c>
      <c r="X104" s="4">
        <f t="shared" si="11"/>
        <v>2252.8186745320286</v>
      </c>
      <c r="Y104" s="4">
        <f t="shared" si="12"/>
        <v>3420.946876141229</v>
      </c>
      <c r="Z104" s="4">
        <f t="shared" si="13"/>
        <v>5673.7655506732572</v>
      </c>
      <c r="AE104" s="3"/>
      <c r="AF104" s="3"/>
      <c r="AG104" s="7"/>
      <c r="AH104" s="7"/>
      <c r="AI104" s="7"/>
      <c r="AJ104" s="7"/>
      <c r="AK104" s="7"/>
      <c r="AL104" s="3"/>
      <c r="AM104" s="9"/>
      <c r="AN104" s="7"/>
      <c r="AO104" s="7"/>
      <c r="AP104" s="7"/>
      <c r="AQ104" s="7"/>
      <c r="AR104" s="9"/>
      <c r="AS104" s="9"/>
      <c r="AT104" s="9"/>
      <c r="AU104" s="3"/>
      <c r="AV104" s="3"/>
      <c r="AW104" s="3"/>
      <c r="AX104" s="3"/>
      <c r="AY104" s="3"/>
      <c r="AZ104" s="3"/>
    </row>
    <row r="105" spans="1:52" x14ac:dyDescent="0.25">
      <c r="A105">
        <f t="shared" si="14"/>
        <v>66</v>
      </c>
      <c r="B105" s="1" t="s">
        <v>104</v>
      </c>
      <c r="C105" s="1" t="s">
        <v>139</v>
      </c>
      <c r="D105" s="2">
        <v>42325</v>
      </c>
      <c r="E105" s="3">
        <v>50.3</v>
      </c>
      <c r="F105" s="4">
        <f t="shared" ref="F105:F139" si="15">E105*$A$29/$A$30*$A$31</f>
        <v>7017.6173720472434</v>
      </c>
      <c r="G105" s="7">
        <v>8.73</v>
      </c>
      <c r="H105" s="7">
        <v>201.63</v>
      </c>
      <c r="I105" s="7">
        <f t="shared" ref="I105:I139" si="16">H105-G105</f>
        <v>192.9</v>
      </c>
      <c r="J105" s="7">
        <v>183.44</v>
      </c>
      <c r="K105" s="5">
        <f t="shared" ref="K105:K139" si="17">(I105-J105)/I105*100</f>
        <v>4.904095386210475</v>
      </c>
      <c r="L105" s="4">
        <f t="shared" ref="L105:L139" si="18">F105*(1-K105/100)</f>
        <v>6673.4667222827702</v>
      </c>
      <c r="M105" s="2">
        <v>42339</v>
      </c>
      <c r="N105" s="7">
        <v>3.2</v>
      </c>
      <c r="O105" s="7">
        <v>0.78</v>
      </c>
      <c r="P105" s="7">
        <f t="shared" ref="P105:P139" si="19">O105-$A$32</f>
        <v>0.5</v>
      </c>
      <c r="Q105" s="7">
        <v>0.76</v>
      </c>
      <c r="R105" s="6">
        <f t="shared" ref="R105:R139" si="20">P105/(N105*$A$29)</f>
        <v>0.3444725656537152</v>
      </c>
      <c r="S105" s="6">
        <f t="shared" ref="S105:S139" si="21">Q105/(N105*$A$29)</f>
        <v>0.52359829979364714</v>
      </c>
      <c r="T105" s="6">
        <f t="shared" ref="T105:T139" si="22">1-R105-S105</f>
        <v>0.13192913455263766</v>
      </c>
      <c r="U105" s="4">
        <f t="shared" ref="U105:U139" si="23">F105*R105</f>
        <v>2417.3766609251966</v>
      </c>
      <c r="V105" s="4">
        <f t="shared" ref="V105:V139" si="24">F105*S105</f>
        <v>3674.4125246062986</v>
      </c>
      <c r="W105" s="4">
        <f t="shared" ref="W105:W139" si="25">U105+V105</f>
        <v>6091.7891855314956</v>
      </c>
      <c r="X105" s="4">
        <f t="shared" ref="X105:X139" si="26">L105*R105</f>
        <v>2298.826203629435</v>
      </c>
      <c r="Y105" s="4">
        <f t="shared" ref="Y105:Y139" si="27">L105*S105</f>
        <v>3494.2158295167415</v>
      </c>
      <c r="Z105" s="4">
        <f t="shared" ref="Z105:Z139" si="28">X105+Y105</f>
        <v>5793.0420331461764</v>
      </c>
      <c r="AE105" s="3"/>
      <c r="AF105" s="3"/>
      <c r="AG105" s="7"/>
      <c r="AH105" s="7"/>
      <c r="AI105" s="7"/>
      <c r="AJ105" s="7"/>
      <c r="AK105" s="7"/>
      <c r="AL105" s="3"/>
      <c r="AM105" s="9"/>
      <c r="AN105" s="7"/>
      <c r="AO105" s="7"/>
      <c r="AP105" s="7"/>
      <c r="AQ105" s="7"/>
      <c r="AR105" s="9"/>
      <c r="AS105" s="9"/>
      <c r="AT105" s="9"/>
      <c r="AU105" s="3"/>
      <c r="AV105" s="3"/>
      <c r="AW105" s="3"/>
      <c r="AX105" s="3"/>
      <c r="AY105" s="3"/>
      <c r="AZ105" s="3"/>
    </row>
    <row r="106" spans="1:52" x14ac:dyDescent="0.25">
      <c r="A106">
        <f t="shared" ref="A106:A139" si="29">A105+1</f>
        <v>67</v>
      </c>
      <c r="B106" s="1" t="s">
        <v>105</v>
      </c>
      <c r="C106" s="1" t="s">
        <v>139</v>
      </c>
      <c r="D106" s="2">
        <v>42325</v>
      </c>
      <c r="E106" s="3">
        <v>44.499999999999993</v>
      </c>
      <c r="F106" s="4">
        <f t="shared" si="15"/>
        <v>6208.4288877952749</v>
      </c>
      <c r="G106" s="7">
        <v>8.75</v>
      </c>
      <c r="H106" s="7">
        <v>199.01</v>
      </c>
      <c r="I106" s="7">
        <f t="shared" si="16"/>
        <v>190.26</v>
      </c>
      <c r="J106" s="7">
        <v>180.53</v>
      </c>
      <c r="K106" s="5">
        <f t="shared" si="17"/>
        <v>5.1140544518027911</v>
      </c>
      <c r="L106" s="4">
        <f t="shared" si="18"/>
        <v>5890.9264538719699</v>
      </c>
      <c r="M106" s="2">
        <v>42339</v>
      </c>
      <c r="N106" s="7">
        <v>3.36</v>
      </c>
      <c r="O106" s="7">
        <v>0.86</v>
      </c>
      <c r="P106" s="7">
        <f t="shared" si="19"/>
        <v>0.57999999999999996</v>
      </c>
      <c r="Q106" s="7">
        <v>0.86</v>
      </c>
      <c r="R106" s="6">
        <f t="shared" si="20"/>
        <v>0.38056016776981877</v>
      </c>
      <c r="S106" s="6">
        <f t="shared" si="21"/>
        <v>0.56427886945180028</v>
      </c>
      <c r="T106" s="6">
        <f t="shared" si="22"/>
        <v>5.5160962778381006E-2</v>
      </c>
      <c r="U106" s="4">
        <f t="shared" si="23"/>
        <v>2362.6807391263592</v>
      </c>
      <c r="V106" s="4">
        <f t="shared" si="24"/>
        <v>3503.2852338770153</v>
      </c>
      <c r="W106" s="4">
        <f t="shared" si="25"/>
        <v>5865.9659730033745</v>
      </c>
      <c r="X106" s="4">
        <f t="shared" si="26"/>
        <v>2241.8519596051806</v>
      </c>
      <c r="Y106" s="4">
        <f t="shared" si="27"/>
        <v>3324.1253194145779</v>
      </c>
      <c r="Z106" s="4">
        <f t="shared" si="28"/>
        <v>5565.9772790197585</v>
      </c>
      <c r="AE106" s="3"/>
      <c r="AF106" s="3"/>
      <c r="AG106" s="7"/>
      <c r="AH106" s="7"/>
      <c r="AI106" s="7"/>
      <c r="AJ106" s="7"/>
      <c r="AK106" s="7"/>
      <c r="AL106" s="3"/>
      <c r="AM106" s="9"/>
      <c r="AN106" s="7"/>
      <c r="AO106" s="7"/>
      <c r="AP106" s="7"/>
      <c r="AQ106" s="7"/>
      <c r="AR106" s="9"/>
      <c r="AS106" s="9"/>
      <c r="AT106" s="9"/>
      <c r="AU106" s="3"/>
      <c r="AV106" s="3"/>
      <c r="AW106" s="3"/>
      <c r="AX106" s="3"/>
      <c r="AY106" s="3"/>
      <c r="AZ106" s="3"/>
    </row>
    <row r="107" spans="1:52" x14ac:dyDescent="0.25">
      <c r="A107">
        <f t="shared" si="29"/>
        <v>68</v>
      </c>
      <c r="B107" s="1" t="s">
        <v>106</v>
      </c>
      <c r="C107" s="1" t="s">
        <v>139</v>
      </c>
      <c r="D107" s="2">
        <v>42325</v>
      </c>
      <c r="E107" s="3">
        <v>49</v>
      </c>
      <c r="F107" s="4">
        <f t="shared" si="15"/>
        <v>6836.2475393700779</v>
      </c>
      <c r="G107" s="7">
        <v>8.83</v>
      </c>
      <c r="H107" s="7">
        <v>277.92</v>
      </c>
      <c r="I107" s="7">
        <f t="shared" si="16"/>
        <v>269.09000000000003</v>
      </c>
      <c r="J107" s="7">
        <v>254.63</v>
      </c>
      <c r="K107" s="5">
        <f t="shared" si="17"/>
        <v>5.3736668029284012</v>
      </c>
      <c r="L107" s="4">
        <f t="shared" si="18"/>
        <v>6468.8903747809381</v>
      </c>
      <c r="M107" s="2">
        <v>42339</v>
      </c>
      <c r="N107" s="7">
        <v>3.16</v>
      </c>
      <c r="O107" s="7">
        <v>0.8</v>
      </c>
      <c r="P107" s="7">
        <f t="shared" si="19"/>
        <v>0.52</v>
      </c>
      <c r="Q107" s="7">
        <v>0.74</v>
      </c>
      <c r="R107" s="6">
        <f t="shared" si="20"/>
        <v>0.36278629699226722</v>
      </c>
      <c r="S107" s="6">
        <f t="shared" si="21"/>
        <v>0.51627280725822633</v>
      </c>
      <c r="T107" s="6">
        <f t="shared" si="22"/>
        <v>0.12094089574950639</v>
      </c>
      <c r="U107" s="4">
        <f t="shared" si="23"/>
        <v>2480.096930130569</v>
      </c>
      <c r="V107" s="4">
        <f t="shared" si="24"/>
        <v>3529.3687082627321</v>
      </c>
      <c r="W107" s="4">
        <f t="shared" si="25"/>
        <v>6009.4656383933016</v>
      </c>
      <c r="X107" s="4">
        <f t="shared" si="26"/>
        <v>2346.8247847156963</v>
      </c>
      <c r="Y107" s="4">
        <f t="shared" si="27"/>
        <v>3339.7121936338749</v>
      </c>
      <c r="Z107" s="4">
        <f t="shared" si="28"/>
        <v>5686.5369783495717</v>
      </c>
      <c r="AE107" s="3"/>
      <c r="AF107" s="3"/>
      <c r="AG107" s="7"/>
      <c r="AH107" s="7"/>
      <c r="AI107" s="7"/>
      <c r="AJ107" s="7"/>
      <c r="AK107" s="7"/>
      <c r="AL107" s="3"/>
      <c r="AM107" s="9"/>
      <c r="AN107" s="7"/>
      <c r="AO107" s="7"/>
      <c r="AP107" s="7"/>
      <c r="AQ107" s="7"/>
      <c r="AR107" s="9"/>
      <c r="AS107" s="9"/>
      <c r="AT107" s="9"/>
      <c r="AU107" s="3"/>
      <c r="AV107" s="3"/>
      <c r="AW107" s="3"/>
      <c r="AX107" s="3"/>
      <c r="AY107" s="3"/>
      <c r="AZ107" s="3"/>
    </row>
    <row r="108" spans="1:52" x14ac:dyDescent="0.25">
      <c r="A108">
        <f t="shared" si="29"/>
        <v>69</v>
      </c>
      <c r="B108" s="1" t="s">
        <v>107</v>
      </c>
      <c r="C108" s="1" t="s">
        <v>139</v>
      </c>
      <c r="D108" s="2">
        <v>42325</v>
      </c>
      <c r="E108" s="3">
        <v>44.699999999999996</v>
      </c>
      <c r="F108" s="4">
        <f t="shared" si="15"/>
        <v>6236.3319389763774</v>
      </c>
      <c r="G108" s="7">
        <v>8.7899999999999991</v>
      </c>
      <c r="H108" s="7">
        <v>236.34</v>
      </c>
      <c r="I108" s="7">
        <f t="shared" si="16"/>
        <v>227.55</v>
      </c>
      <c r="J108" s="7">
        <v>216.27</v>
      </c>
      <c r="K108" s="5">
        <f t="shared" si="17"/>
        <v>4.9571522742254448</v>
      </c>
      <c r="L108" s="4">
        <f t="shared" si="18"/>
        <v>5927.1874684351624</v>
      </c>
      <c r="M108" s="2">
        <v>42339</v>
      </c>
      <c r="N108" s="7">
        <v>2.66</v>
      </c>
      <c r="O108" s="7">
        <v>0.72</v>
      </c>
      <c r="P108" s="7">
        <f t="shared" si="19"/>
        <v>0.43999999999999995</v>
      </c>
      <c r="Q108" s="7">
        <v>0.68</v>
      </c>
      <c r="R108" s="6">
        <f t="shared" si="20"/>
        <v>0.3646747161206248</v>
      </c>
      <c r="S108" s="6">
        <f t="shared" si="21"/>
        <v>0.56358819764096568</v>
      </c>
      <c r="T108" s="6">
        <f t="shared" si="22"/>
        <v>7.1737086238409575E-2</v>
      </c>
      <c r="U108" s="4">
        <f t="shared" si="23"/>
        <v>2274.2325794801959</v>
      </c>
      <c r="V108" s="4">
        <f t="shared" si="24"/>
        <v>3514.7230773784854</v>
      </c>
      <c r="W108" s="4">
        <f t="shared" si="25"/>
        <v>5788.9556568586813</v>
      </c>
      <c r="X108" s="4">
        <f t="shared" si="26"/>
        <v>2161.4954074453176</v>
      </c>
      <c r="Y108" s="4">
        <f t="shared" si="27"/>
        <v>3340.4929024154912</v>
      </c>
      <c r="Z108" s="4">
        <f t="shared" si="28"/>
        <v>5501.9883098608088</v>
      </c>
      <c r="AE108" s="3"/>
      <c r="AF108" s="3"/>
      <c r="AG108" s="7"/>
      <c r="AH108" s="7"/>
      <c r="AI108" s="7"/>
      <c r="AJ108" s="7"/>
      <c r="AK108" s="7"/>
      <c r="AL108" s="3"/>
      <c r="AM108" s="9"/>
      <c r="AN108" s="7"/>
      <c r="AO108" s="7"/>
      <c r="AP108" s="7"/>
      <c r="AQ108" s="7"/>
      <c r="AR108" s="9"/>
      <c r="AS108" s="9"/>
      <c r="AT108" s="9"/>
      <c r="AU108" s="3"/>
      <c r="AV108" s="3"/>
      <c r="AW108" s="3"/>
      <c r="AX108" s="3"/>
      <c r="AY108" s="3"/>
      <c r="AZ108" s="3"/>
    </row>
    <row r="109" spans="1:52" x14ac:dyDescent="0.25">
      <c r="A109">
        <f t="shared" si="29"/>
        <v>70</v>
      </c>
      <c r="B109" s="1" t="s">
        <v>108</v>
      </c>
      <c r="C109" s="1" t="s">
        <v>139</v>
      </c>
      <c r="D109" s="2">
        <v>42325</v>
      </c>
      <c r="E109" s="3">
        <v>35.6</v>
      </c>
      <c r="F109" s="4">
        <f t="shared" si="15"/>
        <v>4966.7431102362207</v>
      </c>
      <c r="G109" s="7">
        <v>8.82</v>
      </c>
      <c r="H109" s="7">
        <v>236.11</v>
      </c>
      <c r="I109" s="7">
        <f t="shared" si="16"/>
        <v>227.29000000000002</v>
      </c>
      <c r="J109" s="7">
        <v>215.69</v>
      </c>
      <c r="K109" s="5">
        <f t="shared" si="17"/>
        <v>5.103612125478473</v>
      </c>
      <c r="L109" s="4">
        <f t="shared" si="18"/>
        <v>4713.2598066208384</v>
      </c>
      <c r="M109" s="2">
        <v>42339</v>
      </c>
      <c r="N109" s="7">
        <v>3.38</v>
      </c>
      <c r="O109" s="7">
        <v>0.84</v>
      </c>
      <c r="P109" s="7">
        <f t="shared" si="19"/>
        <v>0.55999999999999994</v>
      </c>
      <c r="Q109" s="7">
        <v>0.82</v>
      </c>
      <c r="R109" s="6">
        <f t="shared" si="20"/>
        <v>0.36526321754524121</v>
      </c>
      <c r="S109" s="6">
        <f t="shared" si="21"/>
        <v>0.53484971140553184</v>
      </c>
      <c r="T109" s="6">
        <f t="shared" si="22"/>
        <v>9.9887071049226894E-2</v>
      </c>
      <c r="U109" s="4">
        <f t="shared" si="23"/>
        <v>1814.1685691655407</v>
      </c>
      <c r="V109" s="4">
        <f t="shared" si="24"/>
        <v>2656.461119135256</v>
      </c>
      <c r="W109" s="4">
        <f t="shared" si="25"/>
        <v>4470.6296883007963</v>
      </c>
      <c r="X109" s="4">
        <f t="shared" si="26"/>
        <v>1721.5804420929887</v>
      </c>
      <c r="Y109" s="4">
        <f t="shared" si="27"/>
        <v>2520.8856473504484</v>
      </c>
      <c r="Z109" s="4">
        <f t="shared" si="28"/>
        <v>4242.4660894434373</v>
      </c>
      <c r="AE109" s="3"/>
      <c r="AF109" s="3"/>
      <c r="AG109" s="7"/>
      <c r="AH109" s="7"/>
      <c r="AI109" s="7"/>
      <c r="AJ109" s="7"/>
      <c r="AK109" s="7"/>
      <c r="AL109" s="3"/>
      <c r="AM109" s="9"/>
      <c r="AN109" s="7"/>
      <c r="AO109" s="7"/>
      <c r="AP109" s="7"/>
      <c r="AQ109" s="7"/>
      <c r="AR109" s="9"/>
      <c r="AS109" s="9"/>
      <c r="AT109" s="9"/>
      <c r="AU109" s="3"/>
      <c r="AV109" s="3"/>
      <c r="AW109" s="3"/>
      <c r="AX109" s="3"/>
      <c r="AY109" s="3"/>
      <c r="AZ109" s="3"/>
    </row>
    <row r="110" spans="1:52" x14ac:dyDescent="0.25">
      <c r="A110">
        <f t="shared" si="29"/>
        <v>71</v>
      </c>
      <c r="B110" s="1" t="s">
        <v>109</v>
      </c>
      <c r="C110" s="1" t="s">
        <v>139</v>
      </c>
      <c r="D110" s="2">
        <v>42325</v>
      </c>
      <c r="E110" s="3">
        <v>40</v>
      </c>
      <c r="F110" s="4">
        <f t="shared" si="15"/>
        <v>5580.610236220472</v>
      </c>
      <c r="G110" s="7">
        <v>8.75</v>
      </c>
      <c r="H110" s="7">
        <v>216.92</v>
      </c>
      <c r="I110" s="7">
        <f t="shared" si="16"/>
        <v>208.17</v>
      </c>
      <c r="J110" s="7">
        <v>196.72</v>
      </c>
      <c r="K110" s="5">
        <f t="shared" si="17"/>
        <v>5.5003122447999182</v>
      </c>
      <c r="L110" s="4">
        <f t="shared" si="18"/>
        <v>5273.6592480630798</v>
      </c>
      <c r="M110" s="2">
        <v>42339</v>
      </c>
      <c r="N110" s="7">
        <v>2.56</v>
      </c>
      <c r="O110" s="7">
        <v>0.7</v>
      </c>
      <c r="P110" s="7">
        <f t="shared" si="19"/>
        <v>0.41999999999999993</v>
      </c>
      <c r="Q110" s="7">
        <v>0.66</v>
      </c>
      <c r="R110" s="6">
        <f t="shared" si="20"/>
        <v>0.36169619393640096</v>
      </c>
      <c r="S110" s="6">
        <f t="shared" si="21"/>
        <v>0.56837973332863023</v>
      </c>
      <c r="T110" s="6">
        <f t="shared" si="22"/>
        <v>6.9924072734968812E-2</v>
      </c>
      <c r="U110" s="4">
        <f t="shared" si="23"/>
        <v>2018.4854822834641</v>
      </c>
      <c r="V110" s="4">
        <f t="shared" si="24"/>
        <v>3171.9057578740162</v>
      </c>
      <c r="W110" s="4">
        <f t="shared" si="25"/>
        <v>5190.3912401574798</v>
      </c>
      <c r="X110" s="4">
        <f t="shared" si="26"/>
        <v>1907.4624781419182</v>
      </c>
      <c r="Y110" s="4">
        <f t="shared" si="27"/>
        <v>2997.4410370801579</v>
      </c>
      <c r="Z110" s="4">
        <f t="shared" si="28"/>
        <v>4904.9035152220758</v>
      </c>
      <c r="AB110" t="s">
        <v>146</v>
      </c>
      <c r="AC110" t="str">
        <f>C110</f>
        <v>Machine</v>
      </c>
      <c r="AD110" s="8">
        <f>D110</f>
        <v>42325</v>
      </c>
      <c r="AE110" s="3">
        <f>SUM(E110:E119)</f>
        <v>433.90000000000009</v>
      </c>
      <c r="AF110" s="3">
        <f>AE110*$A$29/($A$30*10)*$A$31</f>
        <v>6053.5669537401582</v>
      </c>
      <c r="AG110" s="7">
        <f>SUM(G110:G119)</f>
        <v>87.88</v>
      </c>
      <c r="AH110" s="7">
        <f>SUM(H110:H119)</f>
        <v>2176.8200000000002</v>
      </c>
      <c r="AI110" s="7">
        <f>AH110-AG110</f>
        <v>2088.94</v>
      </c>
      <c r="AJ110" s="7">
        <f>SUM(J110:J119)</f>
        <v>1976.5100000000002</v>
      </c>
      <c r="AK110" s="7">
        <f>(AI110-AJ110)/AI110*100</f>
        <v>5.3821555430026633</v>
      </c>
      <c r="AL110" s="3">
        <f>AF110*(1-AK110/100)</f>
        <v>5727.7545643900548</v>
      </c>
      <c r="AM110" s="11">
        <f>M110</f>
        <v>42339</v>
      </c>
      <c r="AN110" s="7">
        <f>SUM(N110:N119)</f>
        <v>30.78</v>
      </c>
      <c r="AO110" s="7">
        <f>SUM(O110:O119)</f>
        <v>7.839999999999999</v>
      </c>
      <c r="AP110" s="7">
        <f>AO110-10*$A$32</f>
        <v>5.0399999999999991</v>
      </c>
      <c r="AQ110" s="7">
        <f>SUM(Q110:Q119)</f>
        <v>7.6400000000000006</v>
      </c>
      <c r="AR110" s="9">
        <f>AP110/(AN110*$A$29)</f>
        <v>0.36099113312950737</v>
      </c>
      <c r="AS110" s="9">
        <f>AQ110/(AN110*$A$29)</f>
        <v>0.54721671768044378</v>
      </c>
      <c r="AT110" s="9">
        <f>1-AR110-AS110</f>
        <v>9.1792149190048855E-2</v>
      </c>
      <c r="AU110" s="3">
        <f>AF110*AR110</f>
        <v>2185.2839941059997</v>
      </c>
      <c r="AV110" s="3">
        <f>AF110*AS110</f>
        <v>3312.613038684492</v>
      </c>
      <c r="AW110" s="3">
        <f>AU110+AV110</f>
        <v>5497.8970327904917</v>
      </c>
      <c r="AX110" s="3">
        <f>AL110*AR110</f>
        <v>2067.6686104868736</v>
      </c>
      <c r="AY110" s="3">
        <f>AL110*AS110</f>
        <v>3134.3230524047058</v>
      </c>
      <c r="AZ110" s="3">
        <f>AX110+AY110</f>
        <v>5201.9916628915798</v>
      </c>
    </row>
    <row r="111" spans="1:52" x14ac:dyDescent="0.25">
      <c r="A111">
        <f t="shared" si="29"/>
        <v>72</v>
      </c>
      <c r="B111" s="1" t="s">
        <v>110</v>
      </c>
      <c r="C111" s="1" t="s">
        <v>139</v>
      </c>
      <c r="D111" s="2">
        <v>42325</v>
      </c>
      <c r="E111" s="3">
        <v>47.400000000000006</v>
      </c>
      <c r="F111" s="4">
        <f t="shared" si="15"/>
        <v>6613.0231299212601</v>
      </c>
      <c r="G111" s="7">
        <v>8.8000000000000007</v>
      </c>
      <c r="H111" s="7">
        <v>202.23</v>
      </c>
      <c r="I111" s="7">
        <f t="shared" si="16"/>
        <v>193.42999999999998</v>
      </c>
      <c r="J111" s="7">
        <v>182.33</v>
      </c>
      <c r="K111" s="5">
        <f t="shared" si="17"/>
        <v>5.7385100553171515</v>
      </c>
      <c r="L111" s="4">
        <f t="shared" si="18"/>
        <v>6233.5341326502794</v>
      </c>
      <c r="M111" s="2">
        <v>42339</v>
      </c>
      <c r="N111" s="7">
        <v>2.78</v>
      </c>
      <c r="O111" s="7">
        <v>0.74</v>
      </c>
      <c r="P111" s="7">
        <f t="shared" si="19"/>
        <v>0.45999999999999996</v>
      </c>
      <c r="Q111" s="7">
        <v>0.68</v>
      </c>
      <c r="R111" s="6">
        <f t="shared" si="20"/>
        <v>0.36479396880738768</v>
      </c>
      <c r="S111" s="6">
        <f t="shared" si="21"/>
        <v>0.53926064954135577</v>
      </c>
      <c r="T111" s="6">
        <f t="shared" si="22"/>
        <v>9.5945381651256545E-2</v>
      </c>
      <c r="U111" s="4">
        <f t="shared" si="23"/>
        <v>2412.3909533790293</v>
      </c>
      <c r="V111" s="4">
        <f t="shared" si="24"/>
        <v>3566.1431484733484</v>
      </c>
      <c r="W111" s="4">
        <f t="shared" si="25"/>
        <v>5978.5341018523777</v>
      </c>
      <c r="X111" s="4">
        <f t="shared" si="26"/>
        <v>2273.9556559458124</v>
      </c>
      <c r="Y111" s="4">
        <f t="shared" si="27"/>
        <v>3361.4996653112016</v>
      </c>
      <c r="Z111" s="4">
        <f t="shared" si="28"/>
        <v>5635.4553212570136</v>
      </c>
      <c r="AE111" s="3"/>
      <c r="AF111" s="3"/>
      <c r="AG111" s="7"/>
      <c r="AH111" s="7"/>
      <c r="AI111" s="7"/>
      <c r="AJ111" s="7"/>
      <c r="AK111" s="7"/>
      <c r="AL111" s="3"/>
      <c r="AM111" s="9"/>
      <c r="AN111" s="7"/>
      <c r="AO111" s="7"/>
      <c r="AP111" s="7"/>
      <c r="AQ111" s="7"/>
      <c r="AR111" s="9"/>
      <c r="AS111" s="9"/>
      <c r="AT111" s="9"/>
      <c r="AU111" s="3"/>
      <c r="AV111" s="3"/>
      <c r="AW111" s="3"/>
      <c r="AX111" s="3"/>
      <c r="AY111" s="3"/>
      <c r="AZ111" s="3"/>
    </row>
    <row r="112" spans="1:52" x14ac:dyDescent="0.25">
      <c r="A112">
        <f t="shared" si="29"/>
        <v>73</v>
      </c>
      <c r="B112" s="1" t="s">
        <v>111</v>
      </c>
      <c r="C112" s="1" t="s">
        <v>139</v>
      </c>
      <c r="D112" s="2">
        <v>42325</v>
      </c>
      <c r="E112" s="3">
        <v>48.600000000000009</v>
      </c>
      <c r="F112" s="4">
        <f t="shared" si="15"/>
        <v>6780.4414370078748</v>
      </c>
      <c r="G112" s="7">
        <v>8.81</v>
      </c>
      <c r="H112" s="7">
        <v>258.33</v>
      </c>
      <c r="I112" s="7">
        <f t="shared" si="16"/>
        <v>249.51999999999998</v>
      </c>
      <c r="J112" s="7">
        <v>235.28</v>
      </c>
      <c r="K112" s="5">
        <f t="shared" si="17"/>
        <v>5.7069573581275979</v>
      </c>
      <c r="L112" s="4">
        <f t="shared" si="18"/>
        <v>6393.4845355050211</v>
      </c>
      <c r="M112" s="2">
        <v>42339</v>
      </c>
      <c r="N112" s="7">
        <v>3.44</v>
      </c>
      <c r="O112" s="7">
        <v>0.82</v>
      </c>
      <c r="P112" s="7">
        <f t="shared" si="19"/>
        <v>0.53999999999999992</v>
      </c>
      <c r="Q112" s="7">
        <v>0.84</v>
      </c>
      <c r="R112" s="6">
        <f t="shared" si="20"/>
        <v>0.34607476363349987</v>
      </c>
      <c r="S112" s="6">
        <f t="shared" si="21"/>
        <v>0.53833852120766656</v>
      </c>
      <c r="T112" s="6">
        <f t="shared" si="22"/>
        <v>0.11558671515883356</v>
      </c>
      <c r="U112" s="4">
        <f t="shared" si="23"/>
        <v>2346.5396676432883</v>
      </c>
      <c r="V112" s="4">
        <f t="shared" si="24"/>
        <v>3650.1728163340049</v>
      </c>
      <c r="W112" s="4">
        <f t="shared" si="25"/>
        <v>5996.7124839772932</v>
      </c>
      <c r="X112" s="4">
        <f t="shared" si="26"/>
        <v>2212.6236494193367</v>
      </c>
      <c r="Y112" s="4">
        <f t="shared" si="27"/>
        <v>3441.8590102078579</v>
      </c>
      <c r="Z112" s="4">
        <f t="shared" si="28"/>
        <v>5654.4826596271942</v>
      </c>
      <c r="AE112" s="3"/>
      <c r="AF112" s="3"/>
      <c r="AG112" s="7"/>
      <c r="AH112" s="7"/>
      <c r="AI112" s="7"/>
      <c r="AJ112" s="7"/>
      <c r="AK112" s="7"/>
      <c r="AL112" s="3"/>
      <c r="AM112" s="9"/>
      <c r="AN112" s="7"/>
      <c r="AO112" s="7"/>
      <c r="AP112" s="7"/>
      <c r="AQ112" s="7"/>
      <c r="AR112" s="9"/>
      <c r="AS112" s="9"/>
      <c r="AT112" s="9"/>
      <c r="AU112" s="3"/>
      <c r="AV112" s="3"/>
      <c r="AW112" s="3"/>
      <c r="AX112" s="3"/>
      <c r="AY112" s="3"/>
      <c r="AZ112" s="3"/>
    </row>
    <row r="113" spans="1:52" x14ac:dyDescent="0.25">
      <c r="A113">
        <f t="shared" si="29"/>
        <v>74</v>
      </c>
      <c r="B113" s="1" t="s">
        <v>112</v>
      </c>
      <c r="C113" s="1" t="s">
        <v>139</v>
      </c>
      <c r="D113" s="2">
        <v>42325</v>
      </c>
      <c r="E113" s="3">
        <v>53.900000000000006</v>
      </c>
      <c r="F113" s="4">
        <f t="shared" si="15"/>
        <v>7519.8722933070876</v>
      </c>
      <c r="G113" s="7">
        <v>8.82</v>
      </c>
      <c r="H113" s="7">
        <v>218.05</v>
      </c>
      <c r="I113" s="7">
        <f t="shared" si="16"/>
        <v>209.23000000000002</v>
      </c>
      <c r="J113" s="7">
        <v>198.01</v>
      </c>
      <c r="K113" s="5">
        <f t="shared" si="17"/>
        <v>5.362519715146024</v>
      </c>
      <c r="L113" s="4">
        <f t="shared" si="18"/>
        <v>7116.6176590246923</v>
      </c>
      <c r="M113" s="2">
        <v>42339</v>
      </c>
      <c r="N113" s="7">
        <v>3.2</v>
      </c>
      <c r="O113" s="7">
        <v>0.82</v>
      </c>
      <c r="P113" s="7">
        <f t="shared" si="19"/>
        <v>0.53999999999999992</v>
      </c>
      <c r="Q113" s="7">
        <v>0.8</v>
      </c>
      <c r="R113" s="6">
        <f t="shared" si="20"/>
        <v>0.37203037090601238</v>
      </c>
      <c r="S113" s="6">
        <f t="shared" si="21"/>
        <v>0.55115610504594437</v>
      </c>
      <c r="T113" s="6">
        <f t="shared" si="22"/>
        <v>7.6813524048043202E-2</v>
      </c>
      <c r="U113" s="4">
        <f t="shared" si="23"/>
        <v>2797.6208784448818</v>
      </c>
      <c r="V113" s="4">
        <f t="shared" si="24"/>
        <v>4144.6235236220473</v>
      </c>
      <c r="W113" s="4">
        <f t="shared" si="25"/>
        <v>6942.2444020669291</v>
      </c>
      <c r="X113" s="4">
        <f t="shared" si="26"/>
        <v>2647.5979072832338</v>
      </c>
      <c r="Y113" s="4">
        <f t="shared" si="27"/>
        <v>3922.3672700492361</v>
      </c>
      <c r="Z113" s="4">
        <f t="shared" si="28"/>
        <v>6569.9651773324695</v>
      </c>
      <c r="AE113" s="3"/>
      <c r="AF113" s="3"/>
      <c r="AG113" s="7"/>
      <c r="AH113" s="7"/>
      <c r="AI113" s="7"/>
      <c r="AJ113" s="7"/>
      <c r="AK113" s="7"/>
      <c r="AL113" s="3"/>
      <c r="AM113" s="9"/>
      <c r="AN113" s="7"/>
      <c r="AO113" s="7"/>
      <c r="AP113" s="7"/>
      <c r="AQ113" s="7"/>
      <c r="AR113" s="9"/>
      <c r="AS113" s="9"/>
      <c r="AT113" s="9"/>
      <c r="AU113" s="3"/>
      <c r="AV113" s="3"/>
      <c r="AW113" s="3"/>
      <c r="AX113" s="3"/>
      <c r="AY113" s="3"/>
      <c r="AZ113" s="3"/>
    </row>
    <row r="114" spans="1:52" x14ac:dyDescent="0.25">
      <c r="A114">
        <f t="shared" si="29"/>
        <v>75</v>
      </c>
      <c r="B114" s="1" t="s">
        <v>113</v>
      </c>
      <c r="C114" s="1" t="s">
        <v>139</v>
      </c>
      <c r="D114" s="2">
        <v>42325</v>
      </c>
      <c r="E114" s="3">
        <v>37.300000000000004</v>
      </c>
      <c r="F114" s="4">
        <f t="shared" si="15"/>
        <v>5203.9190452755911</v>
      </c>
      <c r="G114" s="7">
        <v>8.7799999999999994</v>
      </c>
      <c r="H114" s="7">
        <v>201.41</v>
      </c>
      <c r="I114" s="7">
        <f t="shared" si="16"/>
        <v>192.63</v>
      </c>
      <c r="J114" s="7">
        <v>183.17</v>
      </c>
      <c r="K114" s="5">
        <f t="shared" si="17"/>
        <v>4.9109692155946671</v>
      </c>
      <c r="L114" s="4">
        <f t="shared" si="18"/>
        <v>4948.3561829576392</v>
      </c>
      <c r="M114" s="2">
        <v>42339</v>
      </c>
      <c r="N114" s="7">
        <v>2.92</v>
      </c>
      <c r="O114" s="7">
        <v>0.74</v>
      </c>
      <c r="P114" s="7">
        <f t="shared" si="19"/>
        <v>0.45999999999999996</v>
      </c>
      <c r="Q114" s="7">
        <v>0.72</v>
      </c>
      <c r="R114" s="6">
        <f t="shared" si="20"/>
        <v>0.34730384701525258</v>
      </c>
      <c r="S114" s="6">
        <f t="shared" si="21"/>
        <v>0.543606021415178</v>
      </c>
      <c r="T114" s="6">
        <f t="shared" si="22"/>
        <v>0.10909013156956948</v>
      </c>
      <c r="U114" s="4">
        <f t="shared" si="23"/>
        <v>1807.3411039801531</v>
      </c>
      <c r="V114" s="4">
        <f t="shared" si="24"/>
        <v>2828.8817279689356</v>
      </c>
      <c r="W114" s="4">
        <f t="shared" si="25"/>
        <v>4636.2228319490887</v>
      </c>
      <c r="X114" s="4">
        <f t="shared" si="26"/>
        <v>1718.5831387428991</v>
      </c>
      <c r="Y114" s="4">
        <f t="shared" si="27"/>
        <v>2689.956217162799</v>
      </c>
      <c r="Z114" s="4">
        <f t="shared" si="28"/>
        <v>4408.5393559056984</v>
      </c>
      <c r="AE114" s="3"/>
      <c r="AF114" s="3"/>
      <c r="AG114" s="7"/>
      <c r="AH114" s="7"/>
      <c r="AI114" s="7"/>
      <c r="AJ114" s="7"/>
      <c r="AK114" s="7"/>
      <c r="AL114" s="3"/>
      <c r="AM114" s="9"/>
      <c r="AN114" s="7"/>
      <c r="AO114" s="7"/>
      <c r="AP114" s="7"/>
      <c r="AQ114" s="7"/>
      <c r="AR114" s="9"/>
      <c r="AS114" s="9"/>
      <c r="AT114" s="9"/>
      <c r="AU114" s="3"/>
      <c r="AV114" s="3"/>
      <c r="AW114" s="3"/>
      <c r="AX114" s="3"/>
      <c r="AY114" s="3"/>
      <c r="AZ114" s="3"/>
    </row>
    <row r="115" spans="1:52" x14ac:dyDescent="0.25">
      <c r="A115">
        <f t="shared" si="29"/>
        <v>76</v>
      </c>
      <c r="B115" s="1" t="s">
        <v>114</v>
      </c>
      <c r="C115" s="1" t="s">
        <v>139</v>
      </c>
      <c r="D115" s="2">
        <v>42325</v>
      </c>
      <c r="E115" s="3">
        <v>47.5</v>
      </c>
      <c r="F115" s="4">
        <f t="shared" si="15"/>
        <v>6626.9746555118099</v>
      </c>
      <c r="G115" s="7">
        <v>8.82</v>
      </c>
      <c r="H115" s="7">
        <v>214.65</v>
      </c>
      <c r="I115" s="7">
        <f t="shared" si="16"/>
        <v>205.83</v>
      </c>
      <c r="J115" s="7">
        <v>193.71</v>
      </c>
      <c r="K115" s="5">
        <f t="shared" si="17"/>
        <v>5.8883544672788242</v>
      </c>
      <c r="L115" s="4">
        <f t="shared" si="18"/>
        <v>6236.7548973385447</v>
      </c>
      <c r="M115" s="2">
        <v>42339</v>
      </c>
      <c r="N115" s="7">
        <v>3.38</v>
      </c>
      <c r="O115" s="7">
        <v>0.84</v>
      </c>
      <c r="P115" s="7">
        <f t="shared" si="19"/>
        <v>0.55999999999999994</v>
      </c>
      <c r="Q115" s="7">
        <v>0.84</v>
      </c>
      <c r="R115" s="6">
        <f t="shared" si="20"/>
        <v>0.36526321754524121</v>
      </c>
      <c r="S115" s="6">
        <f t="shared" si="21"/>
        <v>0.5478948263178619</v>
      </c>
      <c r="T115" s="6">
        <f t="shared" si="22"/>
        <v>8.6841956136896825E-2</v>
      </c>
      <c r="U115" s="4">
        <f t="shared" si="23"/>
        <v>2420.5900852630102</v>
      </c>
      <c r="V115" s="4">
        <f t="shared" si="24"/>
        <v>3630.8851278945158</v>
      </c>
      <c r="W115" s="4">
        <f t="shared" si="25"/>
        <v>6051.475213157526</v>
      </c>
      <c r="X115" s="4">
        <f t="shared" si="26"/>
        <v>2278.0571608429173</v>
      </c>
      <c r="Y115" s="4">
        <f t="shared" si="27"/>
        <v>3417.0857412643768</v>
      </c>
      <c r="Z115" s="4">
        <f t="shared" si="28"/>
        <v>5695.1429021072945</v>
      </c>
      <c r="AE115" s="3"/>
      <c r="AF115" s="3"/>
      <c r="AG115" s="7"/>
      <c r="AH115" s="7"/>
      <c r="AI115" s="7"/>
      <c r="AJ115" s="7"/>
      <c r="AK115" s="7"/>
      <c r="AL115" s="3"/>
      <c r="AM115" s="9"/>
      <c r="AN115" s="7"/>
      <c r="AO115" s="7"/>
      <c r="AP115" s="7"/>
      <c r="AQ115" s="7"/>
      <c r="AR115" s="9"/>
      <c r="AS115" s="9"/>
      <c r="AT115" s="9"/>
      <c r="AU115" s="3"/>
      <c r="AV115" s="3"/>
      <c r="AW115" s="3"/>
      <c r="AX115" s="3"/>
      <c r="AY115" s="3"/>
      <c r="AZ115" s="3"/>
    </row>
    <row r="116" spans="1:52" x14ac:dyDescent="0.25">
      <c r="A116">
        <f t="shared" si="29"/>
        <v>77</v>
      </c>
      <c r="B116" s="1" t="s">
        <v>115</v>
      </c>
      <c r="C116" s="1" t="s">
        <v>139</v>
      </c>
      <c r="D116" s="2">
        <v>42325</v>
      </c>
      <c r="E116" s="3">
        <v>48.7</v>
      </c>
      <c r="F116" s="4">
        <f t="shared" si="15"/>
        <v>6794.3929625984256</v>
      </c>
      <c r="G116" s="7">
        <v>8.7799999999999994</v>
      </c>
      <c r="H116" s="7">
        <v>211.56</v>
      </c>
      <c r="I116" s="7">
        <f t="shared" si="16"/>
        <v>202.78</v>
      </c>
      <c r="J116" s="7">
        <v>191.73</v>
      </c>
      <c r="K116" s="5">
        <f t="shared" si="17"/>
        <v>5.4492553506263004</v>
      </c>
      <c r="L116" s="4">
        <f t="shared" si="18"/>
        <v>6424.1491405414536</v>
      </c>
      <c r="M116" s="2">
        <v>42339</v>
      </c>
      <c r="N116" s="7">
        <v>2.94</v>
      </c>
      <c r="O116" s="7">
        <v>0.76</v>
      </c>
      <c r="P116" s="7">
        <f t="shared" si="19"/>
        <v>0.48</v>
      </c>
      <c r="Q116" s="7">
        <v>0.72</v>
      </c>
      <c r="R116" s="6">
        <f t="shared" si="20"/>
        <v>0.35993868084633102</v>
      </c>
      <c r="S116" s="6">
        <f t="shared" si="21"/>
        <v>0.53990802126949644</v>
      </c>
      <c r="T116" s="6">
        <f t="shared" si="22"/>
        <v>0.1001532978841726</v>
      </c>
      <c r="U116" s="4">
        <f t="shared" si="23"/>
        <v>2445.5648401092722</v>
      </c>
      <c r="V116" s="4">
        <f t="shared" si="24"/>
        <v>3668.3472601639078</v>
      </c>
      <c r="W116" s="4">
        <f t="shared" si="25"/>
        <v>6113.9121002731799</v>
      </c>
      <c r="X116" s="4">
        <f t="shared" si="26"/>
        <v>2312.2997672065821</v>
      </c>
      <c r="Y116" s="4">
        <f t="shared" si="27"/>
        <v>3468.4496508098723</v>
      </c>
      <c r="Z116" s="4">
        <f t="shared" si="28"/>
        <v>5780.749418016454</v>
      </c>
      <c r="AE116" s="3"/>
      <c r="AF116" s="3"/>
      <c r="AG116" s="7"/>
      <c r="AH116" s="7"/>
      <c r="AI116" s="7"/>
      <c r="AJ116" s="7"/>
      <c r="AK116" s="7"/>
      <c r="AL116" s="3"/>
      <c r="AM116" s="9"/>
      <c r="AN116" s="7"/>
      <c r="AO116" s="7"/>
      <c r="AP116" s="7"/>
      <c r="AQ116" s="7"/>
      <c r="AR116" s="9"/>
      <c r="AS116" s="9"/>
      <c r="AT116" s="9"/>
      <c r="AU116" s="3"/>
      <c r="AV116" s="3"/>
      <c r="AW116" s="3"/>
      <c r="AX116" s="3"/>
      <c r="AY116" s="3"/>
      <c r="AZ116" s="3"/>
    </row>
    <row r="117" spans="1:52" x14ac:dyDescent="0.25">
      <c r="A117">
        <f t="shared" si="29"/>
        <v>78</v>
      </c>
      <c r="B117" s="1" t="s">
        <v>116</v>
      </c>
      <c r="C117" s="1" t="s">
        <v>139</v>
      </c>
      <c r="D117" s="2">
        <v>42325</v>
      </c>
      <c r="E117" s="3">
        <v>40.6</v>
      </c>
      <c r="F117" s="4">
        <f t="shared" si="15"/>
        <v>5664.3193897637802</v>
      </c>
      <c r="G117" s="7">
        <v>8.75</v>
      </c>
      <c r="H117" s="7">
        <v>261.2</v>
      </c>
      <c r="I117" s="7">
        <f t="shared" si="16"/>
        <v>252.45</v>
      </c>
      <c r="J117" s="7">
        <v>239.68</v>
      </c>
      <c r="K117" s="5">
        <f t="shared" si="17"/>
        <v>5.058427411368581</v>
      </c>
      <c r="L117" s="4">
        <f t="shared" si="18"/>
        <v>5377.7939050845034</v>
      </c>
      <c r="M117" s="2">
        <v>42339</v>
      </c>
      <c r="N117" s="7">
        <v>3.56</v>
      </c>
      <c r="O117" s="7">
        <v>0.88</v>
      </c>
      <c r="P117" s="7">
        <f t="shared" si="19"/>
        <v>0.6</v>
      </c>
      <c r="Q117" s="7">
        <v>0.9</v>
      </c>
      <c r="R117" s="6">
        <f t="shared" si="20"/>
        <v>0.37156591351411983</v>
      </c>
      <c r="S117" s="6">
        <f t="shared" si="21"/>
        <v>0.55734887027117974</v>
      </c>
      <c r="T117" s="6">
        <f t="shared" si="22"/>
        <v>7.1085216214700431E-2</v>
      </c>
      <c r="U117" s="4">
        <f t="shared" si="23"/>
        <v>2104.6680084933209</v>
      </c>
      <c r="V117" s="4">
        <f t="shared" si="24"/>
        <v>3157.0020127399812</v>
      </c>
      <c r="W117" s="4">
        <f t="shared" si="25"/>
        <v>5261.6700212333017</v>
      </c>
      <c r="X117" s="4">
        <f t="shared" si="26"/>
        <v>1998.2049050333894</v>
      </c>
      <c r="Y117" s="4">
        <f t="shared" si="27"/>
        <v>2997.3073575500839</v>
      </c>
      <c r="Z117" s="4">
        <f t="shared" si="28"/>
        <v>4995.5122625834738</v>
      </c>
      <c r="AE117" s="3"/>
      <c r="AF117" s="3"/>
      <c r="AG117" s="7"/>
      <c r="AH117" s="7"/>
      <c r="AI117" s="7"/>
      <c r="AJ117" s="7"/>
      <c r="AK117" s="7"/>
      <c r="AL117" s="3"/>
      <c r="AM117" s="9"/>
      <c r="AN117" s="7"/>
      <c r="AO117" s="7"/>
      <c r="AP117" s="7"/>
      <c r="AQ117" s="7"/>
      <c r="AR117" s="9"/>
      <c r="AS117" s="9"/>
      <c r="AT117" s="9"/>
      <c r="AU117" s="3"/>
      <c r="AV117" s="3"/>
      <c r="AW117" s="3"/>
      <c r="AX117" s="3"/>
      <c r="AY117" s="3"/>
      <c r="AZ117" s="3"/>
    </row>
    <row r="118" spans="1:52" x14ac:dyDescent="0.25">
      <c r="A118">
        <f t="shared" si="29"/>
        <v>79</v>
      </c>
      <c r="B118" s="1" t="s">
        <v>117</v>
      </c>
      <c r="C118" s="1" t="s">
        <v>139</v>
      </c>
      <c r="D118" s="2">
        <v>42325</v>
      </c>
      <c r="E118" s="3">
        <v>44.6</v>
      </c>
      <c r="F118" s="4">
        <f t="shared" si="15"/>
        <v>6222.3804133858275</v>
      </c>
      <c r="G118" s="7">
        <v>8.77</v>
      </c>
      <c r="H118" s="7">
        <v>198.25</v>
      </c>
      <c r="I118" s="7">
        <f t="shared" si="16"/>
        <v>189.48</v>
      </c>
      <c r="J118" s="7">
        <v>180.18</v>
      </c>
      <c r="K118" s="5">
        <f t="shared" si="17"/>
        <v>4.9081697276757357</v>
      </c>
      <c r="L118" s="4">
        <f t="shared" si="18"/>
        <v>5916.9754215951998</v>
      </c>
      <c r="M118" s="2">
        <v>42339</v>
      </c>
      <c r="N118" s="7">
        <v>2.48</v>
      </c>
      <c r="O118" s="7">
        <v>0.68</v>
      </c>
      <c r="P118" s="7">
        <f t="shared" si="19"/>
        <v>0.4</v>
      </c>
      <c r="Q118" s="7">
        <v>0.62</v>
      </c>
      <c r="R118" s="6">
        <f t="shared" si="20"/>
        <v>0.35558458390060932</v>
      </c>
      <c r="S118" s="6">
        <f t="shared" si="21"/>
        <v>0.55115610504594437</v>
      </c>
      <c r="T118" s="6">
        <f t="shared" si="22"/>
        <v>9.3259311053446314E-2</v>
      </c>
      <c r="U118" s="4">
        <f t="shared" si="23"/>
        <v>2212.5825501651011</v>
      </c>
      <c r="V118" s="4">
        <f t="shared" si="24"/>
        <v>3429.5029527559059</v>
      </c>
      <c r="W118" s="4">
        <f t="shared" si="25"/>
        <v>5642.085502921007</v>
      </c>
      <c r="X118" s="4">
        <f t="shared" si="26"/>
        <v>2103.9852432380617</v>
      </c>
      <c r="Y118" s="4">
        <f t="shared" si="27"/>
        <v>3261.1771270189947</v>
      </c>
      <c r="Z118" s="4">
        <f t="shared" si="28"/>
        <v>5365.162370257056</v>
      </c>
      <c r="AE118" s="3"/>
      <c r="AF118" s="3"/>
      <c r="AG118" s="7"/>
      <c r="AH118" s="7"/>
      <c r="AI118" s="7"/>
      <c r="AJ118" s="7"/>
      <c r="AK118" s="7"/>
      <c r="AL118" s="3"/>
      <c r="AM118" s="9"/>
      <c r="AN118" s="7"/>
      <c r="AO118" s="7"/>
      <c r="AP118" s="7"/>
      <c r="AQ118" s="7"/>
      <c r="AR118" s="9"/>
      <c r="AS118" s="9"/>
      <c r="AT118" s="9"/>
      <c r="AU118" s="3"/>
      <c r="AV118" s="3"/>
      <c r="AW118" s="3"/>
      <c r="AX118" s="3"/>
      <c r="AY118" s="3"/>
      <c r="AZ118" s="3"/>
    </row>
    <row r="119" spans="1:52" x14ac:dyDescent="0.25">
      <c r="A119">
        <f t="shared" si="29"/>
        <v>80</v>
      </c>
      <c r="B119" s="1" t="s">
        <v>118</v>
      </c>
      <c r="C119" s="1" t="s">
        <v>139</v>
      </c>
      <c r="D119" s="2">
        <v>42325</v>
      </c>
      <c r="E119" s="3">
        <v>25.3</v>
      </c>
      <c r="F119" s="4">
        <f t="shared" si="15"/>
        <v>3529.7359744094488</v>
      </c>
      <c r="G119" s="7">
        <v>8.8000000000000007</v>
      </c>
      <c r="H119" s="7">
        <v>194.22</v>
      </c>
      <c r="I119" s="7">
        <f t="shared" si="16"/>
        <v>185.42</v>
      </c>
      <c r="J119" s="7">
        <v>175.7</v>
      </c>
      <c r="K119" s="5">
        <f t="shared" si="17"/>
        <v>5.2421529500593245</v>
      </c>
      <c r="L119" s="4">
        <f t="shared" si="18"/>
        <v>3344.7018158976389</v>
      </c>
      <c r="M119" s="2">
        <v>42339</v>
      </c>
      <c r="N119" s="7">
        <v>3.52</v>
      </c>
      <c r="O119" s="7">
        <v>0.86</v>
      </c>
      <c r="P119" s="7">
        <f t="shared" si="19"/>
        <v>0.57999999999999996</v>
      </c>
      <c r="Q119" s="7">
        <v>0.86</v>
      </c>
      <c r="R119" s="6">
        <f t="shared" si="20"/>
        <v>0.36326197832573603</v>
      </c>
      <c r="S119" s="6">
        <f t="shared" si="21"/>
        <v>0.53862982993126385</v>
      </c>
      <c r="T119" s="6">
        <f t="shared" si="22"/>
        <v>9.8108191743000117E-2</v>
      </c>
      <c r="U119" s="4">
        <f t="shared" si="23"/>
        <v>1282.2188730314958</v>
      </c>
      <c r="V119" s="4">
        <f t="shared" si="24"/>
        <v>1901.2210875984254</v>
      </c>
      <c r="W119" s="4">
        <f t="shared" si="25"/>
        <v>3183.4399606299212</v>
      </c>
      <c r="X119" s="4">
        <f t="shared" si="26"/>
        <v>1215.002998552658</v>
      </c>
      <c r="Y119" s="4">
        <f t="shared" si="27"/>
        <v>1801.5561702677346</v>
      </c>
      <c r="Z119" s="4">
        <f t="shared" si="28"/>
        <v>3016.5591688203926</v>
      </c>
      <c r="AE119" s="3"/>
      <c r="AF119" s="3"/>
      <c r="AG119" s="7"/>
      <c r="AH119" s="7"/>
      <c r="AI119" s="7"/>
      <c r="AJ119" s="7"/>
      <c r="AK119" s="7"/>
      <c r="AL119" s="3"/>
      <c r="AM119" s="9"/>
      <c r="AN119" s="7"/>
      <c r="AO119" s="7"/>
      <c r="AP119" s="7"/>
      <c r="AQ119" s="7"/>
      <c r="AR119" s="9"/>
      <c r="AS119" s="9"/>
      <c r="AT119" s="9"/>
      <c r="AU119" s="3"/>
      <c r="AV119" s="3"/>
      <c r="AW119" s="3"/>
      <c r="AX119" s="3"/>
      <c r="AY119" s="3"/>
      <c r="AZ119" s="3"/>
    </row>
    <row r="120" spans="1:52" x14ac:dyDescent="0.25">
      <c r="A120">
        <f t="shared" si="29"/>
        <v>81</v>
      </c>
      <c r="B120" s="1" t="s">
        <v>119</v>
      </c>
      <c r="C120" s="1" t="s">
        <v>139</v>
      </c>
      <c r="D120" s="2">
        <v>42325</v>
      </c>
      <c r="E120" s="3">
        <v>38.699999999999996</v>
      </c>
      <c r="F120" s="4">
        <f t="shared" si="15"/>
        <v>5399.2404035433074</v>
      </c>
      <c r="G120" s="7">
        <v>8.77</v>
      </c>
      <c r="H120" s="7">
        <v>233.42</v>
      </c>
      <c r="I120" s="7">
        <f t="shared" si="16"/>
        <v>224.64999999999998</v>
      </c>
      <c r="J120" s="7">
        <v>213.55</v>
      </c>
      <c r="K120" s="5">
        <f t="shared" si="17"/>
        <v>4.941019363454247</v>
      </c>
      <c r="L120" s="4">
        <f t="shared" si="18"/>
        <v>5132.4628897247876</v>
      </c>
      <c r="M120" s="2">
        <v>42339</v>
      </c>
      <c r="N120" s="7">
        <v>2.98</v>
      </c>
      <c r="O120" s="7">
        <v>0.76</v>
      </c>
      <c r="P120" s="7">
        <f t="shared" si="19"/>
        <v>0.48</v>
      </c>
      <c r="Q120" s="7">
        <v>0.74</v>
      </c>
      <c r="R120" s="6">
        <f t="shared" si="20"/>
        <v>0.35510728915711853</v>
      </c>
      <c r="S120" s="6">
        <f t="shared" si="21"/>
        <v>0.54745707078389105</v>
      </c>
      <c r="T120" s="6">
        <f t="shared" si="22"/>
        <v>9.7435640058990414E-2</v>
      </c>
      <c r="U120" s="4">
        <f t="shared" si="23"/>
        <v>1917.3096232098505</v>
      </c>
      <c r="V120" s="4">
        <f t="shared" si="24"/>
        <v>2955.8523357818531</v>
      </c>
      <c r="W120" s="4">
        <f t="shared" si="25"/>
        <v>4873.1619589917036</v>
      </c>
      <c r="X120" s="4">
        <f t="shared" si="26"/>
        <v>1822.5749834696803</v>
      </c>
      <c r="Y120" s="4">
        <f t="shared" si="27"/>
        <v>2809.8030995157569</v>
      </c>
      <c r="Z120" s="4">
        <f t="shared" si="28"/>
        <v>4632.3780829854368</v>
      </c>
      <c r="AB120" t="s">
        <v>147</v>
      </c>
      <c r="AC120" t="str">
        <f>C120</f>
        <v>Machine</v>
      </c>
      <c r="AD120" s="8">
        <f>D120</f>
        <v>42325</v>
      </c>
      <c r="AE120" s="3">
        <f>SUM(E120:E129)</f>
        <v>429.3</v>
      </c>
      <c r="AF120" s="3">
        <f>AE120*$A$29/($A$30*10)*$A$31</f>
        <v>5989.389936023621</v>
      </c>
      <c r="AG120" s="7">
        <f>SUM(G120:G129)</f>
        <v>87.46</v>
      </c>
      <c r="AH120" s="7">
        <f>SUM(H120:H129)</f>
        <v>2283.69</v>
      </c>
      <c r="AI120" s="7">
        <f>AH120-AG120</f>
        <v>2196.23</v>
      </c>
      <c r="AJ120" s="7">
        <f>SUM(J120:J129)</f>
        <v>2088.29</v>
      </c>
      <c r="AK120" s="7">
        <f>(AI120-AJ120)/AI120*100</f>
        <v>4.9147857920163212</v>
      </c>
      <c r="AL120" s="3">
        <f>AF120*(1-AK120/100)</f>
        <v>5695.0242504194766</v>
      </c>
      <c r="AM120" s="11">
        <f>M120</f>
        <v>42339</v>
      </c>
      <c r="AN120" s="7">
        <f>SUM(N120:N129)</f>
        <v>30.380000000000003</v>
      </c>
      <c r="AO120" s="7">
        <f>SUM(O120:O129)</f>
        <v>7.6999999999999993</v>
      </c>
      <c r="AP120" s="7">
        <f>AO120-10*$A$32</f>
        <v>4.8999999999999986</v>
      </c>
      <c r="AQ120" s="7">
        <f>SUM(Q120:Q129)</f>
        <v>7.58</v>
      </c>
      <c r="AR120" s="9">
        <f>AP120/(AN120*$A$29)</f>
        <v>0.35558458390060915</v>
      </c>
      <c r="AS120" s="9">
        <f>AQ120/(AN120*$A$29)</f>
        <v>0.5500675808095139</v>
      </c>
      <c r="AT120" s="9">
        <f>1-AR120-AS120</f>
        <v>9.4347835289877002E-2</v>
      </c>
      <c r="AU120" s="3">
        <f>AF120*AR120</f>
        <v>2129.7347282194555</v>
      </c>
      <c r="AV120" s="3">
        <f>AF120*AS120</f>
        <v>3294.5692326333624</v>
      </c>
      <c r="AW120" s="3">
        <f>AU120+AV120</f>
        <v>5424.3039608528179</v>
      </c>
      <c r="AX120" s="3">
        <f>AL120*AR120</f>
        <v>2025.0628283892881</v>
      </c>
      <c r="AY120" s="3">
        <f>AL120*AS120</f>
        <v>3132.6482120797568</v>
      </c>
      <c r="AZ120" s="3">
        <f>AX120+AY120</f>
        <v>5157.7110404690447</v>
      </c>
    </row>
    <row r="121" spans="1:52" x14ac:dyDescent="0.25">
      <c r="A121">
        <f t="shared" si="29"/>
        <v>82</v>
      </c>
      <c r="B121" s="1" t="s">
        <v>120</v>
      </c>
      <c r="C121" s="1" t="s">
        <v>139</v>
      </c>
      <c r="D121" s="2">
        <v>42325</v>
      </c>
      <c r="E121" s="3">
        <v>45.4</v>
      </c>
      <c r="F121" s="4">
        <f t="shared" si="15"/>
        <v>6333.9926181102355</v>
      </c>
      <c r="G121" s="7">
        <v>8.7799999999999994</v>
      </c>
      <c r="H121" s="7">
        <v>215.86</v>
      </c>
      <c r="I121" s="7">
        <f t="shared" si="16"/>
        <v>207.08</v>
      </c>
      <c r="J121" s="7">
        <v>196.5</v>
      </c>
      <c r="K121" s="5">
        <f t="shared" si="17"/>
        <v>5.1091365655785257</v>
      </c>
      <c r="L121" s="4">
        <f t="shared" si="18"/>
        <v>6010.3802851973214</v>
      </c>
      <c r="M121" s="2">
        <v>42339</v>
      </c>
      <c r="N121" s="7">
        <v>2.94</v>
      </c>
      <c r="O121" s="7">
        <v>0.74</v>
      </c>
      <c r="P121" s="7">
        <f t="shared" si="19"/>
        <v>0.45999999999999996</v>
      </c>
      <c r="Q121" s="7">
        <v>0.74</v>
      </c>
      <c r="R121" s="6">
        <f t="shared" si="20"/>
        <v>0.34494123581106717</v>
      </c>
      <c r="S121" s="6">
        <f t="shared" si="21"/>
        <v>0.55490546630476034</v>
      </c>
      <c r="T121" s="6">
        <f t="shared" si="22"/>
        <v>0.10015329788417249</v>
      </c>
      <c r="U121" s="4">
        <f t="shared" si="23"/>
        <v>2184.8552413091215</v>
      </c>
      <c r="V121" s="4">
        <f t="shared" si="24"/>
        <v>3514.76712732337</v>
      </c>
      <c r="W121" s="4">
        <f t="shared" si="25"/>
        <v>5699.622368632492</v>
      </c>
      <c r="X121" s="4">
        <f t="shared" si="26"/>
        <v>2073.2280032704384</v>
      </c>
      <c r="Y121" s="4">
        <f t="shared" si="27"/>
        <v>3335.1928748263581</v>
      </c>
      <c r="Z121" s="4">
        <f t="shared" si="28"/>
        <v>5408.4208780967965</v>
      </c>
      <c r="AE121" s="3"/>
      <c r="AF121" s="3"/>
      <c r="AG121" s="7"/>
      <c r="AH121" s="7"/>
      <c r="AI121" s="7"/>
      <c r="AJ121" s="7"/>
      <c r="AK121" s="7"/>
      <c r="AL121" s="3"/>
      <c r="AM121" s="9"/>
      <c r="AN121" s="7"/>
      <c r="AO121" s="7"/>
      <c r="AP121" s="7"/>
      <c r="AQ121" s="7"/>
      <c r="AR121" s="9"/>
      <c r="AS121" s="9"/>
      <c r="AT121" s="9"/>
      <c r="AU121" s="3"/>
      <c r="AV121" s="3"/>
      <c r="AW121" s="3"/>
      <c r="AX121" s="3"/>
      <c r="AY121" s="3"/>
      <c r="AZ121" s="3"/>
    </row>
    <row r="122" spans="1:52" x14ac:dyDescent="0.25">
      <c r="A122">
        <f t="shared" si="29"/>
        <v>83</v>
      </c>
      <c r="B122" s="1" t="s">
        <v>121</v>
      </c>
      <c r="C122" s="1" t="s">
        <v>139</v>
      </c>
      <c r="D122" s="2">
        <v>42325</v>
      </c>
      <c r="E122" s="3">
        <v>46.3</v>
      </c>
      <c r="F122" s="4">
        <f t="shared" si="15"/>
        <v>6459.5563484251961</v>
      </c>
      <c r="G122" s="7">
        <v>8.82</v>
      </c>
      <c r="H122" s="7">
        <v>219.51</v>
      </c>
      <c r="I122" s="7">
        <f t="shared" si="16"/>
        <v>210.69</v>
      </c>
      <c r="J122" s="7">
        <v>200.35</v>
      </c>
      <c r="K122" s="5">
        <f t="shared" si="17"/>
        <v>4.9076842754758188</v>
      </c>
      <c r="L122" s="4">
        <f t="shared" si="18"/>
        <v>6142.5417172480329</v>
      </c>
      <c r="M122" s="2">
        <v>42339</v>
      </c>
      <c r="N122" s="7">
        <v>3.12</v>
      </c>
      <c r="O122" s="7">
        <v>0.78</v>
      </c>
      <c r="P122" s="7">
        <f t="shared" si="19"/>
        <v>0.5</v>
      </c>
      <c r="Q122" s="7">
        <v>0.78</v>
      </c>
      <c r="R122" s="6">
        <f t="shared" si="20"/>
        <v>0.35330519554227202</v>
      </c>
      <c r="S122" s="6">
        <f t="shared" si="21"/>
        <v>0.55115610504594437</v>
      </c>
      <c r="T122" s="6">
        <f t="shared" si="22"/>
        <v>9.5538699411783612E-2</v>
      </c>
      <c r="U122" s="4">
        <f t="shared" si="23"/>
        <v>2282.1948187966887</v>
      </c>
      <c r="V122" s="4">
        <f t="shared" si="24"/>
        <v>3560.223917322834</v>
      </c>
      <c r="W122" s="4">
        <f t="shared" si="25"/>
        <v>5842.4187361195227</v>
      </c>
      <c r="X122" s="4">
        <f t="shared" si="26"/>
        <v>2170.1919025388797</v>
      </c>
      <c r="Y122" s="4">
        <f t="shared" si="27"/>
        <v>3385.4993679606523</v>
      </c>
      <c r="Z122" s="4">
        <f t="shared" si="28"/>
        <v>5555.691270499532</v>
      </c>
      <c r="AE122" s="3"/>
      <c r="AF122" s="3"/>
      <c r="AG122" s="7"/>
      <c r="AH122" s="7"/>
      <c r="AI122" s="7"/>
      <c r="AJ122" s="7"/>
      <c r="AK122" s="7"/>
      <c r="AL122" s="3"/>
      <c r="AM122" s="9"/>
      <c r="AN122" s="7"/>
      <c r="AO122" s="7"/>
      <c r="AP122" s="7"/>
      <c r="AQ122" s="7"/>
      <c r="AR122" s="9"/>
      <c r="AS122" s="9"/>
      <c r="AT122" s="9"/>
      <c r="AU122" s="3"/>
      <c r="AV122" s="3"/>
      <c r="AW122" s="3"/>
      <c r="AX122" s="3"/>
      <c r="AY122" s="3"/>
      <c r="AZ122" s="3"/>
    </row>
    <row r="123" spans="1:52" x14ac:dyDescent="0.25">
      <c r="A123">
        <f t="shared" si="29"/>
        <v>84</v>
      </c>
      <c r="B123" s="1" t="s">
        <v>122</v>
      </c>
      <c r="C123" s="1" t="s">
        <v>139</v>
      </c>
      <c r="D123" s="2">
        <v>42325</v>
      </c>
      <c r="E123" s="3">
        <v>47.6</v>
      </c>
      <c r="F123" s="4">
        <f t="shared" si="15"/>
        <v>6640.9261811023625</v>
      </c>
      <c r="G123" s="7">
        <v>8.74</v>
      </c>
      <c r="H123" s="7">
        <v>222.21</v>
      </c>
      <c r="I123" s="7">
        <f t="shared" si="16"/>
        <v>213.47</v>
      </c>
      <c r="J123" s="7">
        <v>202.91</v>
      </c>
      <c r="K123" s="5">
        <f t="shared" si="17"/>
        <v>4.9468309364313496</v>
      </c>
      <c r="L123" s="4">
        <f t="shared" si="18"/>
        <v>6312.4107903100221</v>
      </c>
      <c r="M123" s="2">
        <v>42339</v>
      </c>
      <c r="N123" s="7">
        <v>2.9</v>
      </c>
      <c r="O123" s="7">
        <v>0.76</v>
      </c>
      <c r="P123" s="7">
        <f t="shared" si="19"/>
        <v>0.48</v>
      </c>
      <c r="Q123" s="7">
        <v>0.74</v>
      </c>
      <c r="R123" s="6">
        <f t="shared" si="20"/>
        <v>0.3649033523062804</v>
      </c>
      <c r="S123" s="6">
        <f t="shared" si="21"/>
        <v>0.56255933480551568</v>
      </c>
      <c r="T123" s="6">
        <f t="shared" si="22"/>
        <v>7.2537312888203975E-2</v>
      </c>
      <c r="U123" s="4">
        <f t="shared" si="23"/>
        <v>2423.2962259027968</v>
      </c>
      <c r="V123" s="4">
        <f t="shared" si="24"/>
        <v>3735.9150149334787</v>
      </c>
      <c r="W123" s="4">
        <f t="shared" si="25"/>
        <v>6159.2112408362755</v>
      </c>
      <c r="X123" s="4">
        <f t="shared" si="26"/>
        <v>2303.419858518464</v>
      </c>
      <c r="Y123" s="4">
        <f t="shared" si="27"/>
        <v>3551.1056152159654</v>
      </c>
      <c r="Z123" s="4">
        <f t="shared" si="28"/>
        <v>5854.5254737344294</v>
      </c>
      <c r="AE123" s="3"/>
      <c r="AF123" s="3"/>
      <c r="AG123" s="7"/>
      <c r="AH123" s="7"/>
      <c r="AI123" s="7"/>
      <c r="AJ123" s="7"/>
      <c r="AK123" s="7"/>
      <c r="AL123" s="3"/>
      <c r="AM123" s="9"/>
      <c r="AN123" s="7"/>
      <c r="AO123" s="7"/>
      <c r="AP123" s="7"/>
      <c r="AQ123" s="7"/>
      <c r="AR123" s="9"/>
      <c r="AS123" s="9"/>
      <c r="AT123" s="9"/>
      <c r="AU123" s="3"/>
      <c r="AV123" s="3"/>
      <c r="AW123" s="3"/>
      <c r="AX123" s="3"/>
      <c r="AY123" s="3"/>
      <c r="AZ123" s="3"/>
    </row>
    <row r="124" spans="1:52" x14ac:dyDescent="0.25">
      <c r="A124">
        <f t="shared" si="29"/>
        <v>85</v>
      </c>
      <c r="B124" s="1" t="s">
        <v>123</v>
      </c>
      <c r="C124" s="1" t="s">
        <v>139</v>
      </c>
      <c r="D124" s="2">
        <v>42325</v>
      </c>
      <c r="E124" s="3">
        <v>47</v>
      </c>
      <c r="F124" s="4">
        <f t="shared" si="15"/>
        <v>6557.2170275590543</v>
      </c>
      <c r="G124" s="7">
        <v>8.7799999999999994</v>
      </c>
      <c r="H124" s="7">
        <v>193.26</v>
      </c>
      <c r="I124" s="7">
        <f t="shared" si="16"/>
        <v>184.48</v>
      </c>
      <c r="J124" s="7">
        <v>175.62</v>
      </c>
      <c r="K124" s="5">
        <f t="shared" si="17"/>
        <v>4.8026886383347716</v>
      </c>
      <c r="L124" s="4">
        <f t="shared" si="18"/>
        <v>6242.2943103855223</v>
      </c>
      <c r="M124" s="2">
        <v>42339</v>
      </c>
      <c r="N124" s="7">
        <v>2.92</v>
      </c>
      <c r="O124" s="7">
        <v>0.76</v>
      </c>
      <c r="P124" s="7">
        <f t="shared" si="19"/>
        <v>0.48</v>
      </c>
      <c r="Q124" s="7">
        <v>0.72</v>
      </c>
      <c r="R124" s="6">
        <f t="shared" si="20"/>
        <v>0.36240401427678531</v>
      </c>
      <c r="S124" s="6">
        <f t="shared" si="21"/>
        <v>0.543606021415178</v>
      </c>
      <c r="T124" s="6">
        <f t="shared" si="22"/>
        <v>9.3989964308036744E-2</v>
      </c>
      <c r="U124" s="4">
        <f t="shared" si="23"/>
        <v>2376.3617732714911</v>
      </c>
      <c r="V124" s="4">
        <f t="shared" si="24"/>
        <v>3564.5426599072371</v>
      </c>
      <c r="W124" s="4">
        <f t="shared" si="25"/>
        <v>5940.9044331787281</v>
      </c>
      <c r="X124" s="4">
        <f t="shared" si="26"/>
        <v>2262.2325163808505</v>
      </c>
      <c r="Y124" s="4">
        <f t="shared" si="27"/>
        <v>3393.348774571276</v>
      </c>
      <c r="Z124" s="4">
        <f t="shared" si="28"/>
        <v>5655.5812909521264</v>
      </c>
      <c r="AE124" s="3"/>
      <c r="AF124" s="3"/>
      <c r="AG124" s="7"/>
      <c r="AH124" s="7"/>
      <c r="AI124" s="7"/>
      <c r="AJ124" s="7"/>
      <c r="AK124" s="7"/>
      <c r="AL124" s="3"/>
      <c r="AM124" s="9"/>
      <c r="AN124" s="7"/>
      <c r="AO124" s="7"/>
      <c r="AP124" s="7"/>
      <c r="AQ124" s="7"/>
      <c r="AR124" s="9"/>
      <c r="AS124" s="9"/>
      <c r="AT124" s="9"/>
      <c r="AU124" s="3"/>
      <c r="AV124" s="3"/>
      <c r="AW124" s="3"/>
      <c r="AX124" s="3"/>
      <c r="AY124" s="3"/>
      <c r="AZ124" s="3"/>
    </row>
    <row r="125" spans="1:52" x14ac:dyDescent="0.25">
      <c r="A125">
        <f t="shared" si="29"/>
        <v>86</v>
      </c>
      <c r="B125" s="1" t="s">
        <v>124</v>
      </c>
      <c r="C125" s="1" t="s">
        <v>139</v>
      </c>
      <c r="D125" s="2">
        <v>42325</v>
      </c>
      <c r="E125" s="3">
        <v>46.699999999999996</v>
      </c>
      <c r="F125" s="4">
        <f t="shared" si="15"/>
        <v>6515.362450787401</v>
      </c>
      <c r="G125" s="7">
        <v>8.77</v>
      </c>
      <c r="H125" s="7">
        <v>273.98</v>
      </c>
      <c r="I125" s="7">
        <f t="shared" si="16"/>
        <v>265.21000000000004</v>
      </c>
      <c r="J125" s="7">
        <v>252.42</v>
      </c>
      <c r="K125" s="5">
        <f t="shared" si="17"/>
        <v>4.8225934165378552</v>
      </c>
      <c r="L125" s="4">
        <f t="shared" si="18"/>
        <v>6201.1530101721482</v>
      </c>
      <c r="M125" s="2">
        <v>42339</v>
      </c>
      <c r="N125" s="7">
        <v>3.3</v>
      </c>
      <c r="O125" s="7">
        <v>0.8</v>
      </c>
      <c r="P125" s="7">
        <f t="shared" si="19"/>
        <v>0.52</v>
      </c>
      <c r="Q125" s="7">
        <v>0.8</v>
      </c>
      <c r="R125" s="6">
        <f t="shared" si="20"/>
        <v>0.34739536318047409</v>
      </c>
      <c r="S125" s="6">
        <f t="shared" si="21"/>
        <v>0.53445440489303708</v>
      </c>
      <c r="T125" s="6">
        <f t="shared" si="22"/>
        <v>0.11815023192648888</v>
      </c>
      <c r="U125" s="4">
        <f t="shared" si="23"/>
        <v>2263.4067048437128</v>
      </c>
      <c r="V125" s="4">
        <f t="shared" si="24"/>
        <v>3482.1641612980202</v>
      </c>
      <c r="W125" s="4">
        <f t="shared" si="25"/>
        <v>5745.5708661417329</v>
      </c>
      <c r="X125" s="4">
        <f t="shared" si="26"/>
        <v>2154.2518021064434</v>
      </c>
      <c r="Y125" s="4">
        <f t="shared" si="27"/>
        <v>3314.2335417022209</v>
      </c>
      <c r="Z125" s="4">
        <f t="shared" si="28"/>
        <v>5468.4853438086648</v>
      </c>
      <c r="AE125" s="3"/>
      <c r="AF125" s="3"/>
      <c r="AG125" s="7"/>
      <c r="AH125" s="7"/>
      <c r="AI125" s="7"/>
      <c r="AJ125" s="7"/>
      <c r="AK125" s="7"/>
      <c r="AL125" s="3"/>
      <c r="AM125" s="9"/>
      <c r="AN125" s="7"/>
      <c r="AO125" s="7"/>
      <c r="AP125" s="7"/>
      <c r="AQ125" s="7"/>
      <c r="AR125" s="9"/>
      <c r="AS125" s="9"/>
      <c r="AT125" s="9"/>
      <c r="AU125" s="3"/>
      <c r="AV125" s="3"/>
      <c r="AW125" s="3"/>
      <c r="AX125" s="3"/>
      <c r="AY125" s="3"/>
      <c r="AZ125" s="3"/>
    </row>
    <row r="126" spans="1:52" x14ac:dyDescent="0.25">
      <c r="A126">
        <f t="shared" si="29"/>
        <v>87</v>
      </c>
      <c r="B126" s="1" t="s">
        <v>125</v>
      </c>
      <c r="C126" s="1" t="s">
        <v>139</v>
      </c>
      <c r="D126" s="2">
        <v>42325</v>
      </c>
      <c r="E126" s="3">
        <v>46.3</v>
      </c>
      <c r="F126" s="4">
        <f t="shared" si="15"/>
        <v>6459.5563484251961</v>
      </c>
      <c r="G126" s="7">
        <v>8.7100000000000009</v>
      </c>
      <c r="H126" s="7">
        <v>255.54</v>
      </c>
      <c r="I126" s="7">
        <f t="shared" si="16"/>
        <v>246.82999999999998</v>
      </c>
      <c r="J126" s="7">
        <v>233.78</v>
      </c>
      <c r="K126" s="5">
        <f t="shared" si="17"/>
        <v>5.2870396629258938</v>
      </c>
      <c r="L126" s="4">
        <f t="shared" si="18"/>
        <v>6118.0370422349079</v>
      </c>
      <c r="M126" s="2">
        <v>42339</v>
      </c>
      <c r="N126" s="7">
        <v>3.16</v>
      </c>
      <c r="O126" s="7">
        <v>0.78</v>
      </c>
      <c r="P126" s="7">
        <f t="shared" si="19"/>
        <v>0.5</v>
      </c>
      <c r="Q126" s="7">
        <v>0.78</v>
      </c>
      <c r="R126" s="6">
        <f t="shared" si="20"/>
        <v>0.34883297787717998</v>
      </c>
      <c r="S126" s="6">
        <f t="shared" si="21"/>
        <v>0.5441794454884008</v>
      </c>
      <c r="T126" s="6">
        <f t="shared" si="22"/>
        <v>0.10698757663441927</v>
      </c>
      <c r="U126" s="4">
        <f t="shared" si="23"/>
        <v>2253.306276786604</v>
      </c>
      <c r="V126" s="4">
        <f t="shared" si="24"/>
        <v>3515.1577917871023</v>
      </c>
      <c r="W126" s="4">
        <f t="shared" si="25"/>
        <v>5768.4640685737068</v>
      </c>
      <c r="X126" s="4">
        <f t="shared" si="26"/>
        <v>2134.1730802056973</v>
      </c>
      <c r="Y126" s="4">
        <f t="shared" si="27"/>
        <v>3329.310005120888</v>
      </c>
      <c r="Z126" s="4">
        <f t="shared" si="28"/>
        <v>5463.4830853265848</v>
      </c>
      <c r="AE126" s="3"/>
      <c r="AF126" s="3"/>
      <c r="AG126" s="7"/>
      <c r="AH126" s="7"/>
      <c r="AI126" s="7"/>
      <c r="AJ126" s="7"/>
      <c r="AK126" s="7"/>
      <c r="AL126" s="3"/>
      <c r="AM126" s="9"/>
      <c r="AN126" s="7"/>
      <c r="AO126" s="7"/>
      <c r="AP126" s="7"/>
      <c r="AQ126" s="7"/>
      <c r="AR126" s="9"/>
      <c r="AS126" s="9"/>
      <c r="AT126" s="9"/>
      <c r="AU126" s="3"/>
      <c r="AV126" s="3"/>
      <c r="AW126" s="3"/>
      <c r="AX126" s="3"/>
      <c r="AY126" s="3"/>
      <c r="AZ126" s="3"/>
    </row>
    <row r="127" spans="1:52" x14ac:dyDescent="0.25">
      <c r="A127">
        <f t="shared" si="29"/>
        <v>88</v>
      </c>
      <c r="B127" s="1" t="s">
        <v>126</v>
      </c>
      <c r="C127" s="1" t="s">
        <v>139</v>
      </c>
      <c r="D127" s="2">
        <v>42325</v>
      </c>
      <c r="E127" s="3">
        <v>46.699999999999996</v>
      </c>
      <c r="F127" s="4">
        <f t="shared" si="15"/>
        <v>6515.362450787401</v>
      </c>
      <c r="G127" s="7">
        <v>8.6999999999999993</v>
      </c>
      <c r="H127" s="7">
        <v>209.51</v>
      </c>
      <c r="I127" s="7">
        <f t="shared" si="16"/>
        <v>200.81</v>
      </c>
      <c r="J127" s="7">
        <v>190.65</v>
      </c>
      <c r="K127" s="5">
        <f t="shared" si="17"/>
        <v>5.0595089885961837</v>
      </c>
      <c r="L127" s="4">
        <f t="shared" si="18"/>
        <v>6185.717101950192</v>
      </c>
      <c r="M127" s="2">
        <v>42339</v>
      </c>
      <c r="N127" s="7">
        <v>3.18</v>
      </c>
      <c r="O127" s="7">
        <v>0.8</v>
      </c>
      <c r="P127" s="7">
        <f t="shared" si="19"/>
        <v>0.52</v>
      </c>
      <c r="Q127" s="7">
        <v>0.78</v>
      </c>
      <c r="R127" s="6">
        <f t="shared" si="20"/>
        <v>0.36050462216841644</v>
      </c>
      <c r="S127" s="6">
        <f t="shared" si="21"/>
        <v>0.54075693325262464</v>
      </c>
      <c r="T127" s="6">
        <f t="shared" si="22"/>
        <v>9.8738444578958862E-2</v>
      </c>
      <c r="U127" s="4">
        <f t="shared" si="23"/>
        <v>2348.8182786113998</v>
      </c>
      <c r="V127" s="4">
        <f t="shared" si="24"/>
        <v>3523.2274179170995</v>
      </c>
      <c r="W127" s="4">
        <f t="shared" si="25"/>
        <v>5872.0456965284993</v>
      </c>
      <c r="X127" s="4">
        <f t="shared" si="26"/>
        <v>2229.979606679266</v>
      </c>
      <c r="Y127" s="4">
        <f t="shared" si="27"/>
        <v>3344.9694100188985</v>
      </c>
      <c r="Z127" s="4">
        <f t="shared" si="28"/>
        <v>5574.949016698165</v>
      </c>
      <c r="AE127" s="3"/>
      <c r="AF127" s="3"/>
      <c r="AG127" s="7"/>
      <c r="AH127" s="7"/>
      <c r="AI127" s="7"/>
      <c r="AJ127" s="7"/>
      <c r="AK127" s="7"/>
      <c r="AL127" s="3"/>
      <c r="AM127" s="9"/>
      <c r="AN127" s="7"/>
      <c r="AO127" s="7"/>
      <c r="AP127" s="7"/>
      <c r="AQ127" s="7"/>
      <c r="AR127" s="9"/>
      <c r="AS127" s="9"/>
      <c r="AT127" s="9"/>
      <c r="AU127" s="3"/>
      <c r="AV127" s="3"/>
      <c r="AW127" s="3"/>
      <c r="AX127" s="3"/>
      <c r="AY127" s="3"/>
      <c r="AZ127" s="3"/>
    </row>
    <row r="128" spans="1:52" x14ac:dyDescent="0.25">
      <c r="A128">
        <f t="shared" si="29"/>
        <v>89</v>
      </c>
      <c r="B128" s="1" t="s">
        <v>127</v>
      </c>
      <c r="C128" s="1" t="s">
        <v>139</v>
      </c>
      <c r="D128" s="2">
        <v>42325</v>
      </c>
      <c r="E128" s="3">
        <v>35</v>
      </c>
      <c r="F128" s="4">
        <f t="shared" si="15"/>
        <v>4883.0339566929133</v>
      </c>
      <c r="G128" s="7">
        <v>8.66</v>
      </c>
      <c r="H128" s="7">
        <v>239.08</v>
      </c>
      <c r="I128" s="7">
        <f t="shared" si="16"/>
        <v>230.42000000000002</v>
      </c>
      <c r="J128" s="7">
        <v>219.58</v>
      </c>
      <c r="K128" s="5">
        <f t="shared" si="17"/>
        <v>4.7044527384775634</v>
      </c>
      <c r="L128" s="4">
        <f t="shared" si="18"/>
        <v>4653.3139319964848</v>
      </c>
      <c r="M128" s="2">
        <v>42339</v>
      </c>
      <c r="N128" s="7">
        <v>3.1</v>
      </c>
      <c r="O128" s="7">
        <v>0.8</v>
      </c>
      <c r="P128" s="7">
        <f t="shared" si="19"/>
        <v>0.52</v>
      </c>
      <c r="Q128" s="7">
        <v>0.78</v>
      </c>
      <c r="R128" s="6">
        <f t="shared" si="20"/>
        <v>0.36980796725663367</v>
      </c>
      <c r="S128" s="6">
        <f t="shared" si="21"/>
        <v>0.55471195088495051</v>
      </c>
      <c r="T128" s="6">
        <f t="shared" si="22"/>
        <v>7.5480081858415815E-2</v>
      </c>
      <c r="U128" s="4">
        <f t="shared" si="23"/>
        <v>1805.7848615697233</v>
      </c>
      <c r="V128" s="4">
        <f t="shared" si="24"/>
        <v>2708.677292354585</v>
      </c>
      <c r="W128" s="4">
        <f t="shared" si="25"/>
        <v>4514.462153924308</v>
      </c>
      <c r="X128" s="4">
        <f t="shared" si="26"/>
        <v>1720.8325661985934</v>
      </c>
      <c r="Y128" s="4">
        <f t="shared" si="27"/>
        <v>2581.24884929789</v>
      </c>
      <c r="Z128" s="4">
        <f t="shared" si="28"/>
        <v>4302.0814154964837</v>
      </c>
      <c r="AE128" s="3"/>
      <c r="AF128" s="3"/>
      <c r="AG128" s="7"/>
      <c r="AH128" s="7"/>
      <c r="AI128" s="7"/>
      <c r="AJ128" s="7"/>
      <c r="AK128" s="7"/>
      <c r="AL128" s="3"/>
      <c r="AM128" s="9"/>
      <c r="AN128" s="7"/>
      <c r="AO128" s="7"/>
      <c r="AP128" s="7"/>
      <c r="AQ128" s="7"/>
      <c r="AR128" s="9"/>
      <c r="AS128" s="9"/>
      <c r="AT128" s="9"/>
      <c r="AU128" s="3"/>
      <c r="AV128" s="3"/>
      <c r="AW128" s="3"/>
      <c r="AX128" s="3"/>
      <c r="AY128" s="3"/>
      <c r="AZ128" s="3"/>
    </row>
    <row r="129" spans="1:52" x14ac:dyDescent="0.25">
      <c r="A129">
        <f t="shared" si="29"/>
        <v>90</v>
      </c>
      <c r="B129" s="1" t="s">
        <v>128</v>
      </c>
      <c r="C129" s="1" t="s">
        <v>139</v>
      </c>
      <c r="D129" s="2">
        <v>42325</v>
      </c>
      <c r="E129" s="3">
        <v>29.6</v>
      </c>
      <c r="F129" s="4">
        <f t="shared" si="15"/>
        <v>4129.6515748031497</v>
      </c>
      <c r="G129" s="7">
        <v>8.73</v>
      </c>
      <c r="H129" s="7">
        <v>221.32</v>
      </c>
      <c r="I129" s="7">
        <f t="shared" si="16"/>
        <v>212.59</v>
      </c>
      <c r="J129" s="7">
        <v>202.93</v>
      </c>
      <c r="K129" s="5">
        <f t="shared" si="17"/>
        <v>4.5439578531445486</v>
      </c>
      <c r="L129" s="4">
        <f t="shared" si="18"/>
        <v>3942.0019477623741</v>
      </c>
      <c r="M129" s="2">
        <v>42339</v>
      </c>
      <c r="N129" s="7">
        <v>2.78</v>
      </c>
      <c r="O129" s="7">
        <v>0.72</v>
      </c>
      <c r="P129" s="7">
        <f t="shared" si="19"/>
        <v>0.43999999999999995</v>
      </c>
      <c r="Q129" s="7">
        <v>0.72</v>
      </c>
      <c r="R129" s="6">
        <f t="shared" si="20"/>
        <v>0.34893336146793602</v>
      </c>
      <c r="S129" s="6">
        <f t="shared" si="21"/>
        <v>0.57098186422025898</v>
      </c>
      <c r="T129" s="6">
        <f t="shared" si="22"/>
        <v>8.0084774311805051E-2</v>
      </c>
      <c r="U129" s="4">
        <f t="shared" si="23"/>
        <v>1440.9732056874186</v>
      </c>
      <c r="V129" s="4">
        <f t="shared" si="24"/>
        <v>2357.9561547612307</v>
      </c>
      <c r="W129" s="4">
        <f t="shared" si="25"/>
        <v>3798.9293604486493</v>
      </c>
      <c r="X129" s="4">
        <f t="shared" si="26"/>
        <v>1375.4959905458763</v>
      </c>
      <c r="Y129" s="4">
        <f t="shared" si="27"/>
        <v>2250.8116208932524</v>
      </c>
      <c r="Z129" s="4">
        <f t="shared" si="28"/>
        <v>3626.3076114391288</v>
      </c>
      <c r="AE129" s="3"/>
      <c r="AF129" s="3"/>
      <c r="AG129" s="7"/>
      <c r="AH129" s="7"/>
      <c r="AI129" s="7"/>
      <c r="AJ129" s="7"/>
      <c r="AK129" s="7"/>
      <c r="AL129" s="3"/>
      <c r="AM129" s="9"/>
      <c r="AN129" s="7"/>
      <c r="AO129" s="7"/>
      <c r="AP129" s="7"/>
      <c r="AQ129" s="7"/>
      <c r="AR129" s="9"/>
      <c r="AS129" s="9"/>
      <c r="AT129" s="9"/>
      <c r="AU129" s="3"/>
      <c r="AV129" s="3"/>
      <c r="AW129" s="3"/>
      <c r="AX129" s="3"/>
      <c r="AY129" s="3"/>
      <c r="AZ129" s="3"/>
    </row>
    <row r="130" spans="1:52" x14ac:dyDescent="0.25">
      <c r="A130">
        <f t="shared" si="29"/>
        <v>91</v>
      </c>
      <c r="B130" s="1" t="s">
        <v>129</v>
      </c>
      <c r="C130" s="1" t="s">
        <v>139</v>
      </c>
      <c r="D130" s="2">
        <v>42325</v>
      </c>
      <c r="E130" s="3">
        <v>19</v>
      </c>
      <c r="F130" s="4">
        <f t="shared" si="15"/>
        <v>2650.7898622047242</v>
      </c>
      <c r="G130" s="7">
        <v>8.76</v>
      </c>
      <c r="H130" s="7">
        <v>202.76</v>
      </c>
      <c r="I130" s="7">
        <f t="shared" si="16"/>
        <v>194</v>
      </c>
      <c r="J130" s="7">
        <v>183.75</v>
      </c>
      <c r="K130" s="5">
        <f t="shared" si="17"/>
        <v>5.2835051546391751</v>
      </c>
      <c r="L130" s="4">
        <f t="shared" si="18"/>
        <v>2510.7352431964846</v>
      </c>
      <c r="M130" s="2">
        <v>42339</v>
      </c>
      <c r="N130" s="7">
        <v>2.6</v>
      </c>
      <c r="O130" s="7">
        <v>0.7</v>
      </c>
      <c r="P130" s="7">
        <f t="shared" si="19"/>
        <v>0.41999999999999993</v>
      </c>
      <c r="Q130" s="7">
        <v>0.64</v>
      </c>
      <c r="R130" s="6">
        <f t="shared" si="20"/>
        <v>0.35613163710661017</v>
      </c>
      <c r="S130" s="6">
        <f t="shared" si="21"/>
        <v>0.54267678035292988</v>
      </c>
      <c r="T130" s="6">
        <f t="shared" si="22"/>
        <v>0.10119158254046001</v>
      </c>
      <c r="U130" s="4">
        <f t="shared" si="23"/>
        <v>944.03013325257405</v>
      </c>
      <c r="V130" s="4">
        <f t="shared" si="24"/>
        <v>1438.5221078134464</v>
      </c>
      <c r="W130" s="4">
        <f t="shared" si="25"/>
        <v>2382.5522410660205</v>
      </c>
      <c r="X130" s="4">
        <f t="shared" si="26"/>
        <v>894.1522525008271</v>
      </c>
      <c r="Y130" s="4">
        <f t="shared" si="27"/>
        <v>1362.5177180964986</v>
      </c>
      <c r="Z130" s="4">
        <f t="shared" si="28"/>
        <v>2256.6699705973256</v>
      </c>
      <c r="AB130" t="s">
        <v>34</v>
      </c>
      <c r="AC130" t="str">
        <f>C130</f>
        <v>Machine</v>
      </c>
      <c r="AD130" s="8">
        <f>D130</f>
        <v>42325</v>
      </c>
      <c r="AE130" s="3">
        <f>SUM(E130:E139)</f>
        <v>201.9</v>
      </c>
      <c r="AF130" s="3">
        <f>AE130*$A$29/($A$30*10)*$A$31</f>
        <v>2816.8130167322834</v>
      </c>
      <c r="AG130" s="7">
        <f>SUM(G130:G139)</f>
        <v>87.66</v>
      </c>
      <c r="AH130" s="7">
        <f>SUM(H130:H139)</f>
        <v>2366.4500000000003</v>
      </c>
      <c r="AI130" s="7">
        <f>AH130-AG130</f>
        <v>2278.7900000000004</v>
      </c>
      <c r="AJ130" s="7">
        <f>SUM(J130:J139)</f>
        <v>2162.4899999999998</v>
      </c>
      <c r="AK130" s="7">
        <f>(AI130-AJ130)/AI130*100</f>
        <v>5.1035856748537869</v>
      </c>
      <c r="AL130" s="3">
        <f>AF130*(1-AK130/100)</f>
        <v>2673.0545511229179</v>
      </c>
      <c r="AM130" s="11">
        <f>M130</f>
        <v>42339</v>
      </c>
      <c r="AN130" s="7">
        <f>SUM(N130:N139)</f>
        <v>29.779999999999998</v>
      </c>
      <c r="AO130" s="7">
        <f>SUM(O130:O139)</f>
        <v>7.54</v>
      </c>
      <c r="AP130" s="7">
        <f>AO130-10*$A$32</f>
        <v>4.74</v>
      </c>
      <c r="AQ130" s="7">
        <f>SUM(Q130:Q139)</f>
        <v>7.22</v>
      </c>
      <c r="AR130" s="9">
        <f>AP130/(AN130*$A$29)</f>
        <v>0.35090395405208552</v>
      </c>
      <c r="AS130" s="9">
        <f>AQ130/(AN130*$A$29)</f>
        <v>0.53449927178397838</v>
      </c>
      <c r="AT130" s="9">
        <f>1-AR130-AS130</f>
        <v>0.1145967741639361</v>
      </c>
      <c r="AU130" s="3">
        <f>AF130*AR130</f>
        <v>988.43082539674151</v>
      </c>
      <c r="AV130" s="3">
        <f>AF130*AS130</f>
        <v>1505.5845061950367</v>
      </c>
      <c r="AW130" s="3">
        <f>AU130+AV130</f>
        <v>2494.0153315917782</v>
      </c>
      <c r="AX130" s="3">
        <f>AL130*AR130</f>
        <v>937.98541138595454</v>
      </c>
      <c r="AY130" s="3">
        <f>AL130*AS130</f>
        <v>1428.7457110140488</v>
      </c>
      <c r="AZ130" s="3">
        <f>AX130+AY130</f>
        <v>2366.7311224000032</v>
      </c>
    </row>
    <row r="131" spans="1:52" x14ac:dyDescent="0.25">
      <c r="A131">
        <f t="shared" si="29"/>
        <v>92</v>
      </c>
      <c r="B131" s="1" t="s">
        <v>130</v>
      </c>
      <c r="C131" s="1" t="s">
        <v>139</v>
      </c>
      <c r="D131" s="2">
        <v>42325</v>
      </c>
      <c r="E131" s="3">
        <v>16.2</v>
      </c>
      <c r="F131" s="4">
        <f t="shared" si="15"/>
        <v>2260.1471456692911</v>
      </c>
      <c r="G131" s="7">
        <v>8.74</v>
      </c>
      <c r="H131" s="7">
        <v>212.14</v>
      </c>
      <c r="I131" s="7">
        <f t="shared" si="16"/>
        <v>203.39999999999998</v>
      </c>
      <c r="J131" s="7">
        <v>192.52</v>
      </c>
      <c r="K131" s="5">
        <f t="shared" si="17"/>
        <v>5.3490658800393156</v>
      </c>
      <c r="L131" s="4">
        <f t="shared" si="18"/>
        <v>2139.2503858616128</v>
      </c>
      <c r="M131" s="2">
        <v>42339</v>
      </c>
      <c r="N131" s="7">
        <v>2.68</v>
      </c>
      <c r="O131" s="7">
        <v>0.7</v>
      </c>
      <c r="P131" s="7">
        <f t="shared" si="19"/>
        <v>0.41999999999999993</v>
      </c>
      <c r="Q131" s="7">
        <v>0.64</v>
      </c>
      <c r="R131" s="6">
        <f t="shared" si="20"/>
        <v>0.34550084196909941</v>
      </c>
      <c r="S131" s="6">
        <f t="shared" si="21"/>
        <v>0.52647747347672302</v>
      </c>
      <c r="T131" s="6">
        <f t="shared" si="22"/>
        <v>0.12802168455417751</v>
      </c>
      <c r="U131" s="4">
        <f t="shared" si="23"/>
        <v>780.88274180279689</v>
      </c>
      <c r="V131" s="4">
        <f t="shared" si="24"/>
        <v>1189.9165589375955</v>
      </c>
      <c r="W131" s="4">
        <f t="shared" si="25"/>
        <v>1970.7993007403925</v>
      </c>
      <c r="X131" s="4">
        <f t="shared" si="26"/>
        <v>739.11280949790807</v>
      </c>
      <c r="Y131" s="4">
        <f t="shared" si="27"/>
        <v>1126.2671382825267</v>
      </c>
      <c r="Z131" s="4">
        <f t="shared" si="28"/>
        <v>1865.3799477804348</v>
      </c>
      <c r="AE131" s="3"/>
      <c r="AF131" s="3"/>
      <c r="AG131" s="7"/>
      <c r="AH131" s="7"/>
      <c r="AI131" s="7"/>
      <c r="AJ131" s="7"/>
      <c r="AK131" s="7"/>
      <c r="AL131" s="3"/>
      <c r="AM131" s="9"/>
      <c r="AN131" s="7"/>
      <c r="AO131" s="7"/>
      <c r="AP131" s="7"/>
      <c r="AQ131" s="7"/>
      <c r="AR131" s="9"/>
      <c r="AS131" s="9"/>
      <c r="AT131" s="9"/>
      <c r="AU131" s="3"/>
      <c r="AV131" s="3"/>
      <c r="AW131" s="3"/>
      <c r="AX131" s="3"/>
      <c r="AY131" s="3"/>
      <c r="AZ131" s="3"/>
    </row>
    <row r="132" spans="1:52" x14ac:dyDescent="0.25">
      <c r="A132">
        <f t="shared" si="29"/>
        <v>93</v>
      </c>
      <c r="B132" s="1" t="s">
        <v>131</v>
      </c>
      <c r="C132" s="1" t="s">
        <v>139</v>
      </c>
      <c r="D132" s="2">
        <v>42325</v>
      </c>
      <c r="E132" s="3">
        <v>27.2</v>
      </c>
      <c r="F132" s="4">
        <f t="shared" si="15"/>
        <v>3794.8149606299207</v>
      </c>
      <c r="G132" s="7">
        <v>8.77</v>
      </c>
      <c r="H132" s="7">
        <v>277.49</v>
      </c>
      <c r="I132" s="7">
        <f t="shared" si="16"/>
        <v>268.72000000000003</v>
      </c>
      <c r="J132" s="7">
        <v>255.21</v>
      </c>
      <c r="K132" s="5">
        <f t="shared" si="17"/>
        <v>5.0275379577255208</v>
      </c>
      <c r="L132" s="4">
        <f t="shared" si="18"/>
        <v>3604.0291980588045</v>
      </c>
      <c r="M132" s="2">
        <v>42339</v>
      </c>
      <c r="N132" s="7">
        <v>2.94</v>
      </c>
      <c r="O132" s="7">
        <v>0.7</v>
      </c>
      <c r="P132" s="7">
        <f t="shared" si="19"/>
        <v>0.41999999999999993</v>
      </c>
      <c r="Q132" s="7">
        <v>0.68</v>
      </c>
      <c r="R132" s="6">
        <f t="shared" si="20"/>
        <v>0.31494634574053959</v>
      </c>
      <c r="S132" s="6">
        <f t="shared" si="21"/>
        <v>0.50991313119896897</v>
      </c>
      <c r="T132" s="6">
        <f t="shared" si="22"/>
        <v>0.17514052306049144</v>
      </c>
      <c r="U132" s="4">
        <f t="shared" si="23"/>
        <v>1195.1631046119232</v>
      </c>
      <c r="V132" s="4">
        <f t="shared" si="24"/>
        <v>1935.025978895495</v>
      </c>
      <c r="W132" s="4">
        <f t="shared" si="25"/>
        <v>3130.1890835074182</v>
      </c>
      <c r="X132" s="4">
        <f t="shared" si="26"/>
        <v>1135.0758258708279</v>
      </c>
      <c r="Y132" s="4">
        <f t="shared" si="27"/>
        <v>1837.7418133146741</v>
      </c>
      <c r="Z132" s="4">
        <f t="shared" si="28"/>
        <v>2972.8176391855022</v>
      </c>
      <c r="AF132" s="3"/>
      <c r="AG132" s="7"/>
      <c r="AH132" s="7"/>
      <c r="AI132" s="7"/>
      <c r="AJ132" s="7"/>
      <c r="AK132" s="7"/>
      <c r="AL132" s="3"/>
      <c r="AM132" s="9"/>
      <c r="AN132" s="7"/>
      <c r="AO132" s="7"/>
      <c r="AP132" s="7"/>
      <c r="AQ132" s="7"/>
      <c r="AR132" s="9"/>
      <c r="AS132" s="9"/>
      <c r="AT132" s="9"/>
      <c r="AU132" s="3"/>
      <c r="AV132" s="3"/>
      <c r="AW132" s="3"/>
      <c r="AX132" s="3"/>
      <c r="AY132" s="3"/>
      <c r="AZ132" s="3"/>
    </row>
    <row r="133" spans="1:52" x14ac:dyDescent="0.25">
      <c r="A133">
        <f t="shared" si="29"/>
        <v>94</v>
      </c>
      <c r="B133" s="1" t="s">
        <v>132</v>
      </c>
      <c r="C133" s="1" t="s">
        <v>139</v>
      </c>
      <c r="D133" s="2">
        <v>42325</v>
      </c>
      <c r="E133" s="3">
        <v>28.5</v>
      </c>
      <c r="F133" s="4">
        <f t="shared" si="15"/>
        <v>3976.1847933070867</v>
      </c>
      <c r="G133" s="7">
        <v>8.7899999999999991</v>
      </c>
      <c r="H133" s="7">
        <v>256.12</v>
      </c>
      <c r="I133" s="7">
        <f t="shared" si="16"/>
        <v>247.33</v>
      </c>
      <c r="J133" s="7">
        <v>235.01</v>
      </c>
      <c r="K133" s="5">
        <f t="shared" si="17"/>
        <v>4.9811992075364984</v>
      </c>
      <c r="L133" s="4">
        <f t="shared" si="18"/>
        <v>3778.1231078926871</v>
      </c>
      <c r="M133" s="2">
        <v>42339</v>
      </c>
      <c r="N133" s="7">
        <v>2.86</v>
      </c>
      <c r="O133" s="7">
        <v>0.76</v>
      </c>
      <c r="P133" s="7">
        <f t="shared" si="19"/>
        <v>0.48</v>
      </c>
      <c r="Q133" s="7">
        <v>0.72</v>
      </c>
      <c r="R133" s="6">
        <f t="shared" si="20"/>
        <v>0.37000689569517947</v>
      </c>
      <c r="S133" s="6">
        <f t="shared" si="21"/>
        <v>0.55501034354276924</v>
      </c>
      <c r="T133" s="6">
        <f t="shared" si="22"/>
        <v>7.4982760762051348E-2</v>
      </c>
      <c r="U133" s="4">
        <f t="shared" si="23"/>
        <v>1471.2157920819341</v>
      </c>
      <c r="V133" s="4">
        <f t="shared" si="24"/>
        <v>2206.8236881229009</v>
      </c>
      <c r="W133" s="4">
        <f t="shared" si="25"/>
        <v>3678.0394802048349</v>
      </c>
      <c r="X133" s="4">
        <f t="shared" si="26"/>
        <v>1397.9316027055968</v>
      </c>
      <c r="Y133" s="4">
        <f t="shared" si="27"/>
        <v>2096.8974040583953</v>
      </c>
      <c r="Z133" s="4">
        <f t="shared" si="28"/>
        <v>3494.8290067639919</v>
      </c>
      <c r="AF133" s="3"/>
      <c r="AG133" s="7"/>
      <c r="AH133" s="7"/>
      <c r="AI133" s="7"/>
      <c r="AJ133" s="7"/>
      <c r="AK133" s="7"/>
      <c r="AL133" s="3"/>
      <c r="AM133" s="9"/>
      <c r="AN133" s="7"/>
      <c r="AO133" s="7"/>
      <c r="AP133" s="7"/>
      <c r="AQ133" s="7"/>
      <c r="AR133" s="9"/>
      <c r="AS133" s="9"/>
      <c r="AT133" s="9"/>
      <c r="AU133" s="3"/>
      <c r="AV133" s="3"/>
      <c r="AW133" s="3"/>
      <c r="AX133" s="3"/>
      <c r="AY133" s="3"/>
      <c r="AZ133" s="3"/>
    </row>
    <row r="134" spans="1:52" x14ac:dyDescent="0.25">
      <c r="A134">
        <f t="shared" si="29"/>
        <v>95</v>
      </c>
      <c r="B134" s="1" t="s">
        <v>133</v>
      </c>
      <c r="C134" s="1" t="s">
        <v>139</v>
      </c>
      <c r="D134" s="2">
        <v>42325</v>
      </c>
      <c r="E134" s="3">
        <v>25</v>
      </c>
      <c r="F134" s="4">
        <f t="shared" si="15"/>
        <v>3487.8813976377955</v>
      </c>
      <c r="G134" s="7">
        <v>8.74</v>
      </c>
      <c r="H134" s="7">
        <v>239.03</v>
      </c>
      <c r="I134" s="7">
        <f t="shared" si="16"/>
        <v>230.29</v>
      </c>
      <c r="J134" s="7">
        <v>218.83</v>
      </c>
      <c r="K134" s="5">
        <f t="shared" si="17"/>
        <v>4.9763341873290106</v>
      </c>
      <c r="L134" s="4">
        <f t="shared" si="18"/>
        <v>3314.3127632336568</v>
      </c>
      <c r="M134" s="2">
        <v>42339</v>
      </c>
      <c r="N134" s="7">
        <v>3.1</v>
      </c>
      <c r="O134" s="7">
        <v>0.78</v>
      </c>
      <c r="P134" s="7">
        <f t="shared" si="19"/>
        <v>0.5</v>
      </c>
      <c r="Q134" s="7">
        <v>0.74</v>
      </c>
      <c r="R134" s="6">
        <f t="shared" si="20"/>
        <v>0.35558458390060926</v>
      </c>
      <c r="S134" s="6">
        <f t="shared" si="21"/>
        <v>0.52626518417290169</v>
      </c>
      <c r="T134" s="6">
        <f t="shared" si="22"/>
        <v>0.11815023192648899</v>
      </c>
      <c r="U134" s="4">
        <f t="shared" si="23"/>
        <v>1240.2368554737111</v>
      </c>
      <c r="V134" s="4">
        <f t="shared" si="24"/>
        <v>1835.5505461010923</v>
      </c>
      <c r="W134" s="4">
        <f t="shared" si="25"/>
        <v>3075.7874015748034</v>
      </c>
      <c r="X134" s="4">
        <f t="shared" si="26"/>
        <v>1178.5185248309183</v>
      </c>
      <c r="Y134" s="4">
        <f t="shared" si="27"/>
        <v>1744.2074167497592</v>
      </c>
      <c r="Z134" s="4">
        <f t="shared" si="28"/>
        <v>2922.7259415806775</v>
      </c>
      <c r="AF134" s="3"/>
      <c r="AG134" s="7"/>
      <c r="AH134" s="7"/>
      <c r="AI134" s="7"/>
      <c r="AJ134" s="7"/>
      <c r="AK134" s="7"/>
      <c r="AL134" s="3"/>
      <c r="AM134" s="9"/>
      <c r="AN134" s="7"/>
      <c r="AO134" s="7"/>
      <c r="AP134" s="7"/>
      <c r="AQ134" s="7"/>
      <c r="AR134" s="9"/>
      <c r="AS134" s="9"/>
      <c r="AT134" s="9"/>
      <c r="AU134" s="3"/>
      <c r="AV134" s="3"/>
      <c r="AW134" s="3"/>
      <c r="AX134" s="3"/>
      <c r="AY134" s="3"/>
      <c r="AZ134" s="3"/>
    </row>
    <row r="135" spans="1:52" x14ac:dyDescent="0.25">
      <c r="A135">
        <f t="shared" si="29"/>
        <v>96</v>
      </c>
      <c r="B135" s="1" t="s">
        <v>134</v>
      </c>
      <c r="C135" s="1" t="s">
        <v>139</v>
      </c>
      <c r="D135" s="2">
        <v>42325</v>
      </c>
      <c r="E135" s="3">
        <v>19.299999999999997</v>
      </c>
      <c r="F135" s="4">
        <f t="shared" si="15"/>
        <v>2692.6444389763769</v>
      </c>
      <c r="G135" s="7">
        <v>8.75</v>
      </c>
      <c r="H135" s="7">
        <v>224.31</v>
      </c>
      <c r="I135" s="7">
        <f t="shared" si="16"/>
        <v>215.56</v>
      </c>
      <c r="J135" s="7">
        <v>204.52</v>
      </c>
      <c r="K135" s="5">
        <f t="shared" si="17"/>
        <v>5.1215438856930753</v>
      </c>
      <c r="L135" s="4">
        <f t="shared" si="18"/>
        <v>2554.7394723485277</v>
      </c>
      <c r="M135" s="2">
        <v>42339</v>
      </c>
      <c r="N135" s="7">
        <v>2.9</v>
      </c>
      <c r="O135" s="7">
        <v>0.74</v>
      </c>
      <c r="P135" s="7">
        <f t="shared" si="19"/>
        <v>0.45999999999999996</v>
      </c>
      <c r="Q135" s="7">
        <v>0.72</v>
      </c>
      <c r="R135" s="6">
        <f t="shared" si="20"/>
        <v>0.34969904596018536</v>
      </c>
      <c r="S135" s="6">
        <f t="shared" si="21"/>
        <v>0.54735502845942063</v>
      </c>
      <c r="T135" s="6">
        <f t="shared" si="22"/>
        <v>0.10294592558039395</v>
      </c>
      <c r="U135" s="4">
        <f t="shared" si="23"/>
        <v>941.6151914200376</v>
      </c>
      <c r="V135" s="4">
        <f t="shared" si="24"/>
        <v>1473.8324735270155</v>
      </c>
      <c r="W135" s="4">
        <f t="shared" si="25"/>
        <v>2415.447664947053</v>
      </c>
      <c r="X135" s="4">
        <f t="shared" si="26"/>
        <v>893.38995615710746</v>
      </c>
      <c r="Y135" s="4">
        <f t="shared" si="27"/>
        <v>1398.3494965937336</v>
      </c>
      <c r="Z135" s="4">
        <f t="shared" si="28"/>
        <v>2291.7394527508413</v>
      </c>
      <c r="AF135" s="3"/>
      <c r="AG135" s="7"/>
      <c r="AH135" s="7"/>
      <c r="AI135" s="7"/>
      <c r="AJ135" s="7"/>
      <c r="AK135" s="7"/>
      <c r="AL135" s="3"/>
      <c r="AM135" s="9"/>
      <c r="AN135" s="7"/>
      <c r="AO135" s="7"/>
      <c r="AP135" s="7"/>
      <c r="AQ135" s="7"/>
      <c r="AR135" s="9"/>
      <c r="AS135" s="9"/>
      <c r="AT135" s="9"/>
      <c r="AU135" s="3"/>
      <c r="AV135" s="3"/>
      <c r="AW135" s="3"/>
      <c r="AX135" s="3"/>
      <c r="AY135" s="3"/>
      <c r="AZ135" s="3"/>
    </row>
    <row r="136" spans="1:52" x14ac:dyDescent="0.25">
      <c r="A136">
        <f t="shared" si="29"/>
        <v>97</v>
      </c>
      <c r="B136" s="1" t="s">
        <v>135</v>
      </c>
      <c r="C136" s="1" t="s">
        <v>139</v>
      </c>
      <c r="D136" s="2">
        <v>42325</v>
      </c>
      <c r="E136" s="3">
        <v>16.399999999999999</v>
      </c>
      <c r="F136" s="4">
        <f t="shared" si="15"/>
        <v>2288.0501968503931</v>
      </c>
      <c r="G136" s="7">
        <v>8.77</v>
      </c>
      <c r="H136" s="7">
        <v>248.13</v>
      </c>
      <c r="I136" s="7">
        <f t="shared" si="16"/>
        <v>239.35999999999999</v>
      </c>
      <c r="J136" s="7">
        <v>226.34</v>
      </c>
      <c r="K136" s="5">
        <f t="shared" si="17"/>
        <v>5.4395053475935757</v>
      </c>
      <c r="L136" s="4">
        <f t="shared" si="18"/>
        <v>2163.5915840370908</v>
      </c>
      <c r="M136" s="2">
        <v>42339</v>
      </c>
      <c r="N136" s="7">
        <v>3</v>
      </c>
      <c r="O136" s="7">
        <v>0.74</v>
      </c>
      <c r="P136" s="7">
        <f t="shared" si="19"/>
        <v>0.45999999999999996</v>
      </c>
      <c r="Q136" s="7">
        <v>0.72</v>
      </c>
      <c r="R136" s="6">
        <f t="shared" si="20"/>
        <v>0.33804241109484584</v>
      </c>
      <c r="S136" s="6">
        <f t="shared" si="21"/>
        <v>0.52910986084410661</v>
      </c>
      <c r="T136" s="6">
        <f t="shared" si="22"/>
        <v>0.1328477280610475</v>
      </c>
      <c r="U136" s="4">
        <f t="shared" si="23"/>
        <v>773.4580052493435</v>
      </c>
      <c r="V136" s="4">
        <f t="shared" si="24"/>
        <v>1210.6299212598421</v>
      </c>
      <c r="W136" s="4">
        <f t="shared" si="25"/>
        <v>1984.0879265091858</v>
      </c>
      <c r="X136" s="4">
        <f t="shared" si="26"/>
        <v>731.38571569241492</v>
      </c>
      <c r="Y136" s="4">
        <f t="shared" si="27"/>
        <v>1144.7776419533452</v>
      </c>
      <c r="Z136" s="4">
        <f t="shared" si="28"/>
        <v>1876.1633576457602</v>
      </c>
      <c r="AF136" s="3"/>
      <c r="AG136" s="7"/>
      <c r="AH136" s="7"/>
      <c r="AI136" s="7"/>
      <c r="AJ136" s="7"/>
      <c r="AK136" s="7"/>
      <c r="AL136" s="3"/>
      <c r="AM136" s="9"/>
      <c r="AN136" s="7"/>
      <c r="AO136" s="7"/>
      <c r="AP136" s="7"/>
      <c r="AQ136" s="7"/>
      <c r="AR136" s="9"/>
      <c r="AS136" s="9"/>
      <c r="AT136" s="9"/>
      <c r="AU136" s="3"/>
      <c r="AV136" s="3"/>
      <c r="AW136" s="3"/>
      <c r="AX136" s="3"/>
      <c r="AY136" s="3"/>
      <c r="AZ136" s="3"/>
    </row>
    <row r="137" spans="1:52" x14ac:dyDescent="0.25">
      <c r="A137">
        <f t="shared" si="29"/>
        <v>98</v>
      </c>
      <c r="B137" s="1" t="s">
        <v>136</v>
      </c>
      <c r="C137" s="1" t="s">
        <v>139</v>
      </c>
      <c r="D137" s="2">
        <v>42325</v>
      </c>
      <c r="E137" s="3">
        <v>20.5</v>
      </c>
      <c r="F137" s="4">
        <f t="shared" si="15"/>
        <v>2860.0627460629926</v>
      </c>
      <c r="G137" s="7">
        <v>8.74</v>
      </c>
      <c r="H137" s="7">
        <v>251.79</v>
      </c>
      <c r="I137" s="7">
        <f t="shared" si="16"/>
        <v>243.04999999999998</v>
      </c>
      <c r="J137" s="7">
        <v>231.06</v>
      </c>
      <c r="K137" s="5">
        <f t="shared" si="17"/>
        <v>4.9331413289446537</v>
      </c>
      <c r="L137" s="4">
        <f t="shared" si="18"/>
        <v>2718.9718087032097</v>
      </c>
      <c r="M137" s="2">
        <v>42339</v>
      </c>
      <c r="N137" s="7">
        <v>3.2</v>
      </c>
      <c r="O137" s="7">
        <v>0.82</v>
      </c>
      <c r="P137" s="7">
        <f t="shared" si="19"/>
        <v>0.53999999999999992</v>
      </c>
      <c r="Q137" s="7">
        <v>0.8</v>
      </c>
      <c r="R137" s="6">
        <f t="shared" si="20"/>
        <v>0.37203037090601238</v>
      </c>
      <c r="S137" s="6">
        <f t="shared" si="21"/>
        <v>0.55115610504594437</v>
      </c>
      <c r="T137" s="6">
        <f t="shared" si="22"/>
        <v>7.6813524048043202E-2</v>
      </c>
      <c r="U137" s="4">
        <f t="shared" si="23"/>
        <v>1064.0302042322835</v>
      </c>
      <c r="V137" s="4">
        <f t="shared" si="24"/>
        <v>1576.3410433070869</v>
      </c>
      <c r="W137" s="4">
        <f t="shared" si="25"/>
        <v>2640.3712475393704</v>
      </c>
      <c r="X137" s="4">
        <f t="shared" si="26"/>
        <v>1011.5400904748465</v>
      </c>
      <c r="Y137" s="4">
        <f t="shared" si="27"/>
        <v>1498.5779118145877</v>
      </c>
      <c r="Z137" s="4">
        <f t="shared" si="28"/>
        <v>2510.1180022894341</v>
      </c>
      <c r="AF137" s="3"/>
      <c r="AG137" s="7"/>
      <c r="AH137" s="7"/>
      <c r="AI137" s="7"/>
      <c r="AJ137" s="7"/>
      <c r="AK137" s="7"/>
      <c r="AL137" s="3"/>
      <c r="AM137" s="9"/>
      <c r="AN137" s="7"/>
      <c r="AO137" s="7"/>
      <c r="AP137" s="7"/>
      <c r="AQ137" s="7"/>
      <c r="AR137" s="9"/>
      <c r="AS137" s="9"/>
      <c r="AT137" s="9"/>
      <c r="AU137" s="3"/>
      <c r="AV137" s="3"/>
      <c r="AW137" s="3"/>
      <c r="AX137" s="3"/>
      <c r="AY137" s="3"/>
      <c r="AZ137" s="3"/>
    </row>
    <row r="138" spans="1:52" x14ac:dyDescent="0.25">
      <c r="A138">
        <f t="shared" si="29"/>
        <v>99</v>
      </c>
      <c r="B138" s="1" t="s">
        <v>137</v>
      </c>
      <c r="C138" s="1" t="s">
        <v>139</v>
      </c>
      <c r="D138" s="2">
        <v>42325</v>
      </c>
      <c r="E138" s="3">
        <v>16.899999999999999</v>
      </c>
      <c r="F138" s="4">
        <f t="shared" si="15"/>
        <v>2357.8078248031493</v>
      </c>
      <c r="G138" s="7">
        <v>8.77</v>
      </c>
      <c r="H138" s="7">
        <v>185.32</v>
      </c>
      <c r="I138" s="7">
        <f t="shared" si="16"/>
        <v>176.54999999999998</v>
      </c>
      <c r="J138" s="7">
        <v>167.58</v>
      </c>
      <c r="K138" s="5">
        <f t="shared" si="17"/>
        <v>5.0807136788445035</v>
      </c>
      <c r="L138" s="4">
        <f t="shared" si="18"/>
        <v>2238.0143601275095</v>
      </c>
      <c r="M138" s="2">
        <v>42339</v>
      </c>
      <c r="N138" s="7">
        <v>3.18</v>
      </c>
      <c r="O138" s="7">
        <v>0.8</v>
      </c>
      <c r="P138" s="7">
        <f t="shared" si="19"/>
        <v>0.52</v>
      </c>
      <c r="Q138" s="7">
        <v>0.78</v>
      </c>
      <c r="R138" s="6">
        <f t="shared" si="20"/>
        <v>0.36050462216841644</v>
      </c>
      <c r="S138" s="6">
        <f t="shared" si="21"/>
        <v>0.54075693325262464</v>
      </c>
      <c r="T138" s="6">
        <f t="shared" si="22"/>
        <v>9.8738444578958862E-2</v>
      </c>
      <c r="U138" s="4">
        <f t="shared" si="23"/>
        <v>850.00061902639516</v>
      </c>
      <c r="V138" s="4">
        <f t="shared" si="24"/>
        <v>1275.0009285395927</v>
      </c>
      <c r="W138" s="4">
        <f t="shared" si="25"/>
        <v>2125.0015475659879</v>
      </c>
      <c r="X138" s="4">
        <f t="shared" si="26"/>
        <v>806.81452130525804</v>
      </c>
      <c r="Y138" s="4">
        <f t="shared" si="27"/>
        <v>1210.2217819578871</v>
      </c>
      <c r="Z138" s="4">
        <f t="shared" si="28"/>
        <v>2017.0363032631451</v>
      </c>
      <c r="AF138" s="3"/>
      <c r="AH138" s="7"/>
      <c r="AI138" s="7"/>
      <c r="AJ138" s="7"/>
      <c r="AK138" s="7"/>
      <c r="AL138" s="3"/>
      <c r="AM138" s="9"/>
      <c r="AN138" s="7"/>
      <c r="AO138" s="7"/>
      <c r="AP138" s="7"/>
      <c r="AQ138" s="7"/>
      <c r="AR138" s="9"/>
      <c r="AS138" s="9"/>
      <c r="AT138" s="9"/>
      <c r="AU138" s="3"/>
      <c r="AV138" s="3"/>
      <c r="AW138" s="3"/>
      <c r="AX138" s="3"/>
      <c r="AY138" s="3"/>
      <c r="AZ138" s="3"/>
    </row>
    <row r="139" spans="1:52" x14ac:dyDescent="0.25">
      <c r="A139">
        <f t="shared" si="29"/>
        <v>100</v>
      </c>
      <c r="B139" s="1" t="s">
        <v>138</v>
      </c>
      <c r="C139" s="1" t="s">
        <v>139</v>
      </c>
      <c r="D139" s="2">
        <v>42325</v>
      </c>
      <c r="E139" s="3">
        <v>12.9</v>
      </c>
      <c r="F139" s="4">
        <f t="shared" si="15"/>
        <v>1799.7468011811025</v>
      </c>
      <c r="G139" s="7">
        <v>8.83</v>
      </c>
      <c r="H139" s="7">
        <v>269.36</v>
      </c>
      <c r="I139" s="7">
        <f t="shared" si="16"/>
        <v>260.53000000000003</v>
      </c>
      <c r="J139" s="7">
        <v>247.67</v>
      </c>
      <c r="K139" s="5">
        <f t="shared" si="17"/>
        <v>4.9360918128430669</v>
      </c>
      <c r="L139" s="4">
        <f t="shared" si="18"/>
        <v>1710.9096466760971</v>
      </c>
      <c r="M139" s="2">
        <v>42339</v>
      </c>
      <c r="N139" s="7">
        <v>3.32</v>
      </c>
      <c r="O139" s="7">
        <v>0.8</v>
      </c>
      <c r="P139" s="7">
        <f t="shared" si="19"/>
        <v>0.52</v>
      </c>
      <c r="Q139" s="7">
        <v>0.78</v>
      </c>
      <c r="R139" s="6">
        <f t="shared" si="20"/>
        <v>0.34530262002878442</v>
      </c>
      <c r="S139" s="6">
        <f t="shared" si="21"/>
        <v>0.51795393004317669</v>
      </c>
      <c r="T139" s="6">
        <f t="shared" si="22"/>
        <v>0.13674344992803888</v>
      </c>
      <c r="U139" s="4">
        <f t="shared" si="23"/>
        <v>621.45728583625839</v>
      </c>
      <c r="V139" s="4">
        <f t="shared" si="24"/>
        <v>932.18592875438776</v>
      </c>
      <c r="W139" s="4">
        <f t="shared" si="25"/>
        <v>1553.643214590646</v>
      </c>
      <c r="X139" s="4">
        <f t="shared" si="26"/>
        <v>590.7815836297782</v>
      </c>
      <c r="Y139" s="4">
        <f t="shared" si="27"/>
        <v>886.1723754446673</v>
      </c>
      <c r="Z139" s="4">
        <f t="shared" si="28"/>
        <v>1476.9539590744455</v>
      </c>
      <c r="AF139" s="3"/>
      <c r="AH139" s="7"/>
      <c r="AI139" s="7"/>
      <c r="AJ139" s="7"/>
      <c r="AK139" s="7"/>
      <c r="AL139" s="3"/>
      <c r="AM139" s="9"/>
      <c r="AN139" s="7"/>
      <c r="AO139" s="7"/>
      <c r="AP139" s="7"/>
      <c r="AQ139" s="7"/>
      <c r="AR139" s="9"/>
      <c r="AS139" s="9"/>
      <c r="AT139" s="9"/>
      <c r="AU139" s="3"/>
      <c r="AV139" s="3"/>
      <c r="AW139" s="3"/>
      <c r="AX139" s="3"/>
      <c r="AY139" s="3"/>
      <c r="AZ13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174ED-B270-4962-A7F2-21DE7C85D8A3}">
  <dimension ref="A1:Y18"/>
  <sheetViews>
    <sheetView workbookViewId="0"/>
  </sheetViews>
  <sheetFormatPr defaultRowHeight="15" x14ac:dyDescent="0.25"/>
  <cols>
    <col min="3" max="5" width="10.5703125" bestFit="1" customWidth="1"/>
    <col min="7" max="7" width="10.5703125" bestFit="1" customWidth="1"/>
    <col min="12" max="12" width="10.5703125" bestFit="1" customWidth="1"/>
    <col min="16" max="16" width="9.5703125" bestFit="1" customWidth="1"/>
  </cols>
  <sheetData>
    <row r="1" spans="1:25" x14ac:dyDescent="0.25">
      <c r="A1" s="1"/>
      <c r="B1" s="1" t="s">
        <v>0</v>
      </c>
      <c r="C1" s="1" t="s">
        <v>0</v>
      </c>
      <c r="D1" t="s">
        <v>0</v>
      </c>
      <c r="E1" s="1" t="s">
        <v>0</v>
      </c>
      <c r="F1" t="s">
        <v>149</v>
      </c>
      <c r="G1" t="s">
        <v>149</v>
      </c>
      <c r="H1" t="s">
        <v>149</v>
      </c>
      <c r="I1" t="s">
        <v>149</v>
      </c>
      <c r="J1" s="1" t="s">
        <v>149</v>
      </c>
      <c r="K1" s="1" t="s">
        <v>149</v>
      </c>
      <c r="L1" s="1" t="s">
        <v>7</v>
      </c>
      <c r="M1" t="s">
        <v>7</v>
      </c>
      <c r="N1" t="s">
        <v>7</v>
      </c>
      <c r="O1" t="s">
        <v>7</v>
      </c>
      <c r="P1" t="s">
        <v>7</v>
      </c>
      <c r="Q1" s="1" t="s">
        <v>7</v>
      </c>
      <c r="R1" s="1" t="s">
        <v>7</v>
      </c>
      <c r="S1" s="1" t="s">
        <v>7</v>
      </c>
      <c r="T1" s="1" t="s">
        <v>16</v>
      </c>
      <c r="U1" s="1" t="s">
        <v>16</v>
      </c>
      <c r="V1" s="1" t="s">
        <v>16</v>
      </c>
      <c r="W1" s="1" t="s">
        <v>16</v>
      </c>
      <c r="X1" s="1" t="s">
        <v>16</v>
      </c>
      <c r="Y1" s="1" t="s">
        <v>16</v>
      </c>
    </row>
    <row r="2" spans="1:25" x14ac:dyDescent="0.25">
      <c r="A2" s="1"/>
      <c r="B2" s="1"/>
      <c r="C2" s="1"/>
      <c r="E2" s="1"/>
      <c r="G2" t="s">
        <v>152</v>
      </c>
      <c r="H2" t="s">
        <v>153</v>
      </c>
      <c r="I2" t="s">
        <v>154</v>
      </c>
      <c r="J2" s="1"/>
      <c r="K2" s="1"/>
      <c r="L2" s="1"/>
      <c r="Q2" s="1"/>
      <c r="R2" s="1"/>
      <c r="S2" s="1"/>
      <c r="T2" s="1"/>
      <c r="U2" s="1"/>
      <c r="V2" s="1"/>
      <c r="W2" s="1"/>
      <c r="X2" s="1"/>
      <c r="Y2" s="1"/>
    </row>
    <row r="3" spans="1:25" x14ac:dyDescent="0.25">
      <c r="A3" s="1"/>
      <c r="B3" s="1"/>
      <c r="C3" s="1"/>
      <c r="D3" t="s">
        <v>1</v>
      </c>
      <c r="E3" s="1"/>
      <c r="F3" t="s">
        <v>150</v>
      </c>
      <c r="G3" t="s">
        <v>151</v>
      </c>
      <c r="H3" t="s">
        <v>8</v>
      </c>
      <c r="I3" t="s">
        <v>8</v>
      </c>
      <c r="J3" s="1"/>
      <c r="K3" s="1"/>
      <c r="L3" s="1" t="s">
        <v>24</v>
      </c>
      <c r="M3" t="s">
        <v>8</v>
      </c>
      <c r="N3" t="s">
        <v>10</v>
      </c>
      <c r="O3" t="s">
        <v>10</v>
      </c>
      <c r="P3" t="s">
        <v>11</v>
      </c>
      <c r="Q3" s="1"/>
      <c r="R3" s="1"/>
      <c r="S3" s="1"/>
      <c r="T3" s="1"/>
      <c r="U3" s="1"/>
      <c r="V3" s="1"/>
      <c r="W3" s="1"/>
      <c r="X3" s="1"/>
      <c r="Y3" s="1"/>
    </row>
    <row r="4" spans="1:25" x14ac:dyDescent="0.25">
      <c r="A4" s="1" t="s">
        <v>20</v>
      </c>
      <c r="B4" s="1" t="s">
        <v>21</v>
      </c>
      <c r="C4" s="1" t="s">
        <v>2</v>
      </c>
      <c r="D4" t="s">
        <v>148</v>
      </c>
      <c r="E4" s="1" t="s">
        <v>3</v>
      </c>
      <c r="F4" t="s">
        <v>151</v>
      </c>
      <c r="G4" t="s">
        <v>141</v>
      </c>
      <c r="H4" t="s">
        <v>144</v>
      </c>
      <c r="I4" t="s">
        <v>144</v>
      </c>
      <c r="J4" s="1" t="s">
        <v>155</v>
      </c>
      <c r="K4" s="1" t="s">
        <v>156</v>
      </c>
      <c r="L4" s="1" t="s">
        <v>25</v>
      </c>
      <c r="M4" t="s">
        <v>158</v>
      </c>
      <c r="N4" t="s">
        <v>143</v>
      </c>
      <c r="O4" t="s">
        <v>158</v>
      </c>
      <c r="P4" t="s">
        <v>159</v>
      </c>
      <c r="Q4" s="1" t="s">
        <v>12</v>
      </c>
      <c r="R4" s="1" t="s">
        <v>13</v>
      </c>
      <c r="S4" s="1" t="s">
        <v>14</v>
      </c>
      <c r="T4" s="1" t="s">
        <v>17</v>
      </c>
      <c r="U4" s="1" t="s">
        <v>18</v>
      </c>
      <c r="V4" s="1" t="s">
        <v>19</v>
      </c>
      <c r="W4" s="1" t="s">
        <v>160</v>
      </c>
      <c r="X4" s="1" t="s">
        <v>161</v>
      </c>
      <c r="Y4" s="1" t="s">
        <v>162</v>
      </c>
    </row>
    <row r="5" spans="1:25" x14ac:dyDescent="0.25">
      <c r="A5" s="1"/>
      <c r="B5" s="1"/>
      <c r="C5" s="1"/>
      <c r="D5" t="s">
        <v>140</v>
      </c>
      <c r="E5" s="1" t="s">
        <v>4</v>
      </c>
      <c r="F5" t="s">
        <v>9</v>
      </c>
      <c r="G5" t="s">
        <v>9</v>
      </c>
      <c r="H5" t="s">
        <v>9</v>
      </c>
      <c r="I5" t="s">
        <v>9</v>
      </c>
      <c r="J5" s="1" t="s">
        <v>157</v>
      </c>
      <c r="K5" s="5" t="s">
        <v>4</v>
      </c>
      <c r="L5" s="5"/>
      <c r="M5" s="7" t="s">
        <v>140</v>
      </c>
      <c r="N5" s="7" t="s">
        <v>38</v>
      </c>
      <c r="O5" s="7" t="s">
        <v>38</v>
      </c>
      <c r="P5" t="s">
        <v>38</v>
      </c>
      <c r="Q5" s="1" t="s">
        <v>15</v>
      </c>
      <c r="R5" s="1" t="s">
        <v>15</v>
      </c>
      <c r="S5" s="1" t="s">
        <v>15</v>
      </c>
      <c r="T5" s="1" t="s">
        <v>4</v>
      </c>
      <c r="U5" s="1" t="s">
        <v>4</v>
      </c>
      <c r="V5" s="1" t="s">
        <v>4</v>
      </c>
      <c r="W5" s="1" t="s">
        <v>4</v>
      </c>
      <c r="X5" s="1" t="s">
        <v>4</v>
      </c>
      <c r="Y5" s="1" t="s">
        <v>4</v>
      </c>
    </row>
    <row r="6" spans="1:25" x14ac:dyDescent="0.25">
      <c r="A6" s="1" t="s">
        <v>20</v>
      </c>
      <c r="B6" s="1" t="s">
        <v>21</v>
      </c>
      <c r="C6" s="1" t="s">
        <v>2</v>
      </c>
      <c r="E6" s="1" t="s">
        <v>3</v>
      </c>
      <c r="J6" s="1" t="s">
        <v>155</v>
      </c>
      <c r="K6" s="1" t="s">
        <v>156</v>
      </c>
      <c r="L6" s="1" t="s">
        <v>25</v>
      </c>
      <c r="Q6" s="1" t="s">
        <v>12</v>
      </c>
      <c r="R6" s="1" t="s">
        <v>13</v>
      </c>
      <c r="S6" s="1" t="s">
        <v>14</v>
      </c>
      <c r="T6" s="1" t="s">
        <v>17</v>
      </c>
      <c r="U6" s="1" t="s">
        <v>18</v>
      </c>
      <c r="V6" s="1" t="s">
        <v>19</v>
      </c>
      <c r="W6" s="1" t="s">
        <v>160</v>
      </c>
      <c r="X6" s="1" t="s">
        <v>161</v>
      </c>
      <c r="Y6" s="1" t="s">
        <v>162</v>
      </c>
    </row>
    <row r="7" spans="1:25" x14ac:dyDescent="0.25">
      <c r="A7" s="1" t="s">
        <v>28</v>
      </c>
      <c r="B7" s="1" t="s">
        <v>139</v>
      </c>
      <c r="C7" s="10">
        <v>42325</v>
      </c>
      <c r="D7" s="3">
        <v>483.15000000000003</v>
      </c>
      <c r="E7" s="4">
        <v>6740.6795890748026</v>
      </c>
      <c r="F7" s="7">
        <v>88.19</v>
      </c>
      <c r="G7" s="7">
        <v>2434.25</v>
      </c>
      <c r="H7" s="7">
        <v>2346.06</v>
      </c>
      <c r="I7" s="7">
        <v>2188.89</v>
      </c>
      <c r="J7" s="5">
        <v>6.6993171530139923</v>
      </c>
      <c r="K7" s="4">
        <v>6289.1000851342014</v>
      </c>
      <c r="L7" s="10">
        <v>42339</v>
      </c>
      <c r="M7" s="7">
        <v>37.6</v>
      </c>
      <c r="N7" s="7">
        <v>8.9</v>
      </c>
      <c r="O7" s="7">
        <v>6.1</v>
      </c>
      <c r="P7" s="7">
        <v>9.1</v>
      </c>
      <c r="Q7" s="6">
        <v>0.35766513199790007</v>
      </c>
      <c r="R7" s="6">
        <v>0.53356601658703129</v>
      </c>
      <c r="S7" s="6">
        <v>0.10876885141506865</v>
      </c>
      <c r="T7" s="4">
        <v>2410.9060549819901</v>
      </c>
      <c r="U7" s="4">
        <v>3596.5975574321492</v>
      </c>
      <c r="V7" s="4">
        <v>6007.5036124141388</v>
      </c>
      <c r="W7" s="4">
        <v>2249.3918120975286</v>
      </c>
      <c r="X7" s="4">
        <v>3355.650080342215</v>
      </c>
      <c r="Y7" s="4">
        <v>5605.0418924397436</v>
      </c>
    </row>
    <row r="8" spans="1:25" x14ac:dyDescent="0.25">
      <c r="A8" s="1" t="s">
        <v>145</v>
      </c>
      <c r="B8" s="1" t="s">
        <v>139</v>
      </c>
      <c r="C8" s="10">
        <v>42325</v>
      </c>
      <c r="D8" s="3">
        <v>504.1</v>
      </c>
      <c r="E8" s="4">
        <v>7032.9640501968506</v>
      </c>
      <c r="F8" s="7">
        <v>87.57</v>
      </c>
      <c r="G8" s="7">
        <v>2694.77</v>
      </c>
      <c r="H8" s="7">
        <v>2607.1999999999998</v>
      </c>
      <c r="I8" s="7">
        <v>2441.7599999999998</v>
      </c>
      <c r="J8" s="5">
        <v>6.3455047560601443</v>
      </c>
      <c r="K8" s="4">
        <v>6586.6869818996092</v>
      </c>
      <c r="L8" s="10">
        <v>42339</v>
      </c>
      <c r="M8" s="7">
        <v>36.140000000000008</v>
      </c>
      <c r="N8" s="7">
        <v>8.6999999999999993</v>
      </c>
      <c r="O8" s="7">
        <v>5.8999999999999986</v>
      </c>
      <c r="P8" s="7">
        <v>8.74</v>
      </c>
      <c r="Q8" s="6">
        <v>0.35991378193371004</v>
      </c>
      <c r="R8" s="6">
        <v>0.53316041594925878</v>
      </c>
      <c r="S8" s="6">
        <v>0.10692580211703118</v>
      </c>
      <c r="T8" s="4">
        <v>2531.2606895101712</v>
      </c>
      <c r="U8" s="4">
        <v>3749.6980383591367</v>
      </c>
      <c r="V8" s="4">
        <v>6280.9587278693079</v>
      </c>
      <c r="W8" s="4">
        <v>2370.6394220690227</v>
      </c>
      <c r="X8" s="4">
        <v>3511.7607709971635</v>
      </c>
      <c r="Y8" s="4">
        <v>5882.4001930661861</v>
      </c>
    </row>
    <row r="9" spans="1:25" x14ac:dyDescent="0.25">
      <c r="A9" s="1" t="s">
        <v>29</v>
      </c>
      <c r="B9" s="1" t="s">
        <v>139</v>
      </c>
      <c r="C9" s="10">
        <v>42325</v>
      </c>
      <c r="D9" s="3">
        <v>489.09999999999997</v>
      </c>
      <c r="E9" s="4">
        <v>6823.6911663385827</v>
      </c>
      <c r="F9" s="7">
        <v>88.639999999999986</v>
      </c>
      <c r="G9" s="7">
        <v>2611.44</v>
      </c>
      <c r="H9" s="7">
        <v>2522.8000000000002</v>
      </c>
      <c r="I9" s="7">
        <v>2373.63</v>
      </c>
      <c r="J9" s="5">
        <v>5.9128745837957855</v>
      </c>
      <c r="K9" s="4">
        <v>6420.2148656874297</v>
      </c>
      <c r="L9" s="10">
        <v>42339</v>
      </c>
      <c r="M9" s="7">
        <v>30.3</v>
      </c>
      <c r="N9" s="7">
        <v>7.6800000000000006</v>
      </c>
      <c r="O9" s="7">
        <v>4.8800000000000008</v>
      </c>
      <c r="P9" s="7">
        <v>7.26</v>
      </c>
      <c r="Q9" s="6">
        <v>0.35506822344874045</v>
      </c>
      <c r="R9" s="6">
        <v>0.52823674226185557</v>
      </c>
      <c r="S9" s="6">
        <v>0.11669503428940398</v>
      </c>
      <c r="T9" s="4">
        <v>2422.8758997947043</v>
      </c>
      <c r="U9" s="4">
        <v>3604.5243919076947</v>
      </c>
      <c r="V9" s="4">
        <v>6027.400291702399</v>
      </c>
      <c r="W9" s="4">
        <v>2279.6142865188294</v>
      </c>
      <c r="X9" s="4">
        <v>3391.3933852718646</v>
      </c>
      <c r="Y9" s="4">
        <v>5671.0076717906941</v>
      </c>
    </row>
    <row r="10" spans="1:25" x14ac:dyDescent="0.25">
      <c r="A10" s="1" t="s">
        <v>30</v>
      </c>
      <c r="B10" s="1" t="s">
        <v>139</v>
      </c>
      <c r="C10" s="10">
        <v>42325</v>
      </c>
      <c r="D10" s="3">
        <v>472.79999999999995</v>
      </c>
      <c r="E10" s="4">
        <v>6596.2812992125973</v>
      </c>
      <c r="F10" s="7">
        <v>88.45</v>
      </c>
      <c r="G10" s="7">
        <v>2555.2000000000003</v>
      </c>
      <c r="H10" s="7">
        <v>2466.7500000000005</v>
      </c>
      <c r="I10" s="7">
        <v>2316.92</v>
      </c>
      <c r="J10" s="5">
        <v>6.0739839870274794</v>
      </c>
      <c r="K10" s="4">
        <v>6195.6242293591358</v>
      </c>
      <c r="L10" s="10">
        <v>42339</v>
      </c>
      <c r="M10" s="7">
        <v>32.839999999999996</v>
      </c>
      <c r="N10" s="7">
        <v>8.06</v>
      </c>
      <c r="O10" s="7">
        <v>5.26</v>
      </c>
      <c r="P10" s="7">
        <v>7.9800000000000013</v>
      </c>
      <c r="Q10" s="6">
        <v>0.35311584805623236</v>
      </c>
      <c r="R10" s="6">
        <v>0.53571567822979749</v>
      </c>
      <c r="S10" s="6">
        <v>0.1111684737139701</v>
      </c>
      <c r="T10" s="4">
        <v>2329.2514649889226</v>
      </c>
      <c r="U10" s="4">
        <v>3533.7313100022061</v>
      </c>
      <c r="V10" s="4">
        <v>5862.9827749911292</v>
      </c>
      <c r="W10" s="4">
        <v>2187.7731039878922</v>
      </c>
      <c r="X10" s="4">
        <v>3319.0930360880957</v>
      </c>
      <c r="Y10" s="4">
        <v>5506.8661400759884</v>
      </c>
    </row>
    <row r="11" spans="1:25" x14ac:dyDescent="0.25">
      <c r="A11" s="1" t="s">
        <v>31</v>
      </c>
      <c r="B11" s="1" t="s">
        <v>139</v>
      </c>
      <c r="C11" s="10">
        <v>42325</v>
      </c>
      <c r="D11" s="3">
        <v>285.7</v>
      </c>
      <c r="E11" s="4">
        <v>3985.9508612204718</v>
      </c>
      <c r="F11" s="7">
        <v>86.71</v>
      </c>
      <c r="G11" s="7">
        <v>2228.58</v>
      </c>
      <c r="H11" s="7">
        <v>2141.87</v>
      </c>
      <c r="I11" s="7">
        <v>2023.1900000000003</v>
      </c>
      <c r="J11" s="5">
        <v>5.5409525321331179</v>
      </c>
      <c r="K11" s="4">
        <v>3765.0912160460944</v>
      </c>
      <c r="L11" s="10">
        <v>42339</v>
      </c>
      <c r="M11" s="7">
        <v>34.26</v>
      </c>
      <c r="N11" s="7">
        <v>8.34</v>
      </c>
      <c r="O11" s="7">
        <v>5.5399999999999991</v>
      </c>
      <c r="P11" s="7">
        <v>8.4599999999999991</v>
      </c>
      <c r="Q11" s="6">
        <v>0.35649793601337204</v>
      </c>
      <c r="R11" s="6">
        <v>0.54439937521175585</v>
      </c>
      <c r="S11" s="6">
        <v>9.9102688774872161E-2</v>
      </c>
      <c r="T11" s="4">
        <v>1420.983255075821</v>
      </c>
      <c r="U11" s="4">
        <v>2169.949158473185</v>
      </c>
      <c r="V11" s="4">
        <v>3590.932413549006</v>
      </c>
      <c r="W11" s="4">
        <v>1342.2472474225096</v>
      </c>
      <c r="X11" s="4">
        <v>2049.7133056307639</v>
      </c>
      <c r="Y11" s="4">
        <v>3391.9605530532735</v>
      </c>
    </row>
    <row r="12" spans="1:25" x14ac:dyDescent="0.25">
      <c r="A12" s="1" t="s">
        <v>32</v>
      </c>
      <c r="B12" s="1" t="s">
        <v>139</v>
      </c>
      <c r="C12" s="10">
        <v>42325</v>
      </c>
      <c r="D12" s="3">
        <v>494.9</v>
      </c>
      <c r="E12" s="4">
        <v>6904.610014763779</v>
      </c>
      <c r="F12" s="7">
        <v>87.950000000000017</v>
      </c>
      <c r="G12" s="7">
        <v>2265.1999999999998</v>
      </c>
      <c r="H12" s="7">
        <v>2177.25</v>
      </c>
      <c r="I12" s="7">
        <v>2049.3000000000002</v>
      </c>
      <c r="J12" s="5">
        <v>5.8766792972786686</v>
      </c>
      <c r="K12" s="4">
        <v>6498.8482274683265</v>
      </c>
      <c r="L12" s="10">
        <v>42339</v>
      </c>
      <c r="M12" s="7">
        <v>32.6</v>
      </c>
      <c r="N12" s="7">
        <v>8</v>
      </c>
      <c r="O12" s="7">
        <v>5.1999999999999993</v>
      </c>
      <c r="P12" s="7">
        <v>7.8</v>
      </c>
      <c r="Q12" s="6">
        <v>0.35165788297409944</v>
      </c>
      <c r="R12" s="6">
        <v>0.52748682446114925</v>
      </c>
      <c r="S12" s="6">
        <v>0.12085529256475125</v>
      </c>
      <c r="T12" s="4">
        <v>2428.0605405535962</v>
      </c>
      <c r="U12" s="4">
        <v>3642.0908108303947</v>
      </c>
      <c r="V12" s="4">
        <v>6070.1513513839909</v>
      </c>
      <c r="W12" s="4">
        <v>2285.3712094414905</v>
      </c>
      <c r="X12" s="4">
        <v>3428.0568141622362</v>
      </c>
      <c r="Y12" s="4">
        <v>5713.4280236037266</v>
      </c>
    </row>
    <row r="13" spans="1:25" x14ac:dyDescent="0.25">
      <c r="A13" s="1" t="s">
        <v>33</v>
      </c>
      <c r="B13" s="1" t="s">
        <v>139</v>
      </c>
      <c r="C13" s="10">
        <v>42325</v>
      </c>
      <c r="D13" s="3">
        <v>462.9</v>
      </c>
      <c r="E13" s="4">
        <v>6458.1611958661415</v>
      </c>
      <c r="F13" s="7">
        <v>87.649999999999977</v>
      </c>
      <c r="G13" s="7">
        <v>2363.9</v>
      </c>
      <c r="H13" s="7">
        <v>2276.25</v>
      </c>
      <c r="I13" s="7">
        <v>2155.4500000000003</v>
      </c>
      <c r="J13" s="5">
        <v>5.3069741900054801</v>
      </c>
      <c r="K13" s="4">
        <v>6115.4282480525762</v>
      </c>
      <c r="L13" s="10">
        <v>42339</v>
      </c>
      <c r="M13" s="7">
        <v>32.479999999999997</v>
      </c>
      <c r="N13" s="7">
        <v>8.1000000000000014</v>
      </c>
      <c r="O13" s="7">
        <v>5.3000000000000007</v>
      </c>
      <c r="P13" s="7">
        <v>7.98</v>
      </c>
      <c r="Q13" s="6">
        <v>0.35974474836742687</v>
      </c>
      <c r="R13" s="6">
        <v>0.54165341357963515</v>
      </c>
      <c r="S13" s="6">
        <v>9.8601838052937985E-2</v>
      </c>
      <c r="T13" s="4">
        <v>2323.2895743231456</v>
      </c>
      <c r="U13" s="4">
        <v>3498.0850571884343</v>
      </c>
      <c r="V13" s="4">
        <v>5821.3746315115804</v>
      </c>
      <c r="W13" s="4">
        <v>2199.993196254728</v>
      </c>
      <c r="X13" s="4">
        <v>3312.4425860590059</v>
      </c>
      <c r="Y13" s="4">
        <v>5512.4357823137343</v>
      </c>
    </row>
    <row r="14" spans="1:25" x14ac:dyDescent="0.25">
      <c r="A14" s="1" t="s">
        <v>146</v>
      </c>
      <c r="B14" s="1" t="s">
        <v>139</v>
      </c>
      <c r="C14" s="10">
        <v>42325</v>
      </c>
      <c r="D14" s="3">
        <v>433.90000000000009</v>
      </c>
      <c r="E14" s="4">
        <v>6053.5669537401582</v>
      </c>
      <c r="F14" s="7">
        <v>87.88</v>
      </c>
      <c r="G14" s="7">
        <v>2176.8200000000002</v>
      </c>
      <c r="H14" s="7">
        <v>2088.94</v>
      </c>
      <c r="I14" s="7">
        <v>1976.5100000000002</v>
      </c>
      <c r="J14" s="5">
        <v>5.3821555430026633</v>
      </c>
      <c r="K14" s="4">
        <v>5727.7545643900548</v>
      </c>
      <c r="L14" s="10">
        <v>42339</v>
      </c>
      <c r="M14" s="7">
        <v>30.78</v>
      </c>
      <c r="N14" s="7">
        <v>7.839999999999999</v>
      </c>
      <c r="O14" s="7">
        <v>5.0399999999999991</v>
      </c>
      <c r="P14" s="7">
        <v>7.6400000000000006</v>
      </c>
      <c r="Q14" s="6">
        <v>0.36099113312950737</v>
      </c>
      <c r="R14" s="6">
        <v>0.54721671768044378</v>
      </c>
      <c r="S14" s="6">
        <v>9.1792149190048855E-2</v>
      </c>
      <c r="T14" s="4">
        <v>2185.2839941059997</v>
      </c>
      <c r="U14" s="4">
        <v>3312.613038684492</v>
      </c>
      <c r="V14" s="4">
        <v>5497.8970327904917</v>
      </c>
      <c r="W14" s="4">
        <v>2067.6686104868736</v>
      </c>
      <c r="X14" s="4">
        <v>3134.3230524047058</v>
      </c>
      <c r="Y14" s="4">
        <v>5201.9916628915798</v>
      </c>
    </row>
    <row r="15" spans="1:25" x14ac:dyDescent="0.25">
      <c r="A15" s="1" t="s">
        <v>147</v>
      </c>
      <c r="B15" s="1" t="s">
        <v>139</v>
      </c>
      <c r="C15" s="10">
        <v>42325</v>
      </c>
      <c r="D15" s="3">
        <v>429.3</v>
      </c>
      <c r="E15" s="4">
        <v>5989.389936023621</v>
      </c>
      <c r="F15" s="7">
        <v>87.46</v>
      </c>
      <c r="G15" s="7">
        <v>2283.69</v>
      </c>
      <c r="H15" s="7">
        <v>2196.23</v>
      </c>
      <c r="I15" s="7">
        <v>2088.29</v>
      </c>
      <c r="J15" s="5">
        <v>4.9147857920163212</v>
      </c>
      <c r="K15" s="4">
        <v>5695.0242504194766</v>
      </c>
      <c r="L15" s="10">
        <v>42339</v>
      </c>
      <c r="M15" s="7">
        <v>30.380000000000003</v>
      </c>
      <c r="N15" s="7">
        <v>7.6999999999999993</v>
      </c>
      <c r="O15" s="7">
        <v>4.8999999999999986</v>
      </c>
      <c r="P15" s="7">
        <v>7.58</v>
      </c>
      <c r="Q15" s="6">
        <v>0.35558458390060915</v>
      </c>
      <c r="R15" s="6">
        <v>0.5500675808095139</v>
      </c>
      <c r="S15" s="6">
        <v>9.4347835289877002E-2</v>
      </c>
      <c r="T15" s="4">
        <v>2129.7347282194555</v>
      </c>
      <c r="U15" s="4">
        <v>3294.5692326333624</v>
      </c>
      <c r="V15" s="4">
        <v>5424.3039608528179</v>
      </c>
      <c r="W15" s="4">
        <v>2025.0628283892881</v>
      </c>
      <c r="X15" s="4">
        <v>3132.6482120797568</v>
      </c>
      <c r="Y15" s="4">
        <v>5157.7110404690447</v>
      </c>
    </row>
    <row r="16" spans="1:25" x14ac:dyDescent="0.25">
      <c r="A16" s="1" t="s">
        <v>34</v>
      </c>
      <c r="B16" s="1" t="s">
        <v>139</v>
      </c>
      <c r="C16" s="10">
        <v>42325</v>
      </c>
      <c r="D16" s="3">
        <v>201.9</v>
      </c>
      <c r="E16" s="4">
        <v>2816.8130167322834</v>
      </c>
      <c r="F16" s="7">
        <v>87.66</v>
      </c>
      <c r="G16" s="7">
        <v>2366.4500000000003</v>
      </c>
      <c r="H16" s="7">
        <v>2278.7900000000004</v>
      </c>
      <c r="I16" s="7">
        <v>2162.4899999999998</v>
      </c>
      <c r="J16" s="5">
        <v>5.1035856748537869</v>
      </c>
      <c r="K16" s="4">
        <v>2673.0545511229179</v>
      </c>
      <c r="L16" s="10">
        <v>42339</v>
      </c>
      <c r="M16" s="7">
        <v>29.779999999999998</v>
      </c>
      <c r="N16" s="7">
        <v>7.54</v>
      </c>
      <c r="O16" s="7">
        <v>4.74</v>
      </c>
      <c r="P16" s="7">
        <v>7.22</v>
      </c>
      <c r="Q16" s="6">
        <v>0.35090395405208552</v>
      </c>
      <c r="R16" s="6">
        <v>0.53449927178397838</v>
      </c>
      <c r="S16" s="6">
        <v>0.1145967741639361</v>
      </c>
      <c r="T16" s="4">
        <v>988.43082539674151</v>
      </c>
      <c r="U16" s="4">
        <v>1505.5845061950367</v>
      </c>
      <c r="V16" s="4">
        <v>2494.0153315917782</v>
      </c>
      <c r="W16" s="4">
        <v>937.98541138595454</v>
      </c>
      <c r="X16" s="4">
        <v>1428.7457110140488</v>
      </c>
      <c r="Y16" s="4">
        <v>2366.7311224000032</v>
      </c>
    </row>
    <row r="18" spans="23:25" x14ac:dyDescent="0.25">
      <c r="W18" s="3"/>
      <c r="X18" s="3"/>
      <c r="Y18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DC4B4-E64B-49E6-9128-1AC99716A457}">
  <dimension ref="A1:N105"/>
  <sheetViews>
    <sheetView workbookViewId="0"/>
  </sheetViews>
  <sheetFormatPr defaultRowHeight="15" x14ac:dyDescent="0.25"/>
  <sheetData>
    <row r="1" spans="1:14" x14ac:dyDescent="0.25">
      <c r="B1" t="s">
        <v>179</v>
      </c>
      <c r="C1" t="s">
        <v>179</v>
      </c>
    </row>
    <row r="2" spans="1:14" x14ac:dyDescent="0.25">
      <c r="B2" t="s">
        <v>180</v>
      </c>
      <c r="C2" t="s">
        <v>180</v>
      </c>
    </row>
    <row r="4" spans="1:14" x14ac:dyDescent="0.25">
      <c r="B4" s="12" t="s">
        <v>176</v>
      </c>
      <c r="C4" s="12" t="s">
        <v>177</v>
      </c>
    </row>
    <row r="5" spans="1:14" x14ac:dyDescent="0.25">
      <c r="A5" t="s">
        <v>27</v>
      </c>
      <c r="B5" s="12" t="s">
        <v>178</v>
      </c>
      <c r="C5" s="12" t="s">
        <v>178</v>
      </c>
      <c r="N5">
        <v>0</v>
      </c>
    </row>
    <row r="6" spans="1:14" x14ac:dyDescent="0.25">
      <c r="A6" t="s">
        <v>39</v>
      </c>
      <c r="B6" s="12">
        <v>2236.0498401313334</v>
      </c>
      <c r="C6" s="12">
        <v>3229.849769078593</v>
      </c>
      <c r="N6">
        <v>4500</v>
      </c>
    </row>
    <row r="7" spans="1:14" x14ac:dyDescent="0.25">
      <c r="A7" t="s">
        <v>40</v>
      </c>
      <c r="B7" s="12">
        <v>2367.0735530551187</v>
      </c>
      <c r="C7" s="12">
        <v>3514.7455787788131</v>
      </c>
    </row>
    <row r="8" spans="1:14" x14ac:dyDescent="0.25">
      <c r="A8" t="s">
        <v>41</v>
      </c>
      <c r="B8" s="12">
        <v>2282.1457275704515</v>
      </c>
      <c r="C8" s="12">
        <v>3335.4437556798907</v>
      </c>
    </row>
    <row r="9" spans="1:14" x14ac:dyDescent="0.25">
      <c r="A9" t="s">
        <v>42</v>
      </c>
      <c r="B9" s="12">
        <v>2167.6899134567107</v>
      </c>
      <c r="C9" s="12">
        <v>3311.7484788921965</v>
      </c>
    </row>
    <row r="10" spans="1:14" x14ac:dyDescent="0.25">
      <c r="A10" t="s">
        <v>43</v>
      </c>
      <c r="B10" s="12">
        <v>2266.1918258529918</v>
      </c>
      <c r="C10" s="12">
        <v>3399.2877387794879</v>
      </c>
    </row>
    <row r="11" spans="1:14" x14ac:dyDescent="0.25">
      <c r="A11" t="s">
        <v>44</v>
      </c>
      <c r="B11" s="12">
        <v>2405.5217215822945</v>
      </c>
      <c r="C11" s="12">
        <v>3515.7625161587375</v>
      </c>
    </row>
    <row r="12" spans="1:14" x14ac:dyDescent="0.25">
      <c r="A12" t="s">
        <v>45</v>
      </c>
      <c r="B12" s="12">
        <v>2180.9050591122996</v>
      </c>
      <c r="C12" s="12">
        <v>3207.2133222239704</v>
      </c>
    </row>
    <row r="13" spans="1:14" x14ac:dyDescent="0.25">
      <c r="A13" t="s">
        <v>46</v>
      </c>
      <c r="B13" s="12">
        <v>2355.391065852014</v>
      </c>
      <c r="C13" s="12">
        <v>3580.1944200950611</v>
      </c>
    </row>
    <row r="14" spans="1:14" x14ac:dyDescent="0.25">
      <c r="A14" t="s">
        <v>47</v>
      </c>
      <c r="B14" s="12">
        <v>2273.4883339121689</v>
      </c>
      <c r="C14" s="12">
        <v>3444.6792938063163</v>
      </c>
    </row>
    <row r="15" spans="1:14" x14ac:dyDescent="0.25">
      <c r="A15" t="s">
        <v>48</v>
      </c>
      <c r="B15" s="12">
        <v>1916.9289342769055</v>
      </c>
      <c r="C15" s="12">
        <v>2928.6414273674945</v>
      </c>
    </row>
    <row r="16" spans="1:14" x14ac:dyDescent="0.25">
      <c r="A16" t="s">
        <v>49</v>
      </c>
      <c r="B16" s="12">
        <v>2314.7305813462985</v>
      </c>
      <c r="C16" s="12">
        <v>3224.0890240180588</v>
      </c>
    </row>
    <row r="17" spans="1:14" x14ac:dyDescent="0.25">
      <c r="A17" t="s">
        <v>50</v>
      </c>
      <c r="B17" s="12">
        <v>2418.8378102624438</v>
      </c>
      <c r="C17" s="12">
        <v>3493.8768370457533</v>
      </c>
    </row>
    <row r="18" spans="1:14" x14ac:dyDescent="0.25">
      <c r="A18" t="s">
        <v>51</v>
      </c>
      <c r="B18" s="12">
        <v>2467.3329530499536</v>
      </c>
      <c r="C18" s="12">
        <v>3700.9994295749302</v>
      </c>
    </row>
    <row r="19" spans="1:14" x14ac:dyDescent="0.25">
      <c r="A19" t="s">
        <v>52</v>
      </c>
      <c r="B19" s="12">
        <v>2333.1291724447165</v>
      </c>
      <c r="C19" s="12">
        <v>3589.4294960687944</v>
      </c>
    </row>
    <row r="20" spans="1:14" x14ac:dyDescent="0.25">
      <c r="A20" t="s">
        <v>53</v>
      </c>
      <c r="B20" s="12">
        <v>2483.1357353325648</v>
      </c>
      <c r="C20" s="12">
        <v>3556.9241614223224</v>
      </c>
    </row>
    <row r="21" spans="1:14" x14ac:dyDescent="0.25">
      <c r="A21" t="s">
        <v>54</v>
      </c>
      <c r="B21" s="12">
        <v>2403.6613352317831</v>
      </c>
      <c r="C21" s="12">
        <v>3605.4920028476749</v>
      </c>
      <c r="N21">
        <v>0</v>
      </c>
    </row>
    <row r="22" spans="1:14" x14ac:dyDescent="0.25">
      <c r="A22" t="s">
        <v>55</v>
      </c>
      <c r="B22" s="12">
        <v>2489.9029966244684</v>
      </c>
      <c r="C22" s="12">
        <v>3651.8577283825539</v>
      </c>
      <c r="N22">
        <v>4500</v>
      </c>
    </row>
    <row r="23" spans="1:14" x14ac:dyDescent="0.25">
      <c r="A23" t="s">
        <v>56</v>
      </c>
      <c r="B23" s="12">
        <v>2467.496282249012</v>
      </c>
      <c r="C23" s="12">
        <v>3663.8581160667145</v>
      </c>
    </row>
    <row r="24" spans="1:14" x14ac:dyDescent="0.25">
      <c r="A24" t="s">
        <v>57</v>
      </c>
      <c r="B24" s="12">
        <v>2390.3198851750844</v>
      </c>
      <c r="C24" s="12">
        <v>3585.4798277626278</v>
      </c>
    </row>
    <row r="25" spans="1:14" x14ac:dyDescent="0.25">
      <c r="A25" t="s">
        <v>58</v>
      </c>
      <c r="B25" s="12">
        <v>1917.4230852882724</v>
      </c>
      <c r="C25" s="12">
        <v>3013.0934197387146</v>
      </c>
    </row>
    <row r="26" spans="1:14" x14ac:dyDescent="0.25">
      <c r="A26" t="s">
        <v>59</v>
      </c>
      <c r="B26" s="12">
        <v>2127.8132319247243</v>
      </c>
      <c r="C26" s="12">
        <v>3073.5080016690458</v>
      </c>
    </row>
    <row r="27" spans="1:14" x14ac:dyDescent="0.25">
      <c r="A27" t="s">
        <v>60</v>
      </c>
      <c r="B27" s="12">
        <v>2391.6858159168733</v>
      </c>
      <c r="C27" s="12">
        <v>3495.5408078785076</v>
      </c>
    </row>
    <row r="28" spans="1:14" x14ac:dyDescent="0.25">
      <c r="A28" t="s">
        <v>61</v>
      </c>
      <c r="B28" s="12">
        <v>2476.8754167955949</v>
      </c>
      <c r="C28" s="12">
        <v>3656.339900983975</v>
      </c>
    </row>
    <row r="29" spans="1:14" x14ac:dyDescent="0.25">
      <c r="A29" t="s">
        <v>62</v>
      </c>
      <c r="B29" s="12">
        <v>2360.04580503027</v>
      </c>
      <c r="C29" s="12">
        <v>3624.3560577250587</v>
      </c>
    </row>
    <row r="30" spans="1:14" x14ac:dyDescent="0.25">
      <c r="A30" t="s">
        <v>63</v>
      </c>
      <c r="B30" s="12">
        <v>2172.3705522819282</v>
      </c>
      <c r="C30" s="12">
        <v>3258.5558284228923</v>
      </c>
    </row>
    <row r="31" spans="1:14" x14ac:dyDescent="0.25">
      <c r="A31" t="s">
        <v>64</v>
      </c>
      <c r="B31" s="12">
        <v>2124.5407878007445</v>
      </c>
      <c r="C31" s="12">
        <v>3232.9968510011331</v>
      </c>
    </row>
    <row r="32" spans="1:14" x14ac:dyDescent="0.25">
      <c r="A32" t="s">
        <v>65</v>
      </c>
      <c r="B32" s="12">
        <v>2396.4123494995883</v>
      </c>
      <c r="C32" s="12">
        <v>3642.5467712393743</v>
      </c>
    </row>
    <row r="33" spans="1:3" x14ac:dyDescent="0.25">
      <c r="A33" t="s">
        <v>66</v>
      </c>
      <c r="B33" s="12">
        <v>2553.529005473652</v>
      </c>
      <c r="C33" s="12">
        <v>3677.0817678820595</v>
      </c>
    </row>
    <row r="34" spans="1:3" x14ac:dyDescent="0.25">
      <c r="A34" t="s">
        <v>67</v>
      </c>
      <c r="B34" s="12">
        <v>2205.8266436346144</v>
      </c>
      <c r="C34" s="12">
        <v>3400.6494089366979</v>
      </c>
    </row>
    <row r="35" spans="1:3" x14ac:dyDescent="0.25">
      <c r="A35" t="s">
        <v>68</v>
      </c>
      <c r="B35" s="12">
        <v>2008.7930901237182</v>
      </c>
      <c r="C35" s="12">
        <v>2892.6620497781541</v>
      </c>
    </row>
    <row r="36" spans="1:3" x14ac:dyDescent="0.25">
      <c r="A36" t="s">
        <v>69</v>
      </c>
      <c r="B36" s="12">
        <v>2062.2471758666393</v>
      </c>
      <c r="C36" s="12">
        <v>3093.3707637999591</v>
      </c>
    </row>
    <row r="37" spans="1:3" x14ac:dyDescent="0.25">
      <c r="A37" t="s">
        <v>70</v>
      </c>
      <c r="B37" s="12">
        <v>2304.105146117623</v>
      </c>
      <c r="C37" s="12">
        <v>3560.8897712726916</v>
      </c>
    </row>
    <row r="38" spans="1:3" x14ac:dyDescent="0.25">
      <c r="A38" t="s">
        <v>71</v>
      </c>
      <c r="B38" s="12">
        <v>2376.090574618986</v>
      </c>
      <c r="C38" s="12">
        <v>3648.9962395934426</v>
      </c>
    </row>
    <row r="39" spans="1:3" x14ac:dyDescent="0.25">
      <c r="A39" t="s">
        <v>72</v>
      </c>
      <c r="B39" s="12">
        <v>2192.6068024965571</v>
      </c>
      <c r="C39" s="12">
        <v>3549.9348230896644</v>
      </c>
    </row>
    <row r="40" spans="1:3" x14ac:dyDescent="0.25">
      <c r="A40" t="s">
        <v>73</v>
      </c>
      <c r="B40" s="12">
        <v>2262.6540043956516</v>
      </c>
      <c r="C40" s="12">
        <v>3348.7279265055645</v>
      </c>
    </row>
    <row r="41" spans="1:3" x14ac:dyDescent="0.25">
      <c r="A41" t="s">
        <v>74</v>
      </c>
      <c r="B41" s="12">
        <v>2420.2509479531045</v>
      </c>
      <c r="C41" s="12">
        <v>3469.0263587327836</v>
      </c>
    </row>
    <row r="42" spans="1:3" x14ac:dyDescent="0.25">
      <c r="A42" t="s">
        <v>75</v>
      </c>
      <c r="B42" s="12">
        <v>2385.5237119041326</v>
      </c>
      <c r="C42" s="12">
        <v>3578.2855678562</v>
      </c>
    </row>
    <row r="43" spans="1:3" x14ac:dyDescent="0.25">
      <c r="A43" t="s">
        <v>76</v>
      </c>
      <c r="B43" s="12">
        <v>2368.9608407747792</v>
      </c>
      <c r="C43" s="12">
        <v>3512.5971087350172</v>
      </c>
    </row>
    <row r="44" spans="1:3" x14ac:dyDescent="0.25">
      <c r="A44" t="s">
        <v>77</v>
      </c>
      <c r="B44" s="12">
        <v>1868.1030089348037</v>
      </c>
      <c r="C44" s="12">
        <v>2832.2852070947024</v>
      </c>
    </row>
    <row r="45" spans="1:3" x14ac:dyDescent="0.25">
      <c r="A45" t="s">
        <v>78</v>
      </c>
      <c r="B45" s="12">
        <v>1635.0316106854757</v>
      </c>
      <c r="C45" s="12">
        <v>2603.9392318324249</v>
      </c>
    </row>
    <row r="46" spans="1:3" x14ac:dyDescent="0.25">
      <c r="A46" t="s">
        <v>79</v>
      </c>
      <c r="B46" s="12">
        <v>1421.2087746548375</v>
      </c>
      <c r="C46" s="12">
        <v>2224.5006907640936</v>
      </c>
    </row>
    <row r="47" spans="1:3" x14ac:dyDescent="0.25">
      <c r="A47" t="s">
        <v>80</v>
      </c>
      <c r="B47" s="12">
        <v>1235.1029725384876</v>
      </c>
      <c r="C47" s="12">
        <v>1852.6544588077315</v>
      </c>
    </row>
    <row r="48" spans="1:3" x14ac:dyDescent="0.25">
      <c r="A48" t="s">
        <v>81</v>
      </c>
      <c r="B48" s="12">
        <v>1622.5800606302323</v>
      </c>
      <c r="C48" s="12">
        <v>2507.6237300649054</v>
      </c>
    </row>
    <row r="49" spans="1:3" x14ac:dyDescent="0.25">
      <c r="A49" t="s">
        <v>82</v>
      </c>
      <c r="B49" s="12">
        <v>1555.4183305181186</v>
      </c>
      <c r="C49" s="12">
        <v>2413.5801680453565</v>
      </c>
    </row>
    <row r="50" spans="1:3" x14ac:dyDescent="0.25">
      <c r="A50" t="s">
        <v>83</v>
      </c>
      <c r="B50" s="12">
        <v>1220.2978468087226</v>
      </c>
      <c r="C50" s="12">
        <v>1853.0448784873197</v>
      </c>
    </row>
    <row r="51" spans="1:3" x14ac:dyDescent="0.25">
      <c r="A51" t="s">
        <v>84</v>
      </c>
      <c r="B51" s="12">
        <v>1298.2959628328008</v>
      </c>
      <c r="C51" s="12">
        <v>1947.4439442492007</v>
      </c>
    </row>
    <row r="52" spans="1:3" x14ac:dyDescent="0.25">
      <c r="A52" t="s">
        <v>85</v>
      </c>
      <c r="B52" s="12">
        <v>1427.087655580774</v>
      </c>
      <c r="C52" s="12">
        <v>2140.6314833711608</v>
      </c>
    </row>
    <row r="53" spans="1:3" x14ac:dyDescent="0.25">
      <c r="A53" t="s">
        <v>86</v>
      </c>
      <c r="B53" s="12">
        <v>1439.8919352497653</v>
      </c>
      <c r="C53" s="12">
        <v>2191.1399014670342</v>
      </c>
    </row>
    <row r="54" spans="1:3" x14ac:dyDescent="0.25">
      <c r="A54" t="s">
        <v>87</v>
      </c>
      <c r="B54" s="12">
        <v>1220.9427068375674</v>
      </c>
      <c r="C54" s="12">
        <v>1890.4919331678464</v>
      </c>
    </row>
    <row r="55" spans="1:3" x14ac:dyDescent="0.25">
      <c r="A55" t="s">
        <v>88</v>
      </c>
      <c r="B55" s="12">
        <v>998.40690097911272</v>
      </c>
      <c r="C55" s="12">
        <v>1516.0993681534676</v>
      </c>
    </row>
    <row r="56" spans="1:3" x14ac:dyDescent="0.25">
      <c r="A56" t="s">
        <v>89</v>
      </c>
      <c r="B56" s="12">
        <v>2193.2477748133615</v>
      </c>
      <c r="C56" s="12">
        <v>3489.257823566712</v>
      </c>
    </row>
    <row r="57" spans="1:3" x14ac:dyDescent="0.25">
      <c r="A57" t="s">
        <v>90</v>
      </c>
      <c r="B57" s="12">
        <v>2388.3080114424029</v>
      </c>
      <c r="C57" s="12">
        <v>3541.2842928283912</v>
      </c>
    </row>
    <row r="58" spans="1:3" x14ac:dyDescent="0.25">
      <c r="A58" t="s">
        <v>91</v>
      </c>
      <c r="B58" s="12">
        <v>2455.5541875864142</v>
      </c>
      <c r="C58" s="12">
        <v>3683.3312813796229</v>
      </c>
    </row>
    <row r="59" spans="1:3" x14ac:dyDescent="0.25">
      <c r="A59" t="s">
        <v>92</v>
      </c>
      <c r="B59" s="12">
        <v>2415.2461388595452</v>
      </c>
      <c r="C59" s="12">
        <v>3709.1279989628729</v>
      </c>
    </row>
    <row r="60" spans="1:3" x14ac:dyDescent="0.25">
      <c r="A60" t="s">
        <v>93</v>
      </c>
      <c r="B60" s="12">
        <v>2152.1563468867907</v>
      </c>
      <c r="C60" s="12">
        <v>3407.5808825707522</v>
      </c>
    </row>
    <row r="61" spans="1:3" x14ac:dyDescent="0.25">
      <c r="A61" t="s">
        <v>94</v>
      </c>
      <c r="B61" s="12">
        <v>2471.2768421375558</v>
      </c>
      <c r="C61" s="12">
        <v>3438.2982151479046</v>
      </c>
    </row>
    <row r="62" spans="1:3" x14ac:dyDescent="0.25">
      <c r="A62" t="s">
        <v>95</v>
      </c>
      <c r="B62" s="12">
        <v>2378.9847746998184</v>
      </c>
      <c r="C62" s="12">
        <v>3568.4771620497277</v>
      </c>
    </row>
    <row r="63" spans="1:3" x14ac:dyDescent="0.25">
      <c r="A63" t="s">
        <v>96</v>
      </c>
      <c r="B63" s="12">
        <v>2218.0616216832541</v>
      </c>
      <c r="C63" s="12">
        <v>3362.867619971385</v>
      </c>
    </row>
    <row r="64" spans="1:3" x14ac:dyDescent="0.25">
      <c r="A64" t="s">
        <v>97</v>
      </c>
      <c r="B64" s="12">
        <v>2300.9389981087124</v>
      </c>
      <c r="C64" s="12">
        <v>3301.347258155979</v>
      </c>
    </row>
    <row r="65" spans="1:3" x14ac:dyDescent="0.25">
      <c r="A65" t="s">
        <v>98</v>
      </c>
      <c r="B65" s="12">
        <v>1883.7642803426825</v>
      </c>
      <c r="C65" s="12">
        <v>2762.8542778359347</v>
      </c>
    </row>
    <row r="66" spans="1:3" x14ac:dyDescent="0.25">
      <c r="A66" t="s">
        <v>99</v>
      </c>
      <c r="B66" s="12">
        <v>2259.2871616077423</v>
      </c>
      <c r="C66" s="12">
        <v>3427.8839693358855</v>
      </c>
    </row>
    <row r="67" spans="1:3" x14ac:dyDescent="0.25">
      <c r="A67" t="s">
        <v>100</v>
      </c>
      <c r="B67" s="12">
        <v>2314.4299507661553</v>
      </c>
      <c r="C67" s="12">
        <v>3517.9335251645557</v>
      </c>
    </row>
    <row r="68" spans="1:3" x14ac:dyDescent="0.25">
      <c r="A68" t="s">
        <v>101</v>
      </c>
      <c r="B68" s="12">
        <v>2150.2349407684924</v>
      </c>
      <c r="C68" s="12">
        <v>3404.5386562167796</v>
      </c>
    </row>
    <row r="69" spans="1:3" x14ac:dyDescent="0.25">
      <c r="A69" t="s">
        <v>102</v>
      </c>
      <c r="B69" s="12">
        <v>2213.2226589883339</v>
      </c>
      <c r="C69" s="12">
        <v>3319.8339884825014</v>
      </c>
    </row>
    <row r="70" spans="1:3" x14ac:dyDescent="0.25">
      <c r="A70" t="s">
        <v>103</v>
      </c>
      <c r="B70" s="12">
        <v>2252.9644060530704</v>
      </c>
      <c r="C70" s="12">
        <v>3421.1681721546629</v>
      </c>
    </row>
    <row r="71" spans="1:3" x14ac:dyDescent="0.25">
      <c r="A71" t="s">
        <v>104</v>
      </c>
      <c r="B71" s="12">
        <v>2298.9749113097523</v>
      </c>
      <c r="C71" s="12">
        <v>3494.4418651908231</v>
      </c>
    </row>
    <row r="72" spans="1:3" x14ac:dyDescent="0.25">
      <c r="A72" t="s">
        <v>105</v>
      </c>
      <c r="B72" s="12">
        <v>2241.9969817055894</v>
      </c>
      <c r="C72" s="12">
        <v>3324.3403521841501</v>
      </c>
    </row>
    <row r="73" spans="1:3" x14ac:dyDescent="0.25">
      <c r="A73" t="s">
        <v>106</v>
      </c>
      <c r="B73" s="12">
        <v>2346.9765973535091</v>
      </c>
      <c r="C73" s="12">
        <v>3339.9282346953778</v>
      </c>
    </row>
    <row r="74" spans="1:3" x14ac:dyDescent="0.25">
      <c r="A74" t="s">
        <v>107</v>
      </c>
      <c r="B74" s="12">
        <v>2161.635231398755</v>
      </c>
      <c r="C74" s="12">
        <v>3340.7089939798952</v>
      </c>
    </row>
    <row r="75" spans="1:3" x14ac:dyDescent="0.25">
      <c r="A75" t="s">
        <v>108</v>
      </c>
      <c r="B75" s="12">
        <v>1721.6918085954317</v>
      </c>
      <c r="C75" s="12">
        <v>2521.0487197290254</v>
      </c>
    </row>
    <row r="76" spans="1:3" x14ac:dyDescent="0.25">
      <c r="A76" t="s">
        <v>109</v>
      </c>
      <c r="B76" s="12">
        <v>1907.5858690794184</v>
      </c>
      <c r="C76" s="12">
        <v>2997.6349371248011</v>
      </c>
    </row>
    <row r="77" spans="1:3" x14ac:dyDescent="0.25">
      <c r="A77" t="s">
        <v>110</v>
      </c>
      <c r="B77" s="12">
        <v>2274.1027547870417</v>
      </c>
      <c r="C77" s="12">
        <v>3361.7171157721486</v>
      </c>
    </row>
    <row r="78" spans="1:3" x14ac:dyDescent="0.25">
      <c r="A78" t="s">
        <v>111</v>
      </c>
      <c r="B78" s="12">
        <v>2212.7667807834227</v>
      </c>
      <c r="C78" s="12">
        <v>3442.0816589964361</v>
      </c>
    </row>
    <row r="79" spans="1:3" x14ac:dyDescent="0.25">
      <c r="A79" t="s">
        <v>112</v>
      </c>
      <c r="B79" s="12">
        <v>2647.7691764912247</v>
      </c>
      <c r="C79" s="12">
        <v>3922.6210022092218</v>
      </c>
    </row>
    <row r="80" spans="1:3" x14ac:dyDescent="0.25">
      <c r="A80" t="s">
        <v>113</v>
      </c>
      <c r="B80" s="12">
        <v>1718.6943113542045</v>
      </c>
      <c r="C80" s="12">
        <v>2690.1302264674505</v>
      </c>
    </row>
    <row r="81" spans="1:3" x14ac:dyDescent="0.25">
      <c r="A81" t="s">
        <v>114</v>
      </c>
      <c r="B81" s="12">
        <v>2278.2045250044557</v>
      </c>
      <c r="C81" s="12">
        <v>3417.306787506684</v>
      </c>
    </row>
    <row r="82" spans="1:3" x14ac:dyDescent="0.25">
      <c r="A82" t="s">
        <v>115</v>
      </c>
      <c r="B82" s="12">
        <v>2312.4493464718776</v>
      </c>
      <c r="C82" s="12">
        <v>3468.6740197078157</v>
      </c>
    </row>
    <row r="83" spans="1:3" x14ac:dyDescent="0.25">
      <c r="A83" t="s">
        <v>116</v>
      </c>
      <c r="B83" s="12">
        <v>1998.3341659647967</v>
      </c>
      <c r="C83" s="12">
        <v>2997.5012489471951</v>
      </c>
    </row>
    <row r="84" spans="1:3" x14ac:dyDescent="0.25">
      <c r="A84" t="s">
        <v>117</v>
      </c>
      <c r="B84" s="12">
        <v>2104.1213469437039</v>
      </c>
      <c r="C84" s="12">
        <v>3261.3880877627421</v>
      </c>
    </row>
    <row r="85" spans="1:3" x14ac:dyDescent="0.25">
      <c r="A85" t="s">
        <v>118</v>
      </c>
      <c r="B85" s="12">
        <v>1215.0815953066051</v>
      </c>
      <c r="C85" s="12">
        <v>1801.6727102822074</v>
      </c>
    </row>
    <row r="86" spans="1:3" x14ac:dyDescent="0.25">
      <c r="A86" t="s">
        <v>119</v>
      </c>
      <c r="B86" s="12">
        <v>1822.6928831602124</v>
      </c>
      <c r="C86" s="12">
        <v>2809.9848615386618</v>
      </c>
    </row>
    <row r="87" spans="1:3" x14ac:dyDescent="0.25">
      <c r="A87" t="s">
        <v>120</v>
      </c>
      <c r="B87" s="12">
        <v>2073.3621173355423</v>
      </c>
      <c r="C87" s="12">
        <v>3335.4086235397858</v>
      </c>
    </row>
    <row r="88" spans="1:3" x14ac:dyDescent="0.25">
      <c r="A88" t="s">
        <v>121</v>
      </c>
      <c r="B88" s="12">
        <v>2170.3322890557729</v>
      </c>
      <c r="C88" s="12">
        <v>3385.7183709270053</v>
      </c>
    </row>
    <row r="89" spans="1:3" x14ac:dyDescent="0.25">
      <c r="A89" t="s">
        <v>122</v>
      </c>
      <c r="B89" s="12">
        <v>2303.5688633555478</v>
      </c>
      <c r="C89" s="12">
        <v>3551.3353310064699</v>
      </c>
    </row>
    <row r="90" spans="1:3" x14ac:dyDescent="0.25">
      <c r="A90" t="s">
        <v>123</v>
      </c>
      <c r="B90" s="12">
        <v>2262.3788568694526</v>
      </c>
      <c r="C90" s="12">
        <v>3393.5682853041785</v>
      </c>
    </row>
    <row r="91" spans="1:3" x14ac:dyDescent="0.25">
      <c r="A91" t="s">
        <v>124</v>
      </c>
      <c r="B91" s="12">
        <v>2154.3911574817239</v>
      </c>
      <c r="C91" s="12">
        <v>3314.4479345872678</v>
      </c>
    </row>
    <row r="92" spans="1:3" x14ac:dyDescent="0.25">
      <c r="A92" t="s">
        <v>125</v>
      </c>
      <c r="B92" s="12">
        <v>2134.3111367180395</v>
      </c>
      <c r="C92" s="12">
        <v>3329.5253732801416</v>
      </c>
    </row>
    <row r="93" spans="1:3" x14ac:dyDescent="0.25">
      <c r="A93" t="s">
        <v>126</v>
      </c>
      <c r="B93" s="12">
        <v>2230.1238607746554</v>
      </c>
      <c r="C93" s="12">
        <v>3345.1857911619836</v>
      </c>
    </row>
    <row r="94" spans="1:3" x14ac:dyDescent="0.25">
      <c r="A94" t="s">
        <v>127</v>
      </c>
      <c r="B94" s="12">
        <v>1720.9438843220464</v>
      </c>
      <c r="C94" s="12">
        <v>2581.4158264830703</v>
      </c>
    </row>
    <row r="95" spans="1:3" x14ac:dyDescent="0.25">
      <c r="A95" t="s">
        <v>128</v>
      </c>
      <c r="B95" s="12">
        <v>1375.5849693550256</v>
      </c>
      <c r="C95" s="12">
        <v>2250.9572225809511</v>
      </c>
    </row>
    <row r="96" spans="1:3" x14ac:dyDescent="0.25">
      <c r="A96" t="s">
        <v>129</v>
      </c>
      <c r="B96" s="12">
        <v>894.21009389271228</v>
      </c>
      <c r="C96" s="12">
        <v>1362.6058573603236</v>
      </c>
    </row>
    <row r="97" spans="1:3" x14ac:dyDescent="0.25">
      <c r="A97" t="s">
        <v>130</v>
      </c>
      <c r="B97" s="12">
        <v>739.16062161664036</v>
      </c>
      <c r="C97" s="12">
        <v>1126.3399948444046</v>
      </c>
    </row>
    <row r="98" spans="1:3" x14ac:dyDescent="0.25">
      <c r="A98" t="s">
        <v>131</v>
      </c>
      <c r="B98" s="12">
        <v>1135.1492522537287</v>
      </c>
      <c r="C98" s="12">
        <v>1837.8606941250848</v>
      </c>
    </row>
    <row r="99" spans="1:3" x14ac:dyDescent="0.25">
      <c r="A99" t="s">
        <v>132</v>
      </c>
      <c r="B99" s="12">
        <v>1398.0220328414428</v>
      </c>
      <c r="C99" s="12">
        <v>2097.0330492621638</v>
      </c>
    </row>
    <row r="100" spans="1:3" x14ac:dyDescent="0.25">
      <c r="A100" t="s">
        <v>133</v>
      </c>
      <c r="B100" s="12">
        <v>1178.5947614580118</v>
      </c>
      <c r="C100" s="12">
        <v>1744.3202469578575</v>
      </c>
    </row>
    <row r="101" spans="1:3" x14ac:dyDescent="0.25">
      <c r="A101" t="s">
        <v>134</v>
      </c>
      <c r="B101" s="12">
        <v>893.44774823716534</v>
      </c>
      <c r="C101" s="12">
        <v>1398.4399537625197</v>
      </c>
    </row>
    <row r="102" spans="1:3" x14ac:dyDescent="0.25">
      <c r="A102" t="s">
        <v>135</v>
      </c>
      <c r="B102" s="12">
        <v>731.43302795683326</v>
      </c>
      <c r="C102" s="12">
        <v>1144.8516959324347</v>
      </c>
    </row>
    <row r="103" spans="1:3" x14ac:dyDescent="0.25">
      <c r="A103" t="s">
        <v>136</v>
      </c>
      <c r="B103" s="12">
        <v>1011.6055255130256</v>
      </c>
      <c r="C103" s="12">
        <v>1498.6748526118899</v>
      </c>
    </row>
    <row r="104" spans="1:3" x14ac:dyDescent="0.25">
      <c r="A104" t="s">
        <v>137</v>
      </c>
      <c r="B104" s="12">
        <v>806.86671294798441</v>
      </c>
      <c r="C104" s="12">
        <v>1210.3000694219766</v>
      </c>
    </row>
    <row r="105" spans="1:3" x14ac:dyDescent="0.25">
      <c r="A105" t="s">
        <v>138</v>
      </c>
      <c r="B105" s="12">
        <v>590.81980042004147</v>
      </c>
      <c r="C105" s="12">
        <v>886.2297006300621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BC689-3E25-406A-A861-DBFA13B73BEB}">
  <sheetPr>
    <pageSetUpPr fitToPage="1"/>
  </sheetPr>
  <dimension ref="A1:AU32"/>
  <sheetViews>
    <sheetView zoomScale="85" zoomScaleNormal="85" workbookViewId="0">
      <selection activeCell="E12" sqref="E12"/>
    </sheetView>
  </sheetViews>
  <sheetFormatPr defaultRowHeight="14.25" x14ac:dyDescent="0.2"/>
  <cols>
    <col min="1" max="6" width="9.140625" style="13"/>
    <col min="7" max="7" width="9.28515625" style="13" customWidth="1"/>
    <col min="8" max="8" width="3.42578125" style="13" customWidth="1"/>
    <col min="9" max="9" width="3.28515625" style="13" customWidth="1"/>
    <col min="10" max="10" width="1.42578125" style="13" customWidth="1"/>
    <col min="11" max="11" width="2.28515625" style="13" customWidth="1"/>
    <col min="12" max="12" width="3.28515625" style="13" customWidth="1"/>
    <col min="13" max="13" width="1.42578125" style="13" customWidth="1"/>
    <col min="14" max="14" width="2.28515625" style="13" customWidth="1"/>
    <col min="15" max="15" width="3.28515625" style="13" customWidth="1"/>
    <col min="16" max="16" width="1.42578125" style="13" customWidth="1"/>
    <col min="17" max="17" width="2.28515625" style="13" customWidth="1"/>
    <col min="18" max="18" width="3.28515625" style="13" customWidth="1"/>
    <col min="19" max="19" width="1.42578125" style="13" customWidth="1"/>
    <col min="20" max="20" width="2.28515625" style="13" customWidth="1"/>
    <col min="21" max="21" width="3.28515625" style="13" customWidth="1"/>
    <col min="22" max="22" width="1.42578125" style="13" customWidth="1"/>
    <col min="23" max="23" width="2.28515625" style="13" customWidth="1"/>
    <col min="24" max="24" width="3.28515625" style="13" customWidth="1"/>
    <col min="25" max="25" width="1.42578125" style="13" customWidth="1"/>
    <col min="26" max="26" width="2.28515625" style="13" customWidth="1"/>
    <col min="27" max="27" width="3.28515625" style="13" customWidth="1"/>
    <col min="28" max="28" width="1.42578125" style="13" customWidth="1"/>
    <col min="29" max="29" width="2.28515625" style="13" customWidth="1"/>
    <col min="30" max="30" width="3.28515625" style="13" customWidth="1"/>
    <col min="31" max="31" width="1.42578125" style="13" customWidth="1"/>
    <col min="32" max="32" width="2.28515625" style="13" customWidth="1"/>
    <col min="33" max="33" width="3.28515625" style="13" customWidth="1"/>
    <col min="34" max="34" width="1.42578125" style="13" customWidth="1"/>
    <col min="35" max="35" width="2.28515625" style="13" customWidth="1"/>
    <col min="36" max="36" width="3.28515625" style="13" customWidth="1"/>
    <col min="37" max="37" width="1.42578125" style="13" customWidth="1"/>
    <col min="38" max="38" width="2.28515625" style="13" customWidth="1"/>
    <col min="39" max="39" width="3.28515625" style="13" customWidth="1"/>
    <col min="40" max="40" width="1.42578125" style="13" customWidth="1"/>
    <col min="41" max="41" width="2.28515625" style="13" customWidth="1"/>
    <col min="42" max="42" width="3.28515625" style="13" customWidth="1"/>
    <col min="43" max="43" width="1.42578125" style="13" customWidth="1"/>
    <col min="44" max="44" width="2.28515625" style="13" customWidth="1"/>
    <col min="45" max="45" width="3.28515625" style="13" customWidth="1"/>
    <col min="46" max="46" width="1.42578125" style="13" customWidth="1"/>
    <col min="47" max="47" width="2.28515625" style="13" customWidth="1"/>
    <col min="48" max="16384" width="9.140625" style="13"/>
  </cols>
  <sheetData>
    <row r="1" spans="1:47" x14ac:dyDescent="0.2">
      <c r="A1" s="59">
        <v>2015</v>
      </c>
      <c r="B1" s="13" t="s">
        <v>232</v>
      </c>
    </row>
    <row r="2" spans="1:47" x14ac:dyDescent="0.2">
      <c r="A2" s="59"/>
      <c r="B2" s="13" t="s">
        <v>231</v>
      </c>
    </row>
    <row r="4" spans="1:47" ht="18.75" x14ac:dyDescent="0.3">
      <c r="B4" s="65" t="s">
        <v>230</v>
      </c>
    </row>
    <row r="5" spans="1:47" x14ac:dyDescent="0.2">
      <c r="B5" s="64" t="s">
        <v>229</v>
      </c>
    </row>
    <row r="6" spans="1:47" x14ac:dyDescent="0.2">
      <c r="B6" s="64"/>
    </row>
    <row r="7" spans="1:47" ht="18.75" x14ac:dyDescent="0.3">
      <c r="B7" s="63"/>
      <c r="C7" s="62"/>
      <c r="D7" s="61"/>
      <c r="E7" s="61"/>
    </row>
    <row r="8" spans="1:47" ht="50.45" customHeight="1" thickBot="1" x14ac:dyDescent="0.25">
      <c r="B8" s="16"/>
      <c r="C8" s="60" t="s">
        <v>228</v>
      </c>
      <c r="D8" s="60" t="s">
        <v>227</v>
      </c>
      <c r="E8" s="59"/>
      <c r="F8" s="58" t="s">
        <v>226</v>
      </c>
      <c r="I8" s="56" t="s">
        <v>225</v>
      </c>
      <c r="J8" s="56"/>
      <c r="K8" s="56"/>
      <c r="L8" s="56" t="s">
        <v>224</v>
      </c>
      <c r="M8" s="56"/>
      <c r="N8" s="56"/>
      <c r="O8" s="56" t="s">
        <v>223</v>
      </c>
      <c r="P8" s="56"/>
      <c r="Q8" s="56"/>
      <c r="R8" s="56" t="s">
        <v>222</v>
      </c>
      <c r="S8" s="56"/>
      <c r="T8" s="56"/>
      <c r="U8" s="56" t="s">
        <v>221</v>
      </c>
      <c r="V8" s="56"/>
      <c r="W8" s="56"/>
      <c r="X8" s="56" t="s">
        <v>220</v>
      </c>
      <c r="Y8" s="56"/>
      <c r="Z8" s="56"/>
      <c r="AA8" s="56" t="s">
        <v>219</v>
      </c>
      <c r="AB8" s="56"/>
      <c r="AC8" s="56"/>
      <c r="AD8" s="56" t="s">
        <v>218</v>
      </c>
      <c r="AE8" s="56"/>
      <c r="AF8" s="56"/>
      <c r="AG8" s="56" t="s">
        <v>217</v>
      </c>
      <c r="AH8" s="56"/>
      <c r="AI8" s="56"/>
      <c r="AJ8" s="56" t="s">
        <v>216</v>
      </c>
      <c r="AK8" s="56"/>
      <c r="AL8" s="56"/>
      <c r="AM8" s="57" t="s">
        <v>215</v>
      </c>
      <c r="AN8" s="57"/>
      <c r="AO8" s="57"/>
      <c r="AP8" s="57" t="s">
        <v>215</v>
      </c>
      <c r="AQ8" s="57"/>
      <c r="AR8" s="57"/>
      <c r="AS8" s="56" t="s">
        <v>214</v>
      </c>
      <c r="AT8" s="56"/>
      <c r="AU8" s="56"/>
    </row>
    <row r="9" spans="1:47" ht="34.9" customHeight="1" thickTop="1" thickBot="1" x14ac:dyDescent="0.25">
      <c r="B9" s="24"/>
      <c r="C9" s="23" t="s">
        <v>194</v>
      </c>
      <c r="D9" s="22"/>
      <c r="E9" s="55"/>
      <c r="I9" s="53" t="s">
        <v>213</v>
      </c>
      <c r="J9" s="53"/>
      <c r="K9" s="53"/>
      <c r="L9" s="53" t="s">
        <v>212</v>
      </c>
      <c r="M9" s="53"/>
      <c r="N9" s="53"/>
      <c r="O9" s="53" t="s">
        <v>211</v>
      </c>
      <c r="P9" s="53"/>
      <c r="Q9" s="53"/>
      <c r="R9" s="53" t="s">
        <v>210</v>
      </c>
      <c r="S9" s="53"/>
      <c r="T9" s="53"/>
      <c r="U9" s="53" t="s">
        <v>209</v>
      </c>
      <c r="V9" s="53"/>
      <c r="W9" s="53"/>
      <c r="X9" s="53" t="s">
        <v>208</v>
      </c>
      <c r="Y9" s="53"/>
      <c r="Z9" s="53"/>
      <c r="AA9" s="53" t="s">
        <v>207</v>
      </c>
      <c r="AB9" s="53"/>
      <c r="AC9" s="53"/>
      <c r="AD9" s="53" t="s">
        <v>206</v>
      </c>
      <c r="AE9" s="53"/>
      <c r="AF9" s="53"/>
      <c r="AG9" s="53" t="s">
        <v>205</v>
      </c>
      <c r="AH9" s="53"/>
      <c r="AI9" s="53"/>
      <c r="AJ9" s="53" t="s">
        <v>204</v>
      </c>
      <c r="AK9" s="53"/>
      <c r="AL9" s="53"/>
      <c r="AM9" s="54" t="s">
        <v>203</v>
      </c>
      <c r="AN9" s="54"/>
      <c r="AO9" s="54"/>
      <c r="AP9" s="54"/>
      <c r="AQ9" s="54"/>
      <c r="AR9" s="54"/>
      <c r="AS9" s="53" t="s">
        <v>202</v>
      </c>
      <c r="AT9" s="53"/>
      <c r="AU9" s="53"/>
    </row>
    <row r="10" spans="1:47" ht="34.9" customHeight="1" x14ac:dyDescent="0.45">
      <c r="B10" s="24"/>
      <c r="C10" s="28">
        <v>10</v>
      </c>
      <c r="D10" s="27"/>
      <c r="E10" s="21"/>
      <c r="H10" s="37" t="s">
        <v>201</v>
      </c>
      <c r="I10" s="52" t="s">
        <v>200</v>
      </c>
      <c r="J10" s="51"/>
      <c r="K10" s="50"/>
      <c r="L10" s="48"/>
      <c r="M10" s="47" t="s">
        <v>199</v>
      </c>
      <c r="N10" s="46"/>
      <c r="O10" s="48"/>
      <c r="P10" s="47" t="s">
        <v>198</v>
      </c>
      <c r="Q10" s="46"/>
      <c r="R10" s="48"/>
      <c r="S10" s="47" t="s">
        <v>199</v>
      </c>
      <c r="T10" s="46"/>
      <c r="U10" s="48"/>
      <c r="V10" s="47" t="s">
        <v>198</v>
      </c>
      <c r="W10" s="46"/>
      <c r="X10" s="48"/>
      <c r="Y10" s="47" t="s">
        <v>199</v>
      </c>
      <c r="Z10" s="46"/>
      <c r="AA10" s="48"/>
      <c r="AB10" s="47" t="s">
        <v>198</v>
      </c>
      <c r="AC10" s="46"/>
      <c r="AD10" s="48"/>
      <c r="AE10" s="47" t="s">
        <v>199</v>
      </c>
      <c r="AF10" s="46"/>
      <c r="AG10" s="48"/>
      <c r="AH10" s="47" t="s">
        <v>198</v>
      </c>
      <c r="AI10" s="46"/>
      <c r="AJ10" s="48"/>
      <c r="AK10" s="47" t="s">
        <v>199</v>
      </c>
      <c r="AL10" s="46"/>
      <c r="AM10" s="48"/>
      <c r="AN10" s="49"/>
      <c r="AO10" s="46"/>
      <c r="AP10" s="48"/>
      <c r="AQ10" s="49"/>
      <c r="AR10" s="46"/>
      <c r="AS10" s="48"/>
      <c r="AT10" s="47" t="s">
        <v>198</v>
      </c>
      <c r="AU10" s="46"/>
    </row>
    <row r="11" spans="1:47" ht="14.45" customHeight="1" thickBot="1" x14ac:dyDescent="0.3">
      <c r="B11" s="24"/>
      <c r="C11" s="26"/>
      <c r="D11" s="25"/>
      <c r="E11" s="21"/>
      <c r="H11" s="37"/>
      <c r="I11" s="44"/>
      <c r="J11" s="43"/>
      <c r="K11" s="42"/>
      <c r="L11" s="40"/>
      <c r="M11" s="45"/>
      <c r="N11" s="38"/>
      <c r="O11" s="40"/>
      <c r="P11" s="45"/>
      <c r="Q11" s="38"/>
      <c r="R11" s="40"/>
      <c r="S11" s="45"/>
      <c r="T11" s="38"/>
      <c r="U11" s="40"/>
      <c r="V11" s="45"/>
      <c r="W11" s="38"/>
      <c r="X11" s="40"/>
      <c r="Y11" s="45"/>
      <c r="Z11" s="38"/>
      <c r="AA11" s="40"/>
      <c r="AB11" s="45"/>
      <c r="AC11" s="38"/>
      <c r="AD11" s="40"/>
      <c r="AE11" s="45"/>
      <c r="AF11" s="38"/>
      <c r="AG11" s="40"/>
      <c r="AH11" s="45"/>
      <c r="AI11" s="38"/>
      <c r="AJ11" s="40"/>
      <c r="AK11" s="45"/>
      <c r="AL11" s="38"/>
      <c r="AM11" s="40"/>
      <c r="AO11" s="38"/>
      <c r="AP11" s="40"/>
      <c r="AR11" s="38"/>
      <c r="AS11" s="40"/>
      <c r="AT11" s="45"/>
      <c r="AU11" s="38"/>
    </row>
    <row r="12" spans="1:47" ht="40.15" customHeight="1" x14ac:dyDescent="0.45">
      <c r="B12" s="24"/>
      <c r="C12" s="28">
        <v>9</v>
      </c>
      <c r="D12" s="27"/>
      <c r="E12" s="21"/>
      <c r="H12" s="37"/>
      <c r="I12" s="44"/>
      <c r="J12" s="43"/>
      <c r="K12" s="42"/>
      <c r="L12" s="40"/>
      <c r="M12" s="39" t="s">
        <v>199</v>
      </c>
      <c r="N12" s="38"/>
      <c r="O12" s="40"/>
      <c r="P12" s="39" t="s">
        <v>198</v>
      </c>
      <c r="Q12" s="38"/>
      <c r="R12" s="40"/>
      <c r="S12" s="39" t="s">
        <v>199</v>
      </c>
      <c r="T12" s="38"/>
      <c r="U12" s="40"/>
      <c r="V12" s="39" t="s">
        <v>198</v>
      </c>
      <c r="W12" s="38"/>
      <c r="X12" s="40"/>
      <c r="Y12" s="39" t="s">
        <v>199</v>
      </c>
      <c r="Z12" s="38"/>
      <c r="AA12" s="40"/>
      <c r="AB12" s="39" t="s">
        <v>198</v>
      </c>
      <c r="AC12" s="38"/>
      <c r="AD12" s="40"/>
      <c r="AE12" s="39" t="s">
        <v>199</v>
      </c>
      <c r="AF12" s="38"/>
      <c r="AG12" s="40"/>
      <c r="AH12" s="39" t="s">
        <v>198</v>
      </c>
      <c r="AI12" s="38"/>
      <c r="AJ12" s="40"/>
      <c r="AK12" s="39" t="s">
        <v>199</v>
      </c>
      <c r="AL12" s="38"/>
      <c r="AM12" s="40"/>
      <c r="AN12" s="41"/>
      <c r="AO12" s="38"/>
      <c r="AP12" s="40"/>
      <c r="AQ12" s="41"/>
      <c r="AR12" s="38"/>
      <c r="AS12" s="40"/>
      <c r="AT12" s="39" t="s">
        <v>198</v>
      </c>
      <c r="AU12" s="38"/>
    </row>
    <row r="13" spans="1:47" ht="14.45" customHeight="1" thickBot="1" x14ac:dyDescent="0.3">
      <c r="B13" s="24"/>
      <c r="C13" s="26"/>
      <c r="D13" s="25"/>
      <c r="E13" s="21"/>
      <c r="H13" s="37"/>
      <c r="I13" s="44"/>
      <c r="J13" s="43"/>
      <c r="K13" s="42"/>
      <c r="L13" s="40"/>
      <c r="M13" s="45"/>
      <c r="N13" s="38"/>
      <c r="O13" s="40"/>
      <c r="P13" s="45"/>
      <c r="Q13" s="38"/>
      <c r="R13" s="40"/>
      <c r="S13" s="45"/>
      <c r="T13" s="38"/>
      <c r="U13" s="40"/>
      <c r="V13" s="45"/>
      <c r="W13" s="38"/>
      <c r="X13" s="40"/>
      <c r="Y13" s="45"/>
      <c r="Z13" s="38"/>
      <c r="AA13" s="40"/>
      <c r="AB13" s="45"/>
      <c r="AC13" s="38"/>
      <c r="AD13" s="40"/>
      <c r="AE13" s="45"/>
      <c r="AF13" s="38"/>
      <c r="AG13" s="40"/>
      <c r="AH13" s="45"/>
      <c r="AI13" s="38"/>
      <c r="AJ13" s="40"/>
      <c r="AK13" s="45"/>
      <c r="AL13" s="38"/>
      <c r="AM13" s="40"/>
      <c r="AO13" s="38"/>
      <c r="AP13" s="40"/>
      <c r="AR13" s="38"/>
      <c r="AS13" s="40"/>
      <c r="AT13" s="45"/>
      <c r="AU13" s="38"/>
    </row>
    <row r="14" spans="1:47" ht="39.6" customHeight="1" x14ac:dyDescent="0.45">
      <c r="B14" s="24"/>
      <c r="C14" s="28">
        <v>8</v>
      </c>
      <c r="D14" s="27"/>
      <c r="E14" s="21"/>
      <c r="H14" s="37"/>
      <c r="I14" s="44"/>
      <c r="J14" s="43"/>
      <c r="K14" s="42"/>
      <c r="L14" s="40"/>
      <c r="M14" s="39" t="s">
        <v>199</v>
      </c>
      <c r="N14" s="38"/>
      <c r="O14" s="40"/>
      <c r="P14" s="39" t="s">
        <v>198</v>
      </c>
      <c r="Q14" s="38"/>
      <c r="R14" s="40"/>
      <c r="S14" s="39" t="s">
        <v>199</v>
      </c>
      <c r="T14" s="38"/>
      <c r="U14" s="40"/>
      <c r="V14" s="39" t="s">
        <v>198</v>
      </c>
      <c r="W14" s="38"/>
      <c r="X14" s="40"/>
      <c r="Y14" s="39" t="s">
        <v>199</v>
      </c>
      <c r="Z14" s="38"/>
      <c r="AA14" s="40"/>
      <c r="AB14" s="39" t="s">
        <v>198</v>
      </c>
      <c r="AC14" s="38"/>
      <c r="AD14" s="40"/>
      <c r="AE14" s="39" t="s">
        <v>199</v>
      </c>
      <c r="AF14" s="38"/>
      <c r="AG14" s="40"/>
      <c r="AH14" s="39" t="s">
        <v>198</v>
      </c>
      <c r="AI14" s="38"/>
      <c r="AJ14" s="40"/>
      <c r="AK14" s="39" t="s">
        <v>199</v>
      </c>
      <c r="AL14" s="38"/>
      <c r="AM14" s="40"/>
      <c r="AN14" s="41"/>
      <c r="AO14" s="38"/>
      <c r="AP14" s="40"/>
      <c r="AQ14" s="41"/>
      <c r="AR14" s="38"/>
      <c r="AS14" s="40"/>
      <c r="AT14" s="39" t="s">
        <v>198</v>
      </c>
      <c r="AU14" s="38"/>
    </row>
    <row r="15" spans="1:47" ht="14.45" customHeight="1" thickBot="1" x14ac:dyDescent="0.3">
      <c r="B15" s="24"/>
      <c r="C15" s="26"/>
      <c r="D15" s="25"/>
      <c r="E15" s="21"/>
      <c r="H15" s="37"/>
      <c r="I15" s="36"/>
      <c r="J15" s="35"/>
      <c r="K15" s="34"/>
      <c r="L15" s="32"/>
      <c r="M15" s="31"/>
      <c r="N15" s="30"/>
      <c r="O15" s="32"/>
      <c r="P15" s="31"/>
      <c r="Q15" s="30"/>
      <c r="R15" s="32"/>
      <c r="S15" s="31"/>
      <c r="T15" s="30"/>
      <c r="U15" s="32"/>
      <c r="V15" s="31"/>
      <c r="W15" s="30"/>
      <c r="X15" s="32"/>
      <c r="Y15" s="31"/>
      <c r="Z15" s="30"/>
      <c r="AA15" s="32"/>
      <c r="AB15" s="31"/>
      <c r="AC15" s="30"/>
      <c r="AD15" s="32"/>
      <c r="AE15" s="31"/>
      <c r="AF15" s="30"/>
      <c r="AG15" s="32"/>
      <c r="AH15" s="31"/>
      <c r="AI15" s="30"/>
      <c r="AJ15" s="32"/>
      <c r="AK15" s="31"/>
      <c r="AL15" s="30"/>
      <c r="AM15" s="32"/>
      <c r="AN15" s="33"/>
      <c r="AO15" s="30"/>
      <c r="AP15" s="32"/>
      <c r="AQ15" s="33"/>
      <c r="AR15" s="30"/>
      <c r="AS15" s="32"/>
      <c r="AT15" s="31"/>
      <c r="AU15" s="30"/>
    </row>
    <row r="16" spans="1:47" ht="39.6" customHeight="1" x14ac:dyDescent="0.45">
      <c r="B16" s="24"/>
      <c r="C16" s="28">
        <v>7</v>
      </c>
      <c r="D16" s="27"/>
      <c r="E16" s="21"/>
      <c r="H16" s="29"/>
      <c r="V16" s="13" t="s">
        <v>197</v>
      </c>
    </row>
    <row r="17" spans="2:5" ht="14.45" customHeight="1" thickBot="1" x14ac:dyDescent="0.3">
      <c r="B17" s="24"/>
      <c r="C17" s="26" t="s">
        <v>196</v>
      </c>
      <c r="D17" s="25"/>
      <c r="E17" s="21"/>
    </row>
    <row r="18" spans="2:5" ht="39.6" customHeight="1" x14ac:dyDescent="0.45">
      <c r="B18" s="24"/>
      <c r="C18" s="28">
        <v>6</v>
      </c>
      <c r="D18" s="27"/>
      <c r="E18" s="21"/>
    </row>
    <row r="19" spans="2:5" ht="14.45" customHeight="1" thickBot="1" x14ac:dyDescent="0.3">
      <c r="B19" s="24"/>
      <c r="C19" s="26"/>
      <c r="D19" s="25"/>
      <c r="E19" s="21"/>
    </row>
    <row r="20" spans="2:5" ht="39.6" customHeight="1" x14ac:dyDescent="0.45">
      <c r="B20" s="24"/>
      <c r="C20" s="28">
        <v>5</v>
      </c>
      <c r="D20" s="27"/>
      <c r="E20" s="21"/>
    </row>
    <row r="21" spans="2:5" ht="14.45" customHeight="1" thickBot="1" x14ac:dyDescent="0.3">
      <c r="B21" s="24"/>
      <c r="C21" s="26" t="s">
        <v>196</v>
      </c>
      <c r="D21" s="25" t="s">
        <v>195</v>
      </c>
      <c r="E21" s="21"/>
    </row>
    <row r="22" spans="2:5" ht="39.6" customHeight="1" x14ac:dyDescent="0.45">
      <c r="B22" s="24"/>
      <c r="C22" s="28">
        <v>4</v>
      </c>
      <c r="D22" s="27"/>
      <c r="E22" s="21"/>
    </row>
    <row r="23" spans="2:5" ht="14.45" customHeight="1" thickBot="1" x14ac:dyDescent="0.3">
      <c r="B23" s="24"/>
      <c r="C23" s="26" t="s">
        <v>196</v>
      </c>
      <c r="D23" s="25" t="s">
        <v>195</v>
      </c>
      <c r="E23" s="21"/>
    </row>
    <row r="24" spans="2:5" ht="39.6" customHeight="1" x14ac:dyDescent="0.45">
      <c r="B24" s="24"/>
      <c r="C24" s="28">
        <v>3</v>
      </c>
      <c r="D24" s="27"/>
      <c r="E24" s="21"/>
    </row>
    <row r="25" spans="2:5" ht="14.45" customHeight="1" thickBot="1" x14ac:dyDescent="0.3">
      <c r="B25" s="24"/>
      <c r="C25" s="26" t="s">
        <v>196</v>
      </c>
      <c r="D25" s="25" t="s">
        <v>195</v>
      </c>
      <c r="E25" s="21"/>
    </row>
    <row r="26" spans="2:5" ht="39.6" customHeight="1" x14ac:dyDescent="0.45">
      <c r="B26" s="24"/>
      <c r="C26" s="28">
        <v>2</v>
      </c>
      <c r="D26" s="27"/>
      <c r="E26" s="21"/>
    </row>
    <row r="27" spans="2:5" ht="14.45" customHeight="1" thickBot="1" x14ac:dyDescent="0.3">
      <c r="B27" s="24"/>
      <c r="C27" s="26"/>
      <c r="D27" s="25"/>
      <c r="E27" s="21"/>
    </row>
    <row r="28" spans="2:5" ht="39.6" customHeight="1" x14ac:dyDescent="0.45">
      <c r="B28" s="24"/>
      <c r="C28" s="28">
        <v>1</v>
      </c>
      <c r="D28" s="27"/>
      <c r="E28" s="21"/>
    </row>
    <row r="29" spans="2:5" ht="14.45" customHeight="1" thickBot="1" x14ac:dyDescent="0.3">
      <c r="B29" s="24"/>
      <c r="C29" s="26"/>
      <c r="D29" s="25"/>
      <c r="E29" s="21"/>
    </row>
    <row r="30" spans="2:5" ht="39.6" customHeight="1" thickTop="1" thickBot="1" x14ac:dyDescent="0.25">
      <c r="B30" s="24"/>
      <c r="C30" s="23" t="s">
        <v>194</v>
      </c>
      <c r="D30" s="22"/>
      <c r="E30" s="21"/>
    </row>
    <row r="31" spans="2:5" ht="14.45" customHeight="1" x14ac:dyDescent="0.2">
      <c r="B31" s="20"/>
      <c r="C31" s="19" t="s">
        <v>193</v>
      </c>
      <c r="D31" s="18"/>
      <c r="E31" s="17"/>
    </row>
    <row r="32" spans="2:5" ht="43.15" customHeight="1" x14ac:dyDescent="0.2">
      <c r="B32" s="16"/>
      <c r="C32" s="15" t="s">
        <v>192</v>
      </c>
      <c r="D32" s="14"/>
    </row>
  </sheetData>
  <mergeCells count="39">
    <mergeCell ref="C24:D24"/>
    <mergeCell ref="C26:D26"/>
    <mergeCell ref="C28:D28"/>
    <mergeCell ref="C31:D31"/>
    <mergeCell ref="C30:D30"/>
    <mergeCell ref="C10:D10"/>
    <mergeCell ref="C12:D12"/>
    <mergeCell ref="C9:D9"/>
    <mergeCell ref="C14:D14"/>
    <mergeCell ref="C16:D16"/>
    <mergeCell ref="C18:D18"/>
    <mergeCell ref="C20:D20"/>
    <mergeCell ref="C22:D22"/>
    <mergeCell ref="I9:K9"/>
    <mergeCell ref="I8:K8"/>
    <mergeCell ref="L8:N8"/>
    <mergeCell ref="L9:N9"/>
    <mergeCell ref="O8:Q8"/>
    <mergeCell ref="O9:Q9"/>
    <mergeCell ref="AG8:AI8"/>
    <mergeCell ref="AJ8:AL8"/>
    <mergeCell ref="AM8:AO8"/>
    <mergeCell ref="AP8:AR8"/>
    <mergeCell ref="R8:T8"/>
    <mergeCell ref="R9:T9"/>
    <mergeCell ref="U8:W8"/>
    <mergeCell ref="U9:W9"/>
    <mergeCell ref="X8:Z8"/>
    <mergeCell ref="X9:Z9"/>
    <mergeCell ref="I10:K15"/>
    <mergeCell ref="AS8:AU8"/>
    <mergeCell ref="AS9:AU9"/>
    <mergeCell ref="H10:H15"/>
    <mergeCell ref="AA9:AC9"/>
    <mergeCell ref="AD9:AF9"/>
    <mergeCell ref="AG9:AI9"/>
    <mergeCell ref="AJ9:AL9"/>
    <mergeCell ref="AA8:AC8"/>
    <mergeCell ref="AD8:AF8"/>
  </mergeCells>
  <pageMargins left="0.5" right="0.5" top="0.75" bottom="0.75" header="0.3" footer="0.3"/>
  <pageSetup scale="59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C3CA6-2E97-46E0-8162-142C85A885D2}">
  <dimension ref="A1:CI71"/>
  <sheetViews>
    <sheetView topLeftCell="A10" zoomScale="70" zoomScaleNormal="70" workbookViewId="0">
      <selection activeCell="H39" sqref="H39"/>
    </sheetView>
  </sheetViews>
  <sheetFormatPr defaultRowHeight="18" x14ac:dyDescent="0.2"/>
  <cols>
    <col min="1" max="1" width="6.42578125" style="66" customWidth="1"/>
    <col min="2" max="2" width="15.5703125" style="59" customWidth="1"/>
    <col min="3" max="3" width="6" style="13" customWidth="1"/>
    <col min="4" max="4" width="4.85546875" style="13" customWidth="1"/>
    <col min="5" max="5" width="5.5703125" style="13" customWidth="1"/>
    <col min="6" max="6" width="15.7109375" style="13" customWidth="1"/>
    <col min="7" max="7" width="14" style="13" customWidth="1"/>
    <col min="8" max="8" width="36.7109375" style="13" customWidth="1"/>
    <col min="9" max="9" width="3.85546875" style="13" customWidth="1"/>
    <col min="10" max="10" width="15.5703125" style="13" customWidth="1"/>
    <col min="11" max="11" width="6" style="13" customWidth="1"/>
    <col min="12" max="12" width="4.85546875" style="13" customWidth="1"/>
    <col min="13" max="13" width="5.5703125" style="13" customWidth="1"/>
    <col min="14" max="14" width="15.7109375" style="13" customWidth="1"/>
    <col min="15" max="15" width="14" style="13" customWidth="1"/>
    <col min="16" max="16" width="36.7109375" style="13" customWidth="1"/>
    <col min="17" max="17" width="3.85546875" style="13" customWidth="1"/>
    <col min="18" max="18" width="15.5703125" style="13" customWidth="1"/>
    <col min="19" max="19" width="4.85546875" style="13" customWidth="1"/>
    <col min="20" max="21" width="5.5703125" style="13" customWidth="1"/>
    <col min="22" max="22" width="15.7109375" style="13" customWidth="1"/>
    <col min="23" max="23" width="14" style="13" customWidth="1"/>
    <col min="24" max="24" width="36.7109375" style="13" customWidth="1"/>
    <col min="25" max="25" width="3.85546875" style="13" customWidth="1"/>
    <col min="26" max="26" width="15.5703125" style="13" customWidth="1"/>
    <col min="27" max="27" width="4.85546875" style="13" customWidth="1"/>
    <col min="28" max="29" width="5.5703125" style="13" customWidth="1"/>
    <col min="30" max="30" width="15.7109375" style="13" customWidth="1"/>
    <col min="31" max="31" width="14" style="13" customWidth="1"/>
    <col min="32" max="32" width="36.7109375" style="13" customWidth="1"/>
    <col min="33" max="33" width="3.85546875" style="13" customWidth="1"/>
    <col min="34" max="34" width="15.5703125" style="13" customWidth="1"/>
    <col min="35" max="35" width="4.85546875" style="13" customWidth="1"/>
    <col min="36" max="37" width="5.5703125" style="13" customWidth="1"/>
    <col min="38" max="38" width="15.7109375" style="13" customWidth="1"/>
    <col min="39" max="39" width="14" style="13" customWidth="1"/>
    <col min="40" max="40" width="36.7109375" style="13" customWidth="1"/>
    <col min="41" max="41" width="3.85546875" style="13" customWidth="1"/>
    <col min="42" max="42" width="15.5703125" style="13" customWidth="1"/>
    <col min="43" max="43" width="4.85546875" style="13" customWidth="1"/>
    <col min="44" max="45" width="5.5703125" style="13" customWidth="1"/>
    <col min="46" max="46" width="15.7109375" style="13" customWidth="1"/>
    <col min="47" max="47" width="14" style="13" customWidth="1"/>
    <col min="48" max="48" width="36.7109375" style="13" customWidth="1"/>
    <col min="49" max="49" width="3.85546875" style="13" customWidth="1"/>
    <col min="50" max="50" width="15.5703125" style="13" customWidth="1"/>
    <col min="51" max="51" width="4.85546875" style="13" customWidth="1"/>
    <col min="52" max="53" width="5.5703125" style="13" customWidth="1"/>
    <col min="54" max="54" width="15.7109375" style="13" customWidth="1"/>
    <col min="55" max="55" width="14" style="13" customWidth="1"/>
    <col min="56" max="56" width="36.7109375" style="13" customWidth="1"/>
    <col min="57" max="57" width="3.85546875" style="13" customWidth="1"/>
    <col min="58" max="58" width="15.5703125" style="13" customWidth="1"/>
    <col min="59" max="59" width="4.85546875" style="13" customWidth="1"/>
    <col min="60" max="61" width="5.5703125" style="13" customWidth="1"/>
    <col min="62" max="62" width="15.7109375" style="13" customWidth="1"/>
    <col min="63" max="63" width="14" style="13" customWidth="1"/>
    <col min="64" max="64" width="36.7109375" style="13" customWidth="1"/>
    <col min="65" max="65" width="3.85546875" style="13" customWidth="1"/>
    <col min="66" max="66" width="15.5703125" style="13" customWidth="1"/>
    <col min="67" max="67" width="4.85546875" style="13" customWidth="1"/>
    <col min="68" max="69" width="5.5703125" style="13" customWidth="1"/>
    <col min="70" max="70" width="15.7109375" style="13" customWidth="1"/>
    <col min="71" max="71" width="14" style="13" customWidth="1"/>
    <col min="72" max="72" width="36.7109375" style="13" customWidth="1"/>
    <col min="73" max="73" width="3.85546875" style="13" customWidth="1"/>
    <col min="74" max="74" width="15.5703125" style="13" customWidth="1"/>
    <col min="75" max="75" width="4.85546875" style="13" customWidth="1"/>
    <col min="76" max="77" width="5.5703125" style="13" customWidth="1"/>
    <col min="78" max="78" width="15.7109375" style="13" customWidth="1"/>
    <col min="79" max="79" width="14" style="13" customWidth="1"/>
    <col min="80" max="80" width="36.7109375" style="13" customWidth="1"/>
    <col min="81" max="81" width="3.85546875" style="13" customWidth="1"/>
    <col min="82" max="82" width="15.5703125" style="13" customWidth="1"/>
    <col min="83" max="83" width="4.85546875" style="13" customWidth="1"/>
    <col min="84" max="84" width="5.5703125" style="13" customWidth="1"/>
    <col min="85" max="85" width="14" style="13" customWidth="1"/>
    <col min="86" max="86" width="9.140625" style="13"/>
    <col min="87" max="87" width="14" style="13" hidden="1" customWidth="1"/>
    <col min="88" max="88" width="36.7109375" style="13" customWidth="1"/>
    <col min="89" max="16384" width="9.140625" style="13"/>
  </cols>
  <sheetData>
    <row r="1" spans="1:80" ht="15" x14ac:dyDescent="0.25">
      <c r="A1" s="106">
        <v>2015</v>
      </c>
      <c r="B1" s="105" t="s">
        <v>232</v>
      </c>
    </row>
    <row r="2" spans="1:80" ht="15" x14ac:dyDescent="0.25">
      <c r="A2" s="106"/>
      <c r="B2" s="105" t="s">
        <v>231</v>
      </c>
      <c r="C2" s="13" t="s">
        <v>267</v>
      </c>
    </row>
    <row r="3" spans="1:80" ht="5.45" customHeight="1" x14ac:dyDescent="0.2">
      <c r="A3" s="59"/>
      <c r="B3" s="13"/>
    </row>
    <row r="4" spans="1:80" ht="15" x14ac:dyDescent="0.25">
      <c r="A4" s="59"/>
      <c r="B4" s="105" t="s">
        <v>266</v>
      </c>
    </row>
    <row r="5" spans="1:80" ht="14.25" x14ac:dyDescent="0.2">
      <c r="A5" s="59"/>
      <c r="B5" s="13"/>
      <c r="C5" s="101" t="s">
        <v>265</v>
      </c>
    </row>
    <row r="6" spans="1:80" ht="14.25" x14ac:dyDescent="0.2">
      <c r="A6" s="59"/>
      <c r="B6" s="13"/>
      <c r="C6" s="101" t="s">
        <v>264</v>
      </c>
    </row>
    <row r="7" spans="1:80" ht="31.9" customHeight="1" x14ac:dyDescent="0.2">
      <c r="A7" s="59"/>
      <c r="B7" s="13"/>
      <c r="C7" s="104" t="s">
        <v>263</v>
      </c>
      <c r="D7" s="103"/>
      <c r="E7" s="103"/>
      <c r="F7" s="103"/>
      <c r="G7" s="103"/>
      <c r="H7" s="103"/>
      <c r="I7" s="103"/>
      <c r="J7" s="103"/>
      <c r="K7" s="103"/>
      <c r="L7" s="103"/>
      <c r="M7" s="103"/>
      <c r="N7" s="103"/>
      <c r="O7" s="103"/>
      <c r="P7" s="103"/>
    </row>
    <row r="8" spans="1:80" ht="14.25" x14ac:dyDescent="0.2">
      <c r="A8" s="59"/>
      <c r="B8" s="13"/>
      <c r="C8" s="102" t="s">
        <v>262</v>
      </c>
    </row>
    <row r="9" spans="1:80" ht="14.25" x14ac:dyDescent="0.2">
      <c r="A9" s="59"/>
      <c r="B9" s="13"/>
      <c r="C9" s="101"/>
    </row>
    <row r="10" spans="1:80" ht="21.6" customHeight="1" x14ac:dyDescent="0.25">
      <c r="A10" s="13"/>
      <c r="B10" s="13"/>
      <c r="D10" s="101"/>
      <c r="F10" s="97" t="s">
        <v>261</v>
      </c>
      <c r="G10" s="97" t="s">
        <v>260</v>
      </c>
      <c r="I10" s="59"/>
      <c r="K10" s="101"/>
      <c r="N10" s="97" t="s">
        <v>261</v>
      </c>
      <c r="O10" s="97" t="s">
        <v>260</v>
      </c>
      <c r="S10" s="101"/>
      <c r="V10" s="97" t="s">
        <v>261</v>
      </c>
      <c r="W10" s="97" t="s">
        <v>260</v>
      </c>
      <c r="X10" s="59"/>
      <c r="Y10" s="59"/>
      <c r="AA10" s="101"/>
      <c r="AD10" s="97" t="s">
        <v>261</v>
      </c>
      <c r="AE10" s="97" t="s">
        <v>260</v>
      </c>
      <c r="AI10" s="101"/>
      <c r="AL10" s="97" t="s">
        <v>261</v>
      </c>
      <c r="AM10" s="97" t="s">
        <v>260</v>
      </c>
      <c r="AN10" s="59"/>
      <c r="AO10" s="59"/>
      <c r="AQ10" s="101"/>
      <c r="AT10" s="97" t="s">
        <v>261</v>
      </c>
      <c r="AU10" s="97" t="s">
        <v>260</v>
      </c>
      <c r="AY10" s="101"/>
      <c r="BB10" s="97" t="s">
        <v>261</v>
      </c>
      <c r="BC10" s="97" t="s">
        <v>260</v>
      </c>
      <c r="BD10" s="59"/>
      <c r="BE10" s="59"/>
      <c r="BG10" s="101"/>
      <c r="BJ10" s="97" t="s">
        <v>261</v>
      </c>
      <c r="BK10" s="97" t="s">
        <v>260</v>
      </c>
      <c r="BO10" s="101"/>
      <c r="BR10" s="97" t="s">
        <v>261</v>
      </c>
      <c r="BS10" s="97" t="s">
        <v>260</v>
      </c>
      <c r="BW10" s="101"/>
      <c r="BZ10" s="97" t="s">
        <v>261</v>
      </c>
      <c r="CA10" s="97" t="s">
        <v>260</v>
      </c>
    </row>
    <row r="11" spans="1:80" ht="23.45" customHeight="1" thickBot="1" x14ac:dyDescent="0.3">
      <c r="A11" s="13"/>
      <c r="B11" s="13"/>
      <c r="C11" s="97" t="s">
        <v>259</v>
      </c>
      <c r="D11" s="97" t="s">
        <v>258</v>
      </c>
      <c r="E11" s="100" t="s">
        <v>257</v>
      </c>
      <c r="F11" s="99" t="s">
        <v>256</v>
      </c>
      <c r="G11" s="98" t="s">
        <v>255</v>
      </c>
      <c r="H11" s="97" t="s">
        <v>254</v>
      </c>
      <c r="J11" s="59"/>
      <c r="K11" s="97" t="s">
        <v>259</v>
      </c>
      <c r="L11" s="97" t="s">
        <v>258</v>
      </c>
      <c r="M11" s="100" t="s">
        <v>257</v>
      </c>
      <c r="N11" s="99" t="s">
        <v>256</v>
      </c>
      <c r="O11" s="98" t="s">
        <v>255</v>
      </c>
      <c r="P11" s="97" t="s">
        <v>254</v>
      </c>
      <c r="Q11" s="97"/>
      <c r="S11" s="97" t="s">
        <v>259</v>
      </c>
      <c r="T11" s="97" t="s">
        <v>258</v>
      </c>
      <c r="U11" s="100" t="s">
        <v>257</v>
      </c>
      <c r="V11" s="99" t="s">
        <v>256</v>
      </c>
      <c r="W11" s="98" t="s">
        <v>255</v>
      </c>
      <c r="X11" s="97" t="s">
        <v>254</v>
      </c>
      <c r="Y11" s="97"/>
      <c r="Z11" s="59"/>
      <c r="AA11" s="97" t="s">
        <v>259</v>
      </c>
      <c r="AB11" s="97" t="s">
        <v>258</v>
      </c>
      <c r="AC11" s="100" t="s">
        <v>257</v>
      </c>
      <c r="AD11" s="99" t="s">
        <v>256</v>
      </c>
      <c r="AE11" s="98" t="s">
        <v>255</v>
      </c>
      <c r="AF11" s="97" t="s">
        <v>254</v>
      </c>
      <c r="AG11" s="97"/>
      <c r="AI11" s="97" t="s">
        <v>259</v>
      </c>
      <c r="AJ11" s="97" t="s">
        <v>258</v>
      </c>
      <c r="AK11" s="100" t="s">
        <v>257</v>
      </c>
      <c r="AL11" s="99" t="s">
        <v>256</v>
      </c>
      <c r="AM11" s="98" t="s">
        <v>255</v>
      </c>
      <c r="AN11" s="97" t="s">
        <v>254</v>
      </c>
      <c r="AO11" s="97"/>
      <c r="AP11" s="59"/>
      <c r="AQ11" s="97" t="s">
        <v>259</v>
      </c>
      <c r="AR11" s="97" t="s">
        <v>258</v>
      </c>
      <c r="AS11" s="100" t="s">
        <v>257</v>
      </c>
      <c r="AT11" s="99" t="s">
        <v>256</v>
      </c>
      <c r="AU11" s="98" t="s">
        <v>255</v>
      </c>
      <c r="AV11" s="97" t="s">
        <v>254</v>
      </c>
      <c r="AW11" s="97"/>
      <c r="AY11" s="97" t="s">
        <v>259</v>
      </c>
      <c r="AZ11" s="97" t="s">
        <v>258</v>
      </c>
      <c r="BA11" s="100" t="s">
        <v>257</v>
      </c>
      <c r="BB11" s="99" t="s">
        <v>256</v>
      </c>
      <c r="BC11" s="98" t="s">
        <v>255</v>
      </c>
      <c r="BD11" s="97" t="s">
        <v>254</v>
      </c>
      <c r="BE11" s="97"/>
      <c r="BF11" s="59"/>
      <c r="BG11" s="97" t="s">
        <v>259</v>
      </c>
      <c r="BH11" s="97" t="s">
        <v>258</v>
      </c>
      <c r="BI11" s="100" t="s">
        <v>257</v>
      </c>
      <c r="BJ11" s="99" t="s">
        <v>256</v>
      </c>
      <c r="BK11" s="98" t="s">
        <v>255</v>
      </c>
      <c r="BL11" s="97" t="s">
        <v>254</v>
      </c>
      <c r="BM11" s="97"/>
      <c r="BO11" s="97" t="s">
        <v>259</v>
      </c>
      <c r="BP11" s="97" t="s">
        <v>258</v>
      </c>
      <c r="BQ11" s="100" t="s">
        <v>257</v>
      </c>
      <c r="BR11" s="99" t="s">
        <v>256</v>
      </c>
      <c r="BS11" s="98" t="s">
        <v>255</v>
      </c>
      <c r="BT11" s="97" t="s">
        <v>254</v>
      </c>
      <c r="BU11" s="97"/>
      <c r="BW11" s="97" t="s">
        <v>259</v>
      </c>
      <c r="BX11" s="97" t="s">
        <v>258</v>
      </c>
      <c r="BY11" s="100" t="s">
        <v>257</v>
      </c>
      <c r="BZ11" s="99" t="s">
        <v>256</v>
      </c>
      <c r="CA11" s="98" t="s">
        <v>255</v>
      </c>
      <c r="CB11" s="97" t="s">
        <v>254</v>
      </c>
    </row>
    <row r="12" spans="1:80" ht="25.15" customHeight="1" thickBot="1" x14ac:dyDescent="0.25">
      <c r="A12" s="13"/>
      <c r="B12" s="96" t="s">
        <v>253</v>
      </c>
      <c r="C12" s="94">
        <v>2</v>
      </c>
      <c r="D12" s="93">
        <v>-1</v>
      </c>
      <c r="E12" s="86" t="s">
        <v>196</v>
      </c>
      <c r="F12" s="85">
        <v>38.5</v>
      </c>
      <c r="G12" s="92">
        <f>F12+F13-2.1</f>
        <v>46.9</v>
      </c>
      <c r="H12" s="83" t="s">
        <v>241</v>
      </c>
      <c r="I12" s="90"/>
      <c r="J12" s="96" t="s">
        <v>252</v>
      </c>
      <c r="K12" s="94">
        <v>3</v>
      </c>
      <c r="L12" s="93">
        <v>-1</v>
      </c>
      <c r="M12" s="86" t="s">
        <v>196</v>
      </c>
      <c r="N12" s="85">
        <v>19.3</v>
      </c>
      <c r="O12" s="92">
        <f>N12+N13-2.3</f>
        <v>47.800000000000004</v>
      </c>
      <c r="P12" s="83" t="s">
        <v>245</v>
      </c>
      <c r="Q12" s="90"/>
      <c r="R12" s="96" t="s">
        <v>251</v>
      </c>
      <c r="S12" s="94">
        <v>4</v>
      </c>
      <c r="T12" s="93">
        <v>-1</v>
      </c>
      <c r="U12" s="86" t="s">
        <v>196</v>
      </c>
      <c r="V12" s="85">
        <v>29.7</v>
      </c>
      <c r="W12" s="92">
        <f>V12+V13-2.1</f>
        <v>46.499999999999993</v>
      </c>
      <c r="X12" s="83" t="s">
        <v>243</v>
      </c>
      <c r="Y12" s="90"/>
      <c r="Z12" s="96" t="s">
        <v>250</v>
      </c>
      <c r="AA12" s="94">
        <v>5</v>
      </c>
      <c r="AB12" s="93">
        <v>-1</v>
      </c>
      <c r="AC12" s="86" t="s">
        <v>196</v>
      </c>
      <c r="AD12" s="85">
        <v>25.5</v>
      </c>
      <c r="AE12" s="92">
        <f>AD12+AD13-2.1</f>
        <v>46</v>
      </c>
      <c r="AF12" s="83" t="s">
        <v>241</v>
      </c>
      <c r="AG12" s="90"/>
      <c r="AH12" s="96" t="s">
        <v>249</v>
      </c>
      <c r="AI12" s="94">
        <v>6</v>
      </c>
      <c r="AJ12" s="93">
        <v>-1</v>
      </c>
      <c r="AK12" s="86" t="s">
        <v>196</v>
      </c>
      <c r="AL12" s="85">
        <v>22.6</v>
      </c>
      <c r="AM12" s="92">
        <f>AL12+AL13-2.3</f>
        <v>29.999999999999996</v>
      </c>
      <c r="AN12" s="83" t="s">
        <v>245</v>
      </c>
      <c r="AO12" s="90"/>
      <c r="AP12" s="96" t="s">
        <v>248</v>
      </c>
      <c r="AQ12" s="94">
        <v>7</v>
      </c>
      <c r="AR12" s="93">
        <v>-1</v>
      </c>
      <c r="AS12" s="86" t="s">
        <v>196</v>
      </c>
      <c r="AT12" s="85">
        <v>25.8</v>
      </c>
      <c r="AU12" s="92">
        <f>AT12+AT13-2.1</f>
        <v>48.800000000000004</v>
      </c>
      <c r="AV12" s="83" t="s">
        <v>243</v>
      </c>
      <c r="AW12" s="90"/>
      <c r="AX12" s="96" t="s">
        <v>247</v>
      </c>
      <c r="AY12" s="94">
        <v>8</v>
      </c>
      <c r="AZ12" s="93">
        <v>-1</v>
      </c>
      <c r="BA12" s="86" t="s">
        <v>196</v>
      </c>
      <c r="BB12" s="85">
        <v>23.2</v>
      </c>
      <c r="BC12" s="92">
        <f>BB12+BB13-2.1</f>
        <v>47.4</v>
      </c>
      <c r="BD12" s="83" t="s">
        <v>241</v>
      </c>
      <c r="BE12" s="90"/>
      <c r="BF12" s="96" t="s">
        <v>246</v>
      </c>
      <c r="BG12" s="94">
        <v>9</v>
      </c>
      <c r="BH12" s="93">
        <v>-1</v>
      </c>
      <c r="BI12" s="86" t="s">
        <v>196</v>
      </c>
      <c r="BJ12" s="85">
        <v>28.4</v>
      </c>
      <c r="BK12" s="92">
        <f>BJ12+BJ13-2.3</f>
        <v>40</v>
      </c>
      <c r="BL12" s="83" t="s">
        <v>245</v>
      </c>
      <c r="BM12" s="90"/>
      <c r="BN12" s="96" t="s">
        <v>244</v>
      </c>
      <c r="BO12" s="94">
        <v>10</v>
      </c>
      <c r="BP12" s="93">
        <v>-1</v>
      </c>
      <c r="BQ12" s="86" t="s">
        <v>196</v>
      </c>
      <c r="BR12" s="85">
        <v>15.3</v>
      </c>
      <c r="BS12" s="92">
        <f>BR12+BR13-2.1</f>
        <v>38.699999999999996</v>
      </c>
      <c r="BT12" s="83" t="s">
        <v>243</v>
      </c>
      <c r="BU12" s="90"/>
      <c r="BV12" s="96" t="s">
        <v>242</v>
      </c>
      <c r="BW12" s="94">
        <v>11</v>
      </c>
      <c r="BX12" s="93">
        <v>-1</v>
      </c>
      <c r="BY12" s="86" t="s">
        <v>196</v>
      </c>
      <c r="BZ12" s="85">
        <v>14.6</v>
      </c>
      <c r="CA12" s="92">
        <f>BZ12+BZ13-2.1</f>
        <v>19</v>
      </c>
      <c r="CB12" s="83" t="s">
        <v>241</v>
      </c>
    </row>
    <row r="13" spans="1:80" ht="25.15" customHeight="1" thickBot="1" x14ac:dyDescent="0.25">
      <c r="A13" s="13"/>
      <c r="B13" s="95" t="s">
        <v>237</v>
      </c>
      <c r="C13" s="88"/>
      <c r="D13" s="87"/>
      <c r="E13" s="86" t="s">
        <v>195</v>
      </c>
      <c r="F13" s="85">
        <v>10.5</v>
      </c>
      <c r="G13" s="84"/>
      <c r="H13" s="83" t="s">
        <v>240</v>
      </c>
      <c r="I13" s="90"/>
      <c r="J13" s="95" t="s">
        <v>234</v>
      </c>
      <c r="K13" s="88"/>
      <c r="L13" s="87"/>
      <c r="M13" s="86" t="s">
        <v>195</v>
      </c>
      <c r="N13" s="85">
        <v>30.8</v>
      </c>
      <c r="O13" s="84"/>
      <c r="P13" s="83"/>
      <c r="Q13" s="90"/>
      <c r="R13" s="95" t="s">
        <v>235</v>
      </c>
      <c r="S13" s="88"/>
      <c r="T13" s="87"/>
      <c r="U13" s="86" t="s">
        <v>195</v>
      </c>
      <c r="V13" s="85">
        <v>18.899999999999999</v>
      </c>
      <c r="W13" s="91"/>
      <c r="X13" s="83"/>
      <c r="Y13" s="90"/>
      <c r="Z13" s="95" t="s">
        <v>236</v>
      </c>
      <c r="AA13" s="88"/>
      <c r="AB13" s="87"/>
      <c r="AC13" s="86" t="s">
        <v>195</v>
      </c>
      <c r="AD13" s="85">
        <v>22.6</v>
      </c>
      <c r="AE13" s="91"/>
      <c r="AF13" s="83"/>
      <c r="AG13" s="90"/>
      <c r="AH13" s="95" t="s">
        <v>238</v>
      </c>
      <c r="AI13" s="88"/>
      <c r="AJ13" s="87"/>
      <c r="AK13" s="86" t="s">
        <v>195</v>
      </c>
      <c r="AL13" s="85">
        <v>9.6999999999999993</v>
      </c>
      <c r="AM13" s="84"/>
      <c r="AN13" s="83"/>
      <c r="AO13" s="90"/>
      <c r="AP13" s="95" t="s">
        <v>234</v>
      </c>
      <c r="AQ13" s="88"/>
      <c r="AR13" s="87"/>
      <c r="AS13" s="86" t="s">
        <v>195</v>
      </c>
      <c r="AT13" s="85">
        <v>25.1</v>
      </c>
      <c r="AU13" s="84"/>
      <c r="AV13" s="83"/>
      <c r="AW13" s="90"/>
      <c r="AX13" s="95" t="s">
        <v>235</v>
      </c>
      <c r="AY13" s="88"/>
      <c r="AZ13" s="87"/>
      <c r="BA13" s="86" t="s">
        <v>195</v>
      </c>
      <c r="BB13" s="85">
        <v>26.3</v>
      </c>
      <c r="BC13" s="84"/>
      <c r="BD13" s="83"/>
      <c r="BE13" s="90"/>
      <c r="BF13" s="95" t="s">
        <v>236</v>
      </c>
      <c r="BG13" s="88"/>
      <c r="BH13" s="87"/>
      <c r="BI13" s="86" t="s">
        <v>195</v>
      </c>
      <c r="BJ13" s="85">
        <v>13.9</v>
      </c>
      <c r="BK13" s="84"/>
      <c r="BL13" s="83"/>
      <c r="BM13" s="90"/>
      <c r="BN13" s="95" t="s">
        <v>237</v>
      </c>
      <c r="BO13" s="88"/>
      <c r="BP13" s="87"/>
      <c r="BQ13" s="86" t="s">
        <v>195</v>
      </c>
      <c r="BR13" s="85">
        <v>25.5</v>
      </c>
      <c r="BS13" s="84"/>
      <c r="BT13" s="83"/>
      <c r="BU13" s="90"/>
      <c r="BV13" s="95" t="s">
        <v>238</v>
      </c>
      <c r="BW13" s="88"/>
      <c r="BX13" s="87"/>
      <c r="BY13" s="86" t="s">
        <v>195</v>
      </c>
      <c r="BZ13" s="85">
        <v>6.5</v>
      </c>
      <c r="CA13" s="84"/>
      <c r="CB13" s="83"/>
    </row>
    <row r="14" spans="1:80" ht="25.15" customHeight="1" thickBot="1" x14ac:dyDescent="0.25">
      <c r="A14" s="13"/>
      <c r="B14" s="89"/>
      <c r="C14" s="94">
        <v>2</v>
      </c>
      <c r="D14" s="93">
        <v>-2</v>
      </c>
      <c r="E14" s="86" t="s">
        <v>196</v>
      </c>
      <c r="F14" s="85">
        <v>31.8</v>
      </c>
      <c r="G14" s="92">
        <f>F14+F15-2.1</f>
        <v>51.6</v>
      </c>
      <c r="H14" s="83"/>
      <c r="I14" s="90"/>
      <c r="J14" s="89"/>
      <c r="K14" s="94">
        <v>3</v>
      </c>
      <c r="L14" s="93">
        <v>-2</v>
      </c>
      <c r="M14" s="86" t="s">
        <v>196</v>
      </c>
      <c r="N14" s="85">
        <v>23.6</v>
      </c>
      <c r="O14" s="92">
        <f>N14+N15-2.3</f>
        <v>50.400000000000006</v>
      </c>
      <c r="P14" s="83"/>
      <c r="Q14" s="90"/>
      <c r="R14" s="89"/>
      <c r="S14" s="94">
        <v>4</v>
      </c>
      <c r="T14" s="93">
        <v>-2</v>
      </c>
      <c r="U14" s="86" t="s">
        <v>196</v>
      </c>
      <c r="V14" s="85">
        <v>29.1</v>
      </c>
      <c r="W14" s="92">
        <f>V14+V15-2.1</f>
        <v>50.6</v>
      </c>
      <c r="X14" s="83"/>
      <c r="Y14" s="90"/>
      <c r="Z14" s="89"/>
      <c r="AA14" s="94">
        <v>5</v>
      </c>
      <c r="AB14" s="93">
        <v>-2</v>
      </c>
      <c r="AC14" s="86" t="s">
        <v>196</v>
      </c>
      <c r="AD14" s="85">
        <v>28.1</v>
      </c>
      <c r="AE14" s="92">
        <f>AD14+AD15-2.1</f>
        <v>49.9</v>
      </c>
      <c r="AF14" s="83"/>
      <c r="AG14" s="90"/>
      <c r="AH14" s="89"/>
      <c r="AI14" s="94">
        <v>6</v>
      </c>
      <c r="AJ14" s="93">
        <v>-2</v>
      </c>
      <c r="AK14" s="86" t="s">
        <v>196</v>
      </c>
      <c r="AL14" s="85">
        <v>14</v>
      </c>
      <c r="AM14" s="92">
        <f>AL14+AL15-2.3</f>
        <v>26.3</v>
      </c>
      <c r="AN14" s="83"/>
      <c r="AO14" s="90"/>
      <c r="AP14" s="89"/>
      <c r="AQ14" s="94">
        <v>7</v>
      </c>
      <c r="AR14" s="93">
        <v>-2</v>
      </c>
      <c r="AS14" s="86" t="s">
        <v>196</v>
      </c>
      <c r="AT14" s="85">
        <v>26.5</v>
      </c>
      <c r="AU14" s="92">
        <f>AT14+AT15-2.1</f>
        <v>50.9</v>
      </c>
      <c r="AV14" s="83"/>
      <c r="AW14" s="90"/>
      <c r="AX14" s="89"/>
      <c r="AY14" s="94">
        <v>8</v>
      </c>
      <c r="AZ14" s="93">
        <v>-2</v>
      </c>
      <c r="BA14" s="86" t="s">
        <v>196</v>
      </c>
      <c r="BB14" s="85">
        <v>23.6</v>
      </c>
      <c r="BC14" s="92">
        <f>BB14+BB15-2.1</f>
        <v>48.699999999999996</v>
      </c>
      <c r="BD14" s="83"/>
      <c r="BE14" s="90"/>
      <c r="BF14" s="89"/>
      <c r="BG14" s="94">
        <v>9</v>
      </c>
      <c r="BH14" s="93">
        <v>-2</v>
      </c>
      <c r="BI14" s="86" t="s">
        <v>196</v>
      </c>
      <c r="BJ14" s="85">
        <v>22.2</v>
      </c>
      <c r="BK14" s="92">
        <f>BJ14+BJ15-2.3</f>
        <v>47.400000000000006</v>
      </c>
      <c r="BL14" s="83"/>
      <c r="BM14" s="90"/>
      <c r="BN14" s="89"/>
      <c r="BO14" s="94">
        <v>10</v>
      </c>
      <c r="BP14" s="93">
        <v>-2</v>
      </c>
      <c r="BQ14" s="86" t="s">
        <v>196</v>
      </c>
      <c r="BR14" s="85">
        <v>24.2</v>
      </c>
      <c r="BS14" s="92">
        <f>BR14+BR15-2.1</f>
        <v>45.4</v>
      </c>
      <c r="BT14" s="83"/>
      <c r="BU14" s="90"/>
      <c r="BV14" s="89"/>
      <c r="BW14" s="94">
        <v>11</v>
      </c>
      <c r="BX14" s="93">
        <v>-2</v>
      </c>
      <c r="BY14" s="86" t="s">
        <v>196</v>
      </c>
      <c r="BZ14" s="85">
        <v>8</v>
      </c>
      <c r="CA14" s="92">
        <f>BZ14+BZ15-2.1</f>
        <v>16.2</v>
      </c>
      <c r="CB14" s="83"/>
    </row>
    <row r="15" spans="1:80" ht="25.15" customHeight="1" thickBot="1" x14ac:dyDescent="0.25">
      <c r="B15" s="89"/>
      <c r="C15" s="88"/>
      <c r="D15" s="87"/>
      <c r="E15" s="86" t="s">
        <v>195</v>
      </c>
      <c r="F15" s="85">
        <v>21.9</v>
      </c>
      <c r="G15" s="84"/>
      <c r="H15" s="83"/>
      <c r="I15" s="90"/>
      <c r="J15" s="89"/>
      <c r="K15" s="88"/>
      <c r="L15" s="87"/>
      <c r="M15" s="86" t="s">
        <v>195</v>
      </c>
      <c r="N15" s="85">
        <v>29.1</v>
      </c>
      <c r="O15" s="84"/>
      <c r="P15" s="83"/>
      <c r="Q15" s="90"/>
      <c r="R15" s="89"/>
      <c r="S15" s="88"/>
      <c r="T15" s="87"/>
      <c r="U15" s="86" t="s">
        <v>195</v>
      </c>
      <c r="V15" s="85">
        <v>23.6</v>
      </c>
      <c r="W15" s="91"/>
      <c r="X15" s="83"/>
      <c r="Y15" s="90"/>
      <c r="Z15" s="89"/>
      <c r="AA15" s="88"/>
      <c r="AB15" s="87"/>
      <c r="AC15" s="86" t="s">
        <v>195</v>
      </c>
      <c r="AD15" s="85">
        <v>23.9</v>
      </c>
      <c r="AE15" s="91"/>
      <c r="AF15" s="83"/>
      <c r="AG15" s="90"/>
      <c r="AH15" s="89"/>
      <c r="AI15" s="88"/>
      <c r="AJ15" s="87"/>
      <c r="AK15" s="86" t="s">
        <v>195</v>
      </c>
      <c r="AL15" s="85">
        <v>14.6</v>
      </c>
      <c r="AM15" s="84"/>
      <c r="AN15" s="83"/>
      <c r="AO15" s="90"/>
      <c r="AP15" s="89"/>
      <c r="AQ15" s="88"/>
      <c r="AR15" s="87"/>
      <c r="AS15" s="86" t="s">
        <v>195</v>
      </c>
      <c r="AT15" s="85">
        <v>26.5</v>
      </c>
      <c r="AU15" s="84"/>
      <c r="AV15" s="83"/>
      <c r="AW15" s="90"/>
      <c r="AX15" s="89"/>
      <c r="AY15" s="88"/>
      <c r="AZ15" s="87"/>
      <c r="BA15" s="86" t="s">
        <v>195</v>
      </c>
      <c r="BB15" s="85">
        <v>27.2</v>
      </c>
      <c r="BC15" s="84"/>
      <c r="BD15" s="83"/>
      <c r="BE15" s="90"/>
      <c r="BF15" s="89"/>
      <c r="BG15" s="88"/>
      <c r="BH15" s="87"/>
      <c r="BI15" s="86" t="s">
        <v>195</v>
      </c>
      <c r="BJ15" s="85">
        <v>27.5</v>
      </c>
      <c r="BK15" s="84"/>
      <c r="BL15" s="83"/>
      <c r="BM15" s="90"/>
      <c r="BN15" s="89"/>
      <c r="BO15" s="88"/>
      <c r="BP15" s="87"/>
      <c r="BQ15" s="86" t="s">
        <v>195</v>
      </c>
      <c r="BR15" s="85">
        <v>23.3</v>
      </c>
      <c r="BS15" s="84"/>
      <c r="BT15" s="83"/>
      <c r="BU15" s="90"/>
      <c r="BV15" s="89"/>
      <c r="BW15" s="88"/>
      <c r="BX15" s="87"/>
      <c r="BY15" s="86" t="s">
        <v>195</v>
      </c>
      <c r="BZ15" s="85">
        <v>10.3</v>
      </c>
      <c r="CA15" s="84"/>
      <c r="CB15" s="83"/>
    </row>
    <row r="16" spans="1:80" ht="25.15" customHeight="1" thickBot="1" x14ac:dyDescent="0.25">
      <c r="B16" s="89"/>
      <c r="C16" s="94">
        <v>2</v>
      </c>
      <c r="D16" s="93">
        <v>-3</v>
      </c>
      <c r="E16" s="86" t="s">
        <v>196</v>
      </c>
      <c r="F16" s="85">
        <v>13</v>
      </c>
      <c r="G16" s="92">
        <f>F16+F17-2.1</f>
        <v>47.9</v>
      </c>
      <c r="H16" s="83"/>
      <c r="I16" s="90"/>
      <c r="J16" s="89"/>
      <c r="K16" s="94">
        <v>3</v>
      </c>
      <c r="L16" s="93">
        <v>-3</v>
      </c>
      <c r="M16" s="86" t="s">
        <v>196</v>
      </c>
      <c r="N16" s="85">
        <v>26.7</v>
      </c>
      <c r="O16" s="92">
        <f>N16+N17-2.3</f>
        <v>51.8</v>
      </c>
      <c r="P16" s="83"/>
      <c r="Q16" s="90"/>
      <c r="R16" s="89"/>
      <c r="S16" s="94">
        <v>4</v>
      </c>
      <c r="T16" s="93">
        <v>-3</v>
      </c>
      <c r="U16" s="86" t="s">
        <v>196</v>
      </c>
      <c r="V16" s="85">
        <v>29.7</v>
      </c>
      <c r="W16" s="92">
        <f>V16+V17-2.1</f>
        <v>53.3</v>
      </c>
      <c r="X16" s="83"/>
      <c r="Y16" s="90"/>
      <c r="Z16" s="89"/>
      <c r="AA16" s="94">
        <v>5</v>
      </c>
      <c r="AB16" s="93">
        <v>-3</v>
      </c>
      <c r="AC16" s="86" t="s">
        <v>196</v>
      </c>
      <c r="AD16" s="85">
        <v>28.8</v>
      </c>
      <c r="AE16" s="92">
        <f>AD16+AD17-2.1</f>
        <v>50.6</v>
      </c>
      <c r="AF16" s="83"/>
      <c r="AG16" s="90"/>
      <c r="AH16" s="89"/>
      <c r="AI16" s="94">
        <v>6</v>
      </c>
      <c r="AJ16" s="93">
        <v>-3</v>
      </c>
      <c r="AK16" s="86" t="s">
        <v>196</v>
      </c>
      <c r="AL16" s="85">
        <v>14.9</v>
      </c>
      <c r="AM16" s="92">
        <f>AL16+AL17-2.3</f>
        <v>34.1</v>
      </c>
      <c r="AN16" s="83"/>
      <c r="AO16" s="90"/>
      <c r="AP16" s="89"/>
      <c r="AQ16" s="94">
        <v>7</v>
      </c>
      <c r="AR16" s="93">
        <v>-3</v>
      </c>
      <c r="AS16" s="86" t="s">
        <v>196</v>
      </c>
      <c r="AT16" s="85">
        <v>30.6</v>
      </c>
      <c r="AU16" s="92">
        <f>AT16+AT17-2.1</f>
        <v>52.300000000000004</v>
      </c>
      <c r="AV16" s="83"/>
      <c r="AW16" s="90"/>
      <c r="AX16" s="89"/>
      <c r="AY16" s="94">
        <v>8</v>
      </c>
      <c r="AZ16" s="93">
        <v>-3</v>
      </c>
      <c r="BA16" s="86" t="s">
        <v>196</v>
      </c>
      <c r="BB16" s="85">
        <v>24.8</v>
      </c>
      <c r="BC16" s="92">
        <f>BB16+BB17-2.1</f>
        <v>49.199999999999996</v>
      </c>
      <c r="BD16" s="83"/>
      <c r="BE16" s="90"/>
      <c r="BF16" s="89"/>
      <c r="BG16" s="94">
        <v>9</v>
      </c>
      <c r="BH16" s="93">
        <v>-3</v>
      </c>
      <c r="BI16" s="86" t="s">
        <v>196</v>
      </c>
      <c r="BJ16" s="85">
        <v>24.1</v>
      </c>
      <c r="BK16" s="92">
        <f>BJ16+BJ17-2.3</f>
        <v>48.600000000000009</v>
      </c>
      <c r="BL16" s="83"/>
      <c r="BM16" s="90"/>
      <c r="BN16" s="89"/>
      <c r="BO16" s="94">
        <v>10</v>
      </c>
      <c r="BP16" s="93">
        <v>-3</v>
      </c>
      <c r="BQ16" s="86" t="s">
        <v>196</v>
      </c>
      <c r="BR16" s="85">
        <v>26.2</v>
      </c>
      <c r="BS16" s="92">
        <f>BR16+BR17-2.1</f>
        <v>46.3</v>
      </c>
      <c r="BT16" s="83"/>
      <c r="BU16" s="90"/>
      <c r="BV16" s="89"/>
      <c r="BW16" s="94">
        <v>11</v>
      </c>
      <c r="BX16" s="93">
        <v>-3</v>
      </c>
      <c r="BY16" s="86" t="s">
        <v>196</v>
      </c>
      <c r="BZ16" s="85">
        <v>12.2</v>
      </c>
      <c r="CA16" s="92">
        <f>BZ16+BZ17-2.1</f>
        <v>27.2</v>
      </c>
      <c r="CB16" s="83"/>
    </row>
    <row r="17" spans="1:80" ht="25.15" customHeight="1" thickBot="1" x14ac:dyDescent="0.25">
      <c r="B17" s="89"/>
      <c r="C17" s="88"/>
      <c r="D17" s="87"/>
      <c r="E17" s="86" t="s">
        <v>195</v>
      </c>
      <c r="F17" s="85">
        <v>37</v>
      </c>
      <c r="G17" s="84"/>
      <c r="H17" s="83"/>
      <c r="I17" s="90"/>
      <c r="J17" s="89"/>
      <c r="K17" s="88"/>
      <c r="L17" s="87"/>
      <c r="M17" s="86" t="s">
        <v>195</v>
      </c>
      <c r="N17" s="85">
        <v>27.4</v>
      </c>
      <c r="O17" s="84"/>
      <c r="P17" s="83"/>
      <c r="Q17" s="90"/>
      <c r="R17" s="89"/>
      <c r="S17" s="88"/>
      <c r="T17" s="87"/>
      <c r="U17" s="86" t="s">
        <v>195</v>
      </c>
      <c r="V17" s="85">
        <v>25.7</v>
      </c>
      <c r="W17" s="91"/>
      <c r="X17" s="83"/>
      <c r="Y17" s="90"/>
      <c r="Z17" s="89"/>
      <c r="AA17" s="88"/>
      <c r="AB17" s="87"/>
      <c r="AC17" s="86" t="s">
        <v>195</v>
      </c>
      <c r="AD17" s="85">
        <v>23.9</v>
      </c>
      <c r="AE17" s="91"/>
      <c r="AF17" s="83"/>
      <c r="AG17" s="90"/>
      <c r="AH17" s="89"/>
      <c r="AI17" s="88"/>
      <c r="AJ17" s="87"/>
      <c r="AK17" s="86" t="s">
        <v>195</v>
      </c>
      <c r="AL17" s="85">
        <v>21.5</v>
      </c>
      <c r="AM17" s="84"/>
      <c r="AN17" s="83"/>
      <c r="AO17" s="90"/>
      <c r="AP17" s="89"/>
      <c r="AQ17" s="88"/>
      <c r="AR17" s="87"/>
      <c r="AS17" s="86" t="s">
        <v>195</v>
      </c>
      <c r="AT17" s="85">
        <v>23.8</v>
      </c>
      <c r="AU17" s="84"/>
      <c r="AV17" s="83"/>
      <c r="AW17" s="90"/>
      <c r="AX17" s="89"/>
      <c r="AY17" s="88"/>
      <c r="AZ17" s="87"/>
      <c r="BA17" s="86" t="s">
        <v>195</v>
      </c>
      <c r="BB17" s="85">
        <v>26.5</v>
      </c>
      <c r="BC17" s="84"/>
      <c r="BD17" s="83"/>
      <c r="BE17" s="90"/>
      <c r="BF17" s="89"/>
      <c r="BG17" s="88"/>
      <c r="BH17" s="87"/>
      <c r="BI17" s="86" t="s">
        <v>195</v>
      </c>
      <c r="BJ17" s="85">
        <v>26.8</v>
      </c>
      <c r="BK17" s="84"/>
      <c r="BL17" s="83"/>
      <c r="BM17" s="90"/>
      <c r="BN17" s="89"/>
      <c r="BO17" s="88"/>
      <c r="BP17" s="87"/>
      <c r="BQ17" s="86" t="s">
        <v>195</v>
      </c>
      <c r="BR17" s="85">
        <v>22.2</v>
      </c>
      <c r="BS17" s="84"/>
      <c r="BT17" s="83"/>
      <c r="BU17" s="90"/>
      <c r="BV17" s="89"/>
      <c r="BW17" s="88"/>
      <c r="BX17" s="87"/>
      <c r="BY17" s="86" t="s">
        <v>195</v>
      </c>
      <c r="BZ17" s="85">
        <v>17.100000000000001</v>
      </c>
      <c r="CA17" s="84"/>
      <c r="CB17" s="83"/>
    </row>
    <row r="18" spans="1:80" ht="25.15" customHeight="1" thickBot="1" x14ac:dyDescent="0.25">
      <c r="B18" s="89"/>
      <c r="C18" s="94">
        <v>2</v>
      </c>
      <c r="D18" s="93">
        <v>-4</v>
      </c>
      <c r="E18" s="86" t="s">
        <v>196</v>
      </c>
      <c r="F18" s="85">
        <v>30</v>
      </c>
      <c r="G18" s="92">
        <f>F18+F19-2.1</f>
        <v>47.6</v>
      </c>
      <c r="H18" s="83"/>
      <c r="I18" s="90"/>
      <c r="J18" s="89"/>
      <c r="K18" s="94">
        <v>3</v>
      </c>
      <c r="L18" s="93">
        <v>-4</v>
      </c>
      <c r="M18" s="86" t="s">
        <v>196</v>
      </c>
      <c r="N18" s="85">
        <v>29.6</v>
      </c>
      <c r="O18" s="92">
        <f>N18+N19-2.3</f>
        <v>52.7</v>
      </c>
      <c r="P18" s="83"/>
      <c r="Q18" s="90"/>
      <c r="R18" s="89"/>
      <c r="S18" s="94">
        <v>4</v>
      </c>
      <c r="T18" s="93">
        <v>-4</v>
      </c>
      <c r="U18" s="86" t="s">
        <v>196</v>
      </c>
      <c r="V18" s="85">
        <v>31.1</v>
      </c>
      <c r="W18" s="92">
        <f>V18+V19-2.1</f>
        <v>52.5</v>
      </c>
      <c r="X18" s="83"/>
      <c r="Y18" s="90"/>
      <c r="Z18" s="89"/>
      <c r="AA18" s="94">
        <v>5</v>
      </c>
      <c r="AB18" s="93">
        <v>-4</v>
      </c>
      <c r="AC18" s="86" t="s">
        <v>196</v>
      </c>
      <c r="AD18" s="85">
        <v>26.4</v>
      </c>
      <c r="AE18" s="92">
        <f>AD18+AD19-2.1</f>
        <v>50.699999999999996</v>
      </c>
      <c r="AF18" s="83"/>
      <c r="AG18" s="90"/>
      <c r="AH18" s="89"/>
      <c r="AI18" s="94">
        <v>6</v>
      </c>
      <c r="AJ18" s="93">
        <v>-4</v>
      </c>
      <c r="AK18" s="86" t="s">
        <v>196</v>
      </c>
      <c r="AL18" s="85">
        <v>19.7</v>
      </c>
      <c r="AM18" s="92">
        <f>AL18+AL19-2.3</f>
        <v>32.800000000000004</v>
      </c>
      <c r="AN18" s="83"/>
      <c r="AO18" s="90"/>
      <c r="AP18" s="89"/>
      <c r="AQ18" s="94">
        <v>7</v>
      </c>
      <c r="AR18" s="93">
        <v>-4</v>
      </c>
      <c r="AS18" s="86" t="s">
        <v>196</v>
      </c>
      <c r="AT18" s="85">
        <v>29</v>
      </c>
      <c r="AU18" s="92">
        <f>AT18+AT19-2.1</f>
        <v>53.9</v>
      </c>
      <c r="AV18" s="83"/>
      <c r="AW18" s="90"/>
      <c r="AX18" s="89"/>
      <c r="AY18" s="94">
        <v>8</v>
      </c>
      <c r="AZ18" s="93">
        <v>-4</v>
      </c>
      <c r="BA18" s="86" t="s">
        <v>196</v>
      </c>
      <c r="BB18" s="85">
        <v>25.7</v>
      </c>
      <c r="BC18" s="92">
        <f>BB18+BB19-2.1</f>
        <v>45.9</v>
      </c>
      <c r="BD18" s="83"/>
      <c r="BE18" s="90"/>
      <c r="BF18" s="89"/>
      <c r="BG18" s="94">
        <v>9</v>
      </c>
      <c r="BH18" s="93">
        <v>-4</v>
      </c>
      <c r="BI18" s="86" t="s">
        <v>196</v>
      </c>
      <c r="BJ18" s="85">
        <v>24.8</v>
      </c>
      <c r="BK18" s="92">
        <f>BJ18+BJ19-2.3</f>
        <v>53.900000000000006</v>
      </c>
      <c r="BL18" s="83"/>
      <c r="BM18" s="90"/>
      <c r="BN18" s="89"/>
      <c r="BO18" s="94">
        <v>10</v>
      </c>
      <c r="BP18" s="93">
        <v>-4</v>
      </c>
      <c r="BQ18" s="86" t="s">
        <v>196</v>
      </c>
      <c r="BR18" s="85">
        <v>23.6</v>
      </c>
      <c r="BS18" s="92">
        <f>BR18+BR19-2.1</f>
        <v>47.6</v>
      </c>
      <c r="BT18" s="83"/>
      <c r="BU18" s="90"/>
      <c r="BV18" s="89"/>
      <c r="BW18" s="94">
        <v>11</v>
      </c>
      <c r="BX18" s="93">
        <v>-4</v>
      </c>
      <c r="BY18" s="86" t="s">
        <v>196</v>
      </c>
      <c r="BZ18" s="85">
        <v>14.3</v>
      </c>
      <c r="CA18" s="92">
        <f>BZ18+BZ19-2.1</f>
        <v>28.5</v>
      </c>
      <c r="CB18" s="83"/>
    </row>
    <row r="19" spans="1:80" ht="25.15" customHeight="1" thickBot="1" x14ac:dyDescent="0.25">
      <c r="B19" s="89"/>
      <c r="C19" s="88"/>
      <c r="D19" s="87"/>
      <c r="E19" s="86" t="s">
        <v>195</v>
      </c>
      <c r="F19" s="85">
        <v>19.7</v>
      </c>
      <c r="G19" s="84"/>
      <c r="H19" s="83"/>
      <c r="I19" s="90"/>
      <c r="J19" s="89"/>
      <c r="K19" s="88"/>
      <c r="L19" s="87"/>
      <c r="M19" s="86" t="s">
        <v>195</v>
      </c>
      <c r="N19" s="85">
        <v>25.4</v>
      </c>
      <c r="O19" s="84"/>
      <c r="P19" s="83"/>
      <c r="Q19" s="90"/>
      <c r="R19" s="89"/>
      <c r="S19" s="88"/>
      <c r="T19" s="87"/>
      <c r="U19" s="86" t="s">
        <v>195</v>
      </c>
      <c r="V19" s="85">
        <v>23.5</v>
      </c>
      <c r="W19" s="91"/>
      <c r="X19" s="83"/>
      <c r="Y19" s="90"/>
      <c r="Z19" s="89"/>
      <c r="AA19" s="88"/>
      <c r="AB19" s="87"/>
      <c r="AC19" s="86" t="s">
        <v>195</v>
      </c>
      <c r="AD19" s="85">
        <v>26.4</v>
      </c>
      <c r="AE19" s="91"/>
      <c r="AF19" s="83"/>
      <c r="AG19" s="90"/>
      <c r="AH19" s="89"/>
      <c r="AI19" s="88"/>
      <c r="AJ19" s="87"/>
      <c r="AK19" s="86" t="s">
        <v>195</v>
      </c>
      <c r="AL19" s="85">
        <v>15.4</v>
      </c>
      <c r="AM19" s="84"/>
      <c r="AN19" s="83"/>
      <c r="AO19" s="90"/>
      <c r="AP19" s="89"/>
      <c r="AQ19" s="88"/>
      <c r="AR19" s="87"/>
      <c r="AS19" s="86" t="s">
        <v>195</v>
      </c>
      <c r="AT19" s="85">
        <v>27</v>
      </c>
      <c r="AU19" s="84"/>
      <c r="AV19" s="83"/>
      <c r="AW19" s="90"/>
      <c r="AX19" s="89"/>
      <c r="AY19" s="88"/>
      <c r="AZ19" s="87"/>
      <c r="BA19" s="86" t="s">
        <v>195</v>
      </c>
      <c r="BB19" s="85">
        <v>22.3</v>
      </c>
      <c r="BC19" s="84"/>
      <c r="BD19" s="83"/>
      <c r="BE19" s="90"/>
      <c r="BF19" s="89"/>
      <c r="BG19" s="88"/>
      <c r="BH19" s="87"/>
      <c r="BI19" s="86" t="s">
        <v>195</v>
      </c>
      <c r="BJ19" s="85">
        <v>31.4</v>
      </c>
      <c r="BK19" s="84"/>
      <c r="BL19" s="83"/>
      <c r="BM19" s="90"/>
      <c r="BN19" s="89"/>
      <c r="BO19" s="88"/>
      <c r="BP19" s="87"/>
      <c r="BQ19" s="86" t="s">
        <v>195</v>
      </c>
      <c r="BR19" s="85">
        <v>26.1</v>
      </c>
      <c r="BS19" s="84"/>
      <c r="BT19" s="83"/>
      <c r="BU19" s="90"/>
      <c r="BV19" s="89"/>
      <c r="BW19" s="88"/>
      <c r="BX19" s="87"/>
      <c r="BY19" s="86" t="s">
        <v>195</v>
      </c>
      <c r="BZ19" s="85">
        <v>16.3</v>
      </c>
      <c r="CA19" s="84"/>
      <c r="CB19" s="83"/>
    </row>
    <row r="20" spans="1:80" ht="25.15" customHeight="1" thickBot="1" x14ac:dyDescent="0.25">
      <c r="B20" s="89"/>
      <c r="C20" s="94">
        <v>2</v>
      </c>
      <c r="D20" s="93">
        <v>-5</v>
      </c>
      <c r="E20" s="86" t="s">
        <v>196</v>
      </c>
      <c r="F20" s="85">
        <v>32.200000000000003</v>
      </c>
      <c r="G20" s="92">
        <f>F20+F21-2.1</f>
        <v>50.5</v>
      </c>
      <c r="H20" s="83"/>
      <c r="I20" s="90"/>
      <c r="J20" s="89"/>
      <c r="K20" s="94">
        <v>3</v>
      </c>
      <c r="L20" s="93">
        <v>-5</v>
      </c>
      <c r="M20" s="86" t="s">
        <v>196</v>
      </c>
      <c r="N20" s="85">
        <v>28.8</v>
      </c>
      <c r="O20" s="92">
        <f>N20+N21-2.3</f>
        <v>50</v>
      </c>
      <c r="P20" s="83"/>
      <c r="Q20" s="90"/>
      <c r="R20" s="89"/>
      <c r="S20" s="94">
        <v>4</v>
      </c>
      <c r="T20" s="93">
        <v>-5</v>
      </c>
      <c r="U20" s="86" t="s">
        <v>196</v>
      </c>
      <c r="V20" s="85">
        <v>28.8</v>
      </c>
      <c r="W20" s="92">
        <f>V20+V21-2.1</f>
        <v>46.6</v>
      </c>
      <c r="X20" s="83"/>
      <c r="Y20" s="90"/>
      <c r="Z20" s="89"/>
      <c r="AA20" s="94">
        <v>5</v>
      </c>
      <c r="AB20" s="93">
        <v>-5</v>
      </c>
      <c r="AC20" s="86" t="s">
        <v>196</v>
      </c>
      <c r="AD20" s="85">
        <v>29.6</v>
      </c>
      <c r="AE20" s="92">
        <f>AD20+AD21-2.1</f>
        <v>46.9</v>
      </c>
      <c r="AF20" s="83"/>
      <c r="AG20" s="90"/>
      <c r="AH20" s="89"/>
      <c r="AI20" s="94">
        <v>6</v>
      </c>
      <c r="AJ20" s="93">
        <v>-5</v>
      </c>
      <c r="AK20" s="86" t="s">
        <v>196</v>
      </c>
      <c r="AL20" s="85">
        <v>15.7</v>
      </c>
      <c r="AM20" s="92">
        <f>AL20+AL21-2.3</f>
        <v>26.7</v>
      </c>
      <c r="AN20" s="83"/>
      <c r="AO20" s="90"/>
      <c r="AP20" s="89"/>
      <c r="AQ20" s="94">
        <v>7</v>
      </c>
      <c r="AR20" s="93">
        <v>-5</v>
      </c>
      <c r="AS20" s="86" t="s">
        <v>196</v>
      </c>
      <c r="AT20" s="85">
        <v>30.2</v>
      </c>
      <c r="AU20" s="92">
        <f>AT20+AT21-2.1</f>
        <v>50.3</v>
      </c>
      <c r="AV20" s="83"/>
      <c r="AW20" s="90"/>
      <c r="AX20" s="89"/>
      <c r="AY20" s="94">
        <v>8</v>
      </c>
      <c r="AZ20" s="93">
        <v>-5</v>
      </c>
      <c r="BA20" s="86" t="s">
        <v>196</v>
      </c>
      <c r="BB20" s="85">
        <v>24.5</v>
      </c>
      <c r="BC20" s="92">
        <f>BB20+BB21-2.1</f>
        <v>47.6</v>
      </c>
      <c r="BD20" s="83"/>
      <c r="BE20" s="90"/>
      <c r="BF20" s="89"/>
      <c r="BG20" s="94">
        <v>9</v>
      </c>
      <c r="BH20" s="93">
        <v>-5</v>
      </c>
      <c r="BI20" s="86" t="s">
        <v>196</v>
      </c>
      <c r="BJ20" s="85">
        <v>20</v>
      </c>
      <c r="BK20" s="92">
        <f>BJ20+BJ21-2.3</f>
        <v>37.300000000000004</v>
      </c>
      <c r="BL20" s="83"/>
      <c r="BM20" s="90"/>
      <c r="BN20" s="89"/>
      <c r="BO20" s="94">
        <v>10</v>
      </c>
      <c r="BP20" s="93">
        <v>-5</v>
      </c>
      <c r="BQ20" s="86" t="s">
        <v>196</v>
      </c>
      <c r="BR20" s="85">
        <v>27</v>
      </c>
      <c r="BS20" s="92">
        <f>BR20+BR21-2.1</f>
        <v>47</v>
      </c>
      <c r="BT20" s="83"/>
      <c r="BU20" s="90"/>
      <c r="BV20" s="89"/>
      <c r="BW20" s="94">
        <v>11</v>
      </c>
      <c r="BX20" s="93">
        <v>-5</v>
      </c>
      <c r="BY20" s="86" t="s">
        <v>196</v>
      </c>
      <c r="BZ20" s="85">
        <v>16</v>
      </c>
      <c r="CA20" s="92">
        <f>BZ20+BZ21-2.1</f>
        <v>25</v>
      </c>
      <c r="CB20" s="83"/>
    </row>
    <row r="21" spans="1:80" ht="25.15" customHeight="1" thickBot="1" x14ac:dyDescent="0.25">
      <c r="B21" s="89"/>
      <c r="C21" s="88"/>
      <c r="D21" s="87"/>
      <c r="E21" s="86" t="s">
        <v>195</v>
      </c>
      <c r="F21" s="85">
        <v>20.399999999999999</v>
      </c>
      <c r="G21" s="84"/>
      <c r="H21" s="83"/>
      <c r="I21" s="90"/>
      <c r="J21" s="89"/>
      <c r="K21" s="88"/>
      <c r="L21" s="87"/>
      <c r="M21" s="86" t="s">
        <v>195</v>
      </c>
      <c r="N21" s="85">
        <v>23.5</v>
      </c>
      <c r="O21" s="84"/>
      <c r="P21" s="83"/>
      <c r="Q21" s="90"/>
      <c r="R21" s="89"/>
      <c r="S21" s="88"/>
      <c r="T21" s="87"/>
      <c r="U21" s="86" t="s">
        <v>195</v>
      </c>
      <c r="V21" s="85">
        <v>19.899999999999999</v>
      </c>
      <c r="W21" s="91"/>
      <c r="X21" s="83"/>
      <c r="Y21" s="90"/>
      <c r="Z21" s="89"/>
      <c r="AA21" s="88"/>
      <c r="AB21" s="87"/>
      <c r="AC21" s="86" t="s">
        <v>195</v>
      </c>
      <c r="AD21" s="85">
        <v>19.399999999999999</v>
      </c>
      <c r="AE21" s="91"/>
      <c r="AF21" s="83"/>
      <c r="AG21" s="90"/>
      <c r="AH21" s="89"/>
      <c r="AI21" s="88"/>
      <c r="AJ21" s="87"/>
      <c r="AK21" s="86" t="s">
        <v>195</v>
      </c>
      <c r="AL21" s="85">
        <v>13.3</v>
      </c>
      <c r="AM21" s="84"/>
      <c r="AN21" s="83"/>
      <c r="AO21" s="90"/>
      <c r="AP21" s="89"/>
      <c r="AQ21" s="88"/>
      <c r="AR21" s="87"/>
      <c r="AS21" s="86" t="s">
        <v>195</v>
      </c>
      <c r="AT21" s="85">
        <v>22.2</v>
      </c>
      <c r="AU21" s="84"/>
      <c r="AV21" s="83"/>
      <c r="AW21" s="90"/>
      <c r="AX21" s="89"/>
      <c r="AY21" s="88"/>
      <c r="AZ21" s="87"/>
      <c r="BA21" s="86" t="s">
        <v>195</v>
      </c>
      <c r="BB21" s="85">
        <v>25.2</v>
      </c>
      <c r="BC21" s="84"/>
      <c r="BD21" s="83"/>
      <c r="BE21" s="90"/>
      <c r="BF21" s="89"/>
      <c r="BG21" s="88"/>
      <c r="BH21" s="87"/>
      <c r="BI21" s="86" t="s">
        <v>195</v>
      </c>
      <c r="BJ21" s="85">
        <v>19.600000000000001</v>
      </c>
      <c r="BK21" s="84"/>
      <c r="BL21" s="83"/>
      <c r="BM21" s="90"/>
      <c r="BN21" s="89"/>
      <c r="BO21" s="88"/>
      <c r="BP21" s="87"/>
      <c r="BQ21" s="86" t="s">
        <v>195</v>
      </c>
      <c r="BR21" s="85">
        <v>22.1</v>
      </c>
      <c r="BS21" s="84"/>
      <c r="BT21" s="83"/>
      <c r="BU21" s="90"/>
      <c r="BV21" s="89"/>
      <c r="BW21" s="88"/>
      <c r="BX21" s="87"/>
      <c r="BY21" s="86" t="s">
        <v>195</v>
      </c>
      <c r="BZ21" s="85">
        <v>11.1</v>
      </c>
      <c r="CA21" s="84"/>
      <c r="CB21" s="83"/>
    </row>
    <row r="22" spans="1:80" ht="25.15" customHeight="1" thickBot="1" x14ac:dyDescent="0.25">
      <c r="B22" s="89"/>
      <c r="C22" s="94">
        <v>2</v>
      </c>
      <c r="D22" s="93">
        <v>-6</v>
      </c>
      <c r="E22" s="86" t="s">
        <v>196</v>
      </c>
      <c r="F22" s="85">
        <v>29.7</v>
      </c>
      <c r="G22" s="92">
        <f>F22+F23-2.1</f>
        <v>48.6</v>
      </c>
      <c r="H22" s="83"/>
      <c r="I22" s="90"/>
      <c r="J22" s="89"/>
      <c r="K22" s="94">
        <v>3</v>
      </c>
      <c r="L22" s="93">
        <v>-6</v>
      </c>
      <c r="M22" s="86" t="s">
        <v>196</v>
      </c>
      <c r="N22" s="85">
        <v>26.8</v>
      </c>
      <c r="O22" s="92">
        <f>N22+N23-2.3</f>
        <v>52</v>
      </c>
      <c r="P22" s="83"/>
      <c r="Q22" s="90"/>
      <c r="R22" s="89"/>
      <c r="S22" s="94">
        <v>4</v>
      </c>
      <c r="T22" s="93">
        <v>-6</v>
      </c>
      <c r="U22" s="86" t="s">
        <v>196</v>
      </c>
      <c r="V22" s="85">
        <v>24.8</v>
      </c>
      <c r="W22" s="92">
        <f>V22+V23-2.1</f>
        <v>45.9</v>
      </c>
      <c r="X22" s="83"/>
      <c r="Y22" s="90"/>
      <c r="Z22" s="89"/>
      <c r="AA22" s="94">
        <v>5</v>
      </c>
      <c r="AB22" s="93">
        <v>-6</v>
      </c>
      <c r="AC22" s="86" t="s">
        <v>196</v>
      </c>
      <c r="AD22" s="85">
        <v>27.3</v>
      </c>
      <c r="AE22" s="92">
        <f>AD22+AD23-2.1</f>
        <v>49.9</v>
      </c>
      <c r="AF22" s="83"/>
      <c r="AG22" s="90"/>
      <c r="AH22" s="89"/>
      <c r="AI22" s="94">
        <v>6</v>
      </c>
      <c r="AJ22" s="93">
        <v>-6</v>
      </c>
      <c r="AK22" s="86" t="s">
        <v>196</v>
      </c>
      <c r="AL22" s="85">
        <v>19.2</v>
      </c>
      <c r="AM22" s="92">
        <f>AL22+AL23-2.3</f>
        <v>27.2</v>
      </c>
      <c r="AN22" s="83"/>
      <c r="AO22" s="90"/>
      <c r="AP22" s="89"/>
      <c r="AQ22" s="94">
        <v>7</v>
      </c>
      <c r="AR22" s="93">
        <v>-6</v>
      </c>
      <c r="AS22" s="86" t="s">
        <v>196</v>
      </c>
      <c r="AT22" s="85">
        <v>29.3</v>
      </c>
      <c r="AU22" s="92">
        <f>AT22+AT23-2.1</f>
        <v>51.4</v>
      </c>
      <c r="AV22" s="83"/>
      <c r="AW22" s="90"/>
      <c r="AX22" s="89"/>
      <c r="AY22" s="94">
        <v>8</v>
      </c>
      <c r="AZ22" s="93">
        <v>-6</v>
      </c>
      <c r="BA22" s="86" t="s">
        <v>196</v>
      </c>
      <c r="BB22" s="85">
        <v>25.2</v>
      </c>
      <c r="BC22" s="92">
        <f>BB22+BB23-2.1</f>
        <v>50.3</v>
      </c>
      <c r="BD22" s="83"/>
      <c r="BE22" s="90"/>
      <c r="BF22" s="89"/>
      <c r="BG22" s="94">
        <v>9</v>
      </c>
      <c r="BH22" s="93">
        <v>-6</v>
      </c>
      <c r="BI22" s="86" t="s">
        <v>196</v>
      </c>
      <c r="BJ22" s="85">
        <v>25.1</v>
      </c>
      <c r="BK22" s="92">
        <f>BJ22+BJ23-2.3</f>
        <v>47.5</v>
      </c>
      <c r="BL22" s="83"/>
      <c r="BM22" s="90"/>
      <c r="BN22" s="89"/>
      <c r="BO22" s="94">
        <v>10</v>
      </c>
      <c r="BP22" s="93">
        <v>-6</v>
      </c>
      <c r="BQ22" s="86" t="s">
        <v>196</v>
      </c>
      <c r="BR22" s="85">
        <v>29</v>
      </c>
      <c r="BS22" s="92">
        <f>BR22+BR23-2.1</f>
        <v>46.699999999999996</v>
      </c>
      <c r="BT22" s="83"/>
      <c r="BU22" s="90"/>
      <c r="BV22" s="89"/>
      <c r="BW22" s="94">
        <v>11</v>
      </c>
      <c r="BX22" s="93">
        <v>-6</v>
      </c>
      <c r="BY22" s="86" t="s">
        <v>196</v>
      </c>
      <c r="BZ22" s="85">
        <v>12.8</v>
      </c>
      <c r="CA22" s="92">
        <f>BZ22+BZ23-2.1</f>
        <v>19.299999999999997</v>
      </c>
      <c r="CB22" s="83"/>
    </row>
    <row r="23" spans="1:80" ht="25.15" customHeight="1" thickBot="1" x14ac:dyDescent="0.25">
      <c r="B23" s="89"/>
      <c r="C23" s="88"/>
      <c r="D23" s="87"/>
      <c r="E23" s="86" t="s">
        <v>195</v>
      </c>
      <c r="F23" s="85">
        <v>21</v>
      </c>
      <c r="G23" s="84"/>
      <c r="H23" s="83"/>
      <c r="I23" s="90"/>
      <c r="J23" s="89"/>
      <c r="K23" s="88"/>
      <c r="L23" s="87"/>
      <c r="M23" s="86" t="s">
        <v>195</v>
      </c>
      <c r="N23" s="85">
        <v>27.5</v>
      </c>
      <c r="O23" s="84"/>
      <c r="P23" s="83"/>
      <c r="Q23" s="90"/>
      <c r="R23" s="89"/>
      <c r="S23" s="88"/>
      <c r="T23" s="87"/>
      <c r="U23" s="86" t="s">
        <v>195</v>
      </c>
      <c r="V23" s="85">
        <v>23.2</v>
      </c>
      <c r="W23" s="91"/>
      <c r="X23" s="83"/>
      <c r="Y23" s="90"/>
      <c r="Z23" s="89"/>
      <c r="AA23" s="88"/>
      <c r="AB23" s="87"/>
      <c r="AC23" s="86" t="s">
        <v>195</v>
      </c>
      <c r="AD23" s="85">
        <v>24.7</v>
      </c>
      <c r="AE23" s="91"/>
      <c r="AF23" s="83"/>
      <c r="AG23" s="90"/>
      <c r="AH23" s="89"/>
      <c r="AI23" s="88"/>
      <c r="AJ23" s="87"/>
      <c r="AK23" s="86" t="s">
        <v>195</v>
      </c>
      <c r="AL23" s="85">
        <v>10.3</v>
      </c>
      <c r="AM23" s="84"/>
      <c r="AN23" s="83"/>
      <c r="AO23" s="90"/>
      <c r="AP23" s="89"/>
      <c r="AQ23" s="88"/>
      <c r="AR23" s="87"/>
      <c r="AS23" s="86" t="s">
        <v>195</v>
      </c>
      <c r="AT23" s="85">
        <v>24.2</v>
      </c>
      <c r="AU23" s="84"/>
      <c r="AV23" s="83"/>
      <c r="AW23" s="90"/>
      <c r="AX23" s="89"/>
      <c r="AY23" s="88"/>
      <c r="AZ23" s="87"/>
      <c r="BA23" s="86" t="s">
        <v>195</v>
      </c>
      <c r="BB23" s="85">
        <v>27.2</v>
      </c>
      <c r="BC23" s="84"/>
      <c r="BD23" s="83"/>
      <c r="BE23" s="90"/>
      <c r="BF23" s="89"/>
      <c r="BG23" s="88"/>
      <c r="BH23" s="87"/>
      <c r="BI23" s="86" t="s">
        <v>195</v>
      </c>
      <c r="BJ23" s="85">
        <v>24.7</v>
      </c>
      <c r="BK23" s="84"/>
      <c r="BL23" s="83"/>
      <c r="BM23" s="90"/>
      <c r="BN23" s="89"/>
      <c r="BO23" s="88"/>
      <c r="BP23" s="87"/>
      <c r="BQ23" s="86" t="s">
        <v>195</v>
      </c>
      <c r="BR23" s="85">
        <v>19.8</v>
      </c>
      <c r="BS23" s="84"/>
      <c r="BT23" s="83"/>
      <c r="BU23" s="90"/>
      <c r="BV23" s="89"/>
      <c r="BW23" s="88"/>
      <c r="BX23" s="87"/>
      <c r="BY23" s="86" t="s">
        <v>195</v>
      </c>
      <c r="BZ23" s="85">
        <v>8.6</v>
      </c>
      <c r="CA23" s="84"/>
      <c r="CB23" s="83"/>
    </row>
    <row r="24" spans="1:80" ht="25.15" customHeight="1" thickBot="1" x14ac:dyDescent="0.25">
      <c r="B24" s="89"/>
      <c r="C24" s="94">
        <v>2</v>
      </c>
      <c r="D24" s="93">
        <v>-7</v>
      </c>
      <c r="E24" s="86" t="s">
        <v>196</v>
      </c>
      <c r="F24" s="85">
        <v>28.3</v>
      </c>
      <c r="G24" s="92">
        <f>F24+F25-2.1</f>
        <v>47.5</v>
      </c>
      <c r="H24" s="83"/>
      <c r="I24" s="90"/>
      <c r="J24" s="89"/>
      <c r="K24" s="94">
        <v>3</v>
      </c>
      <c r="L24" s="93">
        <v>-7</v>
      </c>
      <c r="M24" s="86" t="s">
        <v>196</v>
      </c>
      <c r="N24" s="85">
        <v>27</v>
      </c>
      <c r="O24" s="92">
        <f>N24+N25-2.1</f>
        <v>54.1</v>
      </c>
      <c r="P24" s="83"/>
      <c r="Q24" s="90"/>
      <c r="R24" s="89"/>
      <c r="S24" s="94">
        <v>4</v>
      </c>
      <c r="T24" s="93">
        <v>-7</v>
      </c>
      <c r="U24" s="86" t="s">
        <v>196</v>
      </c>
      <c r="V24" s="85">
        <v>28.6</v>
      </c>
      <c r="W24" s="92">
        <f>V24+V25-2.1</f>
        <v>51.699999999999996</v>
      </c>
      <c r="X24" s="83"/>
      <c r="Y24" s="90"/>
      <c r="Z24" s="89"/>
      <c r="AA24" s="94">
        <v>5</v>
      </c>
      <c r="AB24" s="93">
        <v>-7</v>
      </c>
      <c r="AC24" s="86" t="s">
        <v>196</v>
      </c>
      <c r="AD24" s="85">
        <v>22.9</v>
      </c>
      <c r="AE24" s="92">
        <f>AD24+AD25-2.1</f>
        <v>51.4</v>
      </c>
      <c r="AF24" s="83"/>
      <c r="AG24" s="90"/>
      <c r="AH24" s="89"/>
      <c r="AI24" s="94">
        <v>6</v>
      </c>
      <c r="AJ24" s="93">
        <v>-7</v>
      </c>
      <c r="AK24" s="86" t="s">
        <v>196</v>
      </c>
      <c r="AL24" s="85">
        <v>16.5</v>
      </c>
      <c r="AM24" s="92">
        <f>AL24+AL25-2.3</f>
        <v>29.900000000000002</v>
      </c>
      <c r="AN24" s="83"/>
      <c r="AO24" s="90"/>
      <c r="AP24" s="89"/>
      <c r="AQ24" s="94">
        <v>7</v>
      </c>
      <c r="AR24" s="93">
        <v>-7</v>
      </c>
      <c r="AS24" s="86" t="s">
        <v>196</v>
      </c>
      <c r="AT24" s="85">
        <v>21.7</v>
      </c>
      <c r="AU24" s="92">
        <f>AT24+AT25-2.1</f>
        <v>50.699999999999996</v>
      </c>
      <c r="AV24" s="83"/>
      <c r="AW24" s="90"/>
      <c r="AX24" s="89"/>
      <c r="AY24" s="94">
        <v>8</v>
      </c>
      <c r="AZ24" s="93">
        <v>-7</v>
      </c>
      <c r="BA24" s="86" t="s">
        <v>196</v>
      </c>
      <c r="BB24" s="85">
        <v>17.7</v>
      </c>
      <c r="BC24" s="92">
        <f>BB24+BB25-2.1</f>
        <v>44.499999999999993</v>
      </c>
      <c r="BD24" s="83"/>
      <c r="BE24" s="90"/>
      <c r="BF24" s="89"/>
      <c r="BG24" s="94">
        <v>9</v>
      </c>
      <c r="BH24" s="93">
        <v>-7</v>
      </c>
      <c r="BI24" s="86" t="s">
        <v>196</v>
      </c>
      <c r="BJ24" s="85">
        <v>28.4</v>
      </c>
      <c r="BK24" s="92">
        <f>BJ24+BJ25-2.3</f>
        <v>48.7</v>
      </c>
      <c r="BL24" s="83"/>
      <c r="BM24" s="90"/>
      <c r="BN24" s="89"/>
      <c r="BO24" s="94">
        <v>10</v>
      </c>
      <c r="BP24" s="93">
        <v>-7</v>
      </c>
      <c r="BQ24" s="86" t="s">
        <v>196</v>
      </c>
      <c r="BR24" s="85">
        <v>24.4</v>
      </c>
      <c r="BS24" s="92">
        <f>BR24+BR25-2.1</f>
        <v>46.3</v>
      </c>
      <c r="BT24" s="83"/>
      <c r="BU24" s="90"/>
      <c r="BV24" s="89"/>
      <c r="BW24" s="94">
        <v>11</v>
      </c>
      <c r="BX24" s="93">
        <v>-7</v>
      </c>
      <c r="BY24" s="86" t="s">
        <v>196</v>
      </c>
      <c r="BZ24" s="85">
        <v>11.5</v>
      </c>
      <c r="CA24" s="92">
        <f>BZ24+BZ25-2.1</f>
        <v>16.399999999999999</v>
      </c>
      <c r="CB24" s="83"/>
    </row>
    <row r="25" spans="1:80" ht="25.15" customHeight="1" thickBot="1" x14ac:dyDescent="0.25">
      <c r="B25" s="89"/>
      <c r="C25" s="88"/>
      <c r="D25" s="87"/>
      <c r="E25" s="86" t="s">
        <v>195</v>
      </c>
      <c r="F25" s="85">
        <v>21.3</v>
      </c>
      <c r="G25" s="84"/>
      <c r="H25" s="83"/>
      <c r="I25" s="90"/>
      <c r="J25" s="89"/>
      <c r="K25" s="88"/>
      <c r="L25" s="87"/>
      <c r="M25" s="86" t="s">
        <v>195</v>
      </c>
      <c r="N25" s="85">
        <v>29.2</v>
      </c>
      <c r="O25" s="84"/>
      <c r="P25" s="83"/>
      <c r="Q25" s="90"/>
      <c r="R25" s="89"/>
      <c r="S25" s="88"/>
      <c r="T25" s="87"/>
      <c r="U25" s="86" t="s">
        <v>195</v>
      </c>
      <c r="V25" s="85">
        <v>25.2</v>
      </c>
      <c r="W25" s="91"/>
      <c r="X25" s="83"/>
      <c r="Y25" s="90"/>
      <c r="Z25" s="89"/>
      <c r="AA25" s="88"/>
      <c r="AB25" s="87"/>
      <c r="AC25" s="86" t="s">
        <v>195</v>
      </c>
      <c r="AD25" s="85">
        <v>30.6</v>
      </c>
      <c r="AE25" s="91"/>
      <c r="AF25" s="83"/>
      <c r="AG25" s="90"/>
      <c r="AH25" s="89"/>
      <c r="AI25" s="88"/>
      <c r="AJ25" s="87"/>
      <c r="AK25" s="86" t="s">
        <v>195</v>
      </c>
      <c r="AL25" s="85">
        <v>15.7</v>
      </c>
      <c r="AM25" s="84"/>
      <c r="AN25" s="83"/>
      <c r="AO25" s="90"/>
      <c r="AP25" s="89"/>
      <c r="AQ25" s="88"/>
      <c r="AR25" s="87"/>
      <c r="AS25" s="86" t="s">
        <v>195</v>
      </c>
      <c r="AT25" s="85">
        <v>31.1</v>
      </c>
      <c r="AU25" s="84"/>
      <c r="AV25" s="83"/>
      <c r="AW25" s="90"/>
      <c r="AX25" s="89"/>
      <c r="AY25" s="88"/>
      <c r="AZ25" s="87"/>
      <c r="BA25" s="86" t="s">
        <v>195</v>
      </c>
      <c r="BB25" s="85">
        <v>28.9</v>
      </c>
      <c r="BC25" s="84"/>
      <c r="BD25" s="83"/>
      <c r="BE25" s="90"/>
      <c r="BF25" s="89"/>
      <c r="BG25" s="88"/>
      <c r="BH25" s="87"/>
      <c r="BI25" s="86" t="s">
        <v>195</v>
      </c>
      <c r="BJ25" s="85">
        <v>22.6</v>
      </c>
      <c r="BK25" s="84"/>
      <c r="BL25" s="83"/>
      <c r="BM25" s="90"/>
      <c r="BN25" s="89"/>
      <c r="BO25" s="88"/>
      <c r="BP25" s="87"/>
      <c r="BQ25" s="86" t="s">
        <v>195</v>
      </c>
      <c r="BR25" s="85">
        <v>24</v>
      </c>
      <c r="BS25" s="84"/>
      <c r="BT25" s="83"/>
      <c r="BU25" s="90"/>
      <c r="BV25" s="89"/>
      <c r="BW25" s="88"/>
      <c r="BX25" s="87"/>
      <c r="BY25" s="86" t="s">
        <v>195</v>
      </c>
      <c r="BZ25" s="85">
        <v>7</v>
      </c>
      <c r="CA25" s="84"/>
      <c r="CB25" s="83"/>
    </row>
    <row r="26" spans="1:80" ht="25.15" customHeight="1" thickBot="1" x14ac:dyDescent="0.25">
      <c r="B26" s="89"/>
      <c r="C26" s="94">
        <v>2</v>
      </c>
      <c r="D26" s="93">
        <v>-8</v>
      </c>
      <c r="E26" s="86" t="s">
        <v>196</v>
      </c>
      <c r="F26" s="85">
        <v>37.1</v>
      </c>
      <c r="G26" s="92">
        <f>F26+F27-2.1</f>
        <v>50.5</v>
      </c>
      <c r="H26" s="83"/>
      <c r="I26" s="90"/>
      <c r="J26" s="89"/>
      <c r="K26" s="94">
        <v>3</v>
      </c>
      <c r="L26" s="93">
        <v>-8</v>
      </c>
      <c r="M26" s="86" t="s">
        <v>196</v>
      </c>
      <c r="N26" s="85">
        <v>26.7</v>
      </c>
      <c r="O26" s="92">
        <f>N26+N27-2.3</f>
        <v>52.1</v>
      </c>
      <c r="P26" s="83"/>
      <c r="Q26" s="90"/>
      <c r="R26" s="89"/>
      <c r="S26" s="94">
        <v>4</v>
      </c>
      <c r="T26" s="93">
        <v>-8</v>
      </c>
      <c r="U26" s="86" t="s">
        <v>196</v>
      </c>
      <c r="V26" s="85">
        <v>26.4</v>
      </c>
      <c r="W26" s="92">
        <f>V26+V27-2.1</f>
        <v>50.999999999999993</v>
      </c>
      <c r="X26" s="83"/>
      <c r="Y26" s="90"/>
      <c r="Z26" s="89"/>
      <c r="AA26" s="94">
        <v>5</v>
      </c>
      <c r="AB26" s="93">
        <v>-8</v>
      </c>
      <c r="AC26" s="86" t="s">
        <v>196</v>
      </c>
      <c r="AD26" s="85">
        <v>26.5</v>
      </c>
      <c r="AE26" s="92">
        <f>AD26+AD27-2.1</f>
        <v>50.4</v>
      </c>
      <c r="AF26" s="83"/>
      <c r="AG26" s="90"/>
      <c r="AH26" s="89"/>
      <c r="AI26" s="94">
        <v>6</v>
      </c>
      <c r="AJ26" s="93">
        <v>-8</v>
      </c>
      <c r="AK26" s="86" t="s">
        <v>196</v>
      </c>
      <c r="AL26" s="85">
        <v>17.100000000000001</v>
      </c>
      <c r="AM26" s="92">
        <f>AL26+AL27-2.3</f>
        <v>30.7</v>
      </c>
      <c r="AN26" s="83"/>
      <c r="AO26" s="90"/>
      <c r="AP26" s="89"/>
      <c r="AQ26" s="94">
        <v>7</v>
      </c>
      <c r="AR26" s="93">
        <v>-8</v>
      </c>
      <c r="AS26" s="86" t="s">
        <v>196</v>
      </c>
      <c r="AT26" s="85">
        <v>26.8</v>
      </c>
      <c r="AU26" s="92">
        <f>AT26+AT27-2.1</f>
        <v>47.6</v>
      </c>
      <c r="AV26" s="83"/>
      <c r="AW26" s="90"/>
      <c r="AX26" s="89"/>
      <c r="AY26" s="94">
        <v>8</v>
      </c>
      <c r="AZ26" s="93">
        <v>-8</v>
      </c>
      <c r="BA26" s="86" t="s">
        <v>196</v>
      </c>
      <c r="BB26" s="85">
        <v>28.3</v>
      </c>
      <c r="BC26" s="92">
        <f>BB26+BB27-2.1</f>
        <v>49</v>
      </c>
      <c r="BD26" s="83"/>
      <c r="BE26" s="90"/>
      <c r="BF26" s="89"/>
      <c r="BG26" s="94">
        <v>9</v>
      </c>
      <c r="BH26" s="93">
        <v>-8</v>
      </c>
      <c r="BI26" s="86" t="s">
        <v>196</v>
      </c>
      <c r="BJ26" s="85">
        <v>19.2</v>
      </c>
      <c r="BK26" s="92">
        <f>BJ26+BJ27-2.3</f>
        <v>40.6</v>
      </c>
      <c r="BL26" s="83"/>
      <c r="BM26" s="90"/>
      <c r="BN26" s="89"/>
      <c r="BO26" s="94">
        <v>10</v>
      </c>
      <c r="BP26" s="93">
        <v>-8</v>
      </c>
      <c r="BQ26" s="86" t="s">
        <v>196</v>
      </c>
      <c r="BR26" s="85">
        <v>27.6</v>
      </c>
      <c r="BS26" s="92">
        <f>BR26+BR27-2.1</f>
        <v>46.699999999999996</v>
      </c>
      <c r="BT26" s="83"/>
      <c r="BU26" s="90"/>
      <c r="BV26" s="89"/>
      <c r="BW26" s="94">
        <v>11</v>
      </c>
      <c r="BX26" s="93">
        <v>-8</v>
      </c>
      <c r="BY26" s="86" t="s">
        <v>196</v>
      </c>
      <c r="BZ26" s="85">
        <v>11.3</v>
      </c>
      <c r="CA26" s="92">
        <f>BZ26+BZ27-2.1</f>
        <v>20.5</v>
      </c>
      <c r="CB26" s="83"/>
    </row>
    <row r="27" spans="1:80" ht="25.15" customHeight="1" thickBot="1" x14ac:dyDescent="0.25">
      <c r="B27" s="89"/>
      <c r="C27" s="88"/>
      <c r="D27" s="87"/>
      <c r="E27" s="86" t="s">
        <v>195</v>
      </c>
      <c r="F27" s="85">
        <v>15.5</v>
      </c>
      <c r="G27" s="84"/>
      <c r="H27" s="83"/>
      <c r="I27" s="90"/>
      <c r="J27" s="89"/>
      <c r="K27" s="88"/>
      <c r="L27" s="87"/>
      <c r="M27" s="86" t="s">
        <v>195</v>
      </c>
      <c r="N27" s="85">
        <v>27.7</v>
      </c>
      <c r="O27" s="84"/>
      <c r="P27" s="83"/>
      <c r="Q27" s="90"/>
      <c r="R27" s="89"/>
      <c r="S27" s="88"/>
      <c r="T27" s="87"/>
      <c r="U27" s="86" t="s">
        <v>195</v>
      </c>
      <c r="V27" s="85">
        <v>26.7</v>
      </c>
      <c r="W27" s="91"/>
      <c r="X27" s="83"/>
      <c r="Y27" s="90"/>
      <c r="Z27" s="89"/>
      <c r="AA27" s="88"/>
      <c r="AB27" s="87"/>
      <c r="AC27" s="86" t="s">
        <v>195</v>
      </c>
      <c r="AD27" s="85">
        <v>26</v>
      </c>
      <c r="AE27" s="91"/>
      <c r="AF27" s="83"/>
      <c r="AG27" s="90"/>
      <c r="AH27" s="89"/>
      <c r="AI27" s="88"/>
      <c r="AJ27" s="87"/>
      <c r="AK27" s="86" t="s">
        <v>195</v>
      </c>
      <c r="AL27" s="85">
        <v>15.9</v>
      </c>
      <c r="AM27" s="84"/>
      <c r="AN27" s="83"/>
      <c r="AO27" s="90"/>
      <c r="AP27" s="89"/>
      <c r="AQ27" s="88"/>
      <c r="AR27" s="87"/>
      <c r="AS27" s="86" t="s">
        <v>195</v>
      </c>
      <c r="AT27" s="85">
        <v>22.9</v>
      </c>
      <c r="AU27" s="84"/>
      <c r="AV27" s="83"/>
      <c r="AW27" s="90"/>
      <c r="AX27" s="89"/>
      <c r="AY27" s="88"/>
      <c r="AZ27" s="87"/>
      <c r="BA27" s="86" t="s">
        <v>195</v>
      </c>
      <c r="BB27" s="85">
        <v>22.8</v>
      </c>
      <c r="BC27" s="84"/>
      <c r="BD27" s="83"/>
      <c r="BE27" s="90"/>
      <c r="BF27" s="89"/>
      <c r="BG27" s="88"/>
      <c r="BH27" s="87"/>
      <c r="BI27" s="86" t="s">
        <v>195</v>
      </c>
      <c r="BJ27" s="85">
        <v>23.7</v>
      </c>
      <c r="BK27" s="84"/>
      <c r="BL27" s="83"/>
      <c r="BM27" s="90"/>
      <c r="BN27" s="89"/>
      <c r="BO27" s="88"/>
      <c r="BP27" s="87"/>
      <c r="BQ27" s="86" t="s">
        <v>195</v>
      </c>
      <c r="BR27" s="85">
        <v>21.2</v>
      </c>
      <c r="BS27" s="84"/>
      <c r="BT27" s="83"/>
      <c r="BU27" s="90"/>
      <c r="BV27" s="89"/>
      <c r="BW27" s="88"/>
      <c r="BX27" s="87"/>
      <c r="BY27" s="86" t="s">
        <v>195</v>
      </c>
      <c r="BZ27" s="85">
        <v>11.3</v>
      </c>
      <c r="CA27" s="84"/>
      <c r="CB27" s="83"/>
    </row>
    <row r="28" spans="1:80" ht="25.15" customHeight="1" thickBot="1" x14ac:dyDescent="0.25">
      <c r="B28" s="89"/>
      <c r="C28" s="94">
        <v>2</v>
      </c>
      <c r="D28" s="93">
        <v>-9</v>
      </c>
      <c r="E28" s="86" t="s">
        <v>196</v>
      </c>
      <c r="F28" s="85">
        <v>28.3</v>
      </c>
      <c r="G28" s="92">
        <f>F28+F29-2.1</f>
        <v>50.300000000000004</v>
      </c>
      <c r="H28" s="83"/>
      <c r="I28" s="90"/>
      <c r="J28" s="89"/>
      <c r="K28" s="94">
        <v>3</v>
      </c>
      <c r="L28" s="93">
        <v>-9</v>
      </c>
      <c r="M28" s="86" t="s">
        <v>196</v>
      </c>
      <c r="N28" s="85">
        <v>26.4</v>
      </c>
      <c r="O28" s="92">
        <f>N28+N29-2.3</f>
        <v>51.3</v>
      </c>
      <c r="P28" s="83"/>
      <c r="Q28" s="90"/>
      <c r="R28" s="89"/>
      <c r="S28" s="94">
        <v>4</v>
      </c>
      <c r="T28" s="93">
        <v>-9</v>
      </c>
      <c r="U28" s="86" t="s">
        <v>196</v>
      </c>
      <c r="V28" s="85">
        <v>20.9</v>
      </c>
      <c r="W28" s="92">
        <f>V28+V29-2.1</f>
        <v>48.999999999999993</v>
      </c>
      <c r="X28" s="83"/>
      <c r="Y28" s="90"/>
      <c r="Z28" s="89"/>
      <c r="AA28" s="94">
        <v>5</v>
      </c>
      <c r="AB28" s="93">
        <v>-9</v>
      </c>
      <c r="AC28" s="86" t="s">
        <v>196</v>
      </c>
      <c r="AD28" s="85">
        <v>22.9</v>
      </c>
      <c r="AE28" s="92">
        <f>AD28+AD29-2.1</f>
        <v>40.999999999999993</v>
      </c>
      <c r="AF28" s="83"/>
      <c r="AG28" s="90"/>
      <c r="AH28" s="89"/>
      <c r="AI28" s="94">
        <v>6</v>
      </c>
      <c r="AJ28" s="93">
        <v>-9</v>
      </c>
      <c r="AK28" s="86" t="s">
        <v>196</v>
      </c>
      <c r="AL28" s="85">
        <v>14.9</v>
      </c>
      <c r="AM28" s="92">
        <f>AL28+AL29-2.3</f>
        <v>26.2</v>
      </c>
      <c r="AN28" s="83"/>
      <c r="AO28" s="90"/>
      <c r="AP28" s="89"/>
      <c r="AQ28" s="94">
        <v>7</v>
      </c>
      <c r="AR28" s="93">
        <v>-9</v>
      </c>
      <c r="AS28" s="86" t="s">
        <v>196</v>
      </c>
      <c r="AT28" s="85">
        <v>24.2</v>
      </c>
      <c r="AU28" s="92">
        <f>AT28+AT29-2.1</f>
        <v>48.999999999999993</v>
      </c>
      <c r="AV28" s="83"/>
      <c r="AW28" s="90"/>
      <c r="AX28" s="89"/>
      <c r="AY28" s="94">
        <v>8</v>
      </c>
      <c r="AZ28" s="93">
        <v>-9</v>
      </c>
      <c r="BA28" s="86" t="s">
        <v>196</v>
      </c>
      <c r="BB28" s="85">
        <v>23.2</v>
      </c>
      <c r="BC28" s="92">
        <f>BB28+BB29-2.1</f>
        <v>44.699999999999996</v>
      </c>
      <c r="BD28" s="83"/>
      <c r="BE28" s="90"/>
      <c r="BF28" s="89"/>
      <c r="BG28" s="94">
        <v>9</v>
      </c>
      <c r="BH28" s="93">
        <v>-9</v>
      </c>
      <c r="BI28" s="86" t="s">
        <v>196</v>
      </c>
      <c r="BJ28" s="85">
        <v>20.5</v>
      </c>
      <c r="BK28" s="92">
        <f>BJ28+BJ29-2.3</f>
        <v>44.6</v>
      </c>
      <c r="BL28" s="83"/>
      <c r="BM28" s="90"/>
      <c r="BN28" s="89"/>
      <c r="BO28" s="94">
        <v>10</v>
      </c>
      <c r="BP28" s="93">
        <v>-9</v>
      </c>
      <c r="BQ28" s="86" t="s">
        <v>196</v>
      </c>
      <c r="BR28" s="85">
        <v>12.5</v>
      </c>
      <c r="BS28" s="92">
        <f>BR28+BR29-2.1</f>
        <v>35</v>
      </c>
      <c r="BT28" s="83"/>
      <c r="BU28" s="90"/>
      <c r="BV28" s="89"/>
      <c r="BW28" s="94">
        <v>11</v>
      </c>
      <c r="BX28" s="93">
        <v>-9</v>
      </c>
      <c r="BY28" s="86" t="s">
        <v>196</v>
      </c>
      <c r="BZ28" s="85">
        <v>13.1</v>
      </c>
      <c r="CA28" s="92">
        <f>BZ28+BZ29-2.1</f>
        <v>16.899999999999999</v>
      </c>
      <c r="CB28" s="83"/>
    </row>
    <row r="29" spans="1:80" ht="25.15" customHeight="1" thickBot="1" x14ac:dyDescent="0.25">
      <c r="B29" s="89"/>
      <c r="C29" s="88"/>
      <c r="D29" s="87"/>
      <c r="E29" s="86" t="s">
        <v>195</v>
      </c>
      <c r="F29" s="85">
        <v>24.1</v>
      </c>
      <c r="G29" s="84"/>
      <c r="H29" s="83"/>
      <c r="I29" s="90"/>
      <c r="J29" s="89"/>
      <c r="K29" s="88"/>
      <c r="L29" s="87"/>
      <c r="M29" s="86" t="s">
        <v>195</v>
      </c>
      <c r="N29" s="85">
        <v>27.2</v>
      </c>
      <c r="O29" s="84"/>
      <c r="P29" s="83"/>
      <c r="Q29" s="90"/>
      <c r="R29" s="89"/>
      <c r="S29" s="88"/>
      <c r="T29" s="87"/>
      <c r="U29" s="86" t="s">
        <v>195</v>
      </c>
      <c r="V29" s="85">
        <v>30.2</v>
      </c>
      <c r="W29" s="91"/>
      <c r="X29" s="83"/>
      <c r="Y29" s="90"/>
      <c r="Z29" s="89"/>
      <c r="AA29" s="88"/>
      <c r="AB29" s="87"/>
      <c r="AC29" s="86" t="s">
        <v>195</v>
      </c>
      <c r="AD29" s="85">
        <v>20.2</v>
      </c>
      <c r="AE29" s="91"/>
      <c r="AF29" s="83"/>
      <c r="AG29" s="90"/>
      <c r="AH29" s="89"/>
      <c r="AI29" s="88"/>
      <c r="AJ29" s="87"/>
      <c r="AK29" s="86" t="s">
        <v>195</v>
      </c>
      <c r="AL29" s="85">
        <v>13.6</v>
      </c>
      <c r="AM29" s="84"/>
      <c r="AN29" s="83"/>
      <c r="AO29" s="90"/>
      <c r="AP29" s="89"/>
      <c r="AQ29" s="88"/>
      <c r="AR29" s="87"/>
      <c r="AS29" s="86" t="s">
        <v>195</v>
      </c>
      <c r="AT29" s="85">
        <v>26.9</v>
      </c>
      <c r="AU29" s="84"/>
      <c r="AV29" s="83"/>
      <c r="AW29" s="90"/>
      <c r="AX29" s="89"/>
      <c r="AY29" s="88"/>
      <c r="AZ29" s="87"/>
      <c r="BA29" s="86" t="s">
        <v>195</v>
      </c>
      <c r="BB29" s="85">
        <v>23.6</v>
      </c>
      <c r="BC29" s="84"/>
      <c r="BD29" s="83"/>
      <c r="BE29" s="90"/>
      <c r="BF29" s="89"/>
      <c r="BG29" s="88"/>
      <c r="BH29" s="87"/>
      <c r="BI29" s="86" t="s">
        <v>195</v>
      </c>
      <c r="BJ29" s="85">
        <v>26.4</v>
      </c>
      <c r="BK29" s="84"/>
      <c r="BL29" s="83"/>
      <c r="BM29" s="90"/>
      <c r="BN29" s="89"/>
      <c r="BO29" s="88"/>
      <c r="BP29" s="87"/>
      <c r="BQ29" s="86" t="s">
        <v>195</v>
      </c>
      <c r="BR29" s="85">
        <v>24.6</v>
      </c>
      <c r="BS29" s="84"/>
      <c r="BT29" s="83"/>
      <c r="BU29" s="90"/>
      <c r="BV29" s="89"/>
      <c r="BW29" s="88"/>
      <c r="BX29" s="87"/>
      <c r="BY29" s="86" t="s">
        <v>195</v>
      </c>
      <c r="BZ29" s="85">
        <v>5.9</v>
      </c>
      <c r="CA29" s="84"/>
      <c r="CB29" s="83"/>
    </row>
    <row r="30" spans="1:80" ht="23.45" customHeight="1" thickBot="1" x14ac:dyDescent="0.25">
      <c r="B30" s="89"/>
      <c r="C30" s="94">
        <v>2</v>
      </c>
      <c r="D30" s="93">
        <v>-10</v>
      </c>
      <c r="E30" s="86" t="s">
        <v>196</v>
      </c>
      <c r="F30" s="85">
        <v>42.8</v>
      </c>
      <c r="G30" s="92">
        <f>F30+F31-2.1</f>
        <v>40.699999999999996</v>
      </c>
      <c r="H30" s="83" t="s">
        <v>239</v>
      </c>
      <c r="I30" s="90"/>
      <c r="J30" s="89"/>
      <c r="K30" s="94">
        <v>3</v>
      </c>
      <c r="L30" s="93">
        <v>-10</v>
      </c>
      <c r="M30" s="86" t="s">
        <v>196</v>
      </c>
      <c r="N30" s="85">
        <v>28.8</v>
      </c>
      <c r="O30" s="92">
        <f>N30+N31-2.3</f>
        <v>41.900000000000006</v>
      </c>
      <c r="P30" s="83"/>
      <c r="Q30" s="90"/>
      <c r="R30" s="89"/>
      <c r="S30" s="94">
        <v>4</v>
      </c>
      <c r="T30" s="93">
        <v>-10</v>
      </c>
      <c r="U30" s="86" t="s">
        <v>196</v>
      </c>
      <c r="V30" s="85">
        <v>25.1</v>
      </c>
      <c r="W30" s="92">
        <f>V30+V31-2.1</f>
        <v>42</v>
      </c>
      <c r="X30" s="83"/>
      <c r="Y30" s="90"/>
      <c r="Z30" s="89"/>
      <c r="AA30" s="94">
        <v>5</v>
      </c>
      <c r="AB30" s="93">
        <v>-10</v>
      </c>
      <c r="AC30" s="86" t="s">
        <v>196</v>
      </c>
      <c r="AD30" s="85">
        <v>23.4</v>
      </c>
      <c r="AE30" s="92">
        <f>AD30+AD31-2.1</f>
        <v>35.999999999999993</v>
      </c>
      <c r="AF30" s="83"/>
      <c r="AG30" s="90"/>
      <c r="AH30" s="89"/>
      <c r="AI30" s="94">
        <v>6</v>
      </c>
      <c r="AJ30" s="93">
        <v>-10</v>
      </c>
      <c r="AK30" s="86" t="s">
        <v>196</v>
      </c>
      <c r="AL30" s="85">
        <v>3.6</v>
      </c>
      <c r="AM30" s="92">
        <f>AL30+AL31-2.3</f>
        <v>21.8</v>
      </c>
      <c r="AN30" s="83"/>
      <c r="AO30" s="90"/>
      <c r="AP30" s="89"/>
      <c r="AQ30" s="94">
        <v>7</v>
      </c>
      <c r="AR30" s="93">
        <v>-10</v>
      </c>
      <c r="AS30" s="86" t="s">
        <v>196</v>
      </c>
      <c r="AT30" s="85">
        <v>19.7</v>
      </c>
      <c r="AU30" s="92">
        <f>AT30+AT31-2.1</f>
        <v>39.999999999999993</v>
      </c>
      <c r="AV30" s="83"/>
      <c r="AW30" s="90"/>
      <c r="AX30" s="89"/>
      <c r="AY30" s="94">
        <v>8</v>
      </c>
      <c r="AZ30" s="93">
        <v>-10</v>
      </c>
      <c r="BA30" s="86" t="s">
        <v>196</v>
      </c>
      <c r="BB30" s="85">
        <v>16</v>
      </c>
      <c r="BC30" s="92">
        <f>BB30+BB31-2.1</f>
        <v>35.6</v>
      </c>
      <c r="BD30" s="83"/>
      <c r="BE30" s="90"/>
      <c r="BF30" s="89"/>
      <c r="BG30" s="94">
        <v>9</v>
      </c>
      <c r="BH30" s="93">
        <v>-10</v>
      </c>
      <c r="BI30" s="86" t="s">
        <v>196</v>
      </c>
      <c r="BJ30" s="85">
        <v>15.2</v>
      </c>
      <c r="BK30" s="92">
        <f>BJ30+BJ31-2.3</f>
        <v>25.3</v>
      </c>
      <c r="BL30" s="83"/>
      <c r="BM30" s="90"/>
      <c r="BN30" s="89"/>
      <c r="BO30" s="94">
        <v>10</v>
      </c>
      <c r="BP30" s="93">
        <v>-10</v>
      </c>
      <c r="BQ30" s="86" t="s">
        <v>196</v>
      </c>
      <c r="BR30" s="85">
        <v>18.8</v>
      </c>
      <c r="BS30" s="92">
        <f>BR30+BR31-2.1</f>
        <v>29.6</v>
      </c>
      <c r="BT30" s="83"/>
      <c r="BU30" s="90"/>
      <c r="BV30" s="89"/>
      <c r="BW30" s="94">
        <v>11</v>
      </c>
      <c r="BX30" s="93">
        <v>-10</v>
      </c>
      <c r="BY30" s="86" t="s">
        <v>196</v>
      </c>
      <c r="BZ30" s="85">
        <v>9.6</v>
      </c>
      <c r="CA30" s="92">
        <f>BZ30+BZ31-2.1</f>
        <v>12.9</v>
      </c>
      <c r="CB30" s="83"/>
    </row>
    <row r="31" spans="1:80" ht="24.6" customHeight="1" thickBot="1" x14ac:dyDescent="0.25">
      <c r="A31" s="13"/>
      <c r="B31" s="89"/>
      <c r="C31" s="88"/>
      <c r="D31" s="87"/>
      <c r="E31" s="86" t="s">
        <v>195</v>
      </c>
      <c r="F31" s="85">
        <v>0</v>
      </c>
      <c r="G31" s="84"/>
      <c r="H31" s="83"/>
      <c r="I31" s="90"/>
      <c r="J31" s="89"/>
      <c r="K31" s="88"/>
      <c r="L31" s="87"/>
      <c r="M31" s="86" t="s">
        <v>195</v>
      </c>
      <c r="N31" s="85">
        <v>15.4</v>
      </c>
      <c r="O31" s="84"/>
      <c r="P31" s="83"/>
      <c r="Q31" s="90"/>
      <c r="R31" s="89"/>
      <c r="S31" s="88"/>
      <c r="T31" s="87"/>
      <c r="U31" s="86" t="s">
        <v>195</v>
      </c>
      <c r="V31" s="85">
        <v>19</v>
      </c>
      <c r="W31" s="91"/>
      <c r="X31" s="83"/>
      <c r="Y31" s="90"/>
      <c r="Z31" s="89"/>
      <c r="AA31" s="88"/>
      <c r="AB31" s="87"/>
      <c r="AC31" s="86" t="s">
        <v>195</v>
      </c>
      <c r="AD31" s="85">
        <v>14.7</v>
      </c>
      <c r="AE31" s="91"/>
      <c r="AF31" s="83"/>
      <c r="AG31" s="90"/>
      <c r="AH31" s="89"/>
      <c r="AI31" s="88"/>
      <c r="AJ31" s="87"/>
      <c r="AK31" s="86" t="s">
        <v>195</v>
      </c>
      <c r="AL31" s="85">
        <v>20.5</v>
      </c>
      <c r="AM31" s="84"/>
      <c r="AN31" s="83"/>
      <c r="AO31" s="90"/>
      <c r="AP31" s="89"/>
      <c r="AQ31" s="88"/>
      <c r="AR31" s="87"/>
      <c r="AS31" s="86" t="s">
        <v>195</v>
      </c>
      <c r="AT31" s="85">
        <v>22.4</v>
      </c>
      <c r="AU31" s="84"/>
      <c r="AV31" s="83"/>
      <c r="AW31" s="90"/>
      <c r="AX31" s="89"/>
      <c r="AY31" s="88"/>
      <c r="AZ31" s="87"/>
      <c r="BA31" s="86" t="s">
        <v>195</v>
      </c>
      <c r="BB31" s="85">
        <v>21.7</v>
      </c>
      <c r="BC31" s="84"/>
      <c r="BD31" s="83"/>
      <c r="BE31" s="90"/>
      <c r="BF31" s="89"/>
      <c r="BG31" s="88"/>
      <c r="BH31" s="87"/>
      <c r="BI31" s="86" t="s">
        <v>195</v>
      </c>
      <c r="BJ31" s="85">
        <v>12.4</v>
      </c>
      <c r="BK31" s="84"/>
      <c r="BL31" s="83"/>
      <c r="BM31" s="90"/>
      <c r="BN31" s="89"/>
      <c r="BO31" s="88"/>
      <c r="BP31" s="87"/>
      <c r="BQ31" s="86" t="s">
        <v>195</v>
      </c>
      <c r="BR31" s="85">
        <v>12.9</v>
      </c>
      <c r="BS31" s="84"/>
      <c r="BT31" s="83"/>
      <c r="BU31" s="90"/>
      <c r="BV31" s="89"/>
      <c r="BW31" s="88"/>
      <c r="BX31" s="87"/>
      <c r="BY31" s="86" t="s">
        <v>195</v>
      </c>
      <c r="BZ31" s="85">
        <v>5.4</v>
      </c>
      <c r="CA31" s="84"/>
      <c r="CB31" s="83"/>
    </row>
    <row r="32" spans="1:80" ht="43.15" customHeight="1" x14ac:dyDescent="0.2">
      <c r="A32" s="13"/>
      <c r="B32" s="13"/>
      <c r="F32" s="82" t="s">
        <v>233</v>
      </c>
      <c r="G32" s="81">
        <f>AVERAGE(G12:G31)</f>
        <v>48.21</v>
      </c>
      <c r="N32" s="82" t="s">
        <v>233</v>
      </c>
      <c r="O32" s="81">
        <f>AVERAGE(O12:O31)</f>
        <v>50.410000000000004</v>
      </c>
      <c r="V32" s="82" t="s">
        <v>233</v>
      </c>
      <c r="W32" s="81">
        <f>AVERAGE(W12:W31)</f>
        <v>48.91</v>
      </c>
      <c r="AD32" s="82" t="s">
        <v>233</v>
      </c>
      <c r="AE32" s="81">
        <f>AVERAGE(AE12:AE31)</f>
        <v>47.279999999999994</v>
      </c>
      <c r="AL32" s="82" t="s">
        <v>233</v>
      </c>
      <c r="AM32" s="81">
        <f>AVERAGE(AM12:AM31)</f>
        <v>28.57</v>
      </c>
      <c r="AT32" s="82" t="s">
        <v>233</v>
      </c>
      <c r="AU32" s="81">
        <f>AVERAGE(AU12:AU31)</f>
        <v>49.489999999999995</v>
      </c>
      <c r="BB32" s="82" t="s">
        <v>233</v>
      </c>
      <c r="BC32" s="81">
        <f>AVERAGE(BC12:BC31)</f>
        <v>46.29</v>
      </c>
      <c r="BJ32" s="82" t="s">
        <v>233</v>
      </c>
      <c r="BK32" s="81">
        <f>AVERAGE(BK12:BK31)</f>
        <v>43.390000000000008</v>
      </c>
      <c r="BR32" s="82" t="s">
        <v>233</v>
      </c>
      <c r="BS32" s="81">
        <f>AVERAGE(BS12:BS31)</f>
        <v>42.93</v>
      </c>
      <c r="BZ32" s="82" t="s">
        <v>233</v>
      </c>
      <c r="CA32" s="81">
        <f>AVERAGE(CA12:CA31)</f>
        <v>20.190000000000001</v>
      </c>
    </row>
    <row r="33" spans="1:15" ht="14.25" x14ac:dyDescent="0.2">
      <c r="A33" s="13"/>
      <c r="B33" s="67"/>
      <c r="C33" s="68"/>
      <c r="D33" s="69"/>
    </row>
    <row r="34" spans="1:15" ht="34.9" customHeight="1" x14ac:dyDescent="0.25">
      <c r="A34" s="79" t="s">
        <v>238</v>
      </c>
      <c r="B34" s="79"/>
      <c r="C34" s="73"/>
      <c r="D34" s="80"/>
      <c r="E34" s="75" t="s">
        <v>233</v>
      </c>
      <c r="F34" s="74">
        <f>AVERAGE(AM12:AM31,CA12:CA31)</f>
        <v>24.379999999999995</v>
      </c>
      <c r="G34" s="16"/>
      <c r="H34" s="16"/>
      <c r="I34" s="16"/>
      <c r="J34" s="16"/>
      <c r="K34" s="16"/>
      <c r="L34" s="16"/>
      <c r="M34" s="16"/>
      <c r="N34" s="16"/>
      <c r="O34" s="16"/>
    </row>
    <row r="35" spans="1:15" ht="34.9" customHeight="1" x14ac:dyDescent="0.2">
      <c r="A35" s="79" t="s">
        <v>237</v>
      </c>
      <c r="B35" s="78"/>
      <c r="C35" s="73"/>
      <c r="D35" s="75"/>
      <c r="E35" s="75" t="s">
        <v>233</v>
      </c>
      <c r="F35" s="74">
        <f>AVERAGE(G12:G31,BS12:BS31)</f>
        <v>45.570000000000007</v>
      </c>
      <c r="G35" s="16"/>
      <c r="H35" s="16"/>
      <c r="I35" s="16"/>
      <c r="J35" s="16"/>
      <c r="K35" s="16"/>
      <c r="L35" s="16"/>
      <c r="M35" s="16"/>
      <c r="N35" s="16"/>
      <c r="O35" s="16"/>
    </row>
    <row r="36" spans="1:15" ht="34.9" customHeight="1" x14ac:dyDescent="0.2">
      <c r="A36" s="79" t="s">
        <v>236</v>
      </c>
      <c r="B36" s="78"/>
      <c r="C36" s="73"/>
      <c r="D36" s="75"/>
      <c r="E36" s="75" t="s">
        <v>233</v>
      </c>
      <c r="F36" s="74">
        <f>AVERAGE(AE12:AE31,BK12:BK31)</f>
        <v>45.334999999999994</v>
      </c>
      <c r="G36" s="16"/>
      <c r="H36" s="16"/>
      <c r="I36" s="16"/>
      <c r="J36" s="16"/>
      <c r="K36" s="16"/>
      <c r="L36" s="16"/>
      <c r="M36" s="16"/>
      <c r="N36" s="16"/>
      <c r="O36" s="16"/>
    </row>
    <row r="37" spans="1:15" ht="34.9" customHeight="1" x14ac:dyDescent="0.2">
      <c r="A37" s="79" t="s">
        <v>235</v>
      </c>
      <c r="B37" s="78"/>
      <c r="C37" s="73"/>
      <c r="D37" s="75"/>
      <c r="E37" s="75" t="s">
        <v>233</v>
      </c>
      <c r="F37" s="74">
        <f>AVERAGE(W12:W31,BC12:BC31)</f>
        <v>47.600000000000009</v>
      </c>
      <c r="G37" s="16"/>
      <c r="H37" s="16"/>
      <c r="I37" s="16"/>
      <c r="J37" s="16"/>
      <c r="K37" s="16"/>
      <c r="L37" s="16"/>
      <c r="M37" s="16"/>
      <c r="N37" s="16"/>
      <c r="O37" s="16"/>
    </row>
    <row r="38" spans="1:15" ht="34.9" customHeight="1" x14ac:dyDescent="0.2">
      <c r="A38" s="77" t="s">
        <v>234</v>
      </c>
      <c r="B38" s="76"/>
      <c r="C38" s="73"/>
      <c r="D38" s="75"/>
      <c r="E38" s="75" t="s">
        <v>233</v>
      </c>
      <c r="F38" s="74">
        <f>AVERAGE(O12:O31,AU12:AU31)</f>
        <v>49.949999999999996</v>
      </c>
      <c r="G38" s="16"/>
      <c r="H38" s="16"/>
      <c r="I38" s="16"/>
      <c r="J38" s="16"/>
      <c r="K38" s="16"/>
      <c r="L38" s="16"/>
      <c r="M38" s="16"/>
      <c r="N38" s="16"/>
      <c r="O38" s="16"/>
    </row>
    <row r="39" spans="1:15" ht="34.9" customHeight="1" x14ac:dyDescent="0.2">
      <c r="A39" s="77"/>
      <c r="B39" s="76"/>
      <c r="C39" s="73"/>
      <c r="D39" s="72"/>
      <c r="E39" s="75"/>
      <c r="F39" s="74"/>
      <c r="G39" s="16"/>
      <c r="H39" s="16">
        <f>16*80*2.54/100/10000</f>
        <v>3.2512000000000001E-3</v>
      </c>
      <c r="I39" s="16"/>
      <c r="J39" s="16"/>
      <c r="K39" s="16"/>
      <c r="L39" s="16"/>
      <c r="M39" s="16"/>
      <c r="N39" s="16"/>
      <c r="O39" s="16"/>
    </row>
    <row r="40" spans="1:15" ht="25.15" customHeight="1" x14ac:dyDescent="0.2">
      <c r="A40" s="13"/>
      <c r="B40" s="71"/>
      <c r="C40" s="73"/>
      <c r="D40" s="72"/>
      <c r="E40" s="72"/>
      <c r="F40" s="72"/>
      <c r="G40" s="16"/>
      <c r="H40" s="16">
        <f>AVERAGE(F35:F37)*0.453592/H39</f>
        <v>6441.18683973097</v>
      </c>
      <c r="I40" s="16"/>
      <c r="J40" s="16">
        <f>H40*[1]Ginning!H34/100</f>
        <v>5776.0520911803314</v>
      </c>
      <c r="K40" s="16"/>
      <c r="L40" s="16"/>
      <c r="M40" s="16"/>
      <c r="N40" s="16"/>
      <c r="O40" s="16"/>
    </row>
    <row r="41" spans="1:15" ht="25.15" customHeight="1" x14ac:dyDescent="0.2">
      <c r="A41" s="13"/>
      <c r="B41" s="71"/>
      <c r="C41" s="70"/>
      <c r="D41" s="16"/>
      <c r="E41" s="16"/>
      <c r="F41" s="16"/>
      <c r="G41" s="16"/>
      <c r="H41" s="16">
        <f>F38*0.453592/H39</f>
        <v>6968.7870324803134</v>
      </c>
      <c r="I41" s="16"/>
      <c r="J41" s="16">
        <f>H41*[1]Ginning!H35/100</f>
        <v>6172.146154549092</v>
      </c>
      <c r="K41" s="16"/>
      <c r="L41" s="16"/>
      <c r="M41" s="16"/>
      <c r="N41" s="16"/>
      <c r="O41" s="16"/>
    </row>
    <row r="42" spans="1:15" ht="25.15" customHeight="1" x14ac:dyDescent="0.2">
      <c r="A42" s="13"/>
      <c r="B42" s="71"/>
      <c r="C42" s="70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</row>
    <row r="43" spans="1:15" ht="25.15" customHeight="1" x14ac:dyDescent="0.2">
      <c r="A43" s="13"/>
      <c r="B43" s="71"/>
      <c r="C43" s="70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</row>
    <row r="44" spans="1:15" ht="25.15" customHeight="1" x14ac:dyDescent="0.2">
      <c r="A44" s="13"/>
      <c r="B44" s="71"/>
      <c r="C44" s="70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</row>
    <row r="45" spans="1:15" x14ac:dyDescent="0.2">
      <c r="B45" s="71"/>
      <c r="C45" s="70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</row>
    <row r="46" spans="1:15" x14ac:dyDescent="0.2">
      <c r="B46" s="67"/>
      <c r="C46" s="68"/>
      <c r="D46" s="69"/>
    </row>
    <row r="47" spans="1:15" x14ac:dyDescent="0.2">
      <c r="B47" s="67"/>
      <c r="C47" s="68"/>
      <c r="D47" s="69"/>
    </row>
    <row r="48" spans="1:15" x14ac:dyDescent="0.2">
      <c r="B48" s="67"/>
      <c r="C48" s="68"/>
      <c r="D48" s="69"/>
    </row>
    <row r="49" spans="2:4" x14ac:dyDescent="0.2">
      <c r="B49" s="67"/>
      <c r="C49" s="68"/>
      <c r="D49" s="69"/>
    </row>
    <row r="50" spans="2:4" x14ac:dyDescent="0.2">
      <c r="B50" s="67"/>
      <c r="C50" s="68"/>
      <c r="D50" s="69"/>
    </row>
    <row r="51" spans="2:4" x14ac:dyDescent="0.2">
      <c r="B51" s="67"/>
      <c r="C51" s="68"/>
      <c r="D51" s="69"/>
    </row>
    <row r="52" spans="2:4" x14ac:dyDescent="0.2">
      <c r="B52" s="67"/>
      <c r="C52" s="68"/>
    </row>
    <row r="53" spans="2:4" x14ac:dyDescent="0.2">
      <c r="B53" s="67"/>
      <c r="C53" s="68"/>
    </row>
    <row r="54" spans="2:4" x14ac:dyDescent="0.2">
      <c r="B54" s="67"/>
      <c r="C54" s="68"/>
    </row>
    <row r="55" spans="2:4" x14ac:dyDescent="0.2">
      <c r="B55" s="67"/>
      <c r="C55" s="68"/>
    </row>
    <row r="56" spans="2:4" x14ac:dyDescent="0.2">
      <c r="B56" s="67"/>
      <c r="C56" s="68"/>
    </row>
    <row r="57" spans="2:4" x14ac:dyDescent="0.2">
      <c r="B57" s="67"/>
      <c r="C57" s="68"/>
    </row>
    <row r="58" spans="2:4" x14ac:dyDescent="0.2">
      <c r="B58" s="67"/>
      <c r="C58" s="68"/>
    </row>
    <row r="59" spans="2:4" x14ac:dyDescent="0.2">
      <c r="B59" s="67"/>
      <c r="C59" s="68"/>
    </row>
    <row r="60" spans="2:4" x14ac:dyDescent="0.2">
      <c r="B60" s="67"/>
      <c r="C60" s="68"/>
    </row>
    <row r="61" spans="2:4" x14ac:dyDescent="0.2">
      <c r="B61" s="67"/>
      <c r="C61" s="68"/>
    </row>
    <row r="62" spans="2:4" x14ac:dyDescent="0.2">
      <c r="B62" s="67"/>
      <c r="C62" s="68"/>
    </row>
    <row r="63" spans="2:4" x14ac:dyDescent="0.2">
      <c r="B63" s="67"/>
      <c r="C63" s="68"/>
    </row>
    <row r="64" spans="2:4" x14ac:dyDescent="0.2">
      <c r="B64" s="67"/>
      <c r="C64" s="68"/>
    </row>
    <row r="65" spans="2:3" x14ac:dyDescent="0.2">
      <c r="B65" s="67"/>
      <c r="C65" s="68"/>
    </row>
    <row r="66" spans="2:3" x14ac:dyDescent="0.2">
      <c r="B66" s="67"/>
      <c r="C66" s="68"/>
    </row>
    <row r="67" spans="2:3" x14ac:dyDescent="0.2">
      <c r="B67" s="67"/>
    </row>
    <row r="68" spans="2:3" x14ac:dyDescent="0.2">
      <c r="B68" s="67"/>
    </row>
    <row r="69" spans="2:3" x14ac:dyDescent="0.2">
      <c r="B69" s="67"/>
    </row>
    <row r="70" spans="2:3" x14ac:dyDescent="0.2">
      <c r="B70" s="67"/>
    </row>
    <row r="71" spans="2:3" x14ac:dyDescent="0.2">
      <c r="B71" s="67"/>
    </row>
  </sheetData>
  <mergeCells count="307">
    <mergeCell ref="AB20:AB21"/>
    <mergeCell ref="AA28:AA29"/>
    <mergeCell ref="AB28:AB29"/>
    <mergeCell ref="AI28:AI29"/>
    <mergeCell ref="AM28:AM29"/>
    <mergeCell ref="AM30:AM31"/>
    <mergeCell ref="AI12:AI13"/>
    <mergeCell ref="AJ12:AJ13"/>
    <mergeCell ref="AA14:AA15"/>
    <mergeCell ref="AB14:AB15"/>
    <mergeCell ref="AI14:AI15"/>
    <mergeCell ref="AJ14:AJ15"/>
    <mergeCell ref="AA12:AA13"/>
    <mergeCell ref="AB12:AB13"/>
    <mergeCell ref="W28:W29"/>
    <mergeCell ref="W30:W31"/>
    <mergeCell ref="AM12:AM13"/>
    <mergeCell ref="AM14:AM15"/>
    <mergeCell ref="AM16:AM17"/>
    <mergeCell ref="AM18:AM19"/>
    <mergeCell ref="AM20:AM21"/>
    <mergeCell ref="AM22:AM23"/>
    <mergeCell ref="AM24:AM25"/>
    <mergeCell ref="AM26:AM27"/>
    <mergeCell ref="AJ20:AJ21"/>
    <mergeCell ref="AA22:AA23"/>
    <mergeCell ref="AB22:AB23"/>
    <mergeCell ref="AI22:AI23"/>
    <mergeCell ref="AJ22:AJ23"/>
    <mergeCell ref="AI16:AI17"/>
    <mergeCell ref="AJ16:AJ17"/>
    <mergeCell ref="AA18:AA19"/>
    <mergeCell ref="AB18:AB19"/>
    <mergeCell ref="AI18:AI19"/>
    <mergeCell ref="BG24:BG25"/>
    <mergeCell ref="BH24:BH25"/>
    <mergeCell ref="W16:W17"/>
    <mergeCell ref="W18:W19"/>
    <mergeCell ref="W20:W21"/>
    <mergeCell ref="W22:W23"/>
    <mergeCell ref="W24:W25"/>
    <mergeCell ref="AA16:AA17"/>
    <mergeCell ref="AB16:AB17"/>
    <mergeCell ref="AI20:AI21"/>
    <mergeCell ref="CA28:CA29"/>
    <mergeCell ref="BW12:BW13"/>
    <mergeCell ref="BW14:BW15"/>
    <mergeCell ref="BW16:BW17"/>
    <mergeCell ref="BW18:BW19"/>
    <mergeCell ref="BP14:BP15"/>
    <mergeCell ref="BS28:BS29"/>
    <mergeCell ref="BS30:BS31"/>
    <mergeCell ref="CA12:CA13"/>
    <mergeCell ref="CA14:CA15"/>
    <mergeCell ref="CA16:CA17"/>
    <mergeCell ref="CA18:CA19"/>
    <mergeCell ref="CA20:CA21"/>
    <mergeCell ref="CA22:CA23"/>
    <mergeCell ref="CA24:CA25"/>
    <mergeCell ref="CA26:CA27"/>
    <mergeCell ref="BC24:BC25"/>
    <mergeCell ref="BC26:BC27"/>
    <mergeCell ref="BC28:BC29"/>
    <mergeCell ref="CA30:CA31"/>
    <mergeCell ref="BS12:BS13"/>
    <mergeCell ref="BS14:BS15"/>
    <mergeCell ref="BS16:BS17"/>
    <mergeCell ref="BS18:BS19"/>
    <mergeCell ref="BS20:BS21"/>
    <mergeCell ref="BS22:BS23"/>
    <mergeCell ref="W12:W13"/>
    <mergeCell ref="W14:W15"/>
    <mergeCell ref="BC12:BC13"/>
    <mergeCell ref="BC14:BC15"/>
    <mergeCell ref="BC16:BC17"/>
    <mergeCell ref="BC18:BC19"/>
    <mergeCell ref="AJ18:AJ19"/>
    <mergeCell ref="S12:S13"/>
    <mergeCell ref="T12:T13"/>
    <mergeCell ref="S14:S15"/>
    <mergeCell ref="T14:T15"/>
    <mergeCell ref="O12:O13"/>
    <mergeCell ref="O14:O15"/>
    <mergeCell ref="AE24:AE25"/>
    <mergeCell ref="AE26:AE27"/>
    <mergeCell ref="AE28:AE29"/>
    <mergeCell ref="AE30:AE31"/>
    <mergeCell ref="S16:S17"/>
    <mergeCell ref="T16:T17"/>
    <mergeCell ref="S18:S19"/>
    <mergeCell ref="T18:T19"/>
    <mergeCell ref="W26:W27"/>
    <mergeCell ref="AA20:AA21"/>
    <mergeCell ref="AE12:AE13"/>
    <mergeCell ref="AE14:AE15"/>
    <mergeCell ref="AE16:AE17"/>
    <mergeCell ref="AE18:AE19"/>
    <mergeCell ref="AE20:AE21"/>
    <mergeCell ref="AE22:AE23"/>
    <mergeCell ref="C20:C21"/>
    <mergeCell ref="D20:D21"/>
    <mergeCell ref="C22:C23"/>
    <mergeCell ref="D22:D23"/>
    <mergeCell ref="O28:O29"/>
    <mergeCell ref="O30:O31"/>
    <mergeCell ref="C30:C31"/>
    <mergeCell ref="D30:D31"/>
    <mergeCell ref="C28:C29"/>
    <mergeCell ref="D28:D29"/>
    <mergeCell ref="C24:C25"/>
    <mergeCell ref="D24:D25"/>
    <mergeCell ref="C26:C27"/>
    <mergeCell ref="D26:D27"/>
    <mergeCell ref="G20:G21"/>
    <mergeCell ref="G22:G23"/>
    <mergeCell ref="G24:G25"/>
    <mergeCell ref="G26:G27"/>
    <mergeCell ref="G28:G29"/>
    <mergeCell ref="G30:G31"/>
    <mergeCell ref="G12:G13"/>
    <mergeCell ref="G14:G15"/>
    <mergeCell ref="G16:G17"/>
    <mergeCell ref="G18:G19"/>
    <mergeCell ref="C18:C19"/>
    <mergeCell ref="D18:D19"/>
    <mergeCell ref="C12:C13"/>
    <mergeCell ref="D12:D13"/>
    <mergeCell ref="K18:K19"/>
    <mergeCell ref="L18:L19"/>
    <mergeCell ref="K14:K15"/>
    <mergeCell ref="L14:L15"/>
    <mergeCell ref="C14:C15"/>
    <mergeCell ref="D14:D15"/>
    <mergeCell ref="C16:C17"/>
    <mergeCell ref="D16:D17"/>
    <mergeCell ref="O24:O25"/>
    <mergeCell ref="O26:O27"/>
    <mergeCell ref="K12:K13"/>
    <mergeCell ref="L12:L13"/>
    <mergeCell ref="K16:K17"/>
    <mergeCell ref="L16:L17"/>
    <mergeCell ref="K20:K21"/>
    <mergeCell ref="L20:L21"/>
    <mergeCell ref="S26:S27"/>
    <mergeCell ref="T26:T27"/>
    <mergeCell ref="S20:S21"/>
    <mergeCell ref="T20:T21"/>
    <mergeCell ref="K22:K23"/>
    <mergeCell ref="L22:L23"/>
    <mergeCell ref="S22:S23"/>
    <mergeCell ref="T22:T23"/>
    <mergeCell ref="O20:O21"/>
    <mergeCell ref="O22:O23"/>
    <mergeCell ref="K30:K31"/>
    <mergeCell ref="L30:L31"/>
    <mergeCell ref="S30:S31"/>
    <mergeCell ref="T30:T31"/>
    <mergeCell ref="O16:O17"/>
    <mergeCell ref="O18:O19"/>
    <mergeCell ref="K24:K25"/>
    <mergeCell ref="L24:L25"/>
    <mergeCell ref="S24:S25"/>
    <mergeCell ref="T24:T25"/>
    <mergeCell ref="AA26:AA27"/>
    <mergeCell ref="AB26:AB27"/>
    <mergeCell ref="AI26:AI27"/>
    <mergeCell ref="AJ26:AJ27"/>
    <mergeCell ref="K28:K29"/>
    <mergeCell ref="L28:L29"/>
    <mergeCell ref="S28:S29"/>
    <mergeCell ref="T28:T29"/>
    <mergeCell ref="K26:K27"/>
    <mergeCell ref="L26:L27"/>
    <mergeCell ref="AR16:AR17"/>
    <mergeCell ref="AJ28:AJ29"/>
    <mergeCell ref="AA30:AA31"/>
    <mergeCell ref="AB30:AB31"/>
    <mergeCell ref="AI30:AI31"/>
    <mergeCell ref="AJ30:AJ31"/>
    <mergeCell ref="AA24:AA25"/>
    <mergeCell ref="AB24:AB25"/>
    <mergeCell ref="AI24:AI25"/>
    <mergeCell ref="AJ24:AJ25"/>
    <mergeCell ref="AY12:AY13"/>
    <mergeCell ref="AZ12:AZ13"/>
    <mergeCell ref="AQ14:AQ15"/>
    <mergeCell ref="AR14:AR15"/>
    <mergeCell ref="AY14:AY15"/>
    <mergeCell ref="AZ14:AZ15"/>
    <mergeCell ref="AU12:AU13"/>
    <mergeCell ref="AU14:AU15"/>
    <mergeCell ref="AQ12:AQ13"/>
    <mergeCell ref="AR12:AR13"/>
    <mergeCell ref="AZ24:AZ25"/>
    <mergeCell ref="AY16:AY17"/>
    <mergeCell ref="AZ16:AZ17"/>
    <mergeCell ref="AQ18:AQ19"/>
    <mergeCell ref="AR18:AR19"/>
    <mergeCell ref="AY18:AY19"/>
    <mergeCell ref="AZ18:AZ19"/>
    <mergeCell ref="AU16:AU17"/>
    <mergeCell ref="AU18:AU19"/>
    <mergeCell ref="AQ16:AQ17"/>
    <mergeCell ref="AU24:AU25"/>
    <mergeCell ref="AQ20:AQ21"/>
    <mergeCell ref="AR20:AR21"/>
    <mergeCell ref="AQ24:AQ25"/>
    <mergeCell ref="AR24:AR25"/>
    <mergeCell ref="AY24:AY25"/>
    <mergeCell ref="AQ22:AQ23"/>
    <mergeCell ref="AR22:AR23"/>
    <mergeCell ref="AY22:AY23"/>
    <mergeCell ref="AZ22:AZ23"/>
    <mergeCell ref="AU20:AU21"/>
    <mergeCell ref="AU22:AU23"/>
    <mergeCell ref="BK24:BK25"/>
    <mergeCell ref="BK26:BK27"/>
    <mergeCell ref="BK28:BK29"/>
    <mergeCell ref="BK30:BK31"/>
    <mergeCell ref="AR30:AR31"/>
    <mergeCell ref="AY30:AY31"/>
    <mergeCell ref="AZ30:AZ31"/>
    <mergeCell ref="AU28:AU29"/>
    <mergeCell ref="AU30:AU31"/>
    <mergeCell ref="BC30:BC31"/>
    <mergeCell ref="BX30:BX31"/>
    <mergeCell ref="BW20:BW21"/>
    <mergeCell ref="BO24:BO25"/>
    <mergeCell ref="BP24:BP25"/>
    <mergeCell ref="BK22:BK23"/>
    <mergeCell ref="AQ26:AQ27"/>
    <mergeCell ref="AR26:AR27"/>
    <mergeCell ref="AY26:AY27"/>
    <mergeCell ref="AZ26:AZ27"/>
    <mergeCell ref="AU26:AU27"/>
    <mergeCell ref="BO20:BO21"/>
    <mergeCell ref="BP20:BP21"/>
    <mergeCell ref="BG22:BG23"/>
    <mergeCell ref="AY20:AY21"/>
    <mergeCell ref="AZ20:AZ21"/>
    <mergeCell ref="BH22:BH23"/>
    <mergeCell ref="BO22:BO23"/>
    <mergeCell ref="BP22:BP23"/>
    <mergeCell ref="BC20:BC21"/>
    <mergeCell ref="BC22:BC23"/>
    <mergeCell ref="BH18:BH19"/>
    <mergeCell ref="BO18:BO19"/>
    <mergeCell ref="BP18:BP19"/>
    <mergeCell ref="BG16:BG17"/>
    <mergeCell ref="BH16:BH17"/>
    <mergeCell ref="BG20:BG21"/>
    <mergeCell ref="BH20:BH21"/>
    <mergeCell ref="BK16:BK17"/>
    <mergeCell ref="BK18:BK19"/>
    <mergeCell ref="BK20:BK21"/>
    <mergeCell ref="BX28:BX29"/>
    <mergeCell ref="BG12:BG13"/>
    <mergeCell ref="BH12:BH13"/>
    <mergeCell ref="BK12:BK13"/>
    <mergeCell ref="BK14:BK15"/>
    <mergeCell ref="BG26:BG27"/>
    <mergeCell ref="BH26:BH27"/>
    <mergeCell ref="BO16:BO17"/>
    <mergeCell ref="BP16:BP17"/>
    <mergeCell ref="BG18:BG19"/>
    <mergeCell ref="A34:B34"/>
    <mergeCell ref="A35:B35"/>
    <mergeCell ref="A38:B38"/>
    <mergeCell ref="BX22:BX23"/>
    <mergeCell ref="BO12:BO13"/>
    <mergeCell ref="BP12:BP13"/>
    <mergeCell ref="BG14:BG15"/>
    <mergeCell ref="BH14:BH15"/>
    <mergeCell ref="BO14:BO15"/>
    <mergeCell ref="BX24:BX25"/>
    <mergeCell ref="BP26:BP27"/>
    <mergeCell ref="BX12:BX13"/>
    <mergeCell ref="BX14:BX15"/>
    <mergeCell ref="BX16:BX17"/>
    <mergeCell ref="BX18:BX19"/>
    <mergeCell ref="BX20:BX21"/>
    <mergeCell ref="BX26:BX27"/>
    <mergeCell ref="BS24:BS25"/>
    <mergeCell ref="BS26:BS27"/>
    <mergeCell ref="AQ28:AQ29"/>
    <mergeCell ref="AR28:AR29"/>
    <mergeCell ref="AY28:AY29"/>
    <mergeCell ref="AZ28:AZ29"/>
    <mergeCell ref="AQ30:AQ31"/>
    <mergeCell ref="BO26:BO27"/>
    <mergeCell ref="BH30:BH31"/>
    <mergeCell ref="BO30:BO31"/>
    <mergeCell ref="BP30:BP31"/>
    <mergeCell ref="BG28:BG29"/>
    <mergeCell ref="BH28:BH29"/>
    <mergeCell ref="BO28:BO29"/>
    <mergeCell ref="BP28:BP29"/>
    <mergeCell ref="C7:P7"/>
    <mergeCell ref="A39:B39"/>
    <mergeCell ref="A36:B36"/>
    <mergeCell ref="A37:B37"/>
    <mergeCell ref="BW22:BW23"/>
    <mergeCell ref="BW24:BW25"/>
    <mergeCell ref="BW26:BW27"/>
    <mergeCell ref="BW28:BW29"/>
    <mergeCell ref="BW30:BW31"/>
    <mergeCell ref="BG30:BG31"/>
  </mergeCells>
  <pageMargins left="0.7" right="0.7" top="0.75" bottom="0.75" header="0.3" footer="0.3"/>
  <pageSetup pageOrder="overThenDown" orientation="portrait" r:id="rId1"/>
  <headerFooter>
    <oddHeader>&amp;L2015 F013 - lateral move irrigation 
Cotton
Final Harvest Weights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6ABD8-AADC-49FC-9528-B42B8EFA0C51}">
  <sheetPr>
    <pageSetUpPr fitToPage="1"/>
  </sheetPr>
  <dimension ref="A1:CU35"/>
  <sheetViews>
    <sheetView topLeftCell="A4" zoomScale="70" zoomScaleNormal="70" workbookViewId="0">
      <selection activeCell="CR16" sqref="CR16:CS25"/>
    </sheetView>
  </sheetViews>
  <sheetFormatPr defaultRowHeight="14.25" x14ac:dyDescent="0.2"/>
  <cols>
    <col min="1" max="1" width="9.140625" style="13"/>
    <col min="2" max="98" width="10.42578125" style="13" customWidth="1"/>
    <col min="99" max="16384" width="9.140625" style="13"/>
  </cols>
  <sheetData>
    <row r="1" spans="1:99" ht="18.75" x14ac:dyDescent="0.3">
      <c r="A1" s="138" t="s">
        <v>286</v>
      </c>
      <c r="CH1" s="13" t="s">
        <v>285</v>
      </c>
    </row>
    <row r="3" spans="1:99" ht="15.75" x14ac:dyDescent="0.25">
      <c r="A3" s="136"/>
      <c r="B3" s="136"/>
    </row>
    <row r="4" spans="1:99" ht="18.75" x14ac:dyDescent="0.3">
      <c r="A4" s="136"/>
      <c r="B4" s="135" t="s">
        <v>284</v>
      </c>
    </row>
    <row r="5" spans="1:99" ht="18.75" x14ac:dyDescent="0.3">
      <c r="A5" s="136"/>
      <c r="B5" s="135" t="s">
        <v>283</v>
      </c>
      <c r="I5" s="137"/>
    </row>
    <row r="6" spans="1:99" ht="18.75" x14ac:dyDescent="0.3">
      <c r="A6" s="136"/>
      <c r="B6" s="135" t="s">
        <v>282</v>
      </c>
    </row>
    <row r="7" spans="1:99" ht="18.75" x14ac:dyDescent="0.3">
      <c r="A7" s="136"/>
      <c r="B7" s="135"/>
    </row>
    <row r="8" spans="1:99" ht="18.75" x14ac:dyDescent="0.3">
      <c r="A8" s="136"/>
      <c r="B8" s="135" t="s">
        <v>281</v>
      </c>
    </row>
    <row r="9" spans="1:99" ht="18.75" x14ac:dyDescent="0.3">
      <c r="A9" s="136"/>
      <c r="B9" s="135" t="s">
        <v>280</v>
      </c>
    </row>
    <row r="10" spans="1:99" ht="18.75" x14ac:dyDescent="0.3">
      <c r="A10" s="136"/>
      <c r="B10" s="135" t="s">
        <v>279</v>
      </c>
      <c r="F10" s="134"/>
    </row>
    <row r="12" spans="1:99" ht="23.25" x14ac:dyDescent="0.35">
      <c r="B12" s="133" t="s">
        <v>278</v>
      </c>
      <c r="C12" s="132">
        <v>2</v>
      </c>
      <c r="D12" s="132"/>
      <c r="F12" s="131" t="s">
        <v>237</v>
      </c>
      <c r="G12" s="131"/>
      <c r="H12" s="131"/>
      <c r="I12" s="131"/>
      <c r="K12" s="133" t="s">
        <v>278</v>
      </c>
      <c r="L12" s="132">
        <v>3</v>
      </c>
      <c r="O12" s="131"/>
      <c r="P12" s="131" t="s">
        <v>234</v>
      </c>
      <c r="Q12" s="131"/>
      <c r="R12" s="131"/>
      <c r="U12" s="133" t="s">
        <v>278</v>
      </c>
      <c r="V12" s="132">
        <v>4</v>
      </c>
      <c r="Y12" s="131"/>
      <c r="Z12" s="131" t="s">
        <v>235</v>
      </c>
      <c r="AA12" s="131"/>
      <c r="AB12" s="131"/>
      <c r="AE12" s="133" t="s">
        <v>278</v>
      </c>
      <c r="AF12" s="132">
        <v>5</v>
      </c>
      <c r="AI12" s="131"/>
      <c r="AJ12" s="131" t="s">
        <v>236</v>
      </c>
      <c r="AK12" s="131"/>
      <c r="AL12" s="131"/>
      <c r="AO12" s="133" t="s">
        <v>278</v>
      </c>
      <c r="AP12" s="132">
        <v>6</v>
      </c>
      <c r="AS12" s="131"/>
      <c r="AT12" s="131" t="s">
        <v>277</v>
      </c>
      <c r="AU12" s="131"/>
      <c r="AV12" s="131"/>
      <c r="AY12" s="133" t="s">
        <v>278</v>
      </c>
      <c r="AZ12" s="132">
        <v>7</v>
      </c>
      <c r="BC12" s="131"/>
      <c r="BD12" s="131" t="s">
        <v>234</v>
      </c>
      <c r="BE12" s="131"/>
      <c r="BF12" s="131"/>
      <c r="BI12" s="133" t="s">
        <v>278</v>
      </c>
      <c r="BJ12" s="132">
        <v>8</v>
      </c>
      <c r="BM12" s="131"/>
      <c r="BN12" s="131" t="s">
        <v>235</v>
      </c>
      <c r="BO12" s="131"/>
      <c r="BP12" s="131"/>
      <c r="BS12" s="133" t="s">
        <v>278</v>
      </c>
      <c r="BT12" s="132">
        <v>9</v>
      </c>
      <c r="BW12" s="131"/>
      <c r="BX12" s="131" t="s">
        <v>236</v>
      </c>
      <c r="BY12" s="131"/>
      <c r="BZ12" s="131"/>
      <c r="CC12" s="133" t="s">
        <v>278</v>
      </c>
      <c r="CD12" s="132">
        <v>10</v>
      </c>
      <c r="CG12" s="131"/>
      <c r="CH12" s="131" t="s">
        <v>237</v>
      </c>
      <c r="CI12" s="131"/>
      <c r="CJ12" s="131"/>
      <c r="CM12" s="133" t="s">
        <v>278</v>
      </c>
      <c r="CN12" s="132">
        <v>11</v>
      </c>
      <c r="CQ12" s="131"/>
      <c r="CR12" s="131" t="s">
        <v>277</v>
      </c>
      <c r="CS12" s="131"/>
      <c r="CT12" s="131"/>
    </row>
    <row r="13" spans="1:99" x14ac:dyDescent="0.2">
      <c r="Y13" s="129"/>
      <c r="Z13" s="129"/>
      <c r="AA13" s="129"/>
      <c r="AB13" s="129"/>
      <c r="AC13" s="128"/>
      <c r="AD13" s="128"/>
      <c r="AS13" s="129"/>
      <c r="AT13" s="129"/>
      <c r="AU13" s="129"/>
      <c r="AV13" s="129"/>
      <c r="AW13" s="128"/>
      <c r="AX13" s="128"/>
      <c r="CQ13" s="129"/>
      <c r="CR13" s="129"/>
      <c r="CS13" s="129"/>
      <c r="CT13" s="129"/>
      <c r="CU13" s="128"/>
    </row>
    <row r="14" spans="1:99" x14ac:dyDescent="0.2">
      <c r="E14" s="127"/>
      <c r="F14" s="127"/>
      <c r="G14" s="127"/>
      <c r="H14" s="127"/>
      <c r="I14" s="127"/>
      <c r="J14" s="127"/>
      <c r="K14" s="126"/>
      <c r="X14" s="76"/>
      <c r="Y14" s="76"/>
      <c r="Z14" s="76"/>
      <c r="AA14" s="76"/>
      <c r="AB14" s="76"/>
      <c r="AC14" s="76"/>
      <c r="AD14" s="76"/>
      <c r="AE14" s="130"/>
      <c r="AH14" s="127"/>
      <c r="AI14" s="127"/>
      <c r="AJ14" s="127"/>
      <c r="AK14" s="127"/>
      <c r="AL14" s="127"/>
      <c r="AM14" s="127"/>
      <c r="AN14" s="127"/>
      <c r="AO14" s="126"/>
      <c r="AW14" s="129"/>
      <c r="AX14" s="128"/>
      <c r="AY14" s="128"/>
      <c r="BL14" s="127"/>
      <c r="BM14" s="127"/>
      <c r="BN14" s="127"/>
      <c r="BO14" s="127"/>
      <c r="BP14" s="127"/>
      <c r="BQ14" s="127"/>
      <c r="BR14" s="127"/>
      <c r="BV14" s="127"/>
      <c r="BW14" s="127"/>
      <c r="BX14" s="127"/>
      <c r="BY14" s="127"/>
      <c r="BZ14" s="127"/>
      <c r="CA14" s="127"/>
      <c r="CB14" s="127"/>
      <c r="CC14" s="126"/>
      <c r="CP14" s="76"/>
      <c r="CQ14" s="76"/>
      <c r="CR14" s="76"/>
      <c r="CS14" s="76"/>
      <c r="CT14" s="76"/>
      <c r="CU14" s="76"/>
    </row>
    <row r="15" spans="1:99" ht="66.75" thickBot="1" x14ac:dyDescent="0.35">
      <c r="B15" s="124" t="s">
        <v>276</v>
      </c>
      <c r="C15" s="123" t="s">
        <v>275</v>
      </c>
      <c r="D15" s="122" t="s">
        <v>274</v>
      </c>
      <c r="E15" s="121" t="s">
        <v>273</v>
      </c>
      <c r="F15" s="120" t="s">
        <v>272</v>
      </c>
      <c r="G15" s="120" t="s">
        <v>271</v>
      </c>
      <c r="H15" s="120" t="s">
        <v>270</v>
      </c>
      <c r="I15" s="120" t="s">
        <v>269</v>
      </c>
      <c r="K15" s="124" t="s">
        <v>276</v>
      </c>
      <c r="L15" s="123" t="s">
        <v>275</v>
      </c>
      <c r="M15" s="122" t="s">
        <v>274</v>
      </c>
      <c r="N15" s="121" t="s">
        <v>273</v>
      </c>
      <c r="O15" s="120" t="s">
        <v>272</v>
      </c>
      <c r="P15" s="120" t="s">
        <v>271</v>
      </c>
      <c r="Q15" s="120" t="s">
        <v>270</v>
      </c>
      <c r="R15" s="120" t="s">
        <v>269</v>
      </c>
      <c r="S15" s="125"/>
      <c r="U15" s="124" t="s">
        <v>276</v>
      </c>
      <c r="V15" s="123" t="s">
        <v>275</v>
      </c>
      <c r="W15" s="122" t="s">
        <v>274</v>
      </c>
      <c r="X15" s="121" t="s">
        <v>273</v>
      </c>
      <c r="Y15" s="120" t="s">
        <v>272</v>
      </c>
      <c r="Z15" s="120" t="s">
        <v>271</v>
      </c>
      <c r="AA15" s="120" t="s">
        <v>270</v>
      </c>
      <c r="AB15" s="120" t="s">
        <v>269</v>
      </c>
      <c r="AC15" s="125"/>
      <c r="AE15" s="124" t="s">
        <v>276</v>
      </c>
      <c r="AF15" s="123" t="s">
        <v>275</v>
      </c>
      <c r="AG15" s="122" t="s">
        <v>274</v>
      </c>
      <c r="AH15" s="121" t="s">
        <v>273</v>
      </c>
      <c r="AI15" s="120" t="s">
        <v>272</v>
      </c>
      <c r="AJ15" s="120" t="s">
        <v>271</v>
      </c>
      <c r="AK15" s="120" t="s">
        <v>270</v>
      </c>
      <c r="AL15" s="120" t="s">
        <v>269</v>
      </c>
      <c r="AM15" s="125"/>
      <c r="AO15" s="124" t="s">
        <v>276</v>
      </c>
      <c r="AP15" s="123" t="s">
        <v>275</v>
      </c>
      <c r="AQ15" s="122" t="s">
        <v>274</v>
      </c>
      <c r="AR15" s="121" t="s">
        <v>273</v>
      </c>
      <c r="AS15" s="120" t="s">
        <v>272</v>
      </c>
      <c r="AT15" s="120" t="s">
        <v>271</v>
      </c>
      <c r="AU15" s="120" t="s">
        <v>270</v>
      </c>
      <c r="AV15" s="120" t="s">
        <v>269</v>
      </c>
      <c r="AW15" s="125"/>
      <c r="AY15" s="124" t="s">
        <v>276</v>
      </c>
      <c r="AZ15" s="123" t="s">
        <v>275</v>
      </c>
      <c r="BA15" s="122" t="s">
        <v>274</v>
      </c>
      <c r="BB15" s="121" t="s">
        <v>273</v>
      </c>
      <c r="BC15" s="120" t="s">
        <v>272</v>
      </c>
      <c r="BD15" s="120" t="s">
        <v>271</v>
      </c>
      <c r="BE15" s="120" t="s">
        <v>270</v>
      </c>
      <c r="BF15" s="120" t="s">
        <v>269</v>
      </c>
      <c r="BG15" s="125"/>
      <c r="BI15" s="124" t="s">
        <v>276</v>
      </c>
      <c r="BJ15" s="123" t="s">
        <v>275</v>
      </c>
      <c r="BK15" s="122" t="s">
        <v>274</v>
      </c>
      <c r="BL15" s="121" t="s">
        <v>273</v>
      </c>
      <c r="BM15" s="120" t="s">
        <v>272</v>
      </c>
      <c r="BN15" s="120" t="s">
        <v>271</v>
      </c>
      <c r="BO15" s="120" t="s">
        <v>270</v>
      </c>
      <c r="BP15" s="120" t="s">
        <v>269</v>
      </c>
      <c r="BQ15" s="125"/>
      <c r="BS15" s="124" t="s">
        <v>276</v>
      </c>
      <c r="BT15" s="123" t="s">
        <v>275</v>
      </c>
      <c r="BU15" s="122" t="s">
        <v>274</v>
      </c>
      <c r="BV15" s="121" t="s">
        <v>273</v>
      </c>
      <c r="BW15" s="120" t="s">
        <v>272</v>
      </c>
      <c r="BX15" s="120" t="s">
        <v>271</v>
      </c>
      <c r="BY15" s="120" t="s">
        <v>270</v>
      </c>
      <c r="BZ15" s="120" t="s">
        <v>269</v>
      </c>
      <c r="CA15" s="125"/>
      <c r="CC15" s="124" t="s">
        <v>276</v>
      </c>
      <c r="CD15" s="123" t="s">
        <v>275</v>
      </c>
      <c r="CE15" s="122" t="s">
        <v>274</v>
      </c>
      <c r="CF15" s="121" t="s">
        <v>273</v>
      </c>
      <c r="CG15" s="120" t="s">
        <v>272</v>
      </c>
      <c r="CH15" s="120" t="s">
        <v>271</v>
      </c>
      <c r="CI15" s="120" t="s">
        <v>270</v>
      </c>
      <c r="CJ15" s="120" t="s">
        <v>269</v>
      </c>
      <c r="CK15" s="125"/>
      <c r="CM15" s="124" t="s">
        <v>276</v>
      </c>
      <c r="CN15" s="123" t="s">
        <v>275</v>
      </c>
      <c r="CO15" s="122" t="s">
        <v>274</v>
      </c>
      <c r="CP15" s="121" t="s">
        <v>273</v>
      </c>
      <c r="CQ15" s="120" t="s">
        <v>272</v>
      </c>
      <c r="CR15" s="120" t="s">
        <v>271</v>
      </c>
      <c r="CS15" s="120" t="s">
        <v>270</v>
      </c>
      <c r="CT15" s="120" t="s">
        <v>269</v>
      </c>
    </row>
    <row r="16" spans="1:99" ht="23.25" thickBot="1" x14ac:dyDescent="0.25">
      <c r="B16" s="119">
        <v>1</v>
      </c>
      <c r="C16" s="116">
        <v>4.28</v>
      </c>
      <c r="D16" s="116">
        <f>CONVERT(C16, "lbm", "kg")</f>
        <v>1.9413753436000003</v>
      </c>
      <c r="E16" s="116">
        <v>1</v>
      </c>
      <c r="F16" s="118">
        <v>1.04</v>
      </c>
      <c r="G16" s="115">
        <f>((E16-0.28)/D16)</f>
        <v>0.37087109526427997</v>
      </c>
      <c r="H16" s="114">
        <f>(F16/D16)</f>
        <v>0.53570269315951557</v>
      </c>
      <c r="I16" s="113">
        <f>((D16-(E16-0.28)-F16)/D16)</f>
        <v>9.3426211576204482E-2</v>
      </c>
      <c r="K16" s="119">
        <v>1</v>
      </c>
      <c r="L16" s="116">
        <v>3.32</v>
      </c>
      <c r="M16" s="116">
        <f>CONVERT(L16, "lbm", "kg")</f>
        <v>1.5059266683999999</v>
      </c>
      <c r="N16" s="116">
        <v>0.84</v>
      </c>
      <c r="O16" s="116">
        <v>0.78</v>
      </c>
      <c r="P16" s="115">
        <f>((N16-0.28)/M16)</f>
        <v>0.37186405669738387</v>
      </c>
      <c r="Q16" s="114">
        <f>(O16/M16)</f>
        <v>0.51795350754278469</v>
      </c>
      <c r="R16" s="113">
        <f>((M16-(N16-0.28)-O16)/M16)</f>
        <v>0.1101824357598314</v>
      </c>
      <c r="S16" s="108"/>
      <c r="U16" s="119">
        <v>1</v>
      </c>
      <c r="V16" s="116">
        <v>3.4</v>
      </c>
      <c r="W16" s="116">
        <f>CONVERT(V16, "lbm", "kg")</f>
        <v>1.5422140580000001</v>
      </c>
      <c r="X16" s="116">
        <v>0.82</v>
      </c>
      <c r="Y16" s="116">
        <v>0.78</v>
      </c>
      <c r="Z16" s="115">
        <f>((X16-0.28)/W16)</f>
        <v>0.35014594582304082</v>
      </c>
      <c r="AA16" s="114">
        <f>(Y16/W16)</f>
        <v>0.50576636618883675</v>
      </c>
      <c r="AB16" s="113">
        <f>((W16-(X16-0.28)-Y16)/W16)</f>
        <v>0.14408768798812249</v>
      </c>
      <c r="AC16" s="108"/>
      <c r="AE16" s="119">
        <v>1</v>
      </c>
      <c r="AF16" s="116">
        <v>3.34</v>
      </c>
      <c r="AG16" s="116">
        <f>CONVERT(AF16, "lbm", "kg")</f>
        <v>1.5149985157999999</v>
      </c>
      <c r="AH16" s="116">
        <v>0.8</v>
      </c>
      <c r="AI16" s="116">
        <v>0.78</v>
      </c>
      <c r="AJ16" s="115">
        <f>((AH16-0.28)/AG16)</f>
        <v>0.343234659689031</v>
      </c>
      <c r="AK16" s="114">
        <f>(AI16/AG16)</f>
        <v>0.51485198953354649</v>
      </c>
      <c r="AL16" s="113">
        <f>((AG16-(AH16-0.28)-AI16)/AG16)</f>
        <v>0.14191335077742251</v>
      </c>
      <c r="AM16" s="108"/>
      <c r="AO16" s="119">
        <v>1</v>
      </c>
      <c r="AP16" s="116">
        <v>2.82</v>
      </c>
      <c r="AQ16" s="116">
        <f>CONVERT(AP16, "lbm", "kg")</f>
        <v>1.2791304834000001</v>
      </c>
      <c r="AR16" s="116">
        <v>0.74</v>
      </c>
      <c r="AS16" s="116">
        <v>0.72</v>
      </c>
      <c r="AT16" s="115">
        <f>((AR16-0.28)/AQ16)</f>
        <v>0.35961929292568678</v>
      </c>
      <c r="AU16" s="114">
        <f>(AS16/AQ16)</f>
        <v>0.56288237153585763</v>
      </c>
      <c r="AV16" s="113">
        <f>((AQ16-(AR16-0.28)-AS16)/AQ16)</f>
        <v>7.7498335538455657E-2</v>
      </c>
      <c r="AW16" s="108"/>
      <c r="AY16" s="119">
        <v>1</v>
      </c>
      <c r="AZ16" s="116">
        <v>2.84</v>
      </c>
      <c r="BA16" s="116">
        <f>CONVERT(AZ16, "lbm", "kg")</f>
        <v>1.2882023308000001</v>
      </c>
      <c r="BB16" s="116">
        <v>0.72</v>
      </c>
      <c r="BC16" s="116">
        <v>0.7</v>
      </c>
      <c r="BD16" s="115">
        <f>((BB16-0.28)/BA16)</f>
        <v>0.34156125127234549</v>
      </c>
      <c r="BE16" s="114">
        <f>(BC16/BA16)</f>
        <v>0.54339289975145877</v>
      </c>
      <c r="BF16" s="113">
        <f>((BA16-(BB16-0.28)-BC16)/BA16)</f>
        <v>0.1150458489761958</v>
      </c>
      <c r="BG16" s="108"/>
      <c r="BI16" s="119">
        <v>1</v>
      </c>
      <c r="BJ16" s="116">
        <v>3.54</v>
      </c>
      <c r="BK16" s="116">
        <f>CONVERT(BJ16, "lbm", "kg")</f>
        <v>1.6057169898000001</v>
      </c>
      <c r="BL16" s="116">
        <v>0.86</v>
      </c>
      <c r="BM16" s="116">
        <v>0.88</v>
      </c>
      <c r="BN16" s="115">
        <f>((BL16-0.28)/BK16)</f>
        <v>0.36120935612211574</v>
      </c>
      <c r="BO16" s="114">
        <f>(BM16/BK16)</f>
        <v>0.54804178170252049</v>
      </c>
      <c r="BP16" s="113">
        <f>((BK16-(BL16-0.28)-BM16)/BK16)</f>
        <v>9.0748862175363806E-2</v>
      </c>
      <c r="BQ16" s="108"/>
      <c r="BS16" s="119">
        <v>1</v>
      </c>
      <c r="BT16" s="116">
        <v>2.56</v>
      </c>
      <c r="BU16" s="116">
        <f>CONVERT(BT16, "lbm", "kg")</f>
        <v>1.1611964672000001</v>
      </c>
      <c r="BV16" s="116">
        <v>0.7</v>
      </c>
      <c r="BW16" s="116">
        <v>0.66</v>
      </c>
      <c r="BX16" s="115">
        <f>((BV16-0.28)/BU16)</f>
        <v>0.36169589889706466</v>
      </c>
      <c r="BY16" s="114">
        <f>(BW16/BU16)</f>
        <v>0.56837926969538743</v>
      </c>
      <c r="BZ16" s="113">
        <f>((BU16-(BV16-0.28)-BW16)/BU16)</f>
        <v>6.9924831407547849E-2</v>
      </c>
      <c r="CA16" s="108"/>
      <c r="CC16" s="119">
        <v>1</v>
      </c>
      <c r="CD16" s="116">
        <v>2.98</v>
      </c>
      <c r="CE16" s="116">
        <f>CONVERT(CD16, "lbm", "kg")</f>
        <v>1.3517052625999999</v>
      </c>
      <c r="CF16" s="116">
        <v>0.76</v>
      </c>
      <c r="CG16" s="116">
        <v>0.74</v>
      </c>
      <c r="CH16" s="115">
        <f>((CF16-0.28)/CE16)</f>
        <v>0.35510699949242025</v>
      </c>
      <c r="CI16" s="114">
        <f>(CG16/CE16)</f>
        <v>0.54745662421748131</v>
      </c>
      <c r="CJ16" s="113">
        <f>((CE16-(CF16-0.28)-CG16)/CE16)</f>
        <v>9.743637629009845E-2</v>
      </c>
      <c r="CK16" s="108"/>
      <c r="CM16" s="119">
        <v>1</v>
      </c>
      <c r="CN16" s="116">
        <v>2.6</v>
      </c>
      <c r="CO16" s="116">
        <f>CONVERT(CN16, "lbm", "kg")</f>
        <v>1.1793401620000001</v>
      </c>
      <c r="CP16" s="116">
        <v>0.7</v>
      </c>
      <c r="CQ16" s="116">
        <v>0.64</v>
      </c>
      <c r="CR16" s="115">
        <f>((CP16-0.28)/CO16)</f>
        <v>0.3561313466063406</v>
      </c>
      <c r="CS16" s="114">
        <f>(CQ16/CO16)</f>
        <v>0.54267633768585244</v>
      </c>
      <c r="CT16" s="113">
        <f>((CO16-(CP16-0.28)-CQ16)/CO16)</f>
        <v>0.10119231570780694</v>
      </c>
    </row>
    <row r="17" spans="2:98" ht="23.25" thickBot="1" x14ac:dyDescent="0.25">
      <c r="B17" s="119">
        <v>2</v>
      </c>
      <c r="C17" s="116">
        <v>4.12</v>
      </c>
      <c r="D17" s="116">
        <f>CONVERT(C17, "lbm", "kg")</f>
        <v>1.8688005644000003</v>
      </c>
      <c r="E17" s="116">
        <v>0.94</v>
      </c>
      <c r="F17" s="118">
        <v>0.98</v>
      </c>
      <c r="G17" s="115">
        <f>((E17-0.28)/D17)</f>
        <v>0.35316770155829896</v>
      </c>
      <c r="H17" s="114">
        <f>(F17/D17)</f>
        <v>0.52440052655626213</v>
      </c>
      <c r="I17" s="113">
        <f>((D17-(E17-0.28)-F17)/D17)</f>
        <v>0.12243177188543895</v>
      </c>
      <c r="K17" s="119">
        <v>2</v>
      </c>
      <c r="L17" s="116">
        <v>3.24</v>
      </c>
      <c r="M17" s="116">
        <f>CONVERT(L17, "lbm", "kg")</f>
        <v>1.4696392788000001</v>
      </c>
      <c r="N17" s="116">
        <v>0.82</v>
      </c>
      <c r="O17" s="116">
        <v>0.78</v>
      </c>
      <c r="P17" s="115">
        <f>((N17-0.28)/M17)</f>
        <v>0.36743710364146254</v>
      </c>
      <c r="Q17" s="114">
        <f>(O17/M17)</f>
        <v>0.53074248303766824</v>
      </c>
      <c r="R17" s="113">
        <f>((M17-(N17-0.28)-O17)/M17)</f>
        <v>0.10182041332086922</v>
      </c>
      <c r="S17" s="108"/>
      <c r="U17" s="119">
        <v>2</v>
      </c>
      <c r="V17" s="116">
        <v>3.18</v>
      </c>
      <c r="W17" s="116">
        <f>CONVERT(V17, "lbm", "kg")</f>
        <v>1.4424237366000003</v>
      </c>
      <c r="X17" s="116">
        <v>0.8</v>
      </c>
      <c r="Y17" s="116">
        <v>0.76</v>
      </c>
      <c r="Z17" s="115">
        <f>((X17-0.28)/W17)</f>
        <v>0.36050432810105759</v>
      </c>
      <c r="AA17" s="114">
        <f>(Y17/W17)</f>
        <v>0.5268909410707765</v>
      </c>
      <c r="AB17" s="113">
        <f>((W17-(X17-0.28)-Y17)/W17)</f>
        <v>0.1126047308281659</v>
      </c>
      <c r="AC17" s="108"/>
      <c r="AE17" s="119">
        <v>2</v>
      </c>
      <c r="AF17" s="116">
        <v>2.76</v>
      </c>
      <c r="AG17" s="116">
        <f>CONVERT(AF17, "lbm", "kg")</f>
        <v>1.2519149411999999</v>
      </c>
      <c r="AH17" s="116">
        <v>0.72</v>
      </c>
      <c r="AI17" s="116">
        <v>0.68</v>
      </c>
      <c r="AJ17" s="115">
        <f>((AH17-0.28)/AG17)</f>
        <v>0.35146157739618161</v>
      </c>
      <c r="AK17" s="114">
        <f>(AI17/AG17)</f>
        <v>0.54316789233955354</v>
      </c>
      <c r="AL17" s="113">
        <f>((AG17-(AH17-0.28)-AI17)/AG17)</f>
        <v>0.10537053026426482</v>
      </c>
      <c r="AM17" s="108"/>
      <c r="AO17" s="119">
        <v>2</v>
      </c>
      <c r="AP17" s="116">
        <v>3.46</v>
      </c>
      <c r="AQ17" s="116">
        <f>CONVERT(AP17, "lbm", "kg")</f>
        <v>1.5694296002000001</v>
      </c>
      <c r="AR17" s="116">
        <v>0.84</v>
      </c>
      <c r="AS17" s="116">
        <v>0.84</v>
      </c>
      <c r="AT17" s="115">
        <f>((AR17-0.28)/AQ17)</f>
        <v>0.35681753417205614</v>
      </c>
      <c r="AU17" s="114">
        <f>(AS17/AQ17)</f>
        <v>0.53522630125808424</v>
      </c>
      <c r="AV17" s="113">
        <f>((AQ17-(AR17-0.28)-AS17)/AQ17)</f>
        <v>0.10795616456985969</v>
      </c>
      <c r="AW17" s="108"/>
      <c r="AY17" s="119">
        <v>2</v>
      </c>
      <c r="AZ17" s="116">
        <v>3.6</v>
      </c>
      <c r="BA17" s="116">
        <f>CONVERT(AZ17, "lbm", "kg")</f>
        <v>1.6329325320000001</v>
      </c>
      <c r="BB17" s="116">
        <v>0.86</v>
      </c>
      <c r="BC17" s="116">
        <v>0.86</v>
      </c>
      <c r="BD17" s="115">
        <f>((BB17-0.28)/BA17)</f>
        <v>0.35518920018674716</v>
      </c>
      <c r="BE17" s="114">
        <f>(BC17/BA17)</f>
        <v>0.52665984855276304</v>
      </c>
      <c r="BF17" s="113">
        <f>((BA17-(BB17-0.28)-BC17)/BA17)</f>
        <v>0.11815095126048983</v>
      </c>
      <c r="BG17" s="108"/>
      <c r="BI17" s="119">
        <v>2</v>
      </c>
      <c r="BJ17" s="116">
        <v>3.06</v>
      </c>
      <c r="BK17" s="116">
        <f>CONVERT(BJ17, "lbm", "kg")</f>
        <v>1.3879926522000001</v>
      </c>
      <c r="BL17" s="116">
        <v>0.78</v>
      </c>
      <c r="BM17" s="116">
        <v>0.76</v>
      </c>
      <c r="BN17" s="115">
        <f>((BL17-0.28)/BK17)</f>
        <v>0.36023245455045355</v>
      </c>
      <c r="BO17" s="114">
        <f>(BM17/BK17)</f>
        <v>0.54755333091668934</v>
      </c>
      <c r="BP17" s="113">
        <f>((BK17-(BL17-0.28)-BM17)/BK17)</f>
        <v>9.2214214532857094E-2</v>
      </c>
      <c r="BQ17" s="108"/>
      <c r="BS17" s="119">
        <v>2</v>
      </c>
      <c r="BT17" s="116">
        <v>2.78</v>
      </c>
      <c r="BU17" s="116">
        <f>CONVERT(BT17, "lbm", "kg")</f>
        <v>1.2609867885999999</v>
      </c>
      <c r="BV17" s="116">
        <v>0.74</v>
      </c>
      <c r="BW17" s="116">
        <v>0.68</v>
      </c>
      <c r="BX17" s="115">
        <f>((BV17-0.28)/BU17)</f>
        <v>0.36479367124116435</v>
      </c>
      <c r="BY17" s="114">
        <f>(BW17/BU17)</f>
        <v>0.53926020966085175</v>
      </c>
      <c r="BZ17" s="113">
        <f>((BU17-(BV17-0.28)-BW17)/BU17)</f>
        <v>9.5946119097983951E-2</v>
      </c>
      <c r="CA17" s="108"/>
      <c r="CC17" s="119">
        <v>2</v>
      </c>
      <c r="CD17" s="116">
        <v>2.94</v>
      </c>
      <c r="CE17" s="116">
        <f>CONVERT(CD17, "lbm", "kg")</f>
        <v>1.3335615677999999</v>
      </c>
      <c r="CF17" s="116">
        <v>0.74</v>
      </c>
      <c r="CG17" s="116">
        <v>0.74</v>
      </c>
      <c r="CH17" s="115">
        <f>((CF17-0.28)/CE17)</f>
        <v>0.34494095443892409</v>
      </c>
      <c r="CI17" s="114">
        <f>(CG17/CE17)</f>
        <v>0.55490501366261702</v>
      </c>
      <c r="CJ17" s="113">
        <f>((CE17-(CF17-0.28)-CG17)/CE17)</f>
        <v>0.10015403189845883</v>
      </c>
      <c r="CK17" s="108"/>
      <c r="CM17" s="119">
        <v>2</v>
      </c>
      <c r="CN17" s="116">
        <v>2.68</v>
      </c>
      <c r="CO17" s="116">
        <f>CONVERT(CN17, "lbm", "kg")</f>
        <v>1.2156275516000001</v>
      </c>
      <c r="CP17" s="116">
        <v>0.7</v>
      </c>
      <c r="CQ17" s="116">
        <v>0.64</v>
      </c>
      <c r="CR17" s="115">
        <f>((CP17-0.28)/CO17)</f>
        <v>0.3455005601404797</v>
      </c>
      <c r="CS17" s="114">
        <f>(CQ17/CO17)</f>
        <v>0.52647704402358819</v>
      </c>
      <c r="CT17" s="113">
        <f>((CO17-(CP17-0.28)-CQ17)/CO17)</f>
        <v>0.12802239583593211</v>
      </c>
    </row>
    <row r="18" spans="2:98" ht="23.25" thickBot="1" x14ac:dyDescent="0.25">
      <c r="B18" s="119">
        <v>3</v>
      </c>
      <c r="C18" s="116">
        <v>3.14</v>
      </c>
      <c r="D18" s="116">
        <f>CONVERT(C18, "lbm", "kg")</f>
        <v>1.4242800418000001</v>
      </c>
      <c r="E18" s="116">
        <v>0.8</v>
      </c>
      <c r="F18" s="118">
        <v>0.76</v>
      </c>
      <c r="G18" s="115">
        <f>((E18-0.28)/D18)</f>
        <v>0.36509673992400105</v>
      </c>
      <c r="H18" s="114">
        <f>(F18/D18)</f>
        <v>0.53360292758123229</v>
      </c>
      <c r="I18" s="113">
        <f>((D18-(E18-0.28)-F18)/D18)</f>
        <v>0.10130033249476661</v>
      </c>
      <c r="K18" s="119">
        <v>3</v>
      </c>
      <c r="L18" s="116">
        <v>3.16</v>
      </c>
      <c r="M18" s="116">
        <f>CONVERT(L18, "lbm", "kg")</f>
        <v>1.4333518892000001</v>
      </c>
      <c r="N18" s="116">
        <v>0.8</v>
      </c>
      <c r="O18" s="116">
        <v>0.78</v>
      </c>
      <c r="P18" s="115">
        <f>((N18-0.28)/M18)</f>
        <v>0.36278600106372261</v>
      </c>
      <c r="Q18" s="114">
        <f>(O18/M18)</f>
        <v>0.54417900159558386</v>
      </c>
      <c r="R18" s="113">
        <f>((M18-(N18-0.28)-O18)/M18)</f>
        <v>9.3034997340693537E-2</v>
      </c>
      <c r="S18" s="108"/>
      <c r="U18" s="119">
        <v>3</v>
      </c>
      <c r="V18" s="116">
        <v>2.6</v>
      </c>
      <c r="W18" s="116">
        <f>CONVERT(V18, "lbm", "kg")</f>
        <v>1.1793401620000001</v>
      </c>
      <c r="X18" s="116">
        <v>0.7</v>
      </c>
      <c r="Y18" s="116">
        <v>0.62</v>
      </c>
      <c r="Z18" s="115">
        <f>((X18-0.28)/W18)</f>
        <v>0.3561313466063406</v>
      </c>
      <c r="AA18" s="114">
        <f>(Y18/W18)</f>
        <v>0.5257177021331696</v>
      </c>
      <c r="AB18" s="113">
        <f>((W18-(X18-0.28)-Y18)/W18)</f>
        <v>0.11815095126048984</v>
      </c>
      <c r="AC18" s="108"/>
      <c r="AE18" s="119">
        <v>3</v>
      </c>
      <c r="AF18" s="116">
        <v>3.44</v>
      </c>
      <c r="AG18" s="116">
        <f>CONVERT(AF18, "lbm", "kg")</f>
        <v>1.5603577528000001</v>
      </c>
      <c r="AH18" s="116">
        <v>0.84</v>
      </c>
      <c r="AI18" s="116">
        <v>0.86</v>
      </c>
      <c r="AJ18" s="115">
        <f>((AH18-0.28)/AG18)</f>
        <v>0.35889205471956809</v>
      </c>
      <c r="AK18" s="114">
        <f>(AI18/AG18)</f>
        <v>0.55115565546219392</v>
      </c>
      <c r="AL18" s="113">
        <f>((AG18-(AH18-0.28)-AI18)/AG18)</f>
        <v>8.9952289818238079E-2</v>
      </c>
      <c r="AM18" s="108"/>
      <c r="AO18" s="119">
        <v>3</v>
      </c>
      <c r="AP18" s="116">
        <v>4.0199999999999996</v>
      </c>
      <c r="AQ18" s="116">
        <f>CONVERT(AP18, "lbm", "kg")</f>
        <v>1.8234413273999999</v>
      </c>
      <c r="AR18" s="116">
        <v>0.94</v>
      </c>
      <c r="AS18" s="116">
        <v>1.02</v>
      </c>
      <c r="AT18" s="115">
        <f>((AR18-0.28)/AQ18)</f>
        <v>0.36195296776621688</v>
      </c>
      <c r="AU18" s="114">
        <f>(AS18/AQ18)</f>
        <v>0.55938185927506257</v>
      </c>
      <c r="AV18" s="113">
        <f>((AQ18-(AR18-0.28)-AS18)/AQ18)</f>
        <v>7.8665172958720525E-2</v>
      </c>
      <c r="AW18" s="108"/>
      <c r="AY18" s="119">
        <v>3</v>
      </c>
      <c r="AZ18" s="116">
        <v>2.72</v>
      </c>
      <c r="BA18" s="116">
        <f>CONVERT(AZ18, "lbm", "kg")</f>
        <v>1.2337712464000001</v>
      </c>
      <c r="BB18" s="116">
        <v>0.72</v>
      </c>
      <c r="BC18" s="116">
        <v>0.66</v>
      </c>
      <c r="BD18" s="115">
        <f>((BB18-0.28)/BA18)</f>
        <v>0.35663013000494892</v>
      </c>
      <c r="BE18" s="114">
        <f>(BC18/BA18)</f>
        <v>0.53494519500742355</v>
      </c>
      <c r="BF18" s="113">
        <f>((BA18-(BB18-0.28)-BC18)/BA18)</f>
        <v>0.10842467498762755</v>
      </c>
      <c r="BG18" s="108"/>
      <c r="BI18" s="119">
        <v>3</v>
      </c>
      <c r="BJ18" s="116">
        <v>3.18</v>
      </c>
      <c r="BK18" s="116">
        <f>CONVERT(BJ18, "lbm", "kg")</f>
        <v>1.4424237366000003</v>
      </c>
      <c r="BL18" s="116">
        <v>0.76</v>
      </c>
      <c r="BM18" s="116">
        <v>0.76</v>
      </c>
      <c r="BN18" s="115">
        <f>((BL18-0.28)/BK18)</f>
        <v>0.33277322593943776</v>
      </c>
      <c r="BO18" s="114">
        <f>(BM18/BK18)</f>
        <v>0.5268909410707765</v>
      </c>
      <c r="BP18" s="113">
        <f>((BK18-(BL18-0.28)-BM18)/BK18)</f>
        <v>0.14033583298978575</v>
      </c>
      <c r="BQ18" s="108"/>
      <c r="BS18" s="119">
        <v>3</v>
      </c>
      <c r="BT18" s="116">
        <v>3.44</v>
      </c>
      <c r="BU18" s="116">
        <f>CONVERT(BT18, "lbm", "kg")</f>
        <v>1.5603577528000001</v>
      </c>
      <c r="BV18" s="116">
        <v>0.82</v>
      </c>
      <c r="BW18" s="116">
        <v>0.84</v>
      </c>
      <c r="BX18" s="115">
        <f>((BV18-0.28)/BU18)</f>
        <v>0.34607448133672636</v>
      </c>
      <c r="BY18" s="114">
        <f>(BW18/BU18)</f>
        <v>0.53833808207935219</v>
      </c>
      <c r="BZ18" s="113">
        <f>((BU18-(BV18-0.28)-BW18)/BU18)</f>
        <v>0.11558743658392154</v>
      </c>
      <c r="CA18" s="108"/>
      <c r="CC18" s="119">
        <v>3</v>
      </c>
      <c r="CD18" s="116">
        <v>3.12</v>
      </c>
      <c r="CE18" s="116">
        <f>CONVERT(CD18, "lbm", "kg")</f>
        <v>1.4152081944000001</v>
      </c>
      <c r="CF18" s="116">
        <v>0.78</v>
      </c>
      <c r="CG18" s="116">
        <v>0.78</v>
      </c>
      <c r="CH18" s="115">
        <f>((CF18-0.28)/CE18)</f>
        <v>0.3533049073475602</v>
      </c>
      <c r="CI18" s="114">
        <f>(CG18/CE18)</f>
        <v>0.55115565546219392</v>
      </c>
      <c r="CJ18" s="113">
        <f>((CE18-(CF18-0.28)-CG18)/CE18)</f>
        <v>9.5539437190245879E-2</v>
      </c>
      <c r="CK18" s="108"/>
      <c r="CM18" s="119">
        <v>3</v>
      </c>
      <c r="CN18" s="116">
        <v>2.94</v>
      </c>
      <c r="CO18" s="116">
        <f>CONVERT(CN18, "lbm", "kg")</f>
        <v>1.3335615677999999</v>
      </c>
      <c r="CP18" s="116">
        <v>0.7</v>
      </c>
      <c r="CQ18" s="116">
        <v>0.68</v>
      </c>
      <c r="CR18" s="115">
        <f>((CP18-0.28)/CO18)</f>
        <v>0.31494608883553937</v>
      </c>
      <c r="CS18" s="114">
        <f>(CQ18/CO18)</f>
        <v>0.50991271525754001</v>
      </c>
      <c r="CT18" s="113">
        <f>((CO18-(CP18-0.28)-CQ18)/CO18)</f>
        <v>0.17514119590692057</v>
      </c>
    </row>
    <row r="19" spans="2:98" ht="23.25" thickBot="1" x14ac:dyDescent="0.25">
      <c r="B19" s="119">
        <v>4</v>
      </c>
      <c r="C19" s="116">
        <v>4.54</v>
      </c>
      <c r="D19" s="116">
        <f>CONVERT(C19, "lbm", "kg")</f>
        <v>2.0593093598000003</v>
      </c>
      <c r="E19" s="116">
        <v>1</v>
      </c>
      <c r="F19" s="118">
        <v>1.1000000000000001</v>
      </c>
      <c r="G19" s="115">
        <f>((E19-0.28)/D19)</f>
        <v>0.34963178143857232</v>
      </c>
      <c r="H19" s="114">
        <f>(F19/D19)</f>
        <v>0.53415966608670773</v>
      </c>
      <c r="I19" s="113">
        <f>((D19-(E19-0.28)-F19)/D19)</f>
        <v>0.11620855247471992</v>
      </c>
      <c r="K19" s="119">
        <v>4</v>
      </c>
      <c r="L19" s="116">
        <v>3.38</v>
      </c>
      <c r="M19" s="116">
        <f>CONVERT(L19, "lbm", "kg")</f>
        <v>1.5331422106000001</v>
      </c>
      <c r="N19" s="116">
        <v>0.8</v>
      </c>
      <c r="O19" s="116">
        <v>0.8</v>
      </c>
      <c r="P19" s="115">
        <f>((N19-0.28)/M19)</f>
        <v>0.33917271105365782</v>
      </c>
      <c r="Q19" s="114">
        <f>(O19/M19)</f>
        <v>0.52180417085178121</v>
      </c>
      <c r="R19" s="113">
        <f>((M19-(N19-0.28)-O19)/M19)</f>
        <v>0.13902311809456094</v>
      </c>
      <c r="S19" s="108"/>
      <c r="U19" s="119">
        <v>4</v>
      </c>
      <c r="V19" s="116">
        <v>3.6</v>
      </c>
      <c r="W19" s="116">
        <f>CONVERT(V19, "lbm", "kg")</f>
        <v>1.6329325320000001</v>
      </c>
      <c r="X19" s="116">
        <v>0.84</v>
      </c>
      <c r="Y19" s="116">
        <v>0.86</v>
      </c>
      <c r="Z19" s="115">
        <f>((X19-0.28)/W19)</f>
        <v>0.34294129673203172</v>
      </c>
      <c r="AA19" s="114">
        <f>(Y19/W19)</f>
        <v>0.52665984855276304</v>
      </c>
      <c r="AB19" s="113">
        <f>((W19-(X19-0.28)-Y19)/W19)</f>
        <v>0.13039885471520526</v>
      </c>
      <c r="AC19" s="108"/>
      <c r="AE19" s="119">
        <v>4</v>
      </c>
      <c r="AF19" s="116">
        <v>2.8</v>
      </c>
      <c r="AG19" s="116">
        <f>CONVERT(AF19, "lbm", "kg")</f>
        <v>1.2700586359999999</v>
      </c>
      <c r="AH19" s="116">
        <v>0.7</v>
      </c>
      <c r="AI19" s="116">
        <v>0.68</v>
      </c>
      <c r="AJ19" s="115">
        <f>((AH19-0.28)/AG19)</f>
        <v>0.33069339327731634</v>
      </c>
      <c r="AK19" s="114">
        <f>(AI19/AG19)</f>
        <v>0.53540835102041706</v>
      </c>
      <c r="AL19" s="113">
        <f>((AG19-(AH19-0.28)-AI19)/AG19)</f>
        <v>0.1338982557022666</v>
      </c>
      <c r="AM19" s="108"/>
      <c r="AO19" s="119">
        <v>4</v>
      </c>
      <c r="AP19" s="116">
        <v>3.56</v>
      </c>
      <c r="AQ19" s="116">
        <f>CONVERT(AP19, "lbm", "kg")</f>
        <v>1.6147888372000001</v>
      </c>
      <c r="AR19" s="116">
        <v>0.86</v>
      </c>
      <c r="AS19" s="116">
        <v>0.9</v>
      </c>
      <c r="AT19" s="115">
        <f>((AR19-0.28)/AQ19)</f>
        <v>0.35918009007648588</v>
      </c>
      <c r="AU19" s="114">
        <f>(AS19/AQ19)</f>
        <v>0.55734841563592641</v>
      </c>
      <c r="AV19" s="113">
        <f>((AQ19-(AR19-0.28)-AS19)/AQ19)</f>
        <v>8.3471494287587725E-2</v>
      </c>
      <c r="AW19" s="108"/>
      <c r="AY19" s="119">
        <v>4</v>
      </c>
      <c r="AZ19" s="116">
        <v>3.6</v>
      </c>
      <c r="BA19" s="116">
        <f>CONVERT(AZ19, "lbm", "kg")</f>
        <v>1.6329325320000001</v>
      </c>
      <c r="BB19" s="116">
        <v>0.84</v>
      </c>
      <c r="BC19" s="116">
        <v>0.86</v>
      </c>
      <c r="BD19" s="115">
        <f>((BB19-0.28)/BA19)</f>
        <v>0.34294129673203172</v>
      </c>
      <c r="BE19" s="114">
        <f>(BC19/BA19)</f>
        <v>0.52665984855276304</v>
      </c>
      <c r="BF19" s="113">
        <f>((BA19-(BB19-0.28)-BC19)/BA19)</f>
        <v>0.13039885471520526</v>
      </c>
      <c r="BG19" s="108"/>
      <c r="BI19" s="119">
        <v>4</v>
      </c>
      <c r="BJ19" s="116">
        <v>3.62</v>
      </c>
      <c r="BK19" s="116">
        <f>CONVERT(BJ19, "lbm", "kg")</f>
        <v>1.6420043794000001</v>
      </c>
      <c r="BL19" s="116">
        <v>0.88</v>
      </c>
      <c r="BM19" s="116">
        <v>0.9</v>
      </c>
      <c r="BN19" s="115">
        <f>((BL19-0.28)/BK19)</f>
        <v>0.36540706439482468</v>
      </c>
      <c r="BO19" s="114">
        <f>(BM19/BK19)</f>
        <v>0.54811059659223704</v>
      </c>
      <c r="BP19" s="113">
        <f>((BK19-(BL19-0.28)-BM19)/BK19)</f>
        <v>8.6482339012938322E-2</v>
      </c>
      <c r="BQ19" s="108"/>
      <c r="BS19" s="119">
        <v>4</v>
      </c>
      <c r="BT19" s="116">
        <v>3.2</v>
      </c>
      <c r="BU19" s="116">
        <f>CONVERT(BT19, "lbm", "kg")</f>
        <v>1.4514955840000003</v>
      </c>
      <c r="BV19" s="116">
        <v>0.82</v>
      </c>
      <c r="BW19" s="116">
        <v>0.8</v>
      </c>
      <c r="BX19" s="115">
        <f>((BV19-0.28)/BU19)</f>
        <v>0.3720300674369808</v>
      </c>
      <c r="BY19" s="114">
        <f>(BW19/BU19)</f>
        <v>0.55115565546219381</v>
      </c>
      <c r="BZ19" s="113">
        <f>((BU19-(BV19-0.28)-BW19)/BU19)</f>
        <v>7.6814277100825362E-2</v>
      </c>
      <c r="CA19" s="108"/>
      <c r="CC19" s="119">
        <v>4</v>
      </c>
      <c r="CD19" s="116">
        <v>2.9</v>
      </c>
      <c r="CE19" s="116">
        <f>CONVERT(CD19, "lbm", "kg")</f>
        <v>1.3154178730000001</v>
      </c>
      <c r="CF19" s="116">
        <v>0.76</v>
      </c>
      <c r="CG19" s="116">
        <v>0.74</v>
      </c>
      <c r="CH19" s="115">
        <f>((CF19-0.28)/CE19)</f>
        <v>0.36490305465083178</v>
      </c>
      <c r="CI19" s="114">
        <f>(CG19/CE19)</f>
        <v>0.5625588759200324</v>
      </c>
      <c r="CJ19" s="113">
        <f>((CE19-(CF19-0.28)-CG19)/CE19)</f>
        <v>7.2538069429135807E-2</v>
      </c>
      <c r="CK19" s="108"/>
      <c r="CM19" s="119">
        <v>4</v>
      </c>
      <c r="CN19" s="116">
        <v>2.86</v>
      </c>
      <c r="CO19" s="116">
        <f>CONVERT(CN19, "lbm", "kg")</f>
        <v>1.2972741782000001</v>
      </c>
      <c r="CP19" s="116">
        <v>0.76</v>
      </c>
      <c r="CQ19" s="116">
        <v>0.72</v>
      </c>
      <c r="CR19" s="115">
        <f>((CP19-0.28)/CO19)</f>
        <v>0.37000659387671758</v>
      </c>
      <c r="CS19" s="114">
        <f>(CQ19/CO19)</f>
        <v>0.55500989081507635</v>
      </c>
      <c r="CT19" s="113">
        <f>((CO19-(CP19-0.28)-CQ19)/CO19)</f>
        <v>7.4983515308206086E-2</v>
      </c>
    </row>
    <row r="20" spans="2:98" ht="23.25" thickBot="1" x14ac:dyDescent="0.25">
      <c r="B20" s="119">
        <v>5</v>
      </c>
      <c r="C20" s="116">
        <v>2.56</v>
      </c>
      <c r="D20" s="116">
        <f>CONVERT(C20, "lbm", "kg")</f>
        <v>1.1611964672000001</v>
      </c>
      <c r="E20" s="116">
        <v>0.68</v>
      </c>
      <c r="F20" s="118">
        <v>0.6</v>
      </c>
      <c r="G20" s="115">
        <f>((E20-0.28)/D20)</f>
        <v>0.3444722846638712</v>
      </c>
      <c r="H20" s="114">
        <f>(F20/D20)</f>
        <v>0.51670842699580677</v>
      </c>
      <c r="I20" s="113">
        <f>((D20-(E20-0.28)-F20)/D20)</f>
        <v>0.13881928834032206</v>
      </c>
      <c r="K20" s="119">
        <v>5</v>
      </c>
      <c r="L20" s="116">
        <v>4.28</v>
      </c>
      <c r="M20" s="116">
        <f>CONVERT(L20, "lbm", "kg")</f>
        <v>1.9413753436000003</v>
      </c>
      <c r="N20" s="116">
        <v>1.02</v>
      </c>
      <c r="O20" s="116">
        <v>1.06</v>
      </c>
      <c r="P20" s="115">
        <f>((N20-0.28)/M20)</f>
        <v>0.38117307013273222</v>
      </c>
      <c r="Q20" s="114">
        <f>(O20/M20)</f>
        <v>0.54600466802796777</v>
      </c>
      <c r="R20" s="113">
        <f>((M20-(N20-0.28)-O20)/M20)</f>
        <v>7.2822261839300018E-2</v>
      </c>
      <c r="S20" s="108"/>
      <c r="U20" s="119">
        <v>5</v>
      </c>
      <c r="V20" s="116">
        <v>2.48</v>
      </c>
      <c r="W20" s="116">
        <f>CONVERT(V20, "lbm", "kg")</f>
        <v>1.1249090776000001</v>
      </c>
      <c r="X20" s="116">
        <v>0.68</v>
      </c>
      <c r="Y20" s="116">
        <v>0.6</v>
      </c>
      <c r="Z20" s="115">
        <f>((X20-0.28)/W20)</f>
        <v>0.35558429384657669</v>
      </c>
      <c r="AA20" s="114">
        <f>(Y20/W20)</f>
        <v>0.53337644076986501</v>
      </c>
      <c r="AB20" s="113">
        <f>((W20-(X20-0.28)-Y20)/W20)</f>
        <v>0.11103926538355825</v>
      </c>
      <c r="AC20" s="108"/>
      <c r="AE20" s="119">
        <v>5</v>
      </c>
      <c r="AF20" s="116">
        <v>3.02</v>
      </c>
      <c r="AG20" s="116">
        <f>CONVERT(AF20, "lbm", "kg")</f>
        <v>1.3698489574000001</v>
      </c>
      <c r="AH20" s="116">
        <v>0.78</v>
      </c>
      <c r="AI20" s="116">
        <v>0.74</v>
      </c>
      <c r="AJ20" s="115">
        <f>((AH20-0.28)/AG20)</f>
        <v>0.36500374533920127</v>
      </c>
      <c r="AK20" s="114">
        <f>(AI20/AG20)</f>
        <v>0.54020554310201785</v>
      </c>
      <c r="AL20" s="113">
        <f>((AG20-(AH20-0.28)-AI20)/AG20)</f>
        <v>9.4790711558780882E-2</v>
      </c>
      <c r="AM20" s="108"/>
      <c r="AO20" s="119">
        <v>5</v>
      </c>
      <c r="AP20" s="116">
        <v>3.44</v>
      </c>
      <c r="AQ20" s="116">
        <f>CONVERT(AP20, "lbm", "kg")</f>
        <v>1.5603577528000001</v>
      </c>
      <c r="AR20" s="116">
        <v>0.82</v>
      </c>
      <c r="AS20" s="116">
        <v>0.82</v>
      </c>
      <c r="AT20" s="115">
        <f>((AR20-0.28)/AQ20)</f>
        <v>0.34607448133672636</v>
      </c>
      <c r="AU20" s="114">
        <f>(AS20/AQ20)</f>
        <v>0.52552050869651046</v>
      </c>
      <c r="AV20" s="113">
        <f>((AQ20-(AR20-0.28)-AS20)/AQ20)</f>
        <v>0.12840500996676327</v>
      </c>
      <c r="AW20" s="108"/>
      <c r="AY20" s="119">
        <v>5</v>
      </c>
      <c r="AZ20" s="116">
        <v>3.22</v>
      </c>
      <c r="BA20" s="116">
        <f>CONVERT(AZ20, "lbm", "kg")</f>
        <v>1.4605674314000001</v>
      </c>
      <c r="BB20" s="116">
        <v>0.76</v>
      </c>
      <c r="BC20" s="116">
        <v>0.76</v>
      </c>
      <c r="BD20" s="115">
        <f>((BB20-0.28)/BA20)</f>
        <v>0.32863939704578021</v>
      </c>
      <c r="BE20" s="114">
        <f>(BC20/BA20)</f>
        <v>0.52034571198915203</v>
      </c>
      <c r="BF20" s="113">
        <f>((BA20-(BB20-0.28)-BC20)/BA20)</f>
        <v>0.15101489096506779</v>
      </c>
      <c r="BG20" s="108"/>
      <c r="BI20" s="119">
        <v>5</v>
      </c>
      <c r="BJ20" s="116">
        <v>3.32</v>
      </c>
      <c r="BK20" s="116">
        <f>CONVERT(BJ20, "lbm", "kg")</f>
        <v>1.5059266683999999</v>
      </c>
      <c r="BL20" s="116">
        <v>0.82</v>
      </c>
      <c r="BM20" s="116">
        <v>0.82</v>
      </c>
      <c r="BN20" s="115">
        <f>((BL20-0.28)/BK20)</f>
        <v>0.35858319752962015</v>
      </c>
      <c r="BO20" s="114">
        <f>(BM20/BK20)</f>
        <v>0.54451522587831214</v>
      </c>
      <c r="BP20" s="113">
        <f>((BK20-(BL20-0.28)-BM20)/BK20)</f>
        <v>9.6901576592067759E-2</v>
      </c>
      <c r="BQ20" s="108"/>
      <c r="BS20" s="119">
        <v>5</v>
      </c>
      <c r="BT20" s="116">
        <v>2.92</v>
      </c>
      <c r="BU20" s="116">
        <f>CONVERT(BT20, "lbm", "kg")</f>
        <v>1.3244897204000001</v>
      </c>
      <c r="BV20" s="116">
        <v>0.74</v>
      </c>
      <c r="BW20" s="116">
        <v>0.72</v>
      </c>
      <c r="BX20" s="115">
        <f>((BV20-0.28)/BU20)</f>
        <v>0.34730356371590299</v>
      </c>
      <c r="BY20" s="114">
        <f>(BW20/BU20)</f>
        <v>0.543605577990109</v>
      </c>
      <c r="BZ20" s="113">
        <f>((BU20-(BV20-0.28)-BW20)/BU20)</f>
        <v>0.10909085829398799</v>
      </c>
      <c r="CA20" s="108"/>
      <c r="CC20" s="119">
        <v>5</v>
      </c>
      <c r="CD20" s="116">
        <v>2.92</v>
      </c>
      <c r="CE20" s="116">
        <f>CONVERT(CD20, "lbm", "kg")</f>
        <v>1.3244897204000001</v>
      </c>
      <c r="CF20" s="116">
        <v>0.76</v>
      </c>
      <c r="CG20" s="116">
        <v>0.72</v>
      </c>
      <c r="CH20" s="115">
        <f>((CF20-0.28)/CE20)</f>
        <v>0.3624037186600727</v>
      </c>
      <c r="CI20" s="114">
        <f>(CG20/CE20)</f>
        <v>0.543605577990109</v>
      </c>
      <c r="CJ20" s="113">
        <f>((CE20-(CF20-0.28)-CG20)/CE20)</f>
        <v>9.399070334981828E-2</v>
      </c>
      <c r="CK20" s="108"/>
      <c r="CM20" s="119">
        <v>5</v>
      </c>
      <c r="CN20" s="116">
        <v>3.1</v>
      </c>
      <c r="CO20" s="116">
        <f>CONVERT(CN20, "lbm", "kg")</f>
        <v>1.4061363470000001</v>
      </c>
      <c r="CP20" s="116">
        <v>0.78</v>
      </c>
      <c r="CQ20" s="116">
        <v>0.74</v>
      </c>
      <c r="CR20" s="115">
        <f>((CP20-0.28)/CO20)</f>
        <v>0.35558429384657669</v>
      </c>
      <c r="CS20" s="114">
        <f>(CQ20/CO20)</f>
        <v>0.52626475489293356</v>
      </c>
      <c r="CT20" s="113">
        <f>((CO20-(CP20-0.28)-CQ20)/CO20)</f>
        <v>0.11815095126048976</v>
      </c>
    </row>
    <row r="21" spans="2:98" ht="23.25" thickBot="1" x14ac:dyDescent="0.25">
      <c r="B21" s="119">
        <v>6</v>
      </c>
      <c r="C21" s="116">
        <v>3.02</v>
      </c>
      <c r="D21" s="116">
        <f>CONVERT(C21, "lbm", "kg")</f>
        <v>1.3698489574000001</v>
      </c>
      <c r="E21" s="116">
        <v>0.8</v>
      </c>
      <c r="F21" s="118">
        <v>0.76</v>
      </c>
      <c r="G21" s="115">
        <f>((E21-0.28)/D21)</f>
        <v>0.37960389515276932</v>
      </c>
      <c r="H21" s="114">
        <f>(F21/D21)</f>
        <v>0.5548056929155859</v>
      </c>
      <c r="I21" s="113">
        <f>((D21-(E21-0.28)-F21)/D21)</f>
        <v>6.5590411931644749E-2</v>
      </c>
      <c r="K21" s="119">
        <v>6</v>
      </c>
      <c r="L21" s="116">
        <v>3.74</v>
      </c>
      <c r="M21" s="116">
        <f>CONVERT(L21, "lbm", "kg")</f>
        <v>1.6964354638000003</v>
      </c>
      <c r="N21" s="116">
        <v>0.88</v>
      </c>
      <c r="O21" s="116">
        <v>0.9</v>
      </c>
      <c r="P21" s="115">
        <f>((N21-0.28)/M21)</f>
        <v>0.35368277355862704</v>
      </c>
      <c r="Q21" s="114">
        <f>(O21/M21)</f>
        <v>0.53052416033794059</v>
      </c>
      <c r="R21" s="113">
        <f>((M21-(N21-0.28)-O21)/M21)</f>
        <v>0.11579306610343226</v>
      </c>
      <c r="S21" s="108"/>
      <c r="U21" s="119">
        <v>6</v>
      </c>
      <c r="V21" s="116">
        <v>2.88</v>
      </c>
      <c r="W21" s="116">
        <f>CONVERT(V21, "lbm", "kg")</f>
        <v>1.3063460256000001</v>
      </c>
      <c r="X21" s="116">
        <v>0.74</v>
      </c>
      <c r="Y21" s="116">
        <v>0.7</v>
      </c>
      <c r="Z21" s="115">
        <f>((X21-0.28)/W21)</f>
        <v>0.35212722432306831</v>
      </c>
      <c r="AA21" s="114">
        <f>(Y21/W21)</f>
        <v>0.53584577614379958</v>
      </c>
      <c r="AB21" s="113">
        <f>((W21-(X21-0.28)-Y21)/W21)</f>
        <v>0.11202699953313211</v>
      </c>
      <c r="AC21" s="108"/>
      <c r="AE21" s="119">
        <v>6</v>
      </c>
      <c r="AF21" s="116">
        <v>3.58</v>
      </c>
      <c r="AG21" s="116">
        <f>CONVERT(AF21, "lbm", "kg")</f>
        <v>1.6238606846000001</v>
      </c>
      <c r="AH21" s="116">
        <v>0.88</v>
      </c>
      <c r="AI21" s="116">
        <v>0.86</v>
      </c>
      <c r="AJ21" s="115">
        <f>((AH21-0.28)/AG21)</f>
        <v>0.36948982489085624</v>
      </c>
      <c r="AK21" s="114">
        <f>(AI21/AG21)</f>
        <v>0.52960208234356065</v>
      </c>
      <c r="AL21" s="113">
        <f>((AG21-(AH21-0.28)-AI21)/AG21)</f>
        <v>0.1009080927655832</v>
      </c>
      <c r="AM21" s="108"/>
      <c r="AO21" s="119">
        <v>6</v>
      </c>
      <c r="AP21" s="116">
        <v>2.92</v>
      </c>
      <c r="AQ21" s="116">
        <f>CONVERT(AP21, "lbm", "kg")</f>
        <v>1.3244897204000001</v>
      </c>
      <c r="AR21" s="116">
        <v>0.76</v>
      </c>
      <c r="AS21" s="116">
        <v>0.72</v>
      </c>
      <c r="AT21" s="115">
        <f>((AR21-0.28)/AQ21)</f>
        <v>0.3624037186600727</v>
      </c>
      <c r="AU21" s="114">
        <f>(AS21/AQ21)</f>
        <v>0.543605577990109</v>
      </c>
      <c r="AV21" s="113">
        <f>((AQ21-(AR21-0.28)-AS21)/AQ21)</f>
        <v>9.399070334981828E-2</v>
      </c>
      <c r="AW21" s="108"/>
      <c r="AY21" s="119">
        <v>6</v>
      </c>
      <c r="AZ21" s="116">
        <v>2.78</v>
      </c>
      <c r="BA21" s="116">
        <f>CONVERT(AZ21, "lbm", "kg")</f>
        <v>1.2609867885999999</v>
      </c>
      <c r="BB21" s="116">
        <v>0.74</v>
      </c>
      <c r="BC21" s="116">
        <v>0.64</v>
      </c>
      <c r="BD21" s="115">
        <f>((BB21-0.28)/BA21)</f>
        <v>0.36479367124116435</v>
      </c>
      <c r="BE21" s="114">
        <f>(BC21/BA21)</f>
        <v>0.50753902085727221</v>
      </c>
      <c r="BF21" s="113">
        <f>((BA21-(BB21-0.28)-BC21)/BA21)</f>
        <v>0.12766730790156347</v>
      </c>
      <c r="BG21" s="108"/>
      <c r="BI21" s="119">
        <v>6</v>
      </c>
      <c r="BJ21" s="116">
        <v>3.2</v>
      </c>
      <c r="BK21" s="116">
        <f>CONVERT(BJ21, "lbm", "kg")</f>
        <v>1.4514955840000003</v>
      </c>
      <c r="BL21" s="116">
        <v>0.78</v>
      </c>
      <c r="BM21" s="116">
        <v>0.76</v>
      </c>
      <c r="BN21" s="115">
        <f>((BL21-0.28)/BK21)</f>
        <v>0.34447228466387114</v>
      </c>
      <c r="BO21" s="114">
        <f>(BM21/BK21)</f>
        <v>0.52359787268908409</v>
      </c>
      <c r="BP21" s="113">
        <f>((BK21-(BL21-0.28)-BM21)/BK21)</f>
        <v>0.13192984264704471</v>
      </c>
      <c r="BQ21" s="108"/>
      <c r="BS21" s="119">
        <v>6</v>
      </c>
      <c r="BT21" s="116">
        <v>3.38</v>
      </c>
      <c r="BU21" s="116">
        <f>CONVERT(BT21, "lbm", "kg")</f>
        <v>1.5331422106000001</v>
      </c>
      <c r="BV21" s="116">
        <v>0.84</v>
      </c>
      <c r="BW21" s="116">
        <v>0.84</v>
      </c>
      <c r="BX21" s="115">
        <f>((BV21-0.28)/BU21)</f>
        <v>0.36526291959624679</v>
      </c>
      <c r="BY21" s="114">
        <f>(BW21/BU21)</f>
        <v>0.54789437939437025</v>
      </c>
      <c r="BZ21" s="113">
        <f>((BU21-(BV21-0.28)-BW21)/BU21)</f>
        <v>8.6842701009382919E-2</v>
      </c>
      <c r="CA21" s="108"/>
      <c r="CC21" s="119">
        <v>6</v>
      </c>
      <c r="CD21" s="116">
        <v>3.3</v>
      </c>
      <c r="CE21" s="116">
        <f>CONVERT(CD21, "lbm", "kg")</f>
        <v>1.4968548209999999</v>
      </c>
      <c r="CF21" s="116">
        <v>0.8</v>
      </c>
      <c r="CG21" s="116">
        <v>0.8</v>
      </c>
      <c r="CH21" s="115">
        <f>((CF21-0.28)/CE21)</f>
        <v>0.34739507980647383</v>
      </c>
      <c r="CI21" s="114">
        <f>(CG21/CE21)</f>
        <v>0.53445396893303665</v>
      </c>
      <c r="CJ21" s="113">
        <f>((CE21-(CF21-0.28)-CG21)/CE21)</f>
        <v>0.11815095126048956</v>
      </c>
      <c r="CK21" s="108"/>
      <c r="CM21" s="119">
        <v>6</v>
      </c>
      <c r="CN21" s="116">
        <v>2.9</v>
      </c>
      <c r="CO21" s="116">
        <f>CONVERT(CN21, "lbm", "kg")</f>
        <v>1.3154178730000001</v>
      </c>
      <c r="CP21" s="116">
        <v>0.74</v>
      </c>
      <c r="CQ21" s="116">
        <v>0.72</v>
      </c>
      <c r="CR21" s="115">
        <f>((CP21-0.28)/CO21)</f>
        <v>0.34969876070704714</v>
      </c>
      <c r="CS21" s="114">
        <f>(CQ21/CO21)</f>
        <v>0.54735458197624776</v>
      </c>
      <c r="CT21" s="113">
        <f>((CO21-(CP21-0.28)-CQ21)/CO21)</f>
        <v>0.10294665731670515</v>
      </c>
    </row>
    <row r="22" spans="2:98" ht="23.25" thickBot="1" x14ac:dyDescent="0.25">
      <c r="B22" s="119">
        <v>7</v>
      </c>
      <c r="C22" s="116">
        <v>4.24</v>
      </c>
      <c r="D22" s="116">
        <f>CONVERT(C22, "lbm", "kg")</f>
        <v>1.9232316488000001</v>
      </c>
      <c r="E22" s="116">
        <v>0.96</v>
      </c>
      <c r="F22" s="118">
        <v>1</v>
      </c>
      <c r="G22" s="115">
        <f>((E22-0.28)/D22)</f>
        <v>0.3535715525606527</v>
      </c>
      <c r="H22" s="114">
        <f>(F22/D22)</f>
        <v>0.51995816553037166</v>
      </c>
      <c r="I22" s="113">
        <f>((D22-(E22-0.28)-F22)/D22)</f>
        <v>0.12647028190897569</v>
      </c>
      <c r="K22" s="119">
        <v>7</v>
      </c>
      <c r="L22" s="116">
        <v>3.74</v>
      </c>
      <c r="M22" s="116">
        <f>CONVERT(L22, "lbm", "kg")</f>
        <v>1.6964354638000003</v>
      </c>
      <c r="N22" s="116">
        <v>0.88</v>
      </c>
      <c r="O22" s="116">
        <v>0.88</v>
      </c>
      <c r="P22" s="115">
        <f>((N22-0.28)/M22)</f>
        <v>0.35368277355862704</v>
      </c>
      <c r="Q22" s="114">
        <f>(O22/M22)</f>
        <v>0.51873473455265307</v>
      </c>
      <c r="R22" s="113">
        <f>((M22-(N22-0.28)-O22)/M22)</f>
        <v>0.12758249188871984</v>
      </c>
      <c r="S22" s="108"/>
      <c r="U22" s="119">
        <v>7</v>
      </c>
      <c r="V22" s="116">
        <v>3.12</v>
      </c>
      <c r="W22" s="116">
        <f>CONVERT(V22, "lbm", "kg")</f>
        <v>1.4152081944000001</v>
      </c>
      <c r="X22" s="116">
        <v>0.78</v>
      </c>
      <c r="Y22" s="116">
        <v>0.76</v>
      </c>
      <c r="Z22" s="115">
        <f>((X22-0.28)/W22)</f>
        <v>0.3533049073475602</v>
      </c>
      <c r="AA22" s="114">
        <f>(Y22/W22)</f>
        <v>0.53702345916829153</v>
      </c>
      <c r="AB22" s="113">
        <f>((W22-(X22-0.28)-Y22)/W22)</f>
        <v>0.1096716334841483</v>
      </c>
      <c r="AC22" s="108"/>
      <c r="AE22" s="119">
        <v>7</v>
      </c>
      <c r="AF22" s="116">
        <v>2.98</v>
      </c>
      <c r="AG22" s="116">
        <f>CONVERT(AF22, "lbm", "kg")</f>
        <v>1.3517052625999999</v>
      </c>
      <c r="AH22" s="116">
        <v>0.76</v>
      </c>
      <c r="AI22" s="116">
        <v>0.72</v>
      </c>
      <c r="AJ22" s="115">
        <f>((AH22-0.28)/AG22)</f>
        <v>0.35510699949242025</v>
      </c>
      <c r="AK22" s="114">
        <f>(AI22/AG22)</f>
        <v>0.53266049923863046</v>
      </c>
      <c r="AL22" s="113">
        <f>((AG22-(AH22-0.28)-AI22)/AG22)</f>
        <v>0.11223250126894931</v>
      </c>
      <c r="AM22" s="108"/>
      <c r="AO22" s="119">
        <v>7</v>
      </c>
      <c r="AP22" s="116">
        <v>3.9</v>
      </c>
      <c r="AQ22" s="116">
        <f>CONVERT(AP22, "lbm", "kg")</f>
        <v>1.7690102430000001</v>
      </c>
      <c r="AR22" s="116">
        <v>0.92</v>
      </c>
      <c r="AS22" s="116">
        <v>0.96</v>
      </c>
      <c r="AT22" s="115">
        <f>((AR22-0.28)/AQ22)</f>
        <v>0.36178422512390168</v>
      </c>
      <c r="AU22" s="114">
        <f>(AS22/AQ22)</f>
        <v>0.54267633768585244</v>
      </c>
      <c r="AV22" s="113">
        <f>((AQ22-(AR22-0.28)-AS22)/AQ22)</f>
        <v>9.5539437190245949E-2</v>
      </c>
      <c r="AW22" s="108"/>
      <c r="AY22" s="119">
        <v>7</v>
      </c>
      <c r="AZ22" s="116">
        <v>3.44</v>
      </c>
      <c r="BA22" s="116">
        <f>CONVERT(AZ22, "lbm", "kg")</f>
        <v>1.5603577528000001</v>
      </c>
      <c r="BB22" s="116">
        <v>0.84</v>
      </c>
      <c r="BC22" s="116">
        <v>0.84</v>
      </c>
      <c r="BD22" s="115">
        <f>((BB22-0.28)/BA22)</f>
        <v>0.35889205471956809</v>
      </c>
      <c r="BE22" s="114">
        <f>(BC22/BA22)</f>
        <v>0.53833808207935219</v>
      </c>
      <c r="BF22" s="113">
        <f>((BA22-(BB22-0.28)-BC22)/BA22)</f>
        <v>0.10276986320107981</v>
      </c>
      <c r="BG22" s="108"/>
      <c r="BI22" s="119">
        <v>7</v>
      </c>
      <c r="BJ22" s="116">
        <v>3.36</v>
      </c>
      <c r="BK22" s="116">
        <f>CONVERT(BJ22, "lbm", "kg")</f>
        <v>1.5240703632000001</v>
      </c>
      <c r="BL22" s="116">
        <v>0.86</v>
      </c>
      <c r="BM22" s="116">
        <v>0.86</v>
      </c>
      <c r="BN22" s="115">
        <f>((BL22-0.28)/BK22)</f>
        <v>0.3805598573429434</v>
      </c>
      <c r="BO22" s="114">
        <f>(BM22/BK22)</f>
        <v>0.56427840916367467</v>
      </c>
      <c r="BP22" s="113">
        <f>((BK22-(BL22-0.28)-BM22)/BK22)</f>
        <v>5.5161733493381902E-2</v>
      </c>
      <c r="BQ22" s="108"/>
      <c r="BS22" s="119">
        <v>7</v>
      </c>
      <c r="BT22" s="116">
        <v>2.94</v>
      </c>
      <c r="BU22" s="116">
        <f>CONVERT(BT22, "lbm", "kg")</f>
        <v>1.3335615677999999</v>
      </c>
      <c r="BV22" s="116">
        <v>0.76</v>
      </c>
      <c r="BW22" s="116">
        <v>0.72</v>
      </c>
      <c r="BX22" s="115">
        <f>((BV22-0.28)/BU22)</f>
        <v>0.3599383872406165</v>
      </c>
      <c r="BY22" s="114">
        <f>(BW22/BU22)</f>
        <v>0.53990758086092472</v>
      </c>
      <c r="BZ22" s="113">
        <f>((BU22-(BV22-0.28)-BW22)/BU22)</f>
        <v>0.10015403189845883</v>
      </c>
      <c r="CA22" s="108"/>
      <c r="CC22" s="119">
        <v>7</v>
      </c>
      <c r="CD22" s="116">
        <v>3.16</v>
      </c>
      <c r="CE22" s="116">
        <f>CONVERT(CD22, "lbm", "kg")</f>
        <v>1.4333518892000001</v>
      </c>
      <c r="CF22" s="116">
        <v>0.78</v>
      </c>
      <c r="CG22" s="116">
        <v>0.78</v>
      </c>
      <c r="CH22" s="115">
        <f>((CF22-0.28)/CE22)</f>
        <v>0.34883269333050249</v>
      </c>
      <c r="CI22" s="114">
        <f>(CG22/CE22)</f>
        <v>0.54417900159558386</v>
      </c>
      <c r="CJ22" s="113">
        <f>((CE22-(CF22-0.28)-CG22)/CE22)</f>
        <v>0.10698830507391366</v>
      </c>
      <c r="CK22" s="108"/>
      <c r="CM22" s="119">
        <v>7</v>
      </c>
      <c r="CN22" s="116">
        <v>3</v>
      </c>
      <c r="CO22" s="116">
        <f>CONVERT(CN22, "lbm", "kg")</f>
        <v>1.3607771100000001</v>
      </c>
      <c r="CP22" s="116">
        <v>0.74</v>
      </c>
      <c r="CQ22" s="116">
        <v>0.72</v>
      </c>
      <c r="CR22" s="115">
        <f>((CP22-0.28)/CO22)</f>
        <v>0.33804213535014555</v>
      </c>
      <c r="CS22" s="114">
        <f>(CQ22/CO22)</f>
        <v>0.52910942924370608</v>
      </c>
      <c r="CT22" s="113">
        <f>((CO22-(CP22-0.28)-CQ22)/CO22)</f>
        <v>0.1328484354061483</v>
      </c>
    </row>
    <row r="23" spans="2:98" ht="23.25" thickBot="1" x14ac:dyDescent="0.25">
      <c r="B23" s="119">
        <v>8</v>
      </c>
      <c r="C23" s="116">
        <v>3.08</v>
      </c>
      <c r="D23" s="116">
        <f>CONVERT(C23, "lbm", "kg")</f>
        <v>1.3970644996000001</v>
      </c>
      <c r="E23" s="116">
        <v>0.78</v>
      </c>
      <c r="F23" s="118">
        <v>0.76</v>
      </c>
      <c r="G23" s="115">
        <f>((E23-0.28)/D23)</f>
        <v>0.35789328276765836</v>
      </c>
      <c r="H23" s="114">
        <f>(F23/D23)</f>
        <v>0.54399778980684077</v>
      </c>
      <c r="I23" s="113">
        <f>((D23-(E23-0.28)-F23)/D23)</f>
        <v>9.8108927425500883E-2</v>
      </c>
      <c r="K23" s="119">
        <v>8</v>
      </c>
      <c r="L23" s="116">
        <v>4.0199999999999996</v>
      </c>
      <c r="M23" s="116">
        <f>CONVERT(L23, "lbm", "kg")</f>
        <v>1.8234413273999999</v>
      </c>
      <c r="N23" s="116">
        <v>0.94</v>
      </c>
      <c r="O23" s="116">
        <v>0.98</v>
      </c>
      <c r="P23" s="115">
        <f>((N23-0.28)/M23)</f>
        <v>0.36195296776621688</v>
      </c>
      <c r="Q23" s="114">
        <f>(O23/M23)</f>
        <v>0.53744531577407972</v>
      </c>
      <c r="R23" s="113">
        <f>((M23-(N23-0.28)-O23)/M23)</f>
        <v>0.10060171645970339</v>
      </c>
      <c r="S23" s="108"/>
      <c r="U23" s="119">
        <v>8</v>
      </c>
      <c r="V23" s="116">
        <v>2.9</v>
      </c>
      <c r="W23" s="116">
        <f>CONVERT(V23, "lbm", "kg")</f>
        <v>1.3154178730000001</v>
      </c>
      <c r="X23" s="116">
        <v>0.78</v>
      </c>
      <c r="Y23" s="116">
        <v>0.72</v>
      </c>
      <c r="Z23" s="115">
        <f>((X23-0.28)/W23)</f>
        <v>0.38010734859461648</v>
      </c>
      <c r="AA23" s="114">
        <f>(Y23/W23)</f>
        <v>0.54735458197624776</v>
      </c>
      <c r="AB23" s="113">
        <f>((W23-(X23-0.28)-Y23)/W23)</f>
        <v>7.2538069429135807E-2</v>
      </c>
      <c r="AC23" s="108"/>
      <c r="AE23" s="119">
        <v>8</v>
      </c>
      <c r="AF23" s="116">
        <v>3.54</v>
      </c>
      <c r="AG23" s="116">
        <f>CONVERT(AF23, "lbm", "kg")</f>
        <v>1.6057169898000001</v>
      </c>
      <c r="AH23" s="116">
        <v>0.86</v>
      </c>
      <c r="AI23" s="116">
        <v>0.86</v>
      </c>
      <c r="AJ23" s="115">
        <f>((AH23-0.28)/AG23)</f>
        <v>0.36120935612211574</v>
      </c>
      <c r="AK23" s="114">
        <f>(AI23/AG23)</f>
        <v>0.53558628666382679</v>
      </c>
      <c r="AL23" s="113">
        <f>((AG23-(AH23-0.28)-AI23)/AG23)</f>
        <v>0.10320435721405746</v>
      </c>
      <c r="AM23" s="108"/>
      <c r="AO23" s="119">
        <v>8</v>
      </c>
      <c r="AP23" s="116">
        <v>2.86</v>
      </c>
      <c r="AQ23" s="116">
        <f>CONVERT(AP23, "lbm", "kg")</f>
        <v>1.2972741782000001</v>
      </c>
      <c r="AR23" s="116">
        <v>0.74</v>
      </c>
      <c r="AS23" s="116">
        <v>0.7</v>
      </c>
      <c r="AT23" s="115">
        <f>((AR23-0.28)/AQ23)</f>
        <v>0.35458965246518764</v>
      </c>
      <c r="AU23" s="114">
        <f>(AS23/AQ23)</f>
        <v>0.53959294940354641</v>
      </c>
      <c r="AV23" s="113">
        <f>((AQ23-(AR23-0.28)-AS23)/AQ23)</f>
        <v>0.10581739813126591</v>
      </c>
      <c r="AW23" s="108"/>
      <c r="AY23" s="119">
        <v>8</v>
      </c>
      <c r="AZ23" s="116">
        <v>3.86</v>
      </c>
      <c r="BA23" s="116">
        <f>CONVERT(AZ23, "lbm", "kg")</f>
        <v>1.7508665481999999</v>
      </c>
      <c r="BB23" s="116">
        <v>0.9</v>
      </c>
      <c r="BC23" s="116">
        <v>0.94</v>
      </c>
      <c r="BD23" s="115">
        <f>((BB23-0.28)/BA23)</f>
        <v>0.35411036931249767</v>
      </c>
      <c r="BE23" s="114">
        <f>(BC23/BA23)</f>
        <v>0.53687701153830292</v>
      </c>
      <c r="BF23" s="113">
        <f>((BA23-(BB23-0.28)-BC23)/BA23)</f>
        <v>0.10901261914919932</v>
      </c>
      <c r="BG23" s="108"/>
      <c r="BI23" s="119">
        <v>8</v>
      </c>
      <c r="BJ23" s="116">
        <v>3.16</v>
      </c>
      <c r="BK23" s="116">
        <f>CONVERT(BJ23, "lbm", "kg")</f>
        <v>1.4333518892000001</v>
      </c>
      <c r="BL23" s="116">
        <v>0.8</v>
      </c>
      <c r="BM23" s="116">
        <v>0.74</v>
      </c>
      <c r="BN23" s="115">
        <f>((BL23-0.28)/BK23)</f>
        <v>0.36278600106372261</v>
      </c>
      <c r="BO23" s="114">
        <f>(BM23/BK23)</f>
        <v>0.51627238612914361</v>
      </c>
      <c r="BP23" s="113">
        <f>((BK23-(BL23-0.28)-BM23)/BK23)</f>
        <v>0.12094161280713377</v>
      </c>
      <c r="BQ23" s="108"/>
      <c r="BS23" s="119">
        <v>8</v>
      </c>
      <c r="BT23" s="116">
        <v>3.56</v>
      </c>
      <c r="BU23" s="116">
        <f>CONVERT(BT23, "lbm", "kg")</f>
        <v>1.6147888372000001</v>
      </c>
      <c r="BV23" s="116">
        <v>0.88</v>
      </c>
      <c r="BW23" s="116">
        <v>0.9</v>
      </c>
      <c r="BX23" s="115">
        <f>((BV23-0.28)/BU23)</f>
        <v>0.37156561042395092</v>
      </c>
      <c r="BY23" s="114">
        <f>(BW23/BU23)</f>
        <v>0.55734841563592641</v>
      </c>
      <c r="BZ23" s="113">
        <f>((BU23-(BV23-0.28)-BW23)/BU23)</f>
        <v>7.1085973940122685E-2</v>
      </c>
      <c r="CA23" s="108"/>
      <c r="CC23" s="119">
        <v>8</v>
      </c>
      <c r="CD23" s="116">
        <v>3.18</v>
      </c>
      <c r="CE23" s="116">
        <f>CONVERT(CD23, "lbm", "kg")</f>
        <v>1.4424237366000003</v>
      </c>
      <c r="CF23" s="116">
        <v>0.8</v>
      </c>
      <c r="CG23" s="116">
        <v>0.78</v>
      </c>
      <c r="CH23" s="115">
        <f>((CF23-0.28)/CE23)</f>
        <v>0.36050432810105759</v>
      </c>
      <c r="CI23" s="114">
        <f>(CG23/CE23)</f>
        <v>0.54075649215158639</v>
      </c>
      <c r="CJ23" s="113">
        <f>((CE23-(CF23-0.28)-CG23)/CE23)</f>
        <v>9.8739179747355979E-2</v>
      </c>
      <c r="CK23" s="108"/>
      <c r="CM23" s="119">
        <v>8</v>
      </c>
      <c r="CN23" s="116">
        <v>3.2</v>
      </c>
      <c r="CO23" s="116">
        <f>CONVERT(CN23, "lbm", "kg")</f>
        <v>1.4514955840000003</v>
      </c>
      <c r="CP23" s="116">
        <v>0.82</v>
      </c>
      <c r="CQ23" s="116">
        <v>0.8</v>
      </c>
      <c r="CR23" s="115">
        <f>((CP23-0.28)/CO23)</f>
        <v>0.3720300674369808</v>
      </c>
      <c r="CS23" s="114">
        <f>(CQ23/CO23)</f>
        <v>0.55115565546219381</v>
      </c>
      <c r="CT23" s="113">
        <f>((CO23-(CP23-0.28)-CQ23)/CO23)</f>
        <v>7.6814277100825362E-2</v>
      </c>
    </row>
    <row r="24" spans="2:98" ht="23.25" thickBot="1" x14ac:dyDescent="0.25">
      <c r="B24" s="119">
        <v>9</v>
      </c>
      <c r="C24" s="116">
        <v>4.2</v>
      </c>
      <c r="D24" s="116">
        <f>CONVERT(C24, "lbm", "kg")</f>
        <v>1.9050879540000001</v>
      </c>
      <c r="E24" s="116">
        <v>0.94</v>
      </c>
      <c r="F24" s="118">
        <v>1</v>
      </c>
      <c r="G24" s="115">
        <f>((E24-0.28)/D24)</f>
        <v>0.3464406977190933</v>
      </c>
      <c r="H24" s="114">
        <f>(F24/D24)</f>
        <v>0.52491014805923231</v>
      </c>
      <c r="I24" s="113">
        <f>((D24-(E24-0.28)-F24)/D24)</f>
        <v>0.12864915422167442</v>
      </c>
      <c r="K24" s="119">
        <v>9</v>
      </c>
      <c r="L24" s="116">
        <v>3.72</v>
      </c>
      <c r="M24" s="116">
        <f>CONVERT(L24, "lbm", "kg")</f>
        <v>1.6873636164000003</v>
      </c>
      <c r="N24" s="116">
        <v>0.88</v>
      </c>
      <c r="O24" s="116">
        <v>0.9</v>
      </c>
      <c r="P24" s="115">
        <f>((N24-0.28)/M24)</f>
        <v>0.35558429384657664</v>
      </c>
      <c r="Q24" s="114">
        <f>(O24/M24)</f>
        <v>0.53337644076986501</v>
      </c>
      <c r="R24" s="113">
        <f>((M24-(N24-0.28)-O24)/M24)</f>
        <v>0.11103926538355824</v>
      </c>
      <c r="S24" s="108"/>
      <c r="U24" s="119">
        <v>9</v>
      </c>
      <c r="V24" s="116">
        <v>3.1</v>
      </c>
      <c r="W24" s="116">
        <f>CONVERT(V24, "lbm", "kg")</f>
        <v>1.4061363470000001</v>
      </c>
      <c r="X24" s="116">
        <v>0.76</v>
      </c>
      <c r="Y24" s="116">
        <v>0.74</v>
      </c>
      <c r="Z24" s="115">
        <f>((X24-0.28)/W24)</f>
        <v>0.34136092209271363</v>
      </c>
      <c r="AA24" s="114">
        <f>(Y24/W24)</f>
        <v>0.52626475489293356</v>
      </c>
      <c r="AB24" s="113">
        <f>((W24-(X24-0.28)-Y24)/W24)</f>
        <v>0.13237432301435284</v>
      </c>
      <c r="AC24" s="108"/>
      <c r="AE24" s="119">
        <v>9</v>
      </c>
      <c r="AF24" s="116">
        <v>3.94</v>
      </c>
      <c r="AG24" s="116">
        <f>CONVERT(AF24, "lbm", "kg")</f>
        <v>1.7871539378000001</v>
      </c>
      <c r="AH24" s="116">
        <v>0.9</v>
      </c>
      <c r="AI24" s="116">
        <v>0.94</v>
      </c>
      <c r="AJ24" s="115">
        <f>((AH24-0.28)/AG24)</f>
        <v>0.34692031105234539</v>
      </c>
      <c r="AK24" s="114">
        <f>(AI24/AG24)</f>
        <v>0.52597595546645914</v>
      </c>
      <c r="AL24" s="113">
        <f>((AG24-(AH24-0.28)-AI24)/AG24)</f>
        <v>0.1271037334811955</v>
      </c>
      <c r="AM24" s="108"/>
      <c r="AO24" s="119">
        <v>9</v>
      </c>
      <c r="AP24" s="116">
        <v>3.86</v>
      </c>
      <c r="AQ24" s="116">
        <f>CONVERT(AP24, "lbm", "kg")</f>
        <v>1.7508665481999999</v>
      </c>
      <c r="AR24" s="116">
        <v>0.9</v>
      </c>
      <c r="AS24" s="116">
        <v>0.96</v>
      </c>
      <c r="AT24" s="115">
        <f>((AR24-0.28)/AQ24)</f>
        <v>0.35411036931249767</v>
      </c>
      <c r="AU24" s="114">
        <f>(AS24/AQ24)</f>
        <v>0.54829992667741578</v>
      </c>
      <c r="AV24" s="113">
        <f>((AQ24-(AR24-0.28)-AS24)/AQ24)</f>
        <v>9.7589704010086487E-2</v>
      </c>
      <c r="AW24" s="108"/>
      <c r="AY24" s="119">
        <v>9</v>
      </c>
      <c r="AZ24" s="116">
        <v>2.84</v>
      </c>
      <c r="BA24" s="116">
        <f>CONVERT(AZ24, "lbm", "kg")</f>
        <v>1.2882023308000001</v>
      </c>
      <c r="BB24" s="116">
        <v>0.74</v>
      </c>
      <c r="BC24" s="116">
        <v>0.66</v>
      </c>
      <c r="BD24" s="115">
        <f>((BB24-0.28)/BA24)</f>
        <v>0.35708676269381573</v>
      </c>
      <c r="BE24" s="114">
        <f>(BC24/BA24)</f>
        <v>0.51234187690851829</v>
      </c>
      <c r="BF24" s="113">
        <f>((BA24-(BB24-0.28)-BC24)/BA24)</f>
        <v>0.13057136039766598</v>
      </c>
      <c r="BG24" s="108"/>
      <c r="BI24" s="119">
        <v>9</v>
      </c>
      <c r="BJ24" s="116">
        <v>2.66</v>
      </c>
      <c r="BK24" s="116">
        <f>CONVERT(BJ24, "lbm", "kg")</f>
        <v>1.2065557042000001</v>
      </c>
      <c r="BL24" s="116">
        <v>0.72</v>
      </c>
      <c r="BM24" s="116">
        <v>0.68</v>
      </c>
      <c r="BN24" s="115">
        <f>((BL24-0.28)/BK24)</f>
        <v>0.3646744186516771</v>
      </c>
      <c r="BO24" s="114">
        <f>(BM24/BK24)</f>
        <v>0.5635877379162284</v>
      </c>
      <c r="BP24" s="113">
        <f>((BK24-(BL24-0.28)-BM24)/BK24)</f>
        <v>7.1737843432094509E-2</v>
      </c>
      <c r="BQ24" s="108"/>
      <c r="BS24" s="119">
        <v>9</v>
      </c>
      <c r="BT24" s="116">
        <v>2.48</v>
      </c>
      <c r="BU24" s="116">
        <f>CONVERT(BT24, "lbm", "kg")</f>
        <v>1.1249090776000001</v>
      </c>
      <c r="BV24" s="116">
        <v>0.68</v>
      </c>
      <c r="BW24" s="116">
        <v>0.62</v>
      </c>
      <c r="BX24" s="115">
        <f>((BV24-0.28)/BU24)</f>
        <v>0.35558429384657669</v>
      </c>
      <c r="BY24" s="114">
        <f>(BW24/BU24)</f>
        <v>0.55115565546219392</v>
      </c>
      <c r="BZ24" s="113">
        <f>((BU24-(BV24-0.28)-BW24)/BU24)</f>
        <v>9.3260050691229404E-2</v>
      </c>
      <c r="CA24" s="108"/>
      <c r="CC24" s="119">
        <v>9</v>
      </c>
      <c r="CD24" s="116">
        <v>3.1</v>
      </c>
      <c r="CE24" s="116">
        <f>CONVERT(CD24, "lbm", "kg")</f>
        <v>1.4061363470000001</v>
      </c>
      <c r="CF24" s="116">
        <v>0.8</v>
      </c>
      <c r="CG24" s="116">
        <v>0.78</v>
      </c>
      <c r="CH24" s="115">
        <f>((CF24-0.28)/CE24)</f>
        <v>0.36980766560043982</v>
      </c>
      <c r="CI24" s="114">
        <f>(CG24/CE24)</f>
        <v>0.5547114984006597</v>
      </c>
      <c r="CJ24" s="113">
        <f>((CE24-(CF24-0.28)-CG24)/CE24)</f>
        <v>7.5480835998900514E-2</v>
      </c>
      <c r="CK24" s="108"/>
      <c r="CM24" s="119">
        <v>9</v>
      </c>
      <c r="CN24" s="116">
        <v>3.18</v>
      </c>
      <c r="CO24" s="116">
        <f>CONVERT(CN24, "lbm", "kg")</f>
        <v>1.4424237366000003</v>
      </c>
      <c r="CP24" s="116">
        <v>0.8</v>
      </c>
      <c r="CQ24" s="116">
        <v>0.78</v>
      </c>
      <c r="CR24" s="115">
        <f>((CP24-0.28)/CO24)</f>
        <v>0.36050432810105759</v>
      </c>
      <c r="CS24" s="114">
        <f>(CQ24/CO24)</f>
        <v>0.54075649215158639</v>
      </c>
      <c r="CT24" s="113">
        <f>((CO24-(CP24-0.28)-CQ24)/CO24)</f>
        <v>9.8739179747355979E-2</v>
      </c>
    </row>
    <row r="25" spans="2:98" ht="22.5" x14ac:dyDescent="0.2">
      <c r="B25" s="117">
        <v>10</v>
      </c>
      <c r="C25" s="116">
        <v>4.42</v>
      </c>
      <c r="D25" s="116">
        <f>CONVERT(C25, "lbm", "kg")</f>
        <v>2.0048782754000003</v>
      </c>
      <c r="E25" s="116">
        <v>1</v>
      </c>
      <c r="F25" s="118">
        <v>1.1000000000000001</v>
      </c>
      <c r="G25" s="115">
        <f>((E25-0.28)/D25)</f>
        <v>0.35912404699799055</v>
      </c>
      <c r="H25" s="114">
        <f>(F25/D25)</f>
        <v>0.54866173846915234</v>
      </c>
      <c r="I25" s="113">
        <f>((D25-(E25-0.28)-F25)/D25)</f>
        <v>9.2214214532857122E-2</v>
      </c>
      <c r="K25" s="117">
        <v>10</v>
      </c>
      <c r="L25" s="116">
        <v>3.54</v>
      </c>
      <c r="M25" s="116">
        <f>CONVERT(L25, "lbm", "kg")</f>
        <v>1.6057169898000001</v>
      </c>
      <c r="N25" s="116">
        <v>0.84</v>
      </c>
      <c r="O25" s="116">
        <v>0.88</v>
      </c>
      <c r="P25" s="115">
        <f>((N25-0.28)/M25)</f>
        <v>0.3487538610834221</v>
      </c>
      <c r="Q25" s="114">
        <f>(O25/M25)</f>
        <v>0.54804178170252049</v>
      </c>
      <c r="R25" s="113">
        <f>((M25-(N25-0.28)-O25)/M25)</f>
        <v>0.10320435721405746</v>
      </c>
      <c r="S25" s="108"/>
      <c r="U25" s="117">
        <v>10</v>
      </c>
      <c r="V25" s="116">
        <v>3.04</v>
      </c>
      <c r="W25" s="116">
        <f>CONVERT(V25, "lbm", "kg")</f>
        <v>1.3789208048000001</v>
      </c>
      <c r="X25" s="116">
        <v>0.78</v>
      </c>
      <c r="Y25" s="116">
        <v>0.72</v>
      </c>
      <c r="Z25" s="115">
        <f>((X25-0.28)/W25)</f>
        <v>0.36260240490933809</v>
      </c>
      <c r="AA25" s="114">
        <f>(Y25/W25)</f>
        <v>0.52214746306944682</v>
      </c>
      <c r="AB25" s="113">
        <f>((W25-(X25-0.28)-Y25)/W25)</f>
        <v>0.11525013202121506</v>
      </c>
      <c r="AC25" s="108"/>
      <c r="AE25" s="117">
        <v>10</v>
      </c>
      <c r="AF25" s="116">
        <v>3.44</v>
      </c>
      <c r="AG25" s="116">
        <f>CONVERT(AF25, "lbm", "kg")</f>
        <v>1.5603577528000001</v>
      </c>
      <c r="AH25" s="116">
        <v>0.82</v>
      </c>
      <c r="AI25" s="116">
        <v>0.86</v>
      </c>
      <c r="AJ25" s="115">
        <f>((AH25-0.28)/AG25)</f>
        <v>0.34607448133672636</v>
      </c>
      <c r="AK25" s="114">
        <f>(AI25/AG25)</f>
        <v>0.55115565546219392</v>
      </c>
      <c r="AL25" s="113">
        <f>((AG25-(AH25-0.28)-AI25)/AG25)</f>
        <v>0.10276986320107981</v>
      </c>
      <c r="AM25" s="108"/>
      <c r="AO25" s="117">
        <v>10</v>
      </c>
      <c r="AP25" s="116">
        <v>3.42</v>
      </c>
      <c r="AQ25" s="116">
        <f>CONVERT(AP25, "lbm", "kg")</f>
        <v>1.5512859054000001</v>
      </c>
      <c r="AR25" s="116">
        <v>0.82</v>
      </c>
      <c r="AS25" s="116">
        <v>0.82</v>
      </c>
      <c r="AT25" s="115">
        <f>((AR25-0.28)/AQ25)</f>
        <v>0.34809830871296454</v>
      </c>
      <c r="AU25" s="114">
        <f>(AS25/AQ25)</f>
        <v>0.52859372804561289</v>
      </c>
      <c r="AV25" s="113">
        <f>((AQ25-(AR25-0.28)-AS25)/AQ25)</f>
        <v>0.12330796324142269</v>
      </c>
      <c r="AW25" s="108"/>
      <c r="AY25" s="117">
        <v>10</v>
      </c>
      <c r="AZ25" s="116">
        <v>3.7</v>
      </c>
      <c r="BA25" s="116">
        <f>CONVERT(AZ25, "lbm", "kg")</f>
        <v>1.6782917690000001</v>
      </c>
      <c r="BB25" s="116">
        <v>0.88</v>
      </c>
      <c r="BC25" s="116">
        <v>0.88</v>
      </c>
      <c r="BD25" s="115">
        <f>((BB25-0.28)/BA25)</f>
        <v>0.35750637111061223</v>
      </c>
      <c r="BE25" s="114">
        <f>(BC25/BA25)</f>
        <v>0.52434267762889797</v>
      </c>
      <c r="BF25" s="113">
        <f>((BA25-(BB25-0.28)-BC25)/BA25)</f>
        <v>0.1181509512604898</v>
      </c>
      <c r="BG25" s="108"/>
      <c r="BI25" s="117">
        <v>10</v>
      </c>
      <c r="BJ25" s="116">
        <v>3.38</v>
      </c>
      <c r="BK25" s="116">
        <f>CONVERT(BJ25, "lbm", "kg")</f>
        <v>1.5331422106000001</v>
      </c>
      <c r="BL25" s="116">
        <v>0.84</v>
      </c>
      <c r="BM25" s="116">
        <v>0.82</v>
      </c>
      <c r="BN25" s="115">
        <f>((BL25-0.28)/BK25)</f>
        <v>0.36526291959624679</v>
      </c>
      <c r="BO25" s="114">
        <f>(BM25/BK25)</f>
        <v>0.53484927512307567</v>
      </c>
      <c r="BP25" s="113">
        <f>((BK25-(BL25-0.28)-BM25)/BK25)</f>
        <v>9.9887805280677464E-2</v>
      </c>
      <c r="BQ25" s="108"/>
      <c r="BS25" s="117">
        <v>10</v>
      </c>
      <c r="BT25" s="116">
        <v>3.52</v>
      </c>
      <c r="BU25" s="116">
        <f>CONVERT(BT25, "lbm", "kg")</f>
        <v>1.5966451424000001</v>
      </c>
      <c r="BV25" s="116">
        <v>0.86</v>
      </c>
      <c r="BW25" s="116">
        <v>0.86</v>
      </c>
      <c r="BX25" s="115">
        <f>((BV25-0.28)/BU25)</f>
        <v>0.36326168200917325</v>
      </c>
      <c r="BY25" s="114">
        <f>(BW25/BU25)</f>
        <v>0.53862939056532588</v>
      </c>
      <c r="BZ25" s="113">
        <f>((BU25-(BV25-0.28)-BW25)/BU25)</f>
        <v>9.8108927425500966E-2</v>
      </c>
      <c r="CA25" s="108"/>
      <c r="CC25" s="117">
        <v>10</v>
      </c>
      <c r="CD25" s="116">
        <v>2.78</v>
      </c>
      <c r="CE25" s="116">
        <f>CONVERT(CD25, "lbm", "kg")</f>
        <v>1.2609867885999999</v>
      </c>
      <c r="CF25" s="116">
        <v>0.72</v>
      </c>
      <c r="CG25" s="116">
        <v>0.72</v>
      </c>
      <c r="CH25" s="115">
        <f>((CF25-0.28)/CE25)</f>
        <v>0.34893307683937458</v>
      </c>
      <c r="CI25" s="114">
        <f>(CG25/CE25)</f>
        <v>0.57098139846443119</v>
      </c>
      <c r="CJ25" s="113">
        <f>((CE25-(CF25-0.28)-CG25)/CE25)</f>
        <v>8.008552469619426E-2</v>
      </c>
      <c r="CK25" s="108"/>
      <c r="CM25" s="117">
        <v>10</v>
      </c>
      <c r="CN25" s="116">
        <v>3.32</v>
      </c>
      <c r="CO25" s="116">
        <f>CONVERT(CN25, "lbm", "kg")</f>
        <v>1.5059266683999999</v>
      </c>
      <c r="CP25" s="116">
        <v>0.8</v>
      </c>
      <c r="CQ25" s="116">
        <v>0.78</v>
      </c>
      <c r="CR25" s="115">
        <f>((CP25-0.28)/CO25)</f>
        <v>0.34530233836185648</v>
      </c>
      <c r="CS25" s="114">
        <f>(CQ25/CO25)</f>
        <v>0.51795350754278469</v>
      </c>
      <c r="CT25" s="113">
        <f>((CO25-(CP25-0.28)-CQ25)/CO25)</f>
        <v>0.13674415409535878</v>
      </c>
    </row>
    <row r="26" spans="2:98" ht="22.5" x14ac:dyDescent="0.2">
      <c r="B26" s="112"/>
      <c r="C26" s="111"/>
      <c r="D26" s="111"/>
      <c r="E26" s="110"/>
      <c r="F26" s="109" t="s">
        <v>268</v>
      </c>
      <c r="G26" s="108">
        <f>AVERAGE(G16:G25)</f>
        <v>0.35798730780471877</v>
      </c>
      <c r="H26" s="108">
        <f>AVERAGE(H16:H25)</f>
        <v>0.53369077751607086</v>
      </c>
      <c r="I26" s="108">
        <f>AVERAGE(I16:I25)</f>
        <v>0.10832191467921048</v>
      </c>
      <c r="K26" s="112"/>
      <c r="L26" s="111"/>
      <c r="M26" s="111"/>
      <c r="N26" s="110"/>
      <c r="O26" s="109" t="s">
        <v>268</v>
      </c>
      <c r="P26" s="108">
        <f>AVERAGE(P16:P25)</f>
        <v>0.35960896124024294</v>
      </c>
      <c r="Q26" s="108">
        <f>AVERAGE(Q16:Q25)</f>
        <v>0.53288062641928435</v>
      </c>
      <c r="R26" s="108">
        <f>AVERAGE(R16:R25)</f>
        <v>0.10751041234047265</v>
      </c>
      <c r="S26" s="108"/>
      <c r="U26" s="112"/>
      <c r="V26" s="111"/>
      <c r="W26" s="111"/>
      <c r="X26" s="110"/>
      <c r="Y26" s="109" t="s">
        <v>268</v>
      </c>
      <c r="Z26" s="108">
        <f>AVERAGE(Z16:Z25)</f>
        <v>0.35548100183763442</v>
      </c>
      <c r="AA26" s="108">
        <f>AVERAGE(AA16:AA25)</f>
        <v>0.52870473339661306</v>
      </c>
      <c r="AB26" s="108">
        <f>AVERAGE(AB16:AB25)</f>
        <v>0.1158142647657526</v>
      </c>
      <c r="AC26" s="108"/>
      <c r="AE26" s="112"/>
      <c r="AF26" s="111"/>
      <c r="AG26" s="111"/>
      <c r="AH26" s="110"/>
      <c r="AI26" s="109" t="s">
        <v>268</v>
      </c>
      <c r="AJ26" s="108">
        <f>AVERAGE(AJ16:AJ25)</f>
        <v>0.35280864033157627</v>
      </c>
      <c r="AK26" s="108">
        <f>AVERAGE(AK16:AK25)</f>
        <v>0.53597699106323993</v>
      </c>
      <c r="AL26" s="108">
        <f>AVERAGE(AL16:AL25)</f>
        <v>0.11121436860518383</v>
      </c>
      <c r="AM26" s="108"/>
      <c r="AO26" s="112"/>
      <c r="AP26" s="111"/>
      <c r="AQ26" s="111"/>
      <c r="AR26" s="110"/>
      <c r="AS26" s="109" t="s">
        <v>268</v>
      </c>
      <c r="AT26" s="108">
        <f>AVERAGE(AT16:AT25)</f>
        <v>0.35646306405517969</v>
      </c>
      <c r="AU26" s="108">
        <f>AVERAGE(AU16:AU25)</f>
        <v>0.54431279762039775</v>
      </c>
      <c r="AV26" s="108">
        <f>AVERAGE(AV16:AV25)</f>
        <v>9.9224138324422617E-2</v>
      </c>
      <c r="AW26" s="108"/>
      <c r="AY26" s="112"/>
      <c r="AZ26" s="111"/>
      <c r="BA26" s="111"/>
      <c r="BB26" s="110"/>
      <c r="BC26" s="109" t="s">
        <v>268</v>
      </c>
      <c r="BD26" s="108">
        <f>AVERAGE(BD16:BD25)</f>
        <v>0.35173505043195119</v>
      </c>
      <c r="BE26" s="108">
        <f>AVERAGE(BE16:BE25)</f>
        <v>0.52714421728659044</v>
      </c>
      <c r="BF26" s="108">
        <f>AVERAGE(BF16:BF25)</f>
        <v>0.12112073228145848</v>
      </c>
      <c r="BG26" s="108"/>
      <c r="BI26" s="112"/>
      <c r="BJ26" s="111"/>
      <c r="BK26" s="111"/>
      <c r="BL26" s="110"/>
      <c r="BM26" s="109" t="s">
        <v>268</v>
      </c>
      <c r="BN26" s="108">
        <f>AVERAGE(BN16:BN25)</f>
        <v>0.35959607798549131</v>
      </c>
      <c r="BO26" s="108">
        <f>AVERAGE(BO16:BO25)</f>
        <v>0.54176975571817421</v>
      </c>
      <c r="BP26" s="108">
        <f>AVERAGE(BP16:BP25)</f>
        <v>9.8634166296334508E-2</v>
      </c>
      <c r="BQ26" s="108"/>
      <c r="BS26" s="112"/>
      <c r="BT26" s="111"/>
      <c r="BU26" s="111"/>
      <c r="BV26" s="110"/>
      <c r="BW26" s="109" t="s">
        <v>268</v>
      </c>
      <c r="BX26" s="108">
        <f>AVERAGE(BX16:BX25)</f>
        <v>0.36075105757444031</v>
      </c>
      <c r="BY26" s="108">
        <f>AVERAGE(BY16:BY25)</f>
        <v>0.54756742168066341</v>
      </c>
      <c r="BZ26" s="108">
        <f>AVERAGE(BZ16:BZ25)</f>
        <v>9.1681520744896161E-2</v>
      </c>
      <c r="CA26" s="108"/>
      <c r="CC26" s="112"/>
      <c r="CD26" s="111"/>
      <c r="CE26" s="111"/>
      <c r="CF26" s="110"/>
      <c r="CG26" s="109" t="s">
        <v>268</v>
      </c>
      <c r="CH26" s="108">
        <f>AVERAGE(CH16:CH25)</f>
        <v>0.35561324782676579</v>
      </c>
      <c r="CI26" s="108">
        <f>AVERAGE(CI16:CI25)</f>
        <v>0.55047641067977304</v>
      </c>
      <c r="CJ26" s="108">
        <f>AVERAGE(CJ16:CJ25)</f>
        <v>9.3910341493461127E-2</v>
      </c>
      <c r="CK26" s="108"/>
      <c r="CM26" s="112"/>
      <c r="CN26" s="111"/>
      <c r="CO26" s="111"/>
      <c r="CP26" s="110"/>
      <c r="CQ26" s="109" t="s">
        <v>268</v>
      </c>
      <c r="CR26" s="108">
        <f>AVERAGE(CR16:CR25)</f>
        <v>0.35077465132627417</v>
      </c>
      <c r="CS26" s="108">
        <f>AVERAGE(CS16:CS25)</f>
        <v>0.53466704090515094</v>
      </c>
      <c r="CT26" s="108">
        <f>AVERAGE(CT16:CT25)</f>
        <v>0.11455830776857492</v>
      </c>
    </row>
    <row r="28" spans="2:98" x14ac:dyDescent="0.2">
      <c r="G28" s="107">
        <f>SUM(G26:H26)</f>
        <v>0.89167808532078963</v>
      </c>
      <c r="P28" s="107">
        <f>SUM(P26:Q26)</f>
        <v>0.89248958765952735</v>
      </c>
      <c r="Z28" s="107">
        <f>SUM(Z26:AA26)</f>
        <v>0.88418573523424748</v>
      </c>
      <c r="AJ28" s="107">
        <f>SUM(AJ26:AK26)</f>
        <v>0.88878563139481614</v>
      </c>
      <c r="AT28" s="107">
        <f>SUM(AT26:AU26)</f>
        <v>0.90077586167557744</v>
      </c>
      <c r="BD28" s="107">
        <f>SUM(BD26:BE26)</f>
        <v>0.87887926771854163</v>
      </c>
      <c r="BN28" s="107">
        <f>SUM(BN26:BO26)</f>
        <v>0.90136583370366552</v>
      </c>
      <c r="BX28" s="107">
        <f>SUM(BX26:BY26)</f>
        <v>0.90831847925510378</v>
      </c>
      <c r="CH28" s="107">
        <f>SUM(CH26:CI26)</f>
        <v>0.90608965850653878</v>
      </c>
      <c r="CR28" s="107">
        <f>SUM(CR26:CS26)</f>
        <v>0.8854416922314251</v>
      </c>
    </row>
    <row r="34" spans="7:8" x14ac:dyDescent="0.2">
      <c r="G34" s="13" t="s">
        <v>237</v>
      </c>
      <c r="H34" s="107">
        <f>AVERAGE(G28,Z28,AJ28,BN28,BX28,CH28)</f>
        <v>0.89673723723586019</v>
      </c>
    </row>
    <row r="35" spans="7:8" x14ac:dyDescent="0.2">
      <c r="G35" s="13" t="s">
        <v>234</v>
      </c>
      <c r="H35" s="107">
        <f>AVERAGE(P28,BD28)</f>
        <v>0.88568442768903455</v>
      </c>
    </row>
  </sheetData>
  <mergeCells count="6">
    <mergeCell ref="CP14:CU14"/>
    <mergeCell ref="E14:J14"/>
    <mergeCell ref="X14:AD14"/>
    <mergeCell ref="AH14:AN14"/>
    <mergeCell ref="BL14:BR14"/>
    <mergeCell ref="BV14:CB14"/>
  </mergeCells>
  <pageMargins left="0.45" right="0.45" top="0.5" bottom="0.5" header="0.3" footer="0.3"/>
  <pageSetup scale="84" fitToWidth="5" orientation="landscape" r:id="rId1"/>
  <colBreaks count="4" manualBreakCount="4">
    <brk id="19" max="1048575" man="1"/>
    <brk id="39" max="1048575" man="1"/>
    <brk id="59" max="1048575" man="1"/>
    <brk id="79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EF1E1-7B63-42D6-AE5A-C36349F4C231}">
  <dimension ref="A1:BS48"/>
  <sheetViews>
    <sheetView topLeftCell="BA13" zoomScale="81" zoomScaleNormal="81" workbookViewId="0">
      <selection activeCell="BN32" sqref="BN32:BP42"/>
    </sheetView>
  </sheetViews>
  <sheetFormatPr defaultRowHeight="14.25" x14ac:dyDescent="0.2"/>
  <cols>
    <col min="1" max="16384" width="9.140625" style="13"/>
  </cols>
  <sheetData>
    <row r="1" spans="1:71" ht="18.75" x14ac:dyDescent="0.3">
      <c r="A1" s="178">
        <v>2015</v>
      </c>
      <c r="B1" s="175" t="s">
        <v>232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L1" s="139"/>
      <c r="AM1" s="139"/>
      <c r="AN1" s="139"/>
      <c r="AO1" s="139"/>
      <c r="AP1" s="139"/>
      <c r="AQ1" s="139"/>
      <c r="AR1" s="139"/>
      <c r="AS1" s="139"/>
      <c r="AT1" s="139"/>
      <c r="AU1" s="139"/>
      <c r="AV1" s="139"/>
      <c r="AW1" s="139"/>
      <c r="AX1" s="139"/>
      <c r="AY1" s="139"/>
      <c r="AZ1" s="139"/>
      <c r="BA1" s="139"/>
      <c r="BB1" s="139"/>
      <c r="BC1" s="139"/>
      <c r="BD1" s="139"/>
      <c r="BE1" s="139"/>
      <c r="BF1" s="139"/>
      <c r="BG1" s="139"/>
      <c r="BH1" s="139"/>
      <c r="BI1" s="139"/>
      <c r="BJ1" s="139"/>
      <c r="BK1" s="139"/>
      <c r="BL1" s="139"/>
      <c r="BM1" s="139"/>
      <c r="BN1" s="139"/>
      <c r="BO1" s="139"/>
      <c r="BP1" s="139"/>
      <c r="BQ1" s="139"/>
      <c r="BR1" s="139"/>
      <c r="BS1" s="139"/>
    </row>
    <row r="2" spans="1:71" ht="18.75" x14ac:dyDescent="0.3">
      <c r="A2" s="178"/>
      <c r="B2" s="175" t="s">
        <v>231</v>
      </c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M2" s="139"/>
      <c r="AN2" s="139"/>
      <c r="AO2" s="139"/>
      <c r="AP2" s="139"/>
      <c r="AQ2" s="139"/>
      <c r="AR2" s="139"/>
      <c r="AS2" s="139"/>
      <c r="AT2" s="139"/>
      <c r="AU2" s="139"/>
      <c r="AV2" s="139"/>
      <c r="AW2" s="139"/>
      <c r="AX2" s="139"/>
      <c r="AY2" s="139"/>
      <c r="AZ2" s="139"/>
      <c r="BA2" s="139"/>
      <c r="BB2" s="139"/>
      <c r="BC2" s="139"/>
      <c r="BD2" s="139"/>
      <c r="BE2" s="139"/>
      <c r="BF2" s="139"/>
      <c r="BG2" s="139"/>
      <c r="BH2" s="139"/>
      <c r="BI2" s="139"/>
      <c r="BJ2" s="139"/>
      <c r="BK2" s="139"/>
      <c r="BL2" s="139"/>
      <c r="BM2" s="139"/>
      <c r="BN2" s="139"/>
      <c r="BO2" s="139"/>
      <c r="BP2" s="139"/>
      <c r="BQ2" s="139"/>
      <c r="BR2" s="139"/>
      <c r="BS2" s="139"/>
    </row>
    <row r="3" spans="1:71" ht="18.75" x14ac:dyDescent="0.3">
      <c r="A3" s="176"/>
      <c r="B3" s="177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L3" s="139"/>
      <c r="AM3" s="139"/>
      <c r="AN3" s="139"/>
      <c r="AO3" s="139"/>
      <c r="AP3" s="139"/>
      <c r="AQ3" s="139"/>
      <c r="AR3" s="139"/>
      <c r="AS3" s="139"/>
      <c r="AT3" s="139"/>
      <c r="AU3" s="139"/>
      <c r="AV3" s="139"/>
      <c r="AW3" s="139"/>
      <c r="AX3" s="139"/>
      <c r="AY3" s="139"/>
      <c r="AZ3" s="139"/>
      <c r="BA3" s="139"/>
      <c r="BB3" s="139"/>
      <c r="BC3" s="139"/>
      <c r="BD3" s="139"/>
      <c r="BE3" s="139"/>
      <c r="BF3" s="139"/>
      <c r="BG3" s="139"/>
      <c r="BH3" s="139"/>
      <c r="BI3" s="139"/>
      <c r="BJ3" s="139"/>
      <c r="BK3" s="139"/>
      <c r="BL3" s="139"/>
      <c r="BM3" s="139"/>
      <c r="BN3" s="139"/>
      <c r="BO3" s="139"/>
      <c r="BP3" s="139"/>
      <c r="BQ3" s="139"/>
      <c r="BR3" s="139"/>
      <c r="BS3" s="139"/>
    </row>
    <row r="4" spans="1:71" ht="18.75" x14ac:dyDescent="0.3">
      <c r="A4" s="176"/>
      <c r="B4" s="175" t="s">
        <v>312</v>
      </c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39"/>
      <c r="AT4" s="139"/>
      <c r="AU4" s="139"/>
      <c r="AV4" s="139"/>
      <c r="AW4" s="139"/>
      <c r="AX4" s="139"/>
      <c r="AY4" s="139"/>
      <c r="AZ4" s="139"/>
      <c r="BA4" s="139"/>
      <c r="BB4" s="139"/>
      <c r="BC4" s="139"/>
      <c r="BD4" s="139"/>
      <c r="BE4" s="139"/>
      <c r="BF4" s="139"/>
      <c r="BG4" s="139"/>
      <c r="BH4" s="139"/>
      <c r="BI4" s="139"/>
      <c r="BJ4" s="139"/>
      <c r="BK4" s="139"/>
      <c r="BL4" s="139"/>
      <c r="BM4" s="139"/>
      <c r="BN4" s="139"/>
      <c r="BO4" s="139"/>
      <c r="BP4" s="139"/>
      <c r="BQ4" s="139"/>
      <c r="BR4" s="139"/>
      <c r="BS4" s="139"/>
    </row>
    <row r="5" spans="1:71" ht="15" x14ac:dyDescent="0.25">
      <c r="A5" s="153"/>
      <c r="B5" s="139"/>
      <c r="C5" s="174"/>
      <c r="D5" s="139"/>
      <c r="E5" s="139"/>
      <c r="F5" s="139"/>
      <c r="G5" s="139"/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39"/>
      <c r="AT5" s="139"/>
      <c r="AU5" s="139"/>
      <c r="AV5" s="139"/>
      <c r="AW5" s="139"/>
      <c r="AX5" s="139"/>
      <c r="AY5" s="139"/>
      <c r="AZ5" s="139"/>
      <c r="BA5" s="139"/>
      <c r="BB5" s="139"/>
      <c r="BC5" s="139"/>
      <c r="BD5" s="139"/>
      <c r="BE5" s="139"/>
      <c r="BF5" s="139"/>
      <c r="BG5" s="139"/>
      <c r="BH5" s="139"/>
      <c r="BI5" s="139"/>
      <c r="BJ5" s="139"/>
      <c r="BK5" s="139"/>
      <c r="BL5" s="139"/>
      <c r="BM5" s="139"/>
      <c r="BN5" s="139"/>
      <c r="BO5" s="139"/>
      <c r="BP5" s="139"/>
      <c r="BQ5" s="139"/>
      <c r="BR5" s="139"/>
      <c r="BS5" s="139"/>
    </row>
    <row r="6" spans="1:71" ht="15.75" x14ac:dyDescent="0.25">
      <c r="A6" s="153"/>
      <c r="B6" s="139"/>
      <c r="C6" s="173" t="s">
        <v>311</v>
      </c>
      <c r="D6" s="139"/>
      <c r="E6" s="139"/>
      <c r="F6" s="139"/>
      <c r="G6" s="139"/>
      <c r="H6" s="139"/>
      <c r="I6" s="139"/>
      <c r="J6" s="139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  <c r="AN6" s="139"/>
      <c r="AO6" s="139"/>
      <c r="AP6" s="139"/>
      <c r="AQ6" s="139"/>
      <c r="AR6" s="139"/>
      <c r="AS6" s="139"/>
      <c r="AT6" s="139"/>
      <c r="AU6" s="139"/>
      <c r="AV6" s="139"/>
      <c r="AW6" s="139"/>
      <c r="AX6" s="139"/>
      <c r="AY6" s="139"/>
      <c r="AZ6" s="139"/>
      <c r="BA6" s="139"/>
      <c r="BB6" s="139"/>
      <c r="BC6" s="139"/>
      <c r="BD6" s="139"/>
      <c r="BE6" s="139"/>
      <c r="BF6" s="139"/>
      <c r="BG6" s="139"/>
      <c r="BH6" s="139"/>
      <c r="BI6" s="139"/>
      <c r="BJ6" s="139"/>
      <c r="BK6" s="139"/>
      <c r="BL6" s="139"/>
      <c r="BM6" s="139"/>
      <c r="BN6" s="139"/>
      <c r="BO6" s="139"/>
      <c r="BP6" s="139"/>
      <c r="BQ6" s="139"/>
      <c r="BR6" s="139"/>
      <c r="BS6" s="139"/>
    </row>
    <row r="7" spans="1:71" ht="15.75" x14ac:dyDescent="0.25">
      <c r="A7" s="153"/>
      <c r="B7" s="139"/>
      <c r="C7" s="173" t="s">
        <v>310</v>
      </c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39"/>
      <c r="AT7" s="139"/>
      <c r="AU7" s="139"/>
      <c r="AV7" s="139"/>
      <c r="AW7" s="139"/>
      <c r="AX7" s="139"/>
      <c r="AY7" s="139"/>
      <c r="AZ7" s="139"/>
      <c r="BA7" s="139"/>
      <c r="BB7" s="139"/>
      <c r="BC7" s="139"/>
      <c r="BD7" s="139"/>
      <c r="BE7" s="139"/>
      <c r="BF7" s="139"/>
      <c r="BG7" s="139"/>
      <c r="BH7" s="139"/>
      <c r="BI7" s="139"/>
      <c r="BJ7" s="139"/>
      <c r="BK7" s="139"/>
      <c r="BL7" s="139"/>
      <c r="BM7" s="139"/>
      <c r="BN7" s="139"/>
      <c r="BO7" s="139"/>
      <c r="BP7" s="139"/>
      <c r="BQ7" s="139"/>
      <c r="BR7" s="139"/>
      <c r="BS7" s="139"/>
    </row>
    <row r="8" spans="1:71" ht="15.75" x14ac:dyDescent="0.25">
      <c r="A8" s="153"/>
      <c r="B8" s="139"/>
      <c r="C8" s="173" t="s">
        <v>309</v>
      </c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39"/>
      <c r="AT8" s="139"/>
      <c r="AU8" s="139"/>
      <c r="AV8" s="139"/>
      <c r="AW8" s="139"/>
      <c r="AX8" s="139"/>
      <c r="AY8" s="139"/>
      <c r="AZ8" s="139"/>
      <c r="BA8" s="139"/>
      <c r="BB8" s="139"/>
      <c r="BC8" s="139"/>
      <c r="BD8" s="139"/>
      <c r="BE8" s="139"/>
      <c r="BF8" s="139"/>
      <c r="BG8" s="139"/>
      <c r="BH8" s="139"/>
      <c r="BI8" s="139"/>
      <c r="BJ8" s="139"/>
      <c r="BK8" s="139"/>
      <c r="BL8" s="139"/>
      <c r="BM8" s="139"/>
      <c r="BN8" s="139"/>
      <c r="BO8" s="139"/>
      <c r="BP8" s="139"/>
      <c r="BQ8" s="139"/>
      <c r="BR8" s="139"/>
      <c r="BS8" s="139"/>
    </row>
    <row r="9" spans="1:71" ht="15.75" x14ac:dyDescent="0.25">
      <c r="A9" s="153"/>
      <c r="B9" s="139"/>
      <c r="C9" s="173"/>
      <c r="D9" s="139"/>
      <c r="E9" s="139"/>
      <c r="F9" s="139"/>
      <c r="G9" s="139"/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39"/>
      <c r="AT9" s="139"/>
      <c r="AU9" s="139"/>
      <c r="AV9" s="139"/>
      <c r="AW9" s="139"/>
      <c r="AX9" s="139"/>
      <c r="AY9" s="139"/>
      <c r="AZ9" s="139"/>
      <c r="BA9" s="139"/>
      <c r="BB9" s="139"/>
      <c r="BC9" s="139"/>
      <c r="BD9" s="139"/>
      <c r="BE9" s="139"/>
      <c r="BF9" s="139"/>
      <c r="BG9" s="139"/>
      <c r="BH9" s="139"/>
      <c r="BI9" s="139"/>
      <c r="BJ9" s="139"/>
      <c r="BK9" s="139"/>
      <c r="BL9" s="139"/>
      <c r="BM9" s="139"/>
      <c r="BN9" s="139"/>
      <c r="BO9" s="139"/>
      <c r="BP9" s="139"/>
      <c r="BQ9" s="139"/>
      <c r="BR9" s="139"/>
      <c r="BS9" s="139"/>
    </row>
    <row r="10" spans="1:71" ht="15.75" x14ac:dyDescent="0.25">
      <c r="A10" s="153"/>
      <c r="B10" s="139" t="s">
        <v>308</v>
      </c>
      <c r="C10" s="173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39"/>
      <c r="AT10" s="139"/>
      <c r="AU10" s="139"/>
      <c r="AV10" s="139"/>
      <c r="AW10" s="139"/>
      <c r="AX10" s="139"/>
      <c r="AY10" s="139"/>
      <c r="AZ10" s="139"/>
      <c r="BA10" s="139"/>
      <c r="BB10" s="139"/>
      <c r="BC10" s="139"/>
      <c r="BD10" s="139"/>
      <c r="BE10" s="139"/>
      <c r="BF10" s="139"/>
      <c r="BG10" s="139"/>
      <c r="BH10" s="139"/>
      <c r="BI10" s="139"/>
      <c r="BJ10" s="139"/>
      <c r="BK10" s="139"/>
      <c r="BL10" s="139"/>
      <c r="BM10" s="139"/>
      <c r="BN10" s="139"/>
      <c r="BO10" s="139"/>
      <c r="BP10" s="139"/>
      <c r="BQ10" s="139"/>
      <c r="BR10" s="139"/>
      <c r="BS10" s="139"/>
    </row>
    <row r="11" spans="1:71" ht="15.75" x14ac:dyDescent="0.25">
      <c r="A11" s="153"/>
      <c r="B11" s="139"/>
      <c r="C11" s="173"/>
      <c r="D11" s="139"/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39"/>
      <c r="AT11" s="139"/>
      <c r="AU11" s="139"/>
      <c r="AV11" s="139"/>
      <c r="AW11" s="139"/>
      <c r="AX11" s="139"/>
      <c r="AY11" s="139"/>
      <c r="AZ11" s="139"/>
      <c r="BA11" s="139"/>
      <c r="BB11" s="139"/>
      <c r="BC11" s="139"/>
      <c r="BD11" s="139"/>
      <c r="BE11" s="139"/>
      <c r="BF11" s="139"/>
      <c r="BG11" s="139"/>
      <c r="BH11" s="139"/>
      <c r="BI11" s="139"/>
      <c r="BJ11" s="139"/>
      <c r="BK11" s="139"/>
      <c r="BL11" s="139"/>
      <c r="BM11" s="139"/>
      <c r="BN11" s="139"/>
      <c r="BO11" s="139"/>
      <c r="BP11" s="139"/>
      <c r="BQ11" s="139"/>
      <c r="BR11" s="139"/>
      <c r="BS11" s="139"/>
    </row>
    <row r="12" spans="1:71" ht="15" x14ac:dyDescent="0.25">
      <c r="A12" s="153"/>
      <c r="B12" s="172" t="s">
        <v>307</v>
      </c>
      <c r="C12" s="76"/>
      <c r="D12" s="76"/>
      <c r="E12" s="76"/>
      <c r="F12" s="76"/>
      <c r="G12" s="76"/>
      <c r="H12" s="76"/>
      <c r="I12" s="76"/>
      <c r="J12" s="76"/>
      <c r="K12" s="76"/>
      <c r="L12" s="76"/>
      <c r="M12" s="76"/>
      <c r="N12" s="76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39"/>
      <c r="AT12" s="139"/>
      <c r="AU12" s="139"/>
      <c r="AV12" s="139"/>
      <c r="AW12" s="139"/>
      <c r="AX12" s="139"/>
      <c r="AY12" s="139"/>
      <c r="AZ12" s="139"/>
      <c r="BA12" s="139"/>
      <c r="BB12" s="139"/>
      <c r="BC12" s="139"/>
      <c r="BD12" s="139"/>
      <c r="BE12" s="139"/>
      <c r="BF12" s="139"/>
      <c r="BG12" s="139"/>
      <c r="BH12" s="139"/>
      <c r="BI12" s="139"/>
      <c r="BJ12" s="139"/>
      <c r="BK12" s="139"/>
      <c r="BL12" s="139"/>
      <c r="BM12" s="139"/>
      <c r="BN12" s="139"/>
      <c r="BO12" s="139"/>
      <c r="BP12" s="139"/>
      <c r="BQ12" s="139"/>
      <c r="BR12" s="139"/>
      <c r="BS12" s="139"/>
    </row>
    <row r="13" spans="1:71" ht="15" x14ac:dyDescent="0.25">
      <c r="A13" s="153"/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39"/>
      <c r="AT13" s="139"/>
      <c r="AU13" s="139"/>
      <c r="AV13" s="139"/>
      <c r="AW13" s="139"/>
      <c r="AX13" s="139"/>
      <c r="AY13" s="139"/>
      <c r="AZ13" s="139"/>
      <c r="BA13" s="139"/>
      <c r="BB13" s="139"/>
      <c r="BC13" s="139"/>
      <c r="BD13" s="139"/>
      <c r="BE13" s="139"/>
      <c r="BF13" s="139"/>
      <c r="BG13" s="139"/>
      <c r="BH13" s="139"/>
      <c r="BI13" s="139"/>
      <c r="BJ13" s="139"/>
      <c r="BK13" s="139"/>
      <c r="BL13" s="139"/>
      <c r="BM13" s="139"/>
      <c r="BN13" s="139"/>
      <c r="BO13" s="139"/>
      <c r="BP13" s="139"/>
      <c r="BQ13" s="139"/>
      <c r="BR13" s="139"/>
      <c r="BS13" s="139"/>
    </row>
    <row r="14" spans="1:71" ht="15" x14ac:dyDescent="0.25">
      <c r="A14" s="153"/>
      <c r="B14" s="139"/>
      <c r="C14" s="171"/>
      <c r="D14" s="139"/>
      <c r="E14" s="139"/>
      <c r="F14" s="139"/>
      <c r="G14" s="139"/>
      <c r="H14" s="139"/>
      <c r="I14" s="139"/>
      <c r="J14" s="139"/>
      <c r="K14" s="139"/>
      <c r="L14" s="139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39"/>
      <c r="AT14" s="139"/>
      <c r="AU14" s="139"/>
      <c r="AV14" s="139"/>
      <c r="AW14" s="139"/>
      <c r="AX14" s="139"/>
      <c r="AY14" s="139"/>
      <c r="AZ14" s="139"/>
      <c r="BA14" s="139"/>
      <c r="BB14" s="139"/>
      <c r="BC14" s="139"/>
      <c r="BD14" s="139"/>
      <c r="BE14" s="139"/>
      <c r="BF14" s="139"/>
      <c r="BG14" s="139"/>
      <c r="BH14" s="139"/>
      <c r="BI14" s="139"/>
      <c r="BJ14" s="139"/>
      <c r="BK14" s="139"/>
      <c r="BL14" s="139"/>
      <c r="BM14" s="139"/>
      <c r="BN14" s="139"/>
      <c r="BO14" s="139"/>
      <c r="BP14" s="139"/>
      <c r="BQ14" s="139"/>
      <c r="BR14" s="139"/>
      <c r="BS14" s="139"/>
    </row>
    <row r="15" spans="1:71" ht="45" x14ac:dyDescent="0.25">
      <c r="A15" s="156"/>
      <c r="B15" s="156"/>
      <c r="C15" s="159" t="s">
        <v>302</v>
      </c>
      <c r="D15" s="170" t="s">
        <v>306</v>
      </c>
      <c r="E15" s="169" t="s">
        <v>305</v>
      </c>
      <c r="F15" s="157"/>
      <c r="G15" s="169" t="s">
        <v>304</v>
      </c>
      <c r="H15" s="156"/>
      <c r="I15" s="168" t="s">
        <v>303</v>
      </c>
      <c r="J15" s="167"/>
      <c r="K15" s="166"/>
      <c r="L15" s="166"/>
      <c r="M15" s="166"/>
      <c r="N15" s="99"/>
      <c r="O15" s="156"/>
      <c r="P15" s="156"/>
      <c r="Q15" s="159"/>
      <c r="R15" s="158"/>
      <c r="S15" s="156"/>
      <c r="T15" s="157"/>
      <c r="U15" s="156"/>
      <c r="V15" s="156"/>
      <c r="W15" s="155"/>
      <c r="X15" s="155"/>
      <c r="Y15" s="154"/>
      <c r="Z15" s="154"/>
      <c r="AA15" s="154"/>
      <c r="AB15" s="99"/>
      <c r="AC15" s="156"/>
      <c r="AD15" s="156"/>
      <c r="AE15" s="159"/>
      <c r="AF15" s="158"/>
      <c r="AG15" s="156"/>
      <c r="AH15" s="157"/>
      <c r="AI15" s="156"/>
      <c r="AJ15" s="156"/>
      <c r="AK15" s="155"/>
      <c r="AL15" s="155"/>
      <c r="AM15" s="154"/>
      <c r="AN15" s="154"/>
      <c r="AO15" s="154"/>
      <c r="AP15" s="99"/>
      <c r="AQ15" s="156"/>
      <c r="AR15" s="156"/>
      <c r="AS15" s="159"/>
      <c r="AT15" s="158"/>
      <c r="AU15" s="156"/>
      <c r="AV15" s="157"/>
      <c r="AW15" s="156"/>
      <c r="AX15" s="156"/>
      <c r="AY15" s="155"/>
      <c r="AZ15" s="155"/>
      <c r="BA15" s="154"/>
      <c r="BB15" s="154"/>
      <c r="BC15" s="154"/>
      <c r="BD15" s="99"/>
      <c r="BE15" s="156"/>
      <c r="BF15" s="156"/>
      <c r="BG15" s="159"/>
      <c r="BH15" s="158"/>
      <c r="BI15" s="156"/>
      <c r="BJ15" s="157"/>
      <c r="BK15" s="156"/>
      <c r="BL15" s="156"/>
      <c r="BM15" s="155"/>
      <c r="BN15" s="155"/>
      <c r="BO15" s="154"/>
      <c r="BP15" s="154"/>
      <c r="BQ15" s="154"/>
      <c r="BR15" s="99"/>
      <c r="BS15" s="156"/>
    </row>
    <row r="16" spans="1:71" ht="30.75" x14ac:dyDescent="0.3">
      <c r="A16" s="139"/>
      <c r="B16" s="153"/>
      <c r="C16" s="139"/>
      <c r="D16" s="165"/>
      <c r="E16" s="149" t="s">
        <v>301</v>
      </c>
      <c r="F16" s="149" t="s">
        <v>301</v>
      </c>
      <c r="G16" s="152" t="s">
        <v>300</v>
      </c>
      <c r="H16" s="148" t="s">
        <v>299</v>
      </c>
      <c r="I16" s="151" t="s">
        <v>298</v>
      </c>
      <c r="J16" s="151"/>
      <c r="K16" s="151"/>
      <c r="L16" s="151"/>
      <c r="M16" s="151"/>
      <c r="N16" s="151"/>
      <c r="O16" s="149"/>
      <c r="P16" s="153"/>
      <c r="Q16" s="139"/>
      <c r="R16" s="152"/>
      <c r="S16" s="149" t="s">
        <v>301</v>
      </c>
      <c r="T16" s="149" t="s">
        <v>301</v>
      </c>
      <c r="U16" s="152" t="s">
        <v>300</v>
      </c>
      <c r="V16" s="148" t="s">
        <v>299</v>
      </c>
      <c r="W16" s="151" t="s">
        <v>298</v>
      </c>
      <c r="X16" s="151"/>
      <c r="Y16" s="151"/>
      <c r="Z16" s="151"/>
      <c r="AA16" s="151"/>
      <c r="AB16" s="151"/>
      <c r="AC16" s="149"/>
      <c r="AD16" s="153"/>
      <c r="AE16" s="139"/>
      <c r="AF16" s="152"/>
      <c r="AG16" s="149" t="s">
        <v>301</v>
      </c>
      <c r="AH16" s="149" t="s">
        <v>301</v>
      </c>
      <c r="AI16" s="152" t="s">
        <v>300</v>
      </c>
      <c r="AJ16" s="148" t="s">
        <v>299</v>
      </c>
      <c r="AK16" s="151" t="s">
        <v>298</v>
      </c>
      <c r="AL16" s="151"/>
      <c r="AM16" s="151"/>
      <c r="AN16" s="151"/>
      <c r="AO16" s="151"/>
      <c r="AP16" s="151"/>
      <c r="AQ16" s="139"/>
      <c r="AR16" s="153"/>
      <c r="AS16" s="139"/>
      <c r="AT16" s="152"/>
      <c r="AU16" s="149" t="s">
        <v>301</v>
      </c>
      <c r="AV16" s="149" t="s">
        <v>301</v>
      </c>
      <c r="AW16" s="152" t="s">
        <v>300</v>
      </c>
      <c r="AX16" s="148" t="s">
        <v>299</v>
      </c>
      <c r="AY16" s="151" t="s">
        <v>298</v>
      </c>
      <c r="AZ16" s="151"/>
      <c r="BA16" s="151"/>
      <c r="BB16" s="151"/>
      <c r="BC16" s="151"/>
      <c r="BD16" s="151"/>
      <c r="BE16" s="139"/>
      <c r="BF16" s="153"/>
      <c r="BG16" s="139"/>
      <c r="BH16" s="152"/>
      <c r="BI16" s="149" t="s">
        <v>301</v>
      </c>
      <c r="BJ16" s="149" t="s">
        <v>301</v>
      </c>
      <c r="BK16" s="152" t="s">
        <v>300</v>
      </c>
      <c r="BL16" s="148" t="s">
        <v>299</v>
      </c>
      <c r="BM16" s="151" t="s">
        <v>298</v>
      </c>
      <c r="BN16" s="151"/>
      <c r="BO16" s="151"/>
      <c r="BP16" s="151"/>
      <c r="BQ16" s="151"/>
      <c r="BR16" s="151"/>
      <c r="BS16" s="139"/>
    </row>
    <row r="17" spans="1:71" ht="60.75" thickBot="1" x14ac:dyDescent="0.3">
      <c r="A17" s="139"/>
      <c r="B17" s="150" t="s">
        <v>259</v>
      </c>
      <c r="C17" s="150" t="s">
        <v>258</v>
      </c>
      <c r="D17" s="149" t="s">
        <v>297</v>
      </c>
      <c r="E17" s="149" t="s">
        <v>296</v>
      </c>
      <c r="F17" s="149" t="s">
        <v>295</v>
      </c>
      <c r="G17" s="149" t="s">
        <v>294</v>
      </c>
      <c r="H17" s="148" t="s">
        <v>293</v>
      </c>
      <c r="I17" s="147" t="s">
        <v>292</v>
      </c>
      <c r="J17" s="147" t="s">
        <v>291</v>
      </c>
      <c r="K17" s="147" t="s">
        <v>290</v>
      </c>
      <c r="L17" s="147" t="s">
        <v>289</v>
      </c>
      <c r="M17" s="147" t="s">
        <v>288</v>
      </c>
      <c r="N17" s="147" t="s">
        <v>287</v>
      </c>
      <c r="O17" s="149"/>
      <c r="P17" s="150" t="s">
        <v>259</v>
      </c>
      <c r="Q17" s="150" t="s">
        <v>258</v>
      </c>
      <c r="R17" s="149" t="s">
        <v>297</v>
      </c>
      <c r="S17" s="149" t="s">
        <v>296</v>
      </c>
      <c r="T17" s="149" t="s">
        <v>295</v>
      </c>
      <c r="U17" s="149" t="s">
        <v>294</v>
      </c>
      <c r="V17" s="148" t="s">
        <v>293</v>
      </c>
      <c r="W17" s="147" t="s">
        <v>292</v>
      </c>
      <c r="X17" s="147" t="s">
        <v>291</v>
      </c>
      <c r="Y17" s="147" t="s">
        <v>290</v>
      </c>
      <c r="Z17" s="147" t="s">
        <v>289</v>
      </c>
      <c r="AA17" s="147" t="s">
        <v>288</v>
      </c>
      <c r="AB17" s="147" t="s">
        <v>287</v>
      </c>
      <c r="AC17" s="149"/>
      <c r="AD17" s="150" t="s">
        <v>259</v>
      </c>
      <c r="AE17" s="150" t="s">
        <v>258</v>
      </c>
      <c r="AF17" s="149" t="s">
        <v>297</v>
      </c>
      <c r="AG17" s="149" t="s">
        <v>296</v>
      </c>
      <c r="AH17" s="149" t="s">
        <v>295</v>
      </c>
      <c r="AI17" s="149" t="s">
        <v>294</v>
      </c>
      <c r="AJ17" s="148" t="s">
        <v>293</v>
      </c>
      <c r="AK17" s="147" t="s">
        <v>292</v>
      </c>
      <c r="AL17" s="147" t="s">
        <v>291</v>
      </c>
      <c r="AM17" s="147" t="s">
        <v>290</v>
      </c>
      <c r="AN17" s="147" t="s">
        <v>289</v>
      </c>
      <c r="AO17" s="147" t="s">
        <v>288</v>
      </c>
      <c r="AP17" s="147" t="s">
        <v>287</v>
      </c>
      <c r="AQ17" s="139"/>
      <c r="AR17" s="150" t="s">
        <v>259</v>
      </c>
      <c r="AS17" s="150" t="s">
        <v>258</v>
      </c>
      <c r="AT17" s="149" t="s">
        <v>297</v>
      </c>
      <c r="AU17" s="149" t="s">
        <v>296</v>
      </c>
      <c r="AV17" s="149" t="s">
        <v>295</v>
      </c>
      <c r="AW17" s="149" t="s">
        <v>294</v>
      </c>
      <c r="AX17" s="148" t="s">
        <v>293</v>
      </c>
      <c r="AY17" s="147" t="s">
        <v>292</v>
      </c>
      <c r="AZ17" s="147" t="s">
        <v>291</v>
      </c>
      <c r="BA17" s="147" t="s">
        <v>290</v>
      </c>
      <c r="BB17" s="147" t="s">
        <v>289</v>
      </c>
      <c r="BC17" s="147" t="s">
        <v>288</v>
      </c>
      <c r="BD17" s="147" t="s">
        <v>287</v>
      </c>
      <c r="BE17" s="139"/>
      <c r="BF17" s="150" t="s">
        <v>259</v>
      </c>
      <c r="BG17" s="150" t="s">
        <v>258</v>
      </c>
      <c r="BH17" s="149" t="s">
        <v>297</v>
      </c>
      <c r="BI17" s="149" t="s">
        <v>296</v>
      </c>
      <c r="BJ17" s="149" t="s">
        <v>295</v>
      </c>
      <c r="BK17" s="149" t="s">
        <v>294</v>
      </c>
      <c r="BL17" s="148" t="s">
        <v>293</v>
      </c>
      <c r="BM17" s="147" t="s">
        <v>292</v>
      </c>
      <c r="BN17" s="147" t="s">
        <v>291</v>
      </c>
      <c r="BO17" s="147" t="s">
        <v>290</v>
      </c>
      <c r="BP17" s="147" t="s">
        <v>289</v>
      </c>
      <c r="BQ17" s="147" t="s">
        <v>288</v>
      </c>
      <c r="BR17" s="147" t="s">
        <v>287</v>
      </c>
      <c r="BS17" s="139"/>
    </row>
    <row r="18" spans="1:71" ht="20.25" thickTop="1" thickBot="1" x14ac:dyDescent="0.3">
      <c r="A18" s="139"/>
      <c r="B18" s="146">
        <v>2</v>
      </c>
      <c r="C18" s="145">
        <v>-1</v>
      </c>
      <c r="D18" s="144">
        <v>8.84</v>
      </c>
      <c r="E18" s="144">
        <v>222.38</v>
      </c>
      <c r="F18" s="144">
        <f>E18-D18</f>
        <v>213.54</v>
      </c>
      <c r="G18" s="143">
        <v>196.75</v>
      </c>
      <c r="H18" s="142">
        <f>((F18-G18)/F18)</f>
        <v>7.8626955137210797E-2</v>
      </c>
      <c r="I18" s="141">
        <v>84.54</v>
      </c>
      <c r="J18" s="141">
        <f>(I18/G18)</f>
        <v>0.42968233799237615</v>
      </c>
      <c r="K18" s="140">
        <v>105.62</v>
      </c>
      <c r="L18" s="140">
        <f>(K18/G18)</f>
        <v>0.53682337992376117</v>
      </c>
      <c r="M18" s="140">
        <f>G18-I18-K18</f>
        <v>6.5899999999999892</v>
      </c>
      <c r="N18" s="140">
        <f>(M18/G18)*100</f>
        <v>3.3494282083862714</v>
      </c>
      <c r="O18" s="164"/>
      <c r="P18" s="146">
        <v>4</v>
      </c>
      <c r="Q18" s="145">
        <v>-1</v>
      </c>
      <c r="R18" s="144">
        <v>8.85</v>
      </c>
      <c r="S18" s="144">
        <v>210.14</v>
      </c>
      <c r="T18" s="144">
        <f>S18-R18</f>
        <v>201.29</v>
      </c>
      <c r="U18" s="143">
        <v>188.54</v>
      </c>
      <c r="V18" s="142">
        <f>((T18-U18)/T18)</f>
        <v>6.3341447662576392E-2</v>
      </c>
      <c r="W18" s="141">
        <v>81.75</v>
      </c>
      <c r="X18" s="141">
        <f>(W18/U18)</f>
        <v>0.43359499310491145</v>
      </c>
      <c r="Y18" s="140">
        <v>98.83</v>
      </c>
      <c r="Z18" s="140">
        <f>(Y18/U18)</f>
        <v>0.52418584915667765</v>
      </c>
      <c r="AA18" s="140">
        <f>U18-W18-Y18</f>
        <v>7.9599999999999937</v>
      </c>
      <c r="AB18" s="140">
        <f>(AA18/U18)*100</f>
        <v>4.2219157738410917</v>
      </c>
      <c r="AC18" s="139"/>
      <c r="AD18" s="146">
        <v>6</v>
      </c>
      <c r="AE18" s="145">
        <v>-1</v>
      </c>
      <c r="AF18" s="144">
        <v>8.7799999999999994</v>
      </c>
      <c r="AG18" s="144">
        <v>197.16</v>
      </c>
      <c r="AH18" s="144">
        <f>AG18-AF18</f>
        <v>188.38</v>
      </c>
      <c r="AI18" s="143">
        <v>177.86</v>
      </c>
      <c r="AJ18" s="142">
        <f>((AH18-AI18)/AH18)</f>
        <v>5.5844569487206612E-2</v>
      </c>
      <c r="AK18" s="141">
        <v>74.709999999999994</v>
      </c>
      <c r="AL18" s="141">
        <f>(AK18/AI18)</f>
        <v>0.42004947711683338</v>
      </c>
      <c r="AM18" s="140">
        <v>98.21</v>
      </c>
      <c r="AN18" s="140">
        <f>(AM18/AI18)</f>
        <v>0.55217586866074431</v>
      </c>
      <c r="AO18" s="140">
        <f>AI18-AK18-AM18</f>
        <v>4.9400000000000261</v>
      </c>
      <c r="AP18" s="140">
        <f>(AO18/AI18)*100</f>
        <v>2.7774654222422273</v>
      </c>
      <c r="AQ18" s="139"/>
      <c r="AR18" s="146">
        <v>8</v>
      </c>
      <c r="AS18" s="145">
        <v>-1</v>
      </c>
      <c r="AT18" s="144">
        <v>8.77</v>
      </c>
      <c r="AU18" s="144">
        <v>237.78</v>
      </c>
      <c r="AV18" s="144">
        <f>AU18-AT18</f>
        <v>229.01</v>
      </c>
      <c r="AW18" s="143">
        <v>216.59</v>
      </c>
      <c r="AX18" s="142">
        <f>((AV18-AW18)/AV18)</f>
        <v>5.4233439587790873E-2</v>
      </c>
      <c r="AY18" s="141">
        <v>90.68</v>
      </c>
      <c r="AZ18" s="141">
        <f>(AY18/AW18)</f>
        <v>0.41867122212475189</v>
      </c>
      <c r="BA18" s="140">
        <v>118.9</v>
      </c>
      <c r="BB18" s="140">
        <f>(BA18/AW18)</f>
        <v>0.54896347938501322</v>
      </c>
      <c r="BC18" s="140">
        <f>AW18-AY18-BA18</f>
        <v>7.0099999999999909</v>
      </c>
      <c r="BD18" s="140">
        <f>(BC18/AW18)*100</f>
        <v>3.2365298490234964</v>
      </c>
      <c r="BE18" s="139"/>
      <c r="BF18" s="146">
        <v>10</v>
      </c>
      <c r="BG18" s="145">
        <v>-1</v>
      </c>
      <c r="BH18" s="144">
        <v>8.77</v>
      </c>
      <c r="BI18" s="144">
        <v>233.42</v>
      </c>
      <c r="BJ18" s="144">
        <f>BI18-BH18</f>
        <v>224.64999999999998</v>
      </c>
      <c r="BK18" s="143">
        <v>213.55</v>
      </c>
      <c r="BL18" s="142">
        <f>((BJ18-BK18)/BJ18)</f>
        <v>4.9410193634542472E-2</v>
      </c>
      <c r="BM18" s="141">
        <v>89.32</v>
      </c>
      <c r="BN18" s="141">
        <f>(BM18/BK18)</f>
        <v>0.41826270194333875</v>
      </c>
      <c r="BO18" s="140">
        <v>119.51</v>
      </c>
      <c r="BP18" s="140">
        <f>(BO18/BK18)</f>
        <v>0.55963474596113327</v>
      </c>
      <c r="BQ18" s="140">
        <f>BK18-BM18-BO18</f>
        <v>4.7200000000000131</v>
      </c>
      <c r="BR18" s="140">
        <f>(BQ18/BK18)*100</f>
        <v>2.2102552095528036</v>
      </c>
      <c r="BS18" s="139"/>
    </row>
    <row r="19" spans="1:71" ht="20.25" thickTop="1" thickBot="1" x14ac:dyDescent="0.3">
      <c r="A19" s="139"/>
      <c r="B19" s="146">
        <v>2</v>
      </c>
      <c r="C19" s="145">
        <v>-2</v>
      </c>
      <c r="D19" s="144">
        <v>8.76</v>
      </c>
      <c r="E19" s="144">
        <v>230.37</v>
      </c>
      <c r="F19" s="144">
        <f>E19-D19</f>
        <v>221.61</v>
      </c>
      <c r="G19" s="143">
        <v>206.31</v>
      </c>
      <c r="H19" s="142">
        <f>((F19-G19)/F19)</f>
        <v>6.9040205766887824E-2</v>
      </c>
      <c r="I19" s="141">
        <v>89.49</v>
      </c>
      <c r="J19" s="141">
        <f>(I19/G19)</f>
        <v>0.43376472298967572</v>
      </c>
      <c r="K19" s="140">
        <v>107.59</v>
      </c>
      <c r="L19" s="140">
        <f>(K19/G19)</f>
        <v>0.5214967766952644</v>
      </c>
      <c r="M19" s="140">
        <f>G19-I19-K19</f>
        <v>9.230000000000004</v>
      </c>
      <c r="N19" s="140">
        <f>(M19/G19)*100</f>
        <v>4.4738500315059877</v>
      </c>
      <c r="O19" s="139"/>
      <c r="P19" s="146">
        <v>4</v>
      </c>
      <c r="Q19" s="145">
        <v>-2</v>
      </c>
      <c r="R19" s="144">
        <v>8.8000000000000007</v>
      </c>
      <c r="S19" s="144">
        <v>212.31</v>
      </c>
      <c r="T19" s="144">
        <f>S19-R19</f>
        <v>203.51</v>
      </c>
      <c r="U19" s="143">
        <v>191.24</v>
      </c>
      <c r="V19" s="142">
        <f>((T19-U19)/T19)</f>
        <v>6.0291877549014702E-2</v>
      </c>
      <c r="W19" s="141">
        <v>82.39</v>
      </c>
      <c r="X19" s="141">
        <f>(W19/U19)</f>
        <v>0.43081991215226939</v>
      </c>
      <c r="Y19" s="140">
        <v>101.93</v>
      </c>
      <c r="Z19" s="140">
        <f>(Y19/U19)</f>
        <v>0.53299518929094336</v>
      </c>
      <c r="AA19" s="140">
        <f>U19-W19-Y19</f>
        <v>6.9200000000000017</v>
      </c>
      <c r="AB19" s="140">
        <f>(AA19/U19)*100</f>
        <v>3.6184898556787291</v>
      </c>
      <c r="AC19" s="139"/>
      <c r="AD19" s="146">
        <v>6</v>
      </c>
      <c r="AE19" s="145">
        <v>-2</v>
      </c>
      <c r="AF19" s="144">
        <v>8.76</v>
      </c>
      <c r="AG19" s="144">
        <v>242.81</v>
      </c>
      <c r="AH19" s="144">
        <f>AG19-AF19</f>
        <v>234.05</v>
      </c>
      <c r="AI19" s="143">
        <v>220.78</v>
      </c>
      <c r="AJ19" s="142">
        <f>((AH19-AI19)/AH19)</f>
        <v>5.6697286904507628E-2</v>
      </c>
      <c r="AK19" s="141">
        <v>93.45</v>
      </c>
      <c r="AL19" s="141">
        <f>(AK19/AI19)</f>
        <v>0.42327203551046294</v>
      </c>
      <c r="AM19" s="140">
        <v>119.24</v>
      </c>
      <c r="AN19" s="140">
        <f>(AM19/AI19)</f>
        <v>0.54008515264063772</v>
      </c>
      <c r="AO19" s="140">
        <f>AI19-AK19-AM19</f>
        <v>8.0900000000000034</v>
      </c>
      <c r="AP19" s="140">
        <f>(AO19/AI19)*100</f>
        <v>3.664281184889937</v>
      </c>
      <c r="AQ19" s="139"/>
      <c r="AR19" s="146">
        <v>8</v>
      </c>
      <c r="AS19" s="145">
        <v>-2</v>
      </c>
      <c r="AT19" s="144">
        <v>8.77</v>
      </c>
      <c r="AU19" s="144">
        <v>242.54</v>
      </c>
      <c r="AV19" s="144">
        <f>AU19-AT19</f>
        <v>233.76999999999998</v>
      </c>
      <c r="AW19" s="143">
        <v>221.04</v>
      </c>
      <c r="AX19" s="142">
        <f>((AV19-AW19)/AV19)</f>
        <v>5.4455233776789111E-2</v>
      </c>
      <c r="AY19" s="141">
        <v>92.31</v>
      </c>
      <c r="AZ19" s="141">
        <f>(AY19/AW19)</f>
        <v>0.41761672095548319</v>
      </c>
      <c r="BA19" s="140">
        <v>121.46</v>
      </c>
      <c r="BB19" s="140">
        <f>(BA19/AW19)</f>
        <v>0.54949330437929789</v>
      </c>
      <c r="BC19" s="140">
        <f>AW19-AY19-BA19</f>
        <v>7.269999999999996</v>
      </c>
      <c r="BD19" s="140">
        <f>(BC19/AW19)*100</f>
        <v>3.2889974665218946</v>
      </c>
      <c r="BE19" s="139"/>
      <c r="BF19" s="146">
        <v>10</v>
      </c>
      <c r="BG19" s="145">
        <v>-2</v>
      </c>
      <c r="BH19" s="144">
        <v>8.7799999999999994</v>
      </c>
      <c r="BI19" s="144">
        <v>215.86</v>
      </c>
      <c r="BJ19" s="144">
        <f>BI19-BH19</f>
        <v>207.08</v>
      </c>
      <c r="BK19" s="143">
        <v>196.5</v>
      </c>
      <c r="BL19" s="142">
        <f>((BJ19-BK19)/BJ19)</f>
        <v>5.1091365655785259E-2</v>
      </c>
      <c r="BM19" s="141">
        <v>82.91</v>
      </c>
      <c r="BN19" s="141">
        <f>(BM19/BK19)</f>
        <v>0.42193384223918573</v>
      </c>
      <c r="BO19" s="140">
        <v>109.12</v>
      </c>
      <c r="BP19" s="140">
        <f>(BO19/BK19)</f>
        <v>0.5553180661577608</v>
      </c>
      <c r="BQ19" s="140">
        <f>BK19-BM19-BO19</f>
        <v>4.4699999999999989</v>
      </c>
      <c r="BR19" s="140">
        <f>(BQ19/BK19)*100</f>
        <v>2.2748091603053426</v>
      </c>
      <c r="BS19" s="139"/>
    </row>
    <row r="20" spans="1:71" ht="20.25" thickTop="1" thickBot="1" x14ac:dyDescent="0.3">
      <c r="A20" s="139"/>
      <c r="B20" s="146">
        <v>2</v>
      </c>
      <c r="C20" s="145">
        <v>-3</v>
      </c>
      <c r="D20" s="144">
        <v>8.7899999999999991</v>
      </c>
      <c r="E20" s="144">
        <v>237.22</v>
      </c>
      <c r="F20" s="144">
        <f>E20-D20</f>
        <v>228.43</v>
      </c>
      <c r="G20" s="143">
        <v>213.65</v>
      </c>
      <c r="H20" s="142">
        <f>((F20-G20)/F20)</f>
        <v>6.4702534693341501E-2</v>
      </c>
      <c r="I20" s="141">
        <v>91.76</v>
      </c>
      <c r="J20" s="141">
        <f>(I20/G20)</f>
        <v>0.4294874795225837</v>
      </c>
      <c r="K20" s="140">
        <v>115.08</v>
      </c>
      <c r="L20" s="140">
        <f>(K20/G20)</f>
        <v>0.53863795927919489</v>
      </c>
      <c r="M20" s="140">
        <f>G20-I20-K20</f>
        <v>6.8100000000000023</v>
      </c>
      <c r="N20" s="140">
        <f>(M20/G20)*100</f>
        <v>3.1874561198221398</v>
      </c>
      <c r="O20" s="139"/>
      <c r="P20" s="146">
        <v>4</v>
      </c>
      <c r="Q20" s="145">
        <v>-3</v>
      </c>
      <c r="R20" s="144">
        <v>8.76</v>
      </c>
      <c r="S20" s="144">
        <v>282.79000000000002</v>
      </c>
      <c r="T20" s="144">
        <f>S20-R20</f>
        <v>274.03000000000003</v>
      </c>
      <c r="U20" s="143">
        <v>256.27999999999997</v>
      </c>
      <c r="V20" s="142">
        <f>((T20-U20)/T20)</f>
        <v>6.4773929861694182E-2</v>
      </c>
      <c r="W20" s="141">
        <v>108.8</v>
      </c>
      <c r="X20" s="141">
        <f>(W20/U20)</f>
        <v>0.42453566411737165</v>
      </c>
      <c r="Y20" s="140">
        <v>138.11000000000001</v>
      </c>
      <c r="Z20" s="140">
        <f>(Y20/U20)</f>
        <v>0.53890276260340264</v>
      </c>
      <c r="AA20" s="140">
        <f>U20-W20-Y20</f>
        <v>9.3699999999999477</v>
      </c>
      <c r="AB20" s="140">
        <f>(AA20/U20)*100</f>
        <v>3.656157327922565</v>
      </c>
      <c r="AC20" s="139"/>
      <c r="AD20" s="146">
        <v>6</v>
      </c>
      <c r="AE20" s="145">
        <v>-3</v>
      </c>
      <c r="AF20" s="144">
        <v>8.81</v>
      </c>
      <c r="AG20" s="144">
        <v>273.06</v>
      </c>
      <c r="AH20" s="144">
        <f>AG20-AF20</f>
        <v>264.25</v>
      </c>
      <c r="AI20" s="143">
        <v>248.98</v>
      </c>
      <c r="AJ20" s="142">
        <f>((AH20-AI20)/AH20)</f>
        <v>5.7786187322611204E-2</v>
      </c>
      <c r="AK20" s="141">
        <v>104.14</v>
      </c>
      <c r="AL20" s="141">
        <f>(AK20/AI20)</f>
        <v>0.41826652743192227</v>
      </c>
      <c r="AM20" s="140">
        <v>138.72</v>
      </c>
      <c r="AN20" s="140">
        <f>(AM20/AI20)</f>
        <v>0.55715318499477873</v>
      </c>
      <c r="AO20" s="140">
        <f>AI20-AK20-AM20</f>
        <v>6.1199999999999761</v>
      </c>
      <c r="AP20" s="140">
        <f>(AO20/AI20)*100</f>
        <v>2.4580287573298967</v>
      </c>
      <c r="AQ20" s="139"/>
      <c r="AR20" s="146">
        <v>8</v>
      </c>
      <c r="AS20" s="145">
        <v>-3</v>
      </c>
      <c r="AT20" s="144">
        <v>8.8000000000000007</v>
      </c>
      <c r="AU20" s="144">
        <v>204.84</v>
      </c>
      <c r="AV20" s="144">
        <f>AU20-AT20</f>
        <v>196.04</v>
      </c>
      <c r="AW20" s="143">
        <v>184.53</v>
      </c>
      <c r="AX20" s="142">
        <f>((AV20-AW20)/AV20)</f>
        <v>5.871250765149965E-2</v>
      </c>
      <c r="AY20" s="141">
        <v>76.75</v>
      </c>
      <c r="AZ20" s="141">
        <f>(AY20/AW20)</f>
        <v>0.41592153037446483</v>
      </c>
      <c r="BA20" s="140">
        <v>97.91</v>
      </c>
      <c r="BB20" s="140">
        <f>(BA20/AW20)</f>
        <v>0.53059123177803069</v>
      </c>
      <c r="BC20" s="140">
        <f>AW20-AY20-BA20</f>
        <v>9.8700000000000045</v>
      </c>
      <c r="BD20" s="140">
        <f>(BC20/AW20)*100</f>
        <v>5.3487237847504501</v>
      </c>
      <c r="BE20" s="139"/>
      <c r="BF20" s="146">
        <v>10</v>
      </c>
      <c r="BG20" s="145">
        <v>-3</v>
      </c>
      <c r="BH20" s="144">
        <v>8.82</v>
      </c>
      <c r="BI20" s="144">
        <v>219.51</v>
      </c>
      <c r="BJ20" s="144">
        <f>BI20-BH20</f>
        <v>210.69</v>
      </c>
      <c r="BK20" s="143">
        <v>200.35</v>
      </c>
      <c r="BL20" s="142">
        <f>((BJ20-BK20)/BJ20)</f>
        <v>4.9076842754758189E-2</v>
      </c>
      <c r="BM20" s="141">
        <v>83.88</v>
      </c>
      <c r="BN20" s="141">
        <f>(BM20/BK20)</f>
        <v>0.41866733216870478</v>
      </c>
      <c r="BO20" s="140">
        <v>110.92</v>
      </c>
      <c r="BP20" s="140">
        <f>(BO20/BK20)</f>
        <v>0.55363114549538306</v>
      </c>
      <c r="BQ20" s="140">
        <f>BK20-BM20-BO20</f>
        <v>5.5499999999999972</v>
      </c>
      <c r="BR20" s="140">
        <f>(BQ20/BK20)*100</f>
        <v>2.7701522335912143</v>
      </c>
      <c r="BS20" s="139"/>
    </row>
    <row r="21" spans="1:71" ht="20.25" thickTop="1" thickBot="1" x14ac:dyDescent="0.3">
      <c r="A21" s="139"/>
      <c r="B21" s="146">
        <v>2</v>
      </c>
      <c r="C21" s="145">
        <v>-4</v>
      </c>
      <c r="D21" s="144">
        <v>8.7799999999999994</v>
      </c>
      <c r="E21" s="144">
        <v>230.39</v>
      </c>
      <c r="F21" s="144">
        <f>E21-D21</f>
        <v>221.60999999999999</v>
      </c>
      <c r="G21" s="143">
        <v>206.88</v>
      </c>
      <c r="H21" s="142">
        <f>((F21-G21)/F21)</f>
        <v>6.6468119669689948E-2</v>
      </c>
      <c r="I21" s="141">
        <v>84.83</v>
      </c>
      <c r="J21" s="141">
        <f>(I21/G21)</f>
        <v>0.41004447022428459</v>
      </c>
      <c r="K21" s="140">
        <v>116.16</v>
      </c>
      <c r="L21" s="140">
        <f>(K21/G21)</f>
        <v>0.56148491879350348</v>
      </c>
      <c r="M21" s="140">
        <f>G21-I21-K21</f>
        <v>5.8900000000000006</v>
      </c>
      <c r="N21" s="140">
        <f>(M21/G21)*100</f>
        <v>2.8470610982211912</v>
      </c>
      <c r="O21" s="139"/>
      <c r="P21" s="146">
        <v>4</v>
      </c>
      <c r="Q21" s="145">
        <v>-4</v>
      </c>
      <c r="R21" s="144">
        <v>8.86</v>
      </c>
      <c r="S21" s="144">
        <v>247.49</v>
      </c>
      <c r="T21" s="144">
        <f>S21-R21</f>
        <v>238.63</v>
      </c>
      <c r="U21" s="143">
        <v>224.19</v>
      </c>
      <c r="V21" s="142">
        <f>((T21-U21)/T21)</f>
        <v>6.0512089846205416E-2</v>
      </c>
      <c r="W21" s="141">
        <v>93.65</v>
      </c>
      <c r="X21" s="141">
        <f>(W21/U21)</f>
        <v>0.4177260359516482</v>
      </c>
      <c r="Y21" s="140">
        <v>120.4</v>
      </c>
      <c r="Z21" s="140">
        <f>(Y21/U21)</f>
        <v>0.53704447120745802</v>
      </c>
      <c r="AA21" s="140">
        <f>U21-W21-Y21</f>
        <v>10.139999999999986</v>
      </c>
      <c r="AB21" s="140">
        <f>(AA21/U21)*100</f>
        <v>4.5229492840893819</v>
      </c>
      <c r="AC21" s="139"/>
      <c r="AD21" s="146">
        <v>6</v>
      </c>
      <c r="AE21" s="145">
        <v>-4</v>
      </c>
      <c r="AF21" s="144">
        <v>8.7899999999999991</v>
      </c>
      <c r="AG21" s="144">
        <v>232.65</v>
      </c>
      <c r="AH21" s="144">
        <f>AG21-AF21</f>
        <v>223.86</v>
      </c>
      <c r="AI21" s="143">
        <v>211.83</v>
      </c>
      <c r="AJ21" s="142">
        <f>((AH21-AI21)/AH21)</f>
        <v>5.3738943982846427E-2</v>
      </c>
      <c r="AK21" s="141">
        <v>86.89</v>
      </c>
      <c r="AL21" s="141">
        <f>(AK21/AI21)</f>
        <v>0.4101874144361044</v>
      </c>
      <c r="AM21" s="140">
        <v>118.2</v>
      </c>
      <c r="AN21" s="140">
        <f>(AM21/AI21)</f>
        <v>0.55799461832601616</v>
      </c>
      <c r="AO21" s="140">
        <f>AI21-AK21-AM21</f>
        <v>6.7400000000000091</v>
      </c>
      <c r="AP21" s="140">
        <f>(AO21/AI21)*100</f>
        <v>3.1817967237879476</v>
      </c>
      <c r="AQ21" s="139"/>
      <c r="AR21" s="146">
        <v>8</v>
      </c>
      <c r="AS21" s="145">
        <v>-4</v>
      </c>
      <c r="AT21" s="144">
        <v>8.7100000000000009</v>
      </c>
      <c r="AU21" s="144">
        <v>270.74</v>
      </c>
      <c r="AV21" s="144">
        <f>AU21-AT21</f>
        <v>262.03000000000003</v>
      </c>
      <c r="AW21" s="143">
        <v>247.82</v>
      </c>
      <c r="AX21" s="142">
        <f>((AV21-AW21)/AV21)</f>
        <v>5.4230431629966165E-2</v>
      </c>
      <c r="AY21" s="141">
        <v>103.26</v>
      </c>
      <c r="AZ21" s="141">
        <f>(AY21/AW21)</f>
        <v>0.41667339197804859</v>
      </c>
      <c r="BA21" s="140">
        <v>136.04</v>
      </c>
      <c r="BB21" s="140">
        <f>(BA21/AW21)</f>
        <v>0.54894681623759178</v>
      </c>
      <c r="BC21" s="140">
        <f>AW21-AY21-BA21</f>
        <v>8.5200000000000102</v>
      </c>
      <c r="BD21" s="140">
        <f>(BC21/AW21)*100</f>
        <v>3.4379791784359659</v>
      </c>
      <c r="BE21" s="139"/>
      <c r="BF21" s="146">
        <v>10</v>
      </c>
      <c r="BG21" s="145">
        <v>-4</v>
      </c>
      <c r="BH21" s="144">
        <v>8.74</v>
      </c>
      <c r="BI21" s="144">
        <v>222.21</v>
      </c>
      <c r="BJ21" s="144">
        <f>BI21-BH21</f>
        <v>213.47</v>
      </c>
      <c r="BK21" s="143">
        <v>202.91</v>
      </c>
      <c r="BL21" s="142">
        <f>((BJ21-BK21)/BJ21)</f>
        <v>4.9468309364313498E-2</v>
      </c>
      <c r="BM21" s="141">
        <v>83.53</v>
      </c>
      <c r="BN21" s="141">
        <f>(BM21/BK21)</f>
        <v>0.41166034202355728</v>
      </c>
      <c r="BO21" s="140">
        <v>114.41</v>
      </c>
      <c r="BP21" s="140">
        <f>(BO21/BK21)</f>
        <v>0.56384604011630768</v>
      </c>
      <c r="BQ21" s="140">
        <f>BK21-BM21-BO21</f>
        <v>4.9699999999999989</v>
      </c>
      <c r="BR21" s="140">
        <f>(BQ21/BK21)*100</f>
        <v>2.4493617860135033</v>
      </c>
      <c r="BS21" s="139"/>
    </row>
    <row r="22" spans="1:71" ht="20.25" thickTop="1" thickBot="1" x14ac:dyDescent="0.3">
      <c r="A22" s="139"/>
      <c r="B22" s="146">
        <v>2</v>
      </c>
      <c r="C22" s="145">
        <v>-5</v>
      </c>
      <c r="D22" s="144">
        <v>8.81</v>
      </c>
      <c r="E22" s="144">
        <v>252.65</v>
      </c>
      <c r="F22" s="144">
        <f>E22-D22</f>
        <v>243.84</v>
      </c>
      <c r="G22" s="143">
        <v>227.67</v>
      </c>
      <c r="H22" s="142">
        <f>((F22-G22)/F22)</f>
        <v>6.6313976377952819E-2</v>
      </c>
      <c r="I22" s="141">
        <v>97.45</v>
      </c>
      <c r="J22" s="141">
        <f>(I22/G22)</f>
        <v>0.4280318004128783</v>
      </c>
      <c r="K22" s="140">
        <v>124.18</v>
      </c>
      <c r="L22" s="140">
        <f>(K22/G22)</f>
        <v>0.5454385733737428</v>
      </c>
      <c r="M22" s="140">
        <f>G22-I22-K22</f>
        <v>6.0399999999999636</v>
      </c>
      <c r="N22" s="140">
        <f>(M22/G22)*100</f>
        <v>2.6529626213378856</v>
      </c>
      <c r="O22" s="139"/>
      <c r="P22" s="146">
        <v>4</v>
      </c>
      <c r="Q22" s="145">
        <v>-5</v>
      </c>
      <c r="R22" s="144">
        <v>8.8699999999999992</v>
      </c>
      <c r="S22" s="144">
        <v>318.94</v>
      </c>
      <c r="T22" s="144">
        <f>S22-R22</f>
        <v>310.07</v>
      </c>
      <c r="U22" s="143">
        <v>291.35000000000002</v>
      </c>
      <c r="V22" s="142">
        <f>((T22-U22)/T22)</f>
        <v>6.0373464056503276E-2</v>
      </c>
      <c r="W22" s="141">
        <v>124.35</v>
      </c>
      <c r="X22" s="141">
        <f>(W22/U22)</f>
        <v>0.42680624678222062</v>
      </c>
      <c r="Y22" s="140">
        <v>158.12</v>
      </c>
      <c r="Z22" s="140">
        <f>(Y22/U22)</f>
        <v>0.54271494765745665</v>
      </c>
      <c r="AA22" s="140">
        <f>U22-W22-Y22</f>
        <v>8.8800000000000239</v>
      </c>
      <c r="AB22" s="140">
        <f>(AA22/U22)*100</f>
        <v>3.0478805560322715</v>
      </c>
      <c r="AC22" s="139"/>
      <c r="AD22" s="146">
        <v>6</v>
      </c>
      <c r="AE22" s="145">
        <v>-5</v>
      </c>
      <c r="AF22" s="144">
        <v>8.73</v>
      </c>
      <c r="AG22" s="144">
        <v>200.43</v>
      </c>
      <c r="AH22" s="144">
        <f>AG22-AF22</f>
        <v>191.70000000000002</v>
      </c>
      <c r="AI22" s="143">
        <v>181.45</v>
      </c>
      <c r="AJ22" s="142">
        <f>((AH22-AI22)/AH22)</f>
        <v>5.346896191966629E-2</v>
      </c>
      <c r="AK22" s="141">
        <v>77.459999999999994</v>
      </c>
      <c r="AL22" s="141">
        <f>(AK22/AI22)</f>
        <v>0.4268944612841003</v>
      </c>
      <c r="AM22" s="140">
        <v>98.57</v>
      </c>
      <c r="AN22" s="140">
        <f>(AM22/AI22)</f>
        <v>0.54323505097823088</v>
      </c>
      <c r="AO22" s="140">
        <f>AI22-AK22-AM22</f>
        <v>5.4200000000000017</v>
      </c>
      <c r="AP22" s="140">
        <f>(AO22/AI22)*100</f>
        <v>2.9870487737668792</v>
      </c>
      <c r="AQ22" s="139"/>
      <c r="AR22" s="146">
        <v>8</v>
      </c>
      <c r="AS22" s="145">
        <v>-5</v>
      </c>
      <c r="AT22" s="144">
        <v>8.68</v>
      </c>
      <c r="AU22" s="144">
        <v>256.99</v>
      </c>
      <c r="AV22" s="144">
        <f>AU22-AT22</f>
        <v>248.31</v>
      </c>
      <c r="AW22" s="143">
        <v>234.91</v>
      </c>
      <c r="AX22" s="142">
        <f>((AV22-AW22)/AV22)</f>
        <v>5.3964802061938731E-2</v>
      </c>
      <c r="AY22" s="141">
        <v>96.76</v>
      </c>
      <c r="AZ22" s="141">
        <f>(AY22/AW22)</f>
        <v>0.41190243071814742</v>
      </c>
      <c r="BA22" s="140">
        <v>130.41</v>
      </c>
      <c r="BB22" s="140">
        <f>(BA22/AW22)</f>
        <v>0.55514878038397686</v>
      </c>
      <c r="BC22" s="140">
        <f>AW22-AY22-BA22</f>
        <v>7.7399999999999807</v>
      </c>
      <c r="BD22" s="140">
        <f>(BC22/AW22)*100</f>
        <v>3.2948788897875696</v>
      </c>
      <c r="BE22" s="139"/>
      <c r="BF22" s="146">
        <v>10</v>
      </c>
      <c r="BG22" s="145">
        <v>-5</v>
      </c>
      <c r="BH22" s="144">
        <v>8.7799999999999994</v>
      </c>
      <c r="BI22" s="144">
        <v>193.26</v>
      </c>
      <c r="BJ22" s="144">
        <f>BI22-BH22</f>
        <v>184.48</v>
      </c>
      <c r="BK22" s="143">
        <v>175.62</v>
      </c>
      <c r="BL22" s="142">
        <f>((BJ22-BK22)/BJ22)</f>
        <v>4.8026886383347712E-2</v>
      </c>
      <c r="BM22" s="141">
        <v>73.650000000000006</v>
      </c>
      <c r="BN22" s="141">
        <f>(BM22/BK22)</f>
        <v>0.41937137000341651</v>
      </c>
      <c r="BO22" s="140">
        <v>96.35</v>
      </c>
      <c r="BP22" s="140">
        <f>(BO22/BK22)</f>
        <v>0.54862771893861739</v>
      </c>
      <c r="BQ22" s="140">
        <f>BK22-BM22-BO22</f>
        <v>5.6200000000000045</v>
      </c>
      <c r="BR22" s="140">
        <f>(BQ22/BK22)*100</f>
        <v>3.2000911057966088</v>
      </c>
      <c r="BS22" s="139"/>
    </row>
    <row r="23" spans="1:71" ht="20.25" thickTop="1" thickBot="1" x14ac:dyDescent="0.3">
      <c r="A23" s="139"/>
      <c r="B23" s="146">
        <v>2</v>
      </c>
      <c r="C23" s="145">
        <v>-6</v>
      </c>
      <c r="D23" s="144">
        <v>8.82</v>
      </c>
      <c r="E23" s="144">
        <v>370.5</v>
      </c>
      <c r="F23" s="144">
        <f>E23-D23</f>
        <v>361.68</v>
      </c>
      <c r="G23" s="143">
        <v>338</v>
      </c>
      <c r="H23" s="142">
        <f>((F23-G23)/F23)</f>
        <v>6.547224065472243E-2</v>
      </c>
      <c r="I23" s="141">
        <v>143.54</v>
      </c>
      <c r="J23" s="141">
        <f>(I23/G23)</f>
        <v>0.42467455621301775</v>
      </c>
      <c r="K23" s="140">
        <v>182.71</v>
      </c>
      <c r="L23" s="140">
        <f>(K23/G23)</f>
        <v>0.54056213017751487</v>
      </c>
      <c r="M23" s="140">
        <f>G23-I23-K23</f>
        <v>11.75</v>
      </c>
      <c r="N23" s="140">
        <f>(M23/G23)*100</f>
        <v>3.4763313609467454</v>
      </c>
      <c r="O23" s="139"/>
      <c r="P23" s="146">
        <v>4</v>
      </c>
      <c r="Q23" s="145">
        <v>-6</v>
      </c>
      <c r="R23" s="144">
        <v>8.8800000000000008</v>
      </c>
      <c r="S23" s="144">
        <v>228.27</v>
      </c>
      <c r="T23" s="144">
        <f>S23-R23</f>
        <v>219.39000000000001</v>
      </c>
      <c r="U23" s="143">
        <v>206.69</v>
      </c>
      <c r="V23" s="142">
        <f>((T23-U23)/T23)</f>
        <v>5.7887779752951438E-2</v>
      </c>
      <c r="W23" s="141">
        <v>88.11</v>
      </c>
      <c r="X23" s="141">
        <f>(W23/U23)</f>
        <v>0.42629058009579562</v>
      </c>
      <c r="Y23" s="140">
        <v>112.38</v>
      </c>
      <c r="Z23" s="140">
        <f>(Y23/U23)</f>
        <v>0.54371280661860755</v>
      </c>
      <c r="AA23" s="140">
        <f>U23-W23-Y23</f>
        <v>6.2000000000000028</v>
      </c>
      <c r="AB23" s="140">
        <f>(AA23/U23)*100</f>
        <v>2.99966132855968</v>
      </c>
      <c r="AC23" s="139"/>
      <c r="AD23" s="146">
        <v>6</v>
      </c>
      <c r="AE23" s="145">
        <v>-6</v>
      </c>
      <c r="AF23" s="144">
        <v>8.77</v>
      </c>
      <c r="AG23" s="144">
        <v>167.28</v>
      </c>
      <c r="AH23" s="144">
        <f>AG23-AF23</f>
        <v>158.51</v>
      </c>
      <c r="AI23" s="143">
        <v>149.63</v>
      </c>
      <c r="AJ23" s="142">
        <f>((AH23-AI23)/AH23)</f>
        <v>5.6021702100813801E-2</v>
      </c>
      <c r="AK23" s="141">
        <v>64.25</v>
      </c>
      <c r="AL23" s="141">
        <f>(AK23/AI23)</f>
        <v>0.42939250150370917</v>
      </c>
      <c r="AM23" s="140">
        <v>81.349999999999994</v>
      </c>
      <c r="AN23" s="140">
        <f>(AM23/AI23)</f>
        <v>0.5436743968455523</v>
      </c>
      <c r="AO23" s="140">
        <f>AI23-AK23-AM23</f>
        <v>4.0300000000000011</v>
      </c>
      <c r="AP23" s="140">
        <f>(AO23/AI23)*100</f>
        <v>2.6933101650738496</v>
      </c>
      <c r="AQ23" s="139"/>
      <c r="AR23" s="146">
        <v>8</v>
      </c>
      <c r="AS23" s="145">
        <v>-6</v>
      </c>
      <c r="AT23" s="144">
        <v>8.73</v>
      </c>
      <c r="AU23" s="144">
        <v>201.63</v>
      </c>
      <c r="AV23" s="144">
        <f>AU23-AT23</f>
        <v>192.9</v>
      </c>
      <c r="AW23" s="143">
        <v>183.44</v>
      </c>
      <c r="AX23" s="142">
        <f>((AV23-AW23)/AV23)</f>
        <v>4.9040953862104754E-2</v>
      </c>
      <c r="AY23" s="141">
        <v>77.53</v>
      </c>
      <c r="AZ23" s="141">
        <f>(AY23/AW23)</f>
        <v>0.42264500654164849</v>
      </c>
      <c r="BA23" s="140">
        <v>99.09</v>
      </c>
      <c r="BB23" s="140">
        <f>(BA23/AW23)</f>
        <v>0.54017662450937642</v>
      </c>
      <c r="BC23" s="140">
        <f>AW23-AY23-BA23</f>
        <v>6.8199999999999932</v>
      </c>
      <c r="BD23" s="140">
        <f>(BC23/AW23)*100</f>
        <v>3.7178368948975105</v>
      </c>
      <c r="BE23" s="139"/>
      <c r="BF23" s="146">
        <v>10</v>
      </c>
      <c r="BG23" s="145">
        <v>-6</v>
      </c>
      <c r="BH23" s="144">
        <v>8.77</v>
      </c>
      <c r="BI23" s="144">
        <v>273.98</v>
      </c>
      <c r="BJ23" s="144">
        <f>BI23-BH23</f>
        <v>265.21000000000004</v>
      </c>
      <c r="BK23" s="143">
        <v>252.42</v>
      </c>
      <c r="BL23" s="142">
        <f>((BJ23-BK23)/BJ23)</f>
        <v>4.8225934165378556E-2</v>
      </c>
      <c r="BM23" s="141">
        <v>105.16</v>
      </c>
      <c r="BN23" s="141">
        <f>(BM23/BK23)</f>
        <v>0.4166072418984233</v>
      </c>
      <c r="BO23" s="140">
        <v>140.31</v>
      </c>
      <c r="BP23" s="140">
        <f>(BO23/BK23)</f>
        <v>0.55585928214879965</v>
      </c>
      <c r="BQ23" s="140">
        <f>BK23-BM23-BO23</f>
        <v>6.9499999999999886</v>
      </c>
      <c r="BR23" s="140">
        <f>(BQ23/BK23)*100</f>
        <v>2.7533475952777073</v>
      </c>
      <c r="BS23" s="139"/>
    </row>
    <row r="24" spans="1:71" ht="20.25" thickTop="1" thickBot="1" x14ac:dyDescent="0.3">
      <c r="A24" s="139"/>
      <c r="B24" s="146">
        <v>2</v>
      </c>
      <c r="C24" s="145">
        <v>-7</v>
      </c>
      <c r="D24" s="144">
        <v>8.84</v>
      </c>
      <c r="E24" s="144">
        <v>244.67</v>
      </c>
      <c r="F24" s="144">
        <f>E24-D24</f>
        <v>235.82999999999998</v>
      </c>
      <c r="G24" s="143">
        <v>219.49</v>
      </c>
      <c r="H24" s="142">
        <f>((F24-G24)/F24)</f>
        <v>6.9287198405631079E-2</v>
      </c>
      <c r="I24" s="141">
        <v>94.23</v>
      </c>
      <c r="J24" s="141">
        <f>(I24/G24)</f>
        <v>0.42931340835573373</v>
      </c>
      <c r="K24" s="140">
        <v>117.36</v>
      </c>
      <c r="L24" s="140">
        <f>(K24/G24)</f>
        <v>0.53469406351086612</v>
      </c>
      <c r="M24" s="140">
        <f>G24-I24-K24</f>
        <v>7.9000000000000057</v>
      </c>
      <c r="N24" s="140">
        <f>(M24/G24)*100</f>
        <v>3.5992528133400183</v>
      </c>
      <c r="O24" s="139"/>
      <c r="P24" s="146">
        <v>4</v>
      </c>
      <c r="Q24" s="145">
        <v>-7</v>
      </c>
      <c r="R24" s="144">
        <v>8.91</v>
      </c>
      <c r="S24" s="144">
        <v>300.25</v>
      </c>
      <c r="T24" s="144">
        <f>S24-R24</f>
        <v>291.33999999999997</v>
      </c>
      <c r="U24" s="143">
        <v>273.95</v>
      </c>
      <c r="V24" s="142">
        <f>((T24-U24)/T24)</f>
        <v>5.9689709617628844E-2</v>
      </c>
      <c r="W24" s="141">
        <v>114.78</v>
      </c>
      <c r="X24" s="141">
        <f>(W24/U24)</f>
        <v>0.41898156597919328</v>
      </c>
      <c r="Y24" s="140">
        <v>150.5</v>
      </c>
      <c r="Z24" s="140">
        <f>(Y24/U24)</f>
        <v>0.54937032305165179</v>
      </c>
      <c r="AA24" s="140">
        <f>U24-W24-Y24</f>
        <v>8.6699999999999875</v>
      </c>
      <c r="AB24" s="140">
        <f>(AA24/U24)*100</f>
        <v>3.164811096915491</v>
      </c>
      <c r="AC24" s="139"/>
      <c r="AD24" s="146">
        <v>6</v>
      </c>
      <c r="AE24" s="145">
        <v>-7</v>
      </c>
      <c r="AF24" s="144">
        <v>8.77</v>
      </c>
      <c r="AG24" s="144">
        <v>205.61</v>
      </c>
      <c r="AH24" s="144">
        <f>AG24-AF24</f>
        <v>196.84</v>
      </c>
      <c r="AI24" s="143">
        <v>186.12</v>
      </c>
      <c r="AJ24" s="142">
        <f>((AH24-AI24)/AH24)</f>
        <v>5.4460475513107086E-2</v>
      </c>
      <c r="AK24" s="141">
        <v>77.98</v>
      </c>
      <c r="AL24" s="141">
        <f>(AK24/AI24)</f>
        <v>0.41897700408338706</v>
      </c>
      <c r="AM24" s="140">
        <v>102.44</v>
      </c>
      <c r="AN24" s="140">
        <f>(AM24/AI24)</f>
        <v>0.55039759295078439</v>
      </c>
      <c r="AO24" s="140">
        <f>AI24-AK24-AM24</f>
        <v>5.7000000000000028</v>
      </c>
      <c r="AP24" s="140">
        <f>(AO24/AI24)*100</f>
        <v>3.0625402965828514</v>
      </c>
      <c r="AQ24" s="139"/>
      <c r="AR24" s="146">
        <v>8</v>
      </c>
      <c r="AS24" s="145">
        <v>-7</v>
      </c>
      <c r="AT24" s="144">
        <v>8.75</v>
      </c>
      <c r="AU24" s="144">
        <v>199.01</v>
      </c>
      <c r="AV24" s="144">
        <f>AU24-AT24</f>
        <v>190.26</v>
      </c>
      <c r="AW24" s="143">
        <v>180.53</v>
      </c>
      <c r="AX24" s="142">
        <f>((AV24-AW24)/AV24)</f>
        <v>5.1140544518027908E-2</v>
      </c>
      <c r="AY24" s="141">
        <v>76.180000000000007</v>
      </c>
      <c r="AZ24" s="141">
        <f>(AY24/AW24)</f>
        <v>0.42197972636126962</v>
      </c>
      <c r="BA24" s="140">
        <v>98.75</v>
      </c>
      <c r="BB24" s="140">
        <f>(BA24/AW24)</f>
        <v>0.54700049853209998</v>
      </c>
      <c r="BC24" s="140">
        <f>AW24-AY24-BA24</f>
        <v>5.5999999999999943</v>
      </c>
      <c r="BD24" s="140">
        <f>(BC24/AW24)*100</f>
        <v>3.1019775106630445</v>
      </c>
      <c r="BE24" s="139"/>
      <c r="BF24" s="146">
        <v>10</v>
      </c>
      <c r="BG24" s="145">
        <v>-7</v>
      </c>
      <c r="BH24" s="144">
        <v>8.7100000000000009</v>
      </c>
      <c r="BI24" s="144">
        <v>255.54</v>
      </c>
      <c r="BJ24" s="144">
        <f>BI24-BH24</f>
        <v>246.82999999999998</v>
      </c>
      <c r="BK24" s="143">
        <v>233.78</v>
      </c>
      <c r="BL24" s="142">
        <f>((BJ24-BK24)/BJ24)</f>
        <v>5.2870396629258937E-2</v>
      </c>
      <c r="BM24" s="141">
        <v>97.17</v>
      </c>
      <c r="BN24" s="141">
        <f>(BM24/BK24)</f>
        <v>0.41564718966549746</v>
      </c>
      <c r="BO24" s="140">
        <v>128.93</v>
      </c>
      <c r="BP24" s="140">
        <f>(BO24/BK24)</f>
        <v>0.55150141158354016</v>
      </c>
      <c r="BQ24" s="140">
        <f>BK24-BM24-BO24</f>
        <v>7.6800000000000068</v>
      </c>
      <c r="BR24" s="140">
        <f>(BQ24/BK24)*100</f>
        <v>3.2851398750962471</v>
      </c>
      <c r="BS24" s="139"/>
    </row>
    <row r="25" spans="1:71" ht="20.25" thickTop="1" thickBot="1" x14ac:dyDescent="0.3">
      <c r="A25" s="139"/>
      <c r="B25" s="146">
        <v>2</v>
      </c>
      <c r="C25" s="145">
        <v>-8</v>
      </c>
      <c r="D25" s="144">
        <v>8.83</v>
      </c>
      <c r="E25" s="144">
        <v>200.78</v>
      </c>
      <c r="F25" s="144">
        <f>E25-D25</f>
        <v>191.95</v>
      </c>
      <c r="G25" s="143">
        <v>179.29</v>
      </c>
      <c r="H25" s="142">
        <f>((F25-G25)/F25)</f>
        <v>6.5954675696796028E-2</v>
      </c>
      <c r="I25" s="141">
        <v>76.48</v>
      </c>
      <c r="J25" s="141">
        <f>(I25/G25)</f>
        <v>0.42657147637905074</v>
      </c>
      <c r="K25" s="140">
        <v>96.39</v>
      </c>
      <c r="L25" s="140">
        <f>(K25/G25)</f>
        <v>0.53762061464666189</v>
      </c>
      <c r="M25" s="140">
        <f>G25-I25-K25</f>
        <v>6.4199999999999875</v>
      </c>
      <c r="N25" s="140">
        <f>(M25/G25)*100</f>
        <v>3.5807908974287401</v>
      </c>
      <c r="O25" s="139"/>
      <c r="P25" s="146">
        <v>4</v>
      </c>
      <c r="Q25" s="145">
        <v>-8</v>
      </c>
      <c r="R25" s="144">
        <v>8.93</v>
      </c>
      <c r="S25" s="144">
        <v>196.38</v>
      </c>
      <c r="T25" s="144">
        <f>S25-R25</f>
        <v>187.45</v>
      </c>
      <c r="U25" s="143">
        <v>176.97</v>
      </c>
      <c r="V25" s="142">
        <f>((T25-U25)/T25)</f>
        <v>5.5908242197919393E-2</v>
      </c>
      <c r="W25" s="141">
        <v>74.88</v>
      </c>
      <c r="X25" s="141">
        <f>(W25/U25)</f>
        <v>0.42312256314629598</v>
      </c>
      <c r="Y25" s="140">
        <v>96.34</v>
      </c>
      <c r="Z25" s="140">
        <f>(Y25/U25)</f>
        <v>0.54438605413346897</v>
      </c>
      <c r="AA25" s="140">
        <f>U25-W25-Y25</f>
        <v>5.75</v>
      </c>
      <c r="AB25" s="140">
        <f>(AA25/U25)*100</f>
        <v>3.2491382720235067</v>
      </c>
      <c r="AC25" s="139"/>
      <c r="AD25" s="146">
        <v>6</v>
      </c>
      <c r="AE25" s="145">
        <v>-8</v>
      </c>
      <c r="AF25" s="144">
        <v>8.7200000000000006</v>
      </c>
      <c r="AG25" s="144">
        <v>252.83</v>
      </c>
      <c r="AH25" s="144">
        <f>AG25-AF25</f>
        <v>244.11</v>
      </c>
      <c r="AI25" s="143">
        <v>231.42</v>
      </c>
      <c r="AJ25" s="142">
        <f>((AH25-AI25)/AH25)</f>
        <v>5.1984760968415984E-2</v>
      </c>
      <c r="AK25" s="141">
        <v>97.24</v>
      </c>
      <c r="AL25" s="141">
        <f>(AK25/AI25)</f>
        <v>0.42018840203958169</v>
      </c>
      <c r="AM25" s="140">
        <v>127.69</v>
      </c>
      <c r="AN25" s="140">
        <f>(AM25/AI25)</f>
        <v>0.55176734940800276</v>
      </c>
      <c r="AO25" s="140">
        <f>AI25-AK25-AM25</f>
        <v>6.4900000000000091</v>
      </c>
      <c r="AP25" s="140">
        <f>(AO25/AI25)*100</f>
        <v>2.8044248552415563</v>
      </c>
      <c r="AQ25" s="139"/>
      <c r="AR25" s="146">
        <v>8</v>
      </c>
      <c r="AS25" s="145">
        <v>-8</v>
      </c>
      <c r="AT25" s="144">
        <v>8.83</v>
      </c>
      <c r="AU25" s="144">
        <v>277.92</v>
      </c>
      <c r="AV25" s="144">
        <f>AU25-AT25</f>
        <v>269.09000000000003</v>
      </c>
      <c r="AW25" s="143">
        <v>254.63</v>
      </c>
      <c r="AX25" s="142">
        <f>((AV25-AW25)/AV25)</f>
        <v>5.3736668029284014E-2</v>
      </c>
      <c r="AY25" s="141">
        <v>107.67</v>
      </c>
      <c r="AZ25" s="141">
        <f>(AY25/AW25)</f>
        <v>0.42284883949259711</v>
      </c>
      <c r="BA25" s="140">
        <v>138.72999999999999</v>
      </c>
      <c r="BB25" s="140">
        <f>(BA25/AW25)</f>
        <v>0.54482975297490477</v>
      </c>
      <c r="BC25" s="140">
        <f>AW25-AY25-BA25</f>
        <v>8.2299999999999898</v>
      </c>
      <c r="BD25" s="140">
        <f>(BC25/AW25)*100</f>
        <v>3.2321407532498099</v>
      </c>
      <c r="BE25" s="139"/>
      <c r="BF25" s="146">
        <v>10</v>
      </c>
      <c r="BG25" s="145">
        <v>-8</v>
      </c>
      <c r="BH25" s="144">
        <v>8.6999999999999993</v>
      </c>
      <c r="BI25" s="144">
        <v>209.51</v>
      </c>
      <c r="BJ25" s="144">
        <f>BI25-BH25</f>
        <v>200.81</v>
      </c>
      <c r="BK25" s="143">
        <v>190.65</v>
      </c>
      <c r="BL25" s="142">
        <f>((BJ25-BK25)/BJ25)</f>
        <v>5.0595089885961834E-2</v>
      </c>
      <c r="BM25" s="141">
        <v>79.48</v>
      </c>
      <c r="BN25" s="141">
        <f>(BM25/BK25)</f>
        <v>0.4168895882507212</v>
      </c>
      <c r="BO25" s="140">
        <v>106.26</v>
      </c>
      <c r="BP25" s="140">
        <f>(BO25/BK25)</f>
        <v>0.55735641227380017</v>
      </c>
      <c r="BQ25" s="140">
        <f>BK25-BM25-BO25</f>
        <v>4.9099999999999966</v>
      </c>
      <c r="BR25" s="140">
        <f>(BQ25/BK25)*100</f>
        <v>2.5753999475478606</v>
      </c>
      <c r="BS25" s="139"/>
    </row>
    <row r="26" spans="1:71" ht="20.25" thickTop="1" thickBot="1" x14ac:dyDescent="0.3">
      <c r="A26" s="139"/>
      <c r="B26" s="146">
        <v>2</v>
      </c>
      <c r="C26" s="145">
        <v>-9</v>
      </c>
      <c r="D26" s="144">
        <v>8.85</v>
      </c>
      <c r="E26" s="144">
        <v>224.17</v>
      </c>
      <c r="F26" s="144">
        <f>E26-D26</f>
        <v>215.32</v>
      </c>
      <c r="G26" s="143">
        <v>201.34</v>
      </c>
      <c r="H26" s="142">
        <f>((F26-G26)/F26)</f>
        <v>6.492662084339583E-2</v>
      </c>
      <c r="I26" s="141">
        <v>83.99</v>
      </c>
      <c r="J26" s="141">
        <f>(I26/G26)</f>
        <v>0.41715506109069234</v>
      </c>
      <c r="K26" s="140">
        <v>111.38</v>
      </c>
      <c r="L26" s="140">
        <f>(K26/G26)</f>
        <v>0.55319360286083241</v>
      </c>
      <c r="M26" s="140">
        <f>G26-I26-K26</f>
        <v>5.9700000000000131</v>
      </c>
      <c r="N26" s="140">
        <f>(M26/G26)*100</f>
        <v>2.9651336048475279</v>
      </c>
      <c r="O26" s="139"/>
      <c r="P26" s="146">
        <v>4</v>
      </c>
      <c r="Q26" s="145">
        <v>-9</v>
      </c>
      <c r="R26" s="144">
        <v>8.89</v>
      </c>
      <c r="S26" s="144">
        <v>279.56</v>
      </c>
      <c r="T26" s="144">
        <f>S26-R26</f>
        <v>270.67</v>
      </c>
      <c r="U26" s="143">
        <v>255.83</v>
      </c>
      <c r="V26" s="142">
        <f>((T26-U26)/T26)</f>
        <v>5.482691099863303E-2</v>
      </c>
      <c r="W26" s="141">
        <v>107.97</v>
      </c>
      <c r="X26" s="141">
        <f>(W26/U26)</f>
        <v>0.42203807215729194</v>
      </c>
      <c r="Y26" s="140">
        <v>140.36000000000001</v>
      </c>
      <c r="Z26" s="140">
        <f>(Y26/U26)</f>
        <v>0.5486455849587617</v>
      </c>
      <c r="AA26" s="140">
        <f>U26-W26-Y26</f>
        <v>7.5</v>
      </c>
      <c r="AB26" s="140">
        <f>(AA26/U26)*100</f>
        <v>2.9316342883946369</v>
      </c>
      <c r="AC26" s="139"/>
      <c r="AD26" s="146">
        <v>6</v>
      </c>
      <c r="AE26" s="145">
        <v>-9</v>
      </c>
      <c r="AF26" s="144">
        <v>7.8</v>
      </c>
      <c r="AG26" s="144">
        <v>232.46</v>
      </c>
      <c r="AH26" s="144">
        <f>AG26-AF26</f>
        <v>224.66</v>
      </c>
      <c r="AI26" s="143">
        <v>211.9</v>
      </c>
      <c r="AJ26" s="142">
        <f>((AH26-AI26)/AH26)</f>
        <v>5.6796937594587336E-2</v>
      </c>
      <c r="AK26" s="141">
        <v>90.78</v>
      </c>
      <c r="AL26" s="141">
        <f>(AK26/AI26)</f>
        <v>0.42840962718263331</v>
      </c>
      <c r="AM26" s="140">
        <v>113.46</v>
      </c>
      <c r="AN26" s="140">
        <f>(AM26/AI26)</f>
        <v>0.53544124587069364</v>
      </c>
      <c r="AO26" s="140">
        <f>AI26-AK26-AM26</f>
        <v>7.6600000000000108</v>
      </c>
      <c r="AP26" s="140">
        <f>(AO26/AI26)*100</f>
        <v>3.6149126946673009</v>
      </c>
      <c r="AQ26" s="139"/>
      <c r="AR26" s="146">
        <v>8</v>
      </c>
      <c r="AS26" s="145">
        <v>-9</v>
      </c>
      <c r="AT26" s="144">
        <v>8.7899999999999991</v>
      </c>
      <c r="AU26" s="144">
        <v>236.34</v>
      </c>
      <c r="AV26" s="144">
        <f>AU26-AT26</f>
        <v>227.55</v>
      </c>
      <c r="AW26" s="143">
        <v>216.27</v>
      </c>
      <c r="AX26" s="142">
        <f>((AV26-AW26)/AV26)</f>
        <v>4.9571522742254452E-2</v>
      </c>
      <c r="AY26" s="141">
        <v>92.07</v>
      </c>
      <c r="AZ26" s="141">
        <f>(AY26/AW26)</f>
        <v>0.42571785268414475</v>
      </c>
      <c r="BA26" s="140">
        <v>117.93</v>
      </c>
      <c r="BB26" s="140">
        <f>(BA26/AW26)</f>
        <v>0.54529060896102099</v>
      </c>
      <c r="BC26" s="140">
        <f>AW26-AY26-BA26</f>
        <v>6.2700000000000102</v>
      </c>
      <c r="BD26" s="140">
        <f>(BC26/AW26)*100</f>
        <v>2.8991538354834279</v>
      </c>
      <c r="BE26" s="139"/>
      <c r="BF26" s="146">
        <v>10</v>
      </c>
      <c r="BG26" s="145">
        <v>-9</v>
      </c>
      <c r="BH26" s="144">
        <v>8.66</v>
      </c>
      <c r="BI26" s="144">
        <v>239.08</v>
      </c>
      <c r="BJ26" s="144">
        <f>BI26-BH26</f>
        <v>230.42000000000002</v>
      </c>
      <c r="BK26" s="143">
        <v>219.58</v>
      </c>
      <c r="BL26" s="142">
        <f>((BJ26-BK26)/BJ26)</f>
        <v>4.7044527384775638E-2</v>
      </c>
      <c r="BM26" s="141">
        <v>91.79</v>
      </c>
      <c r="BN26" s="141">
        <f>(BM26/BK26)</f>
        <v>0.41802532106749252</v>
      </c>
      <c r="BO26" s="140">
        <v>122.57</v>
      </c>
      <c r="BP26" s="140">
        <f>(BO26/BK26)</f>
        <v>0.55820202204208025</v>
      </c>
      <c r="BQ26" s="140">
        <f>BK26-BM26-BO26</f>
        <v>5.2200000000000131</v>
      </c>
      <c r="BR26" s="140">
        <f>(BQ26/BK26)*100</f>
        <v>2.3772656890427237</v>
      </c>
      <c r="BS26" s="139"/>
    </row>
    <row r="27" spans="1:71" ht="20.25" thickTop="1" thickBot="1" x14ac:dyDescent="0.3">
      <c r="A27" s="139"/>
      <c r="B27" s="146">
        <v>2</v>
      </c>
      <c r="C27" s="145">
        <v>-10</v>
      </c>
      <c r="D27" s="144">
        <v>8.8699999999999992</v>
      </c>
      <c r="E27" s="144">
        <v>221.12</v>
      </c>
      <c r="F27" s="144">
        <f>E27-D27</f>
        <v>212.25</v>
      </c>
      <c r="G27" s="143">
        <v>199.51</v>
      </c>
      <c r="H27" s="142">
        <f>((F27-G27)/F27)</f>
        <v>6.002355712603067E-2</v>
      </c>
      <c r="I27" s="141">
        <v>83.29</v>
      </c>
      <c r="J27" s="141">
        <f>(I27/G27)</f>
        <v>0.41747280838053236</v>
      </c>
      <c r="K27" s="140">
        <v>105.85</v>
      </c>
      <c r="L27" s="140">
        <f>(K27/G27)</f>
        <v>0.53054984712545739</v>
      </c>
      <c r="M27" s="140">
        <f>G27-I27-K27</f>
        <v>10.36999999999999</v>
      </c>
      <c r="N27" s="140">
        <f>(M27/G27)*100</f>
        <v>5.197734449401028</v>
      </c>
      <c r="O27" s="139"/>
      <c r="P27" s="146">
        <v>4</v>
      </c>
      <c r="Q27" s="145">
        <v>-10</v>
      </c>
      <c r="R27" s="144">
        <v>8.89</v>
      </c>
      <c r="S27" s="144">
        <v>335.31</v>
      </c>
      <c r="T27" s="144">
        <f>S27-R27</f>
        <v>326.42</v>
      </c>
      <c r="U27" s="143">
        <v>308.58999999999997</v>
      </c>
      <c r="V27" s="142">
        <f>((T27-U27)/T27)</f>
        <v>5.462287850009203E-2</v>
      </c>
      <c r="W27" s="141">
        <v>129.44</v>
      </c>
      <c r="X27" s="141">
        <f>(W27/U27)</f>
        <v>0.4194562364302149</v>
      </c>
      <c r="Y27" s="140">
        <v>169.17</v>
      </c>
      <c r="Z27" s="140">
        <f>(Y27/U27)</f>
        <v>0.54820311740497096</v>
      </c>
      <c r="AA27" s="140">
        <f>U27-W27-Y27</f>
        <v>9.9799999999999898</v>
      </c>
      <c r="AB27" s="140">
        <f>(AA27/U27)*100</f>
        <v>3.2340646164814122</v>
      </c>
      <c r="AC27" s="139"/>
      <c r="AD27" s="146">
        <v>6</v>
      </c>
      <c r="AE27" s="145">
        <v>-10</v>
      </c>
      <c r="AF27" s="144">
        <v>8.7799999999999994</v>
      </c>
      <c r="AG27" s="144">
        <v>224.29</v>
      </c>
      <c r="AH27" s="144">
        <f>AG27-AF27</f>
        <v>215.51</v>
      </c>
      <c r="AI27" s="143">
        <v>203.22</v>
      </c>
      <c r="AJ27" s="142">
        <f>((AH27-AI27)/AH27)</f>
        <v>5.7027516124541752E-2</v>
      </c>
      <c r="AK27" s="141">
        <v>86.6</v>
      </c>
      <c r="AL27" s="141">
        <f>(AK27/AI27)</f>
        <v>0.42613915953154213</v>
      </c>
      <c r="AM27" s="140">
        <v>110.32</v>
      </c>
      <c r="AN27" s="140">
        <f>(AM27/AI27)</f>
        <v>0.54285995472886528</v>
      </c>
      <c r="AO27" s="140">
        <f>AI27-AK27-AM27</f>
        <v>6.3000000000000114</v>
      </c>
      <c r="AP27" s="140">
        <f>(AO27/AI27)*100</f>
        <v>3.1000885739592614</v>
      </c>
      <c r="AQ27" s="139"/>
      <c r="AR27" s="146">
        <v>8</v>
      </c>
      <c r="AS27" s="145">
        <v>-10</v>
      </c>
      <c r="AT27" s="144">
        <v>8.82</v>
      </c>
      <c r="AU27" s="144">
        <v>236.11</v>
      </c>
      <c r="AV27" s="144">
        <f>AU27-AT27</f>
        <v>227.29000000000002</v>
      </c>
      <c r="AW27" s="143">
        <v>215.69</v>
      </c>
      <c r="AX27" s="142">
        <f>((AV27-AW27)/AV27)</f>
        <v>5.1036121254784732E-2</v>
      </c>
      <c r="AY27" s="141">
        <v>87.96</v>
      </c>
      <c r="AZ27" s="141">
        <f>(AY27/AW27)</f>
        <v>0.40780750150679212</v>
      </c>
      <c r="BA27" s="140">
        <v>118.37</v>
      </c>
      <c r="BB27" s="140">
        <f>(BA27/AW27)</f>
        <v>0.548796884417451</v>
      </c>
      <c r="BC27" s="140">
        <f>AW27-AY27-BA27</f>
        <v>9.36</v>
      </c>
      <c r="BD27" s="140">
        <f>(BC27/AW27)*100</f>
        <v>4.3395614075756868</v>
      </c>
      <c r="BE27" s="139"/>
      <c r="BF27" s="146">
        <v>10</v>
      </c>
      <c r="BG27" s="145">
        <v>-10</v>
      </c>
      <c r="BH27" s="144">
        <v>8.73</v>
      </c>
      <c r="BI27" s="144">
        <v>221.32</v>
      </c>
      <c r="BJ27" s="144">
        <f>BI27-BH27</f>
        <v>212.59</v>
      </c>
      <c r="BK27" s="143">
        <v>202.93</v>
      </c>
      <c r="BL27" s="142">
        <f>((BJ27-BK27)/BJ27)</f>
        <v>4.5439578531445486E-2</v>
      </c>
      <c r="BM27" s="141">
        <v>83.06</v>
      </c>
      <c r="BN27" s="141">
        <f>(BM27/BK27)</f>
        <v>0.40930370078352141</v>
      </c>
      <c r="BO27" s="140">
        <v>115.5</v>
      </c>
      <c r="BP27" s="140">
        <f>(BO27/BK27)</f>
        <v>0.56916177992411177</v>
      </c>
      <c r="BQ27" s="140">
        <f>BK27-BM27-BO27</f>
        <v>4.3700000000000045</v>
      </c>
      <c r="BR27" s="140">
        <f>(BQ27/BK27)*100</f>
        <v>2.1534519292366849</v>
      </c>
      <c r="BS27" s="139"/>
    </row>
    <row r="28" spans="1:71" ht="18.75" x14ac:dyDescent="0.25">
      <c r="A28" s="139"/>
      <c r="B28" s="162"/>
      <c r="C28" s="161"/>
      <c r="D28" s="160"/>
      <c r="E28" s="160"/>
      <c r="F28" s="160"/>
      <c r="G28" s="160"/>
      <c r="H28" s="160"/>
      <c r="I28" s="160"/>
      <c r="J28" s="160"/>
      <c r="K28" s="160"/>
      <c r="L28" s="160"/>
      <c r="M28" s="160"/>
      <c r="N28" s="160"/>
      <c r="O28" s="139"/>
      <c r="P28" s="162"/>
      <c r="Q28" s="161"/>
      <c r="R28" s="160"/>
      <c r="S28" s="160"/>
      <c r="T28" s="160"/>
      <c r="U28" s="160"/>
      <c r="V28" s="160"/>
      <c r="W28" s="160"/>
      <c r="X28" s="160"/>
      <c r="Y28" s="160"/>
      <c r="Z28" s="160"/>
      <c r="AA28" s="160"/>
      <c r="AB28" s="160"/>
      <c r="AC28" s="139"/>
      <c r="AD28" s="162"/>
      <c r="AE28" s="161"/>
      <c r="AF28" s="160"/>
      <c r="AG28" s="160"/>
      <c r="AH28" s="160"/>
      <c r="AI28" s="160"/>
      <c r="AJ28" s="160"/>
      <c r="AK28" s="163"/>
      <c r="AL28" s="163"/>
      <c r="AM28" s="160"/>
      <c r="AN28" s="160"/>
      <c r="AO28" s="160"/>
      <c r="AP28" s="160"/>
      <c r="AQ28" s="139"/>
      <c r="AR28" s="162"/>
      <c r="AS28" s="161"/>
      <c r="AT28" s="160"/>
      <c r="AU28" s="160"/>
      <c r="AV28" s="160"/>
      <c r="AW28" s="160"/>
      <c r="AX28" s="160"/>
      <c r="AY28" s="160"/>
      <c r="AZ28" s="160"/>
      <c r="BA28" s="160"/>
      <c r="BB28" s="160"/>
      <c r="BC28" s="160"/>
      <c r="BD28" s="160"/>
      <c r="BE28" s="139"/>
      <c r="BF28" s="162"/>
      <c r="BG28" s="161"/>
      <c r="BH28" s="160"/>
      <c r="BI28" s="160"/>
      <c r="BJ28" s="160"/>
      <c r="BK28" s="160"/>
      <c r="BL28" s="160"/>
      <c r="BM28" s="160"/>
      <c r="BN28" s="160"/>
      <c r="BO28" s="160"/>
      <c r="BP28" s="160"/>
      <c r="BQ28" s="160"/>
      <c r="BR28" s="160"/>
      <c r="BS28" s="139"/>
    </row>
    <row r="29" spans="1:71" ht="15" x14ac:dyDescent="0.25">
      <c r="A29" s="139"/>
      <c r="B29" s="156"/>
      <c r="C29" s="159" t="s">
        <v>302</v>
      </c>
      <c r="D29" s="158"/>
      <c r="E29" s="156"/>
      <c r="F29" s="157"/>
      <c r="G29" s="156"/>
      <c r="H29" s="156"/>
      <c r="I29" s="155"/>
      <c r="J29" s="155"/>
      <c r="K29" s="154"/>
      <c r="L29" s="154"/>
      <c r="M29" s="154"/>
      <c r="N29" s="99"/>
      <c r="O29" s="139"/>
      <c r="P29" s="156"/>
      <c r="Q29" s="159"/>
      <c r="R29" s="158"/>
      <c r="S29" s="156"/>
      <c r="T29" s="157"/>
      <c r="U29" s="156"/>
      <c r="V29" s="156"/>
      <c r="W29" s="155"/>
      <c r="X29" s="155"/>
      <c r="Y29" s="154"/>
      <c r="Z29" s="154"/>
      <c r="AA29" s="154"/>
      <c r="AB29" s="99"/>
      <c r="AC29" s="139"/>
      <c r="AD29" s="156"/>
      <c r="AE29" s="159"/>
      <c r="AF29" s="158"/>
      <c r="AG29" s="156"/>
      <c r="AH29" s="157"/>
      <c r="AI29" s="156"/>
      <c r="AJ29" s="156"/>
      <c r="AK29" s="155"/>
      <c r="AL29" s="155"/>
      <c r="AM29" s="154"/>
      <c r="AN29" s="154"/>
      <c r="AO29" s="154"/>
      <c r="AP29" s="99"/>
      <c r="AQ29" s="139"/>
      <c r="AR29" s="156"/>
      <c r="AS29" s="159"/>
      <c r="AT29" s="158"/>
      <c r="AU29" s="156"/>
      <c r="AV29" s="157"/>
      <c r="AW29" s="156"/>
      <c r="AX29" s="156"/>
      <c r="AY29" s="155"/>
      <c r="AZ29" s="155"/>
      <c r="BA29" s="154"/>
      <c r="BB29" s="154"/>
      <c r="BC29" s="154"/>
      <c r="BD29" s="99"/>
      <c r="BE29" s="139"/>
      <c r="BF29" s="156"/>
      <c r="BG29" s="159"/>
      <c r="BH29" s="158"/>
      <c r="BI29" s="156"/>
      <c r="BJ29" s="157"/>
      <c r="BK29" s="156"/>
      <c r="BL29" s="156"/>
      <c r="BM29" s="155"/>
      <c r="BN29" s="155"/>
      <c r="BO29" s="154"/>
      <c r="BP29" s="154"/>
      <c r="BQ29" s="154"/>
      <c r="BR29" s="99"/>
      <c r="BS29" s="139"/>
    </row>
    <row r="30" spans="1:71" ht="30.75" x14ac:dyDescent="0.3">
      <c r="A30" s="139"/>
      <c r="B30" s="153"/>
      <c r="C30" s="139"/>
      <c r="D30" s="152"/>
      <c r="E30" s="149" t="s">
        <v>301</v>
      </c>
      <c r="F30" s="149" t="s">
        <v>301</v>
      </c>
      <c r="G30" s="152" t="s">
        <v>300</v>
      </c>
      <c r="H30" s="148" t="s">
        <v>299</v>
      </c>
      <c r="I30" s="151" t="s">
        <v>298</v>
      </c>
      <c r="J30" s="151"/>
      <c r="K30" s="151"/>
      <c r="L30" s="151"/>
      <c r="M30" s="151"/>
      <c r="N30" s="151"/>
      <c r="O30" s="139"/>
      <c r="P30" s="153"/>
      <c r="Q30" s="139"/>
      <c r="R30" s="152"/>
      <c r="S30" s="149" t="s">
        <v>301</v>
      </c>
      <c r="T30" s="149" t="s">
        <v>301</v>
      </c>
      <c r="U30" s="152" t="s">
        <v>300</v>
      </c>
      <c r="V30" s="148" t="s">
        <v>299</v>
      </c>
      <c r="W30" s="151" t="s">
        <v>298</v>
      </c>
      <c r="X30" s="151"/>
      <c r="Y30" s="151"/>
      <c r="Z30" s="151"/>
      <c r="AA30" s="151"/>
      <c r="AB30" s="151"/>
      <c r="AC30" s="139"/>
      <c r="AD30" s="153"/>
      <c r="AE30" s="139"/>
      <c r="AF30" s="152"/>
      <c r="AG30" s="149" t="s">
        <v>301</v>
      </c>
      <c r="AH30" s="149" t="s">
        <v>301</v>
      </c>
      <c r="AI30" s="152" t="s">
        <v>300</v>
      </c>
      <c r="AJ30" s="148" t="s">
        <v>299</v>
      </c>
      <c r="AK30" s="151" t="s">
        <v>298</v>
      </c>
      <c r="AL30" s="151"/>
      <c r="AM30" s="151"/>
      <c r="AN30" s="151"/>
      <c r="AO30" s="151"/>
      <c r="AP30" s="151"/>
      <c r="AQ30" s="139"/>
      <c r="AR30" s="153"/>
      <c r="AS30" s="139"/>
      <c r="AT30" s="152"/>
      <c r="AU30" s="149" t="s">
        <v>301</v>
      </c>
      <c r="AV30" s="149" t="s">
        <v>301</v>
      </c>
      <c r="AW30" s="152" t="s">
        <v>300</v>
      </c>
      <c r="AX30" s="148" t="s">
        <v>299</v>
      </c>
      <c r="AY30" s="151" t="s">
        <v>298</v>
      </c>
      <c r="AZ30" s="151"/>
      <c r="BA30" s="151"/>
      <c r="BB30" s="151"/>
      <c r="BC30" s="151"/>
      <c r="BD30" s="151"/>
      <c r="BE30" s="139"/>
      <c r="BF30" s="153"/>
      <c r="BG30" s="139"/>
      <c r="BH30" s="152"/>
      <c r="BI30" s="149" t="s">
        <v>301</v>
      </c>
      <c r="BJ30" s="149" t="s">
        <v>301</v>
      </c>
      <c r="BK30" s="152" t="s">
        <v>300</v>
      </c>
      <c r="BL30" s="148" t="s">
        <v>299</v>
      </c>
      <c r="BM30" s="151" t="s">
        <v>298</v>
      </c>
      <c r="BN30" s="151"/>
      <c r="BO30" s="151"/>
      <c r="BP30" s="151"/>
      <c r="BQ30" s="151"/>
      <c r="BR30" s="151"/>
      <c r="BS30" s="139"/>
    </row>
    <row r="31" spans="1:71" ht="60.75" thickBot="1" x14ac:dyDescent="0.3">
      <c r="A31" s="139"/>
      <c r="B31" s="150" t="s">
        <v>259</v>
      </c>
      <c r="C31" s="150" t="s">
        <v>258</v>
      </c>
      <c r="D31" s="149" t="s">
        <v>297</v>
      </c>
      <c r="E31" s="149" t="s">
        <v>296</v>
      </c>
      <c r="F31" s="149" t="s">
        <v>295</v>
      </c>
      <c r="G31" s="149" t="s">
        <v>294</v>
      </c>
      <c r="H31" s="148" t="s">
        <v>293</v>
      </c>
      <c r="I31" s="147" t="s">
        <v>292</v>
      </c>
      <c r="J31" s="147" t="s">
        <v>291</v>
      </c>
      <c r="K31" s="147" t="s">
        <v>290</v>
      </c>
      <c r="L31" s="147" t="s">
        <v>289</v>
      </c>
      <c r="M31" s="147" t="s">
        <v>288</v>
      </c>
      <c r="N31" s="147" t="s">
        <v>287</v>
      </c>
      <c r="O31" s="139"/>
      <c r="P31" s="150" t="s">
        <v>259</v>
      </c>
      <c r="Q31" s="150" t="s">
        <v>258</v>
      </c>
      <c r="R31" s="149" t="s">
        <v>297</v>
      </c>
      <c r="S31" s="149" t="s">
        <v>296</v>
      </c>
      <c r="T31" s="149" t="s">
        <v>295</v>
      </c>
      <c r="U31" s="149" t="s">
        <v>294</v>
      </c>
      <c r="V31" s="148" t="s">
        <v>293</v>
      </c>
      <c r="W31" s="147" t="s">
        <v>292</v>
      </c>
      <c r="X31" s="147" t="s">
        <v>291</v>
      </c>
      <c r="Y31" s="147" t="s">
        <v>290</v>
      </c>
      <c r="Z31" s="147" t="s">
        <v>289</v>
      </c>
      <c r="AA31" s="147" t="s">
        <v>288</v>
      </c>
      <c r="AB31" s="147" t="s">
        <v>287</v>
      </c>
      <c r="AC31" s="139"/>
      <c r="AD31" s="150" t="s">
        <v>259</v>
      </c>
      <c r="AE31" s="150" t="s">
        <v>258</v>
      </c>
      <c r="AF31" s="149" t="s">
        <v>297</v>
      </c>
      <c r="AG31" s="149" t="s">
        <v>296</v>
      </c>
      <c r="AH31" s="149" t="s">
        <v>295</v>
      </c>
      <c r="AI31" s="149" t="s">
        <v>294</v>
      </c>
      <c r="AJ31" s="148" t="s">
        <v>293</v>
      </c>
      <c r="AK31" s="147" t="s">
        <v>292</v>
      </c>
      <c r="AL31" s="147" t="s">
        <v>291</v>
      </c>
      <c r="AM31" s="147" t="s">
        <v>290</v>
      </c>
      <c r="AN31" s="147" t="s">
        <v>289</v>
      </c>
      <c r="AO31" s="147" t="s">
        <v>288</v>
      </c>
      <c r="AP31" s="147" t="s">
        <v>287</v>
      </c>
      <c r="AQ31" s="139"/>
      <c r="AR31" s="150" t="s">
        <v>259</v>
      </c>
      <c r="AS31" s="150" t="s">
        <v>258</v>
      </c>
      <c r="AT31" s="149" t="s">
        <v>297</v>
      </c>
      <c r="AU31" s="149" t="s">
        <v>296</v>
      </c>
      <c r="AV31" s="149" t="s">
        <v>295</v>
      </c>
      <c r="AW31" s="149" t="s">
        <v>294</v>
      </c>
      <c r="AX31" s="148" t="s">
        <v>293</v>
      </c>
      <c r="AY31" s="147" t="s">
        <v>292</v>
      </c>
      <c r="AZ31" s="147" t="s">
        <v>291</v>
      </c>
      <c r="BA31" s="147" t="s">
        <v>290</v>
      </c>
      <c r="BB31" s="147" t="s">
        <v>289</v>
      </c>
      <c r="BC31" s="147" t="s">
        <v>288</v>
      </c>
      <c r="BD31" s="147" t="s">
        <v>287</v>
      </c>
      <c r="BE31" s="139"/>
      <c r="BF31" s="150" t="s">
        <v>259</v>
      </c>
      <c r="BG31" s="150" t="s">
        <v>258</v>
      </c>
      <c r="BH31" s="149" t="s">
        <v>297</v>
      </c>
      <c r="BI31" s="149" t="s">
        <v>296</v>
      </c>
      <c r="BJ31" s="149" t="s">
        <v>295</v>
      </c>
      <c r="BK31" s="149" t="s">
        <v>294</v>
      </c>
      <c r="BL31" s="148" t="s">
        <v>293</v>
      </c>
      <c r="BM31" s="147" t="s">
        <v>292</v>
      </c>
      <c r="BN31" s="147" t="s">
        <v>291</v>
      </c>
      <c r="BO31" s="147" t="s">
        <v>290</v>
      </c>
      <c r="BP31" s="147" t="s">
        <v>289</v>
      </c>
      <c r="BQ31" s="147" t="s">
        <v>288</v>
      </c>
      <c r="BR31" s="147" t="s">
        <v>287</v>
      </c>
      <c r="BS31" s="139"/>
    </row>
    <row r="32" spans="1:71" ht="20.25" thickTop="1" thickBot="1" x14ac:dyDescent="0.3">
      <c r="A32" s="139"/>
      <c r="B32" s="146">
        <v>3</v>
      </c>
      <c r="C32" s="145">
        <v>-1</v>
      </c>
      <c r="D32" s="144">
        <v>8.82</v>
      </c>
      <c r="E32" s="144">
        <v>226.33</v>
      </c>
      <c r="F32" s="144">
        <f>E32-D32</f>
        <v>217.51000000000002</v>
      </c>
      <c r="G32" s="143">
        <v>203.01</v>
      </c>
      <c r="H32" s="142">
        <f>((F32-G32)/F32)</f>
        <v>6.6663601673486395E-2</v>
      </c>
      <c r="I32" s="141">
        <v>86.34</v>
      </c>
      <c r="J32" s="141">
        <f>(I32/G32)</f>
        <v>0.42529924634254473</v>
      </c>
      <c r="K32" s="140">
        <v>106.78</v>
      </c>
      <c r="L32" s="140">
        <f>(K32/G32)</f>
        <v>0.52598394167774987</v>
      </c>
      <c r="M32" s="140">
        <f>G32-I32-K32</f>
        <v>9.8899999999999864</v>
      </c>
      <c r="N32" s="140">
        <f>(M32/G32)*100</f>
        <v>4.8716811979705374</v>
      </c>
      <c r="O32" s="139"/>
      <c r="P32" s="146">
        <v>5</v>
      </c>
      <c r="Q32" s="145">
        <v>-1</v>
      </c>
      <c r="R32" s="144">
        <v>8.92</v>
      </c>
      <c r="S32" s="144">
        <v>203.1</v>
      </c>
      <c r="T32" s="144">
        <f>S32-R32</f>
        <v>194.18</v>
      </c>
      <c r="U32" s="143">
        <v>181.78</v>
      </c>
      <c r="V32" s="142">
        <f>((T32-U32)/T32)</f>
        <v>6.3858275826552707E-2</v>
      </c>
      <c r="W32" s="141">
        <v>77.34</v>
      </c>
      <c r="X32" s="141">
        <f>(W32/U32)</f>
        <v>0.42545934646275718</v>
      </c>
      <c r="Y32" s="140">
        <v>98</v>
      </c>
      <c r="Z32" s="140">
        <f>(Y32/U32)</f>
        <v>0.53911321377489274</v>
      </c>
      <c r="AA32" s="140">
        <f>U32-W32-Y32</f>
        <v>6.4399999999999977</v>
      </c>
      <c r="AB32" s="140">
        <f>(AA32/U32)*100</f>
        <v>3.5427439762350086</v>
      </c>
      <c r="AC32" s="139"/>
      <c r="AD32" s="146">
        <v>7</v>
      </c>
      <c r="AE32" s="145">
        <v>-1</v>
      </c>
      <c r="AF32" s="144">
        <v>8.8699999999999992</v>
      </c>
      <c r="AG32" s="144">
        <v>198.79</v>
      </c>
      <c r="AH32" s="144">
        <f>AG32-AF32</f>
        <v>189.92</v>
      </c>
      <c r="AI32" s="143">
        <v>179.11</v>
      </c>
      <c r="AJ32" s="142">
        <f>((AH32-AI32)/AH32)</f>
        <v>5.6918702611625814E-2</v>
      </c>
      <c r="AK32" s="141">
        <v>74.47</v>
      </c>
      <c r="AL32" s="141">
        <f>(AK32/AI32)</f>
        <v>0.41577801351125004</v>
      </c>
      <c r="AM32" s="140">
        <v>98.12</v>
      </c>
      <c r="AN32" s="140">
        <f>(AM32/AI32)</f>
        <v>0.5478197755569203</v>
      </c>
      <c r="AO32" s="140">
        <f>AI32-AK32-AM32</f>
        <v>6.5200000000000102</v>
      </c>
      <c r="AP32" s="140">
        <f>(AO32/AI32)*100</f>
        <v>3.6402210931829657</v>
      </c>
      <c r="AQ32" s="139"/>
      <c r="AR32" s="146">
        <v>9</v>
      </c>
      <c r="AS32" s="145">
        <v>-1</v>
      </c>
      <c r="AT32" s="144">
        <v>8.75</v>
      </c>
      <c r="AU32" s="144">
        <v>216.92</v>
      </c>
      <c r="AV32" s="144">
        <f>AU32-AT32</f>
        <v>208.17</v>
      </c>
      <c r="AW32" s="143">
        <v>196.72</v>
      </c>
      <c r="AX32" s="142">
        <f>((AV32-AW32)/AV32)</f>
        <v>5.5003122447999181E-2</v>
      </c>
      <c r="AY32" s="141">
        <v>81.67</v>
      </c>
      <c r="AZ32" s="141">
        <f>(AY32/AW32)</f>
        <v>0.41515860105734037</v>
      </c>
      <c r="BA32" s="140">
        <v>110.28</v>
      </c>
      <c r="BB32" s="140">
        <f>(BA32/AW32)</f>
        <v>0.56059373729158191</v>
      </c>
      <c r="BC32" s="140">
        <f>AW32-AY32-BA32</f>
        <v>4.769999999999996</v>
      </c>
      <c r="BD32" s="140">
        <f>(BC32/AW32)*100</f>
        <v>2.4247661651077652</v>
      </c>
      <c r="BE32" s="139"/>
      <c r="BF32" s="146">
        <v>11</v>
      </c>
      <c r="BG32" s="145">
        <v>-1</v>
      </c>
      <c r="BH32" s="144">
        <v>8.76</v>
      </c>
      <c r="BI32" s="144">
        <v>202.76</v>
      </c>
      <c r="BJ32" s="144">
        <f>BI32-BH32</f>
        <v>194</v>
      </c>
      <c r="BK32" s="143">
        <v>183.75</v>
      </c>
      <c r="BL32" s="142">
        <f>((BJ32-BK32)/BJ32)</f>
        <v>5.2835051546391752E-2</v>
      </c>
      <c r="BM32" s="141">
        <v>76.680000000000007</v>
      </c>
      <c r="BN32" s="141">
        <f>(BM32/BK32)</f>
        <v>0.41730612244897963</v>
      </c>
      <c r="BO32" s="140">
        <v>101.28</v>
      </c>
      <c r="BP32" s="140">
        <f>(BO32/BK32)</f>
        <v>0.55118367346938779</v>
      </c>
      <c r="BQ32" s="140">
        <f>BK32-BM32-BO32</f>
        <v>5.789999999999992</v>
      </c>
      <c r="BR32" s="140">
        <f>(BQ32/BK32)*100</f>
        <v>3.1510204081632609</v>
      </c>
      <c r="BS32" s="139"/>
    </row>
    <row r="33" spans="1:71" ht="20.25" thickTop="1" thickBot="1" x14ac:dyDescent="0.3">
      <c r="A33" s="139"/>
      <c r="B33" s="146">
        <v>3</v>
      </c>
      <c r="C33" s="145">
        <v>-2</v>
      </c>
      <c r="D33" s="144">
        <v>8.82</v>
      </c>
      <c r="E33" s="144">
        <v>310.91000000000003</v>
      </c>
      <c r="F33" s="144">
        <f>E33-D33</f>
        <v>302.09000000000003</v>
      </c>
      <c r="G33" s="143">
        <v>282.8</v>
      </c>
      <c r="H33" s="142">
        <f>((F33-G33)/F33)</f>
        <v>6.3855142507199897E-2</v>
      </c>
      <c r="I33" s="141">
        <v>120.48</v>
      </c>
      <c r="J33" s="141">
        <f>(I33/G33)</f>
        <v>0.42602545968882605</v>
      </c>
      <c r="K33" s="140">
        <v>151.5</v>
      </c>
      <c r="L33" s="140">
        <f>(K33/G33)</f>
        <v>0.5357142857142857</v>
      </c>
      <c r="M33" s="140">
        <f>G33-I33-K33</f>
        <v>10.819999999999993</v>
      </c>
      <c r="N33" s="140">
        <f>(M33/G33)*100</f>
        <v>3.8260254596888235</v>
      </c>
      <c r="O33" s="139"/>
      <c r="P33" s="146">
        <v>5</v>
      </c>
      <c r="Q33" s="145">
        <v>-2</v>
      </c>
      <c r="R33" s="144">
        <v>8.9</v>
      </c>
      <c r="S33" s="144">
        <v>294.08</v>
      </c>
      <c r="T33" s="144">
        <f>S33-R33</f>
        <v>285.18</v>
      </c>
      <c r="U33" s="143">
        <v>268.52999999999997</v>
      </c>
      <c r="V33" s="142">
        <f>((T33-U33)/T33)</f>
        <v>5.8384178413633615E-2</v>
      </c>
      <c r="W33" s="141">
        <v>113.04</v>
      </c>
      <c r="X33" s="141">
        <f>(W33/U33)</f>
        <v>0.42095855211708194</v>
      </c>
      <c r="Y33" s="140">
        <v>147.25</v>
      </c>
      <c r="Z33" s="140">
        <f>(Y33/U33)</f>
        <v>0.54835586340446141</v>
      </c>
      <c r="AA33" s="140">
        <f>U33-W33-Y33</f>
        <v>8.2399999999999523</v>
      </c>
      <c r="AB33" s="140">
        <f>(AA33/U33)*100</f>
        <v>3.0685584478456609</v>
      </c>
      <c r="AC33" s="139"/>
      <c r="AD33" s="146">
        <v>7</v>
      </c>
      <c r="AE33" s="145">
        <v>-2</v>
      </c>
      <c r="AF33" s="144">
        <v>8.81</v>
      </c>
      <c r="AG33" s="144">
        <v>203.77</v>
      </c>
      <c r="AH33" s="144">
        <f>AG33-AF33</f>
        <v>194.96</v>
      </c>
      <c r="AI33" s="143">
        <v>184.59</v>
      </c>
      <c r="AJ33" s="142">
        <f>((AH33-AI33)/AH33)</f>
        <v>5.3190398030365224E-2</v>
      </c>
      <c r="AK33" s="141">
        <v>77.17</v>
      </c>
      <c r="AL33" s="141">
        <f>(AK33/AI33)</f>
        <v>0.41806165014356139</v>
      </c>
      <c r="AM33" s="140">
        <v>102.2</v>
      </c>
      <c r="AN33" s="140">
        <f>(AM33/AI33)</f>
        <v>0.55365946150929091</v>
      </c>
      <c r="AO33" s="140">
        <f>AI33-AK33-AM33</f>
        <v>5.2199999999999989</v>
      </c>
      <c r="AP33" s="140">
        <f>(AO33/AI33)*100</f>
        <v>2.8278888347147726</v>
      </c>
      <c r="AQ33" s="139"/>
      <c r="AR33" s="146">
        <v>9</v>
      </c>
      <c r="AS33" s="145">
        <v>-2</v>
      </c>
      <c r="AT33" s="144">
        <v>8.8000000000000007</v>
      </c>
      <c r="AU33" s="144">
        <v>202.23</v>
      </c>
      <c r="AV33" s="144">
        <f>AU33-AT33</f>
        <v>193.42999999999998</v>
      </c>
      <c r="AW33" s="143">
        <v>182.33</v>
      </c>
      <c r="AX33" s="142">
        <f>((AV33-AW33)/AV33)</f>
        <v>5.7385100553171517E-2</v>
      </c>
      <c r="AY33" s="141">
        <v>77</v>
      </c>
      <c r="AZ33" s="141">
        <f>(AY33/AW33)</f>
        <v>0.42231119398892114</v>
      </c>
      <c r="BA33" s="140">
        <v>100.08</v>
      </c>
      <c r="BB33" s="140">
        <f>(BA33/AW33)</f>
        <v>0.54889486096637963</v>
      </c>
      <c r="BC33" s="140">
        <f>AW33-AY33-BA33</f>
        <v>5.2500000000000142</v>
      </c>
      <c r="BD33" s="140">
        <f>(BC33/AW33)*100</f>
        <v>2.879394504469925</v>
      </c>
      <c r="BE33" s="139"/>
      <c r="BF33" s="146">
        <v>11</v>
      </c>
      <c r="BG33" s="145">
        <v>-2</v>
      </c>
      <c r="BH33" s="144">
        <v>8.74</v>
      </c>
      <c r="BI33" s="144">
        <v>212.14</v>
      </c>
      <c r="BJ33" s="144">
        <f>BI33-BH33</f>
        <v>203.39999999999998</v>
      </c>
      <c r="BK33" s="143">
        <v>192.52</v>
      </c>
      <c r="BL33" s="142">
        <f>((BJ33-BK33)/BJ33)</f>
        <v>5.3490658800393158E-2</v>
      </c>
      <c r="BM33" s="141">
        <v>81.37</v>
      </c>
      <c r="BN33" s="141">
        <f>(BM33/BK33)</f>
        <v>0.42265738624558485</v>
      </c>
      <c r="BO33" s="140">
        <v>106.18</v>
      </c>
      <c r="BP33" s="140">
        <f>(BO33/BK33)</f>
        <v>0.55152711406607102</v>
      </c>
      <c r="BQ33" s="140">
        <f>BK33-BM33-BO33</f>
        <v>4.9699999999999989</v>
      </c>
      <c r="BR33" s="140">
        <f>(BQ33/BK33)*100</f>
        <v>2.5815499688344059</v>
      </c>
      <c r="BS33" s="139"/>
    </row>
    <row r="34" spans="1:71" ht="20.25" thickTop="1" thickBot="1" x14ac:dyDescent="0.3">
      <c r="A34" s="139"/>
      <c r="B34" s="146">
        <v>3</v>
      </c>
      <c r="C34" s="145">
        <v>-3</v>
      </c>
      <c r="D34" s="144">
        <v>8.8000000000000007</v>
      </c>
      <c r="E34" s="144">
        <v>255.48</v>
      </c>
      <c r="F34" s="144">
        <f>E34-D34</f>
        <v>246.67999999999998</v>
      </c>
      <c r="G34" s="143">
        <v>232.13</v>
      </c>
      <c r="H34" s="142">
        <f>((F34-G34)/F34)</f>
        <v>5.8983298200097227E-2</v>
      </c>
      <c r="I34" s="141">
        <v>98.13</v>
      </c>
      <c r="J34" s="141">
        <f>(I34/G34)</f>
        <v>0.4227372592943609</v>
      </c>
      <c r="K34" s="140">
        <v>127.52</v>
      </c>
      <c r="L34" s="140">
        <f>(K34/G34)</f>
        <v>0.54934734846853051</v>
      </c>
      <c r="M34" s="140">
        <f>G34-I34-K34</f>
        <v>6.480000000000004</v>
      </c>
      <c r="N34" s="140">
        <f>(M34/G34)*100</f>
        <v>2.7915392237108536</v>
      </c>
      <c r="O34" s="139"/>
      <c r="P34" s="146">
        <v>5</v>
      </c>
      <c r="Q34" s="145">
        <v>-3</v>
      </c>
      <c r="R34" s="144">
        <v>8.85</v>
      </c>
      <c r="S34" s="144">
        <v>263.73</v>
      </c>
      <c r="T34" s="144">
        <f>S34-R34</f>
        <v>254.88000000000002</v>
      </c>
      <c r="U34" s="143">
        <v>239.02</v>
      </c>
      <c r="V34" s="142">
        <f>((T34-U34)/T34)</f>
        <v>6.2225360954174559E-2</v>
      </c>
      <c r="W34" s="141">
        <v>100.63</v>
      </c>
      <c r="X34" s="141">
        <f>(W34/U34)</f>
        <v>0.42101079407580949</v>
      </c>
      <c r="Y34" s="140">
        <v>132.58000000000001</v>
      </c>
      <c r="Z34" s="140">
        <f>(Y34/U34)</f>
        <v>0.55468161660112125</v>
      </c>
      <c r="AA34" s="140">
        <f>U34-W34-Y34</f>
        <v>5.8100000000000023</v>
      </c>
      <c r="AB34" s="140">
        <f>(AA34/U34)*100</f>
        <v>2.430758932306921</v>
      </c>
      <c r="AC34" s="139"/>
      <c r="AD34" s="146">
        <v>7</v>
      </c>
      <c r="AE34" s="145">
        <v>-3</v>
      </c>
      <c r="AF34" s="144">
        <v>8.84</v>
      </c>
      <c r="AG34" s="144">
        <v>207.89</v>
      </c>
      <c r="AH34" s="144">
        <f>AG34-AF34</f>
        <v>199.04999999999998</v>
      </c>
      <c r="AI34" s="143">
        <v>187.82</v>
      </c>
      <c r="AJ34" s="142">
        <f>((AH34-AI34)/AH34)</f>
        <v>5.6417985430796236E-2</v>
      </c>
      <c r="AK34" s="141">
        <v>77.430000000000007</v>
      </c>
      <c r="AL34" s="141">
        <f>(AK34/AI34)</f>
        <v>0.41225641571717608</v>
      </c>
      <c r="AM34" s="140">
        <v>104.89</v>
      </c>
      <c r="AN34" s="140">
        <f>(AM34/AI34)</f>
        <v>0.55846022787775529</v>
      </c>
      <c r="AO34" s="140">
        <f>AI34-AK34-AM34</f>
        <v>5.4999999999999858</v>
      </c>
      <c r="AP34" s="140">
        <f>(AO34/AI34)*100</f>
        <v>2.9283356405068606</v>
      </c>
      <c r="AQ34" s="139"/>
      <c r="AR34" s="146">
        <v>9</v>
      </c>
      <c r="AS34" s="145">
        <v>-3</v>
      </c>
      <c r="AT34" s="144">
        <v>8.81</v>
      </c>
      <c r="AU34" s="144">
        <v>258.33</v>
      </c>
      <c r="AV34" s="144">
        <f>AU34-AT34</f>
        <v>249.51999999999998</v>
      </c>
      <c r="AW34" s="143">
        <v>235.28</v>
      </c>
      <c r="AX34" s="142">
        <f>((AV34-AW34)/AV34)</f>
        <v>5.7069573581275977E-2</v>
      </c>
      <c r="AY34" s="141">
        <v>83.88</v>
      </c>
      <c r="AZ34" s="141">
        <f>(AY34/AW34)</f>
        <v>0.35651139068344101</v>
      </c>
      <c r="BA34" s="140">
        <v>108.53</v>
      </c>
      <c r="BB34" s="140">
        <f>(BA34/AW34)</f>
        <v>0.46128017681060862</v>
      </c>
      <c r="BC34" s="140">
        <f>AW34-AY34-BA34</f>
        <v>42.870000000000005</v>
      </c>
      <c r="BD34" s="140">
        <f>(BC34/AW34)*100</f>
        <v>18.220843250595038</v>
      </c>
      <c r="BE34" s="139"/>
      <c r="BF34" s="146">
        <v>11</v>
      </c>
      <c r="BG34" s="145">
        <v>-3</v>
      </c>
      <c r="BH34" s="144">
        <v>8.77</v>
      </c>
      <c r="BI34" s="144">
        <v>277.49</v>
      </c>
      <c r="BJ34" s="144">
        <f>BI34-BH34</f>
        <v>268.72000000000003</v>
      </c>
      <c r="BK34" s="143">
        <v>255.21</v>
      </c>
      <c r="BL34" s="142">
        <f>((BJ34-BK34)/BJ34)</f>
        <v>5.0275379577255204E-2</v>
      </c>
      <c r="BM34" s="141">
        <v>107.11</v>
      </c>
      <c r="BN34" s="141">
        <f>(BM34/BK34)</f>
        <v>0.41969358567454251</v>
      </c>
      <c r="BO34" s="140">
        <v>139.72999999999999</v>
      </c>
      <c r="BP34" s="140">
        <f>(BO34/BK34)</f>
        <v>0.54750989381293835</v>
      </c>
      <c r="BQ34" s="140">
        <f>BK34-BM34-BO34</f>
        <v>8.370000000000033</v>
      </c>
      <c r="BR34" s="140">
        <f>(BQ34/BK34)*100</f>
        <v>3.2796520512519232</v>
      </c>
      <c r="BS34" s="139"/>
    </row>
    <row r="35" spans="1:71" ht="20.25" thickTop="1" thickBot="1" x14ac:dyDescent="0.3">
      <c r="A35" s="139"/>
      <c r="B35" s="146">
        <v>3</v>
      </c>
      <c r="C35" s="145">
        <v>-4</v>
      </c>
      <c r="D35" s="144">
        <v>8.8000000000000007</v>
      </c>
      <c r="E35" s="144">
        <v>382.92</v>
      </c>
      <c r="F35" s="144">
        <f>E35-D35</f>
        <v>374.12</v>
      </c>
      <c r="G35" s="143">
        <v>350</v>
      </c>
      <c r="H35" s="142">
        <f>((F35-G35)/F35)</f>
        <v>6.4471292633379682E-2</v>
      </c>
      <c r="I35" s="141">
        <v>146.25</v>
      </c>
      <c r="J35" s="141">
        <f>(I35/G35)</f>
        <v>0.41785714285714287</v>
      </c>
      <c r="K35" s="140">
        <v>190.6</v>
      </c>
      <c r="L35" s="140">
        <f>(K35/G35)</f>
        <v>0.5445714285714286</v>
      </c>
      <c r="M35" s="140">
        <f>G35-I35-K35</f>
        <v>13.150000000000006</v>
      </c>
      <c r="N35" s="140">
        <f>(M35/G35)*100</f>
        <v>3.7571428571428589</v>
      </c>
      <c r="O35" s="139"/>
      <c r="P35" s="146">
        <v>5</v>
      </c>
      <c r="Q35" s="145">
        <v>-4</v>
      </c>
      <c r="R35" s="144">
        <v>8.91</v>
      </c>
      <c r="S35" s="144">
        <v>224.21</v>
      </c>
      <c r="T35" s="144">
        <f>S35-R35</f>
        <v>215.3</v>
      </c>
      <c r="U35" s="143">
        <v>201.8</v>
      </c>
      <c r="V35" s="142">
        <f>((T35-U35)/T35)</f>
        <v>6.2703204830469109E-2</v>
      </c>
      <c r="W35" s="141">
        <v>84.58</v>
      </c>
      <c r="X35" s="141">
        <f>(W35/U35)</f>
        <v>0.41912784935579778</v>
      </c>
      <c r="Y35" s="140">
        <v>110.41</v>
      </c>
      <c r="Z35" s="140">
        <f>(Y35/U35)</f>
        <v>0.54712586719524281</v>
      </c>
      <c r="AA35" s="140">
        <f>U35-W35-Y35</f>
        <v>6.8100000000000165</v>
      </c>
      <c r="AB35" s="140">
        <f>(AA35/U35)*100</f>
        <v>3.3746283448959447</v>
      </c>
      <c r="AC35" s="139"/>
      <c r="AD35" s="146">
        <v>7</v>
      </c>
      <c r="AE35" s="145">
        <v>-4</v>
      </c>
      <c r="AF35" s="144">
        <v>8.81</v>
      </c>
      <c r="AG35" s="144">
        <v>252.39</v>
      </c>
      <c r="AH35" s="144">
        <f>AG35-AF35</f>
        <v>243.57999999999998</v>
      </c>
      <c r="AI35" s="143">
        <v>228.11</v>
      </c>
      <c r="AJ35" s="142">
        <f>((AH35-AI35)/AH35)</f>
        <v>6.3510961491091103E-2</v>
      </c>
      <c r="AK35" s="141">
        <v>96.02</v>
      </c>
      <c r="AL35" s="141">
        <f>(AK35/AI35)</f>
        <v>0.42093726710797419</v>
      </c>
      <c r="AM35" s="140">
        <v>121.11</v>
      </c>
      <c r="AN35" s="140">
        <f>(AM35/AI35)</f>
        <v>0.53092806102319057</v>
      </c>
      <c r="AO35" s="140">
        <f>AI35-AK35-AM35</f>
        <v>10.980000000000032</v>
      </c>
      <c r="AP35" s="140">
        <f>(AO35/AI35)*100</f>
        <v>4.8134671868835346</v>
      </c>
      <c r="AQ35" s="139"/>
      <c r="AR35" s="146">
        <v>9</v>
      </c>
      <c r="AS35" s="145">
        <v>-4</v>
      </c>
      <c r="AT35" s="144">
        <v>8.82</v>
      </c>
      <c r="AU35" s="144">
        <v>218.05</v>
      </c>
      <c r="AV35" s="144">
        <f>AU35-AT35</f>
        <v>209.23000000000002</v>
      </c>
      <c r="AW35" s="143">
        <v>198.01</v>
      </c>
      <c r="AX35" s="142">
        <f>((AV35-AW35)/AV35)</f>
        <v>5.362519715146024E-2</v>
      </c>
      <c r="AY35" s="141">
        <v>97.84</v>
      </c>
      <c r="AZ35" s="141">
        <f>(AY35/AW35)</f>
        <v>0.49411645876470889</v>
      </c>
      <c r="BA35" s="140">
        <v>131.74</v>
      </c>
      <c r="BB35" s="140">
        <f>(BA35/AW35)</f>
        <v>0.66531993333670025</v>
      </c>
      <c r="BC35" s="140">
        <f>AW35-AY35-BA35</f>
        <v>-31.570000000000022</v>
      </c>
      <c r="BD35" s="140">
        <f>(BC35/AW35)*100</f>
        <v>-15.943639210140914</v>
      </c>
      <c r="BE35" s="139"/>
      <c r="BF35" s="146">
        <v>11</v>
      </c>
      <c r="BG35" s="145">
        <v>-4</v>
      </c>
      <c r="BH35" s="144">
        <v>8.7899999999999991</v>
      </c>
      <c r="BI35" s="144">
        <v>256.12</v>
      </c>
      <c r="BJ35" s="144">
        <f>BI35-BH35</f>
        <v>247.33</v>
      </c>
      <c r="BK35" s="143">
        <v>235.01</v>
      </c>
      <c r="BL35" s="142">
        <f>((BJ35-BK35)/BJ35)</f>
        <v>4.9811992075364984E-2</v>
      </c>
      <c r="BM35" s="141">
        <v>97.05</v>
      </c>
      <c r="BN35" s="141">
        <f>(BM35/BK35)</f>
        <v>0.41296115058933663</v>
      </c>
      <c r="BO35" s="140">
        <v>130.31</v>
      </c>
      <c r="BP35" s="140">
        <f>(BO35/BK35)</f>
        <v>0.55448704310454877</v>
      </c>
      <c r="BQ35" s="140">
        <f>BK35-BM35-BO35</f>
        <v>7.6499999999999773</v>
      </c>
      <c r="BR35" s="140">
        <f>(BQ35/BK35)*100</f>
        <v>3.2551806306114539</v>
      </c>
      <c r="BS35" s="139"/>
    </row>
    <row r="36" spans="1:71" ht="20.25" thickTop="1" thickBot="1" x14ac:dyDescent="0.3">
      <c r="A36" s="139"/>
      <c r="B36" s="146">
        <v>3</v>
      </c>
      <c r="C36" s="145">
        <v>-5</v>
      </c>
      <c r="D36" s="144">
        <v>8.74</v>
      </c>
      <c r="E36" s="144">
        <v>273.58</v>
      </c>
      <c r="F36" s="144">
        <f>E36-D36</f>
        <v>264.83999999999997</v>
      </c>
      <c r="G36" s="143">
        <v>247.31</v>
      </c>
      <c r="H36" s="142">
        <f>((F36-G36)/F36)</f>
        <v>6.6190907717867301E-2</v>
      </c>
      <c r="I36" s="141">
        <v>107.29</v>
      </c>
      <c r="J36" s="141">
        <f>(I36/G36)</f>
        <v>0.43382798916339821</v>
      </c>
      <c r="K36" s="140">
        <v>131.12</v>
      </c>
      <c r="L36" s="140">
        <f>(K36/G36)</f>
        <v>0.5301847883223485</v>
      </c>
      <c r="M36" s="140">
        <f>G36-I36-K36</f>
        <v>8.8999999999999773</v>
      </c>
      <c r="N36" s="140">
        <f>(M36/G36)*100</f>
        <v>3.5987222514253272</v>
      </c>
      <c r="O36" s="139"/>
      <c r="P36" s="146">
        <v>5</v>
      </c>
      <c r="Q36" s="145">
        <v>-5</v>
      </c>
      <c r="R36" s="144">
        <v>8.8699999999999992</v>
      </c>
      <c r="S36" s="144">
        <v>215.03</v>
      </c>
      <c r="T36" s="144">
        <f>S36-R36</f>
        <v>206.16</v>
      </c>
      <c r="U36" s="143">
        <v>195.3</v>
      </c>
      <c r="V36" s="142">
        <f>((T36-U36)/T36)</f>
        <v>5.2677532013969665E-2</v>
      </c>
      <c r="W36" s="141">
        <v>82.82</v>
      </c>
      <c r="X36" s="141">
        <f>(W36/U36)</f>
        <v>0.42406554019457238</v>
      </c>
      <c r="Y36" s="140">
        <v>105.71</v>
      </c>
      <c r="Z36" s="140">
        <f>(Y36/U36)</f>
        <v>0.54126984126984123</v>
      </c>
      <c r="AA36" s="140">
        <f>U36-W36-Y36</f>
        <v>6.7700000000000244</v>
      </c>
      <c r="AB36" s="140">
        <f>(AA36/U36)*100</f>
        <v>3.4664618535586404</v>
      </c>
      <c r="AC36" s="139"/>
      <c r="AD36" s="146">
        <v>7</v>
      </c>
      <c r="AE36" s="145">
        <v>-5</v>
      </c>
      <c r="AF36" s="144">
        <v>8.84</v>
      </c>
      <c r="AG36" s="144">
        <v>233.71</v>
      </c>
      <c r="AH36" s="144">
        <f>AG36-AF36</f>
        <v>224.87</v>
      </c>
      <c r="AI36" s="143">
        <v>209.83</v>
      </c>
      <c r="AJ36" s="142">
        <f>((AH36-AI36)/AH36)</f>
        <v>6.6883088006403663E-2</v>
      </c>
      <c r="AK36" s="141">
        <v>88.79</v>
      </c>
      <c r="AL36" s="141">
        <f>(AK36/AI36)</f>
        <v>0.42315207548968214</v>
      </c>
      <c r="AM36" s="140">
        <v>114.47</v>
      </c>
      <c r="AN36" s="140">
        <f>(AM36/AI36)</f>
        <v>0.54553686317495109</v>
      </c>
      <c r="AO36" s="140">
        <f>AI36-AK36-AM36</f>
        <v>6.5700000000000074</v>
      </c>
      <c r="AP36" s="140">
        <f>(AO36/AI36)*100</f>
        <v>3.1311061335366754</v>
      </c>
      <c r="AQ36" s="139"/>
      <c r="AR36" s="146">
        <v>9</v>
      </c>
      <c r="AS36" s="145">
        <v>-5</v>
      </c>
      <c r="AT36" s="144">
        <v>8.7799999999999994</v>
      </c>
      <c r="AU36" s="144">
        <v>201.41</v>
      </c>
      <c r="AV36" s="144">
        <f>AU36-AT36</f>
        <v>192.63</v>
      </c>
      <c r="AW36" s="143">
        <v>183.17</v>
      </c>
      <c r="AX36" s="142">
        <f>((AV36-AW36)/AV36)</f>
        <v>4.9109692155946676E-2</v>
      </c>
      <c r="AY36" s="141">
        <v>74.900000000000006</v>
      </c>
      <c r="AZ36" s="141">
        <f>(AY36/AW36)</f>
        <v>0.40890975596440471</v>
      </c>
      <c r="BA36" s="140">
        <v>102.81</v>
      </c>
      <c r="BB36" s="140">
        <f>(BA36/AW36)</f>
        <v>0.56128186930174162</v>
      </c>
      <c r="BC36" s="140">
        <f>AW36-AY36-BA36</f>
        <v>5.4599999999999795</v>
      </c>
      <c r="BD36" s="140">
        <f>(BC36/AW36)*100</f>
        <v>2.9808374733853689</v>
      </c>
      <c r="BE36" s="139"/>
      <c r="BF36" s="146">
        <v>11</v>
      </c>
      <c r="BG36" s="145">
        <v>-5</v>
      </c>
      <c r="BH36" s="144">
        <v>8.74</v>
      </c>
      <c r="BI36" s="144">
        <v>239.03</v>
      </c>
      <c r="BJ36" s="144">
        <f>BI36-BH36</f>
        <v>230.29</v>
      </c>
      <c r="BK36" s="143">
        <v>218.83</v>
      </c>
      <c r="BL36" s="142">
        <f>((BJ36-BK36)/BJ36)</f>
        <v>4.9763341873290109E-2</v>
      </c>
      <c r="BM36" s="141">
        <v>91.92</v>
      </c>
      <c r="BN36" s="141">
        <f>(BM36/BK36)</f>
        <v>0.42005209523374309</v>
      </c>
      <c r="BO36" s="140">
        <v>120.78</v>
      </c>
      <c r="BP36" s="140">
        <f>(BO36/BK36)</f>
        <v>0.55193529223598226</v>
      </c>
      <c r="BQ36" s="140">
        <f>BK36-BM36-BO36</f>
        <v>6.1300000000000097</v>
      </c>
      <c r="BR36" s="140">
        <f>(BQ36/BK36)*100</f>
        <v>2.8012612530274685</v>
      </c>
      <c r="BS36" s="139"/>
    </row>
    <row r="37" spans="1:71" ht="20.25" thickTop="1" thickBot="1" x14ac:dyDescent="0.3">
      <c r="A37" s="139"/>
      <c r="B37" s="146">
        <v>3</v>
      </c>
      <c r="C37" s="145">
        <v>-6</v>
      </c>
      <c r="D37" s="144">
        <v>8.68</v>
      </c>
      <c r="E37" s="144">
        <v>243.32</v>
      </c>
      <c r="F37" s="144">
        <f>E37-D37</f>
        <v>234.64</v>
      </c>
      <c r="G37" s="143">
        <v>219.79</v>
      </c>
      <c r="H37" s="142">
        <f>((F37-G37)/F37)</f>
        <v>6.3288441868394121E-2</v>
      </c>
      <c r="I37" s="141">
        <v>93.58</v>
      </c>
      <c r="J37" s="141">
        <f>(I37/G37)</f>
        <v>0.42577005323263117</v>
      </c>
      <c r="K37" s="140">
        <v>120.51</v>
      </c>
      <c r="L37" s="140">
        <f>(K37/G37)</f>
        <v>0.54829610082351343</v>
      </c>
      <c r="M37" s="140">
        <f>G37-I37-K37</f>
        <v>5.6999999999999886</v>
      </c>
      <c r="N37" s="140">
        <f>(M37/G37)*100</f>
        <v>2.5933845943855447</v>
      </c>
      <c r="O37" s="139"/>
      <c r="P37" s="146">
        <v>5</v>
      </c>
      <c r="Q37" s="145">
        <v>-6</v>
      </c>
      <c r="R37" s="144">
        <v>8.85</v>
      </c>
      <c r="S37" s="144">
        <v>282.26</v>
      </c>
      <c r="T37" s="144">
        <f>S37-R37</f>
        <v>273.40999999999997</v>
      </c>
      <c r="U37" s="143">
        <v>257.23</v>
      </c>
      <c r="V37" s="142">
        <f>((T37-U37)/T37)</f>
        <v>5.9178523097179886E-2</v>
      </c>
      <c r="W37" s="141">
        <v>108.31</v>
      </c>
      <c r="X37" s="141">
        <f>(W37/U37)</f>
        <v>0.4210628620300898</v>
      </c>
      <c r="Y37" s="140">
        <v>140.31</v>
      </c>
      <c r="Z37" s="140">
        <f>(Y37/U37)</f>
        <v>0.545465147922093</v>
      </c>
      <c r="AA37" s="140">
        <f>U37-W37-Y37</f>
        <v>8.6100000000000136</v>
      </c>
      <c r="AB37" s="140">
        <f>(AA37/U37)*100</f>
        <v>3.3471990047817179</v>
      </c>
      <c r="AC37" s="139"/>
      <c r="AD37" s="146">
        <v>7</v>
      </c>
      <c r="AE37" s="145">
        <v>-6</v>
      </c>
      <c r="AF37" s="144">
        <v>8.82</v>
      </c>
      <c r="AG37" s="144">
        <v>181.29</v>
      </c>
      <c r="AH37" s="144">
        <f>AG37-AF37</f>
        <v>172.47</v>
      </c>
      <c r="AI37" s="143">
        <v>162.91999999999999</v>
      </c>
      <c r="AJ37" s="142">
        <f>((AH37-AI37)/AH37)</f>
        <v>5.5371948744709291E-2</v>
      </c>
      <c r="AK37" s="141">
        <v>68.64</v>
      </c>
      <c r="AL37" s="141">
        <f>(AK37/AI37)</f>
        <v>0.42131107291922421</v>
      </c>
      <c r="AM37" s="140">
        <v>86.64</v>
      </c>
      <c r="AN37" s="140">
        <f>(AM37/AI37)</f>
        <v>0.53179474588755227</v>
      </c>
      <c r="AO37" s="140">
        <f>AI37-AK37-AM37</f>
        <v>7.6399999999999864</v>
      </c>
      <c r="AP37" s="140">
        <f>(AO37/AI37)*100</f>
        <v>4.689418119322359</v>
      </c>
      <c r="AQ37" s="139"/>
      <c r="AR37" s="146">
        <v>9</v>
      </c>
      <c r="AS37" s="145">
        <v>-6</v>
      </c>
      <c r="AT37" s="144">
        <v>8.82</v>
      </c>
      <c r="AU37" s="144">
        <v>214.65</v>
      </c>
      <c r="AV37" s="144">
        <f>AU37-AT37</f>
        <v>205.83</v>
      </c>
      <c r="AW37" s="143">
        <v>193.71</v>
      </c>
      <c r="AX37" s="142">
        <f>((AV37-AW37)/AV37)</f>
        <v>5.8883544672788245E-2</v>
      </c>
      <c r="AY37" s="141">
        <v>81.12</v>
      </c>
      <c r="AZ37" s="141">
        <f>(AY37/AW37)</f>
        <v>0.4187703267771411</v>
      </c>
      <c r="BA37" s="140">
        <v>107.31</v>
      </c>
      <c r="BB37" s="140">
        <f>(BA37/AW37)</f>
        <v>0.55397243301842958</v>
      </c>
      <c r="BC37" s="140">
        <f>AW37-AY37-BA37</f>
        <v>5.2800000000000011</v>
      </c>
      <c r="BD37" s="140">
        <f>(BC37/AW37)*100</f>
        <v>2.7257240204429305</v>
      </c>
      <c r="BE37" s="139"/>
      <c r="BF37" s="146">
        <v>11</v>
      </c>
      <c r="BG37" s="145">
        <v>-6</v>
      </c>
      <c r="BH37" s="144">
        <v>8.75</v>
      </c>
      <c r="BI37" s="144">
        <v>224.31</v>
      </c>
      <c r="BJ37" s="144">
        <f>BI37-BH37</f>
        <v>215.56</v>
      </c>
      <c r="BK37" s="143">
        <v>204.52</v>
      </c>
      <c r="BL37" s="142">
        <f>((BJ37-BK37)/BJ37)</f>
        <v>5.1215438856930751E-2</v>
      </c>
      <c r="BM37" s="141">
        <v>84.75</v>
      </c>
      <c r="BN37" s="141">
        <f>(BM37/BK37)</f>
        <v>0.41438490123215332</v>
      </c>
      <c r="BO37" s="140">
        <v>114.03</v>
      </c>
      <c r="BP37" s="140">
        <f>(BO37/BK37)</f>
        <v>0.55754938392333264</v>
      </c>
      <c r="BQ37" s="140">
        <f>BK37-BM37-BO37</f>
        <v>5.7400000000000091</v>
      </c>
      <c r="BR37" s="140">
        <f>(BQ37/BK37)*100</f>
        <v>2.8065714844514025</v>
      </c>
      <c r="BS37" s="139"/>
    </row>
    <row r="38" spans="1:71" ht="20.25" thickTop="1" thickBot="1" x14ac:dyDescent="0.3">
      <c r="A38" s="139"/>
      <c r="B38" s="146">
        <v>3</v>
      </c>
      <c r="C38" s="145">
        <v>-7</v>
      </c>
      <c r="D38" s="144">
        <v>8.7200000000000006</v>
      </c>
      <c r="E38" s="144">
        <v>278.08</v>
      </c>
      <c r="F38" s="144">
        <f>E38-D38</f>
        <v>269.35999999999996</v>
      </c>
      <c r="G38" s="143">
        <v>251.22</v>
      </c>
      <c r="H38" s="142">
        <f>((F38-G38)/F38)</f>
        <v>6.7344817344817204E-2</v>
      </c>
      <c r="I38" s="141">
        <v>105.48</v>
      </c>
      <c r="J38" s="141">
        <f>(I38/G38)</f>
        <v>0.419871029376642</v>
      </c>
      <c r="K38" s="140">
        <v>138.01400000000001</v>
      </c>
      <c r="L38" s="140">
        <f>(K38/G38)</f>
        <v>0.54937504975718499</v>
      </c>
      <c r="M38" s="140">
        <f>G38-I38-K38</f>
        <v>7.7259999999999991</v>
      </c>
      <c r="N38" s="140">
        <f>(M38/G38)*100</f>
        <v>3.075392086617307</v>
      </c>
      <c r="O38" s="139"/>
      <c r="P38" s="146">
        <v>5</v>
      </c>
      <c r="Q38" s="145">
        <v>-7</v>
      </c>
      <c r="R38" s="144">
        <v>8.76</v>
      </c>
      <c r="S38" s="144">
        <v>257.35000000000002</v>
      </c>
      <c r="T38" s="144">
        <f>S38-R38</f>
        <v>248.59000000000003</v>
      </c>
      <c r="U38" s="143">
        <v>232.86</v>
      </c>
      <c r="V38" s="142">
        <f>((T38-U38)/T38)</f>
        <v>6.3276881612293404E-2</v>
      </c>
      <c r="W38" s="141">
        <v>99.42</v>
      </c>
      <c r="X38" s="141">
        <f>(W38/U38)</f>
        <v>0.42695181654212833</v>
      </c>
      <c r="Y38" s="140">
        <v>126.12</v>
      </c>
      <c r="Z38" s="140">
        <f>(Y38/U38)</f>
        <v>0.54161298634372579</v>
      </c>
      <c r="AA38" s="140">
        <f>U38-W38-Y38</f>
        <v>7.3199999999999932</v>
      </c>
      <c r="AB38" s="140">
        <f>(AA38/U38)*100</f>
        <v>3.143519711414581</v>
      </c>
      <c r="AC38" s="139"/>
      <c r="AD38" s="146">
        <v>7</v>
      </c>
      <c r="AE38" s="145">
        <v>-7</v>
      </c>
      <c r="AF38" s="144">
        <v>8.7799999999999994</v>
      </c>
      <c r="AG38" s="144">
        <v>247.28</v>
      </c>
      <c r="AH38" s="144">
        <f>AG38-AF38</f>
        <v>238.5</v>
      </c>
      <c r="AI38" s="143">
        <v>223.49</v>
      </c>
      <c r="AJ38" s="142">
        <f>((AH38-AI38)/AH38)</f>
        <v>6.2935010482180254E-2</v>
      </c>
      <c r="AK38" s="141">
        <v>94.01</v>
      </c>
      <c r="AL38" s="141">
        <f>(AK38/AI38)</f>
        <v>0.42064521902545976</v>
      </c>
      <c r="AM38" s="140">
        <v>121.19</v>
      </c>
      <c r="AN38" s="140">
        <f>(AM38/AI38)</f>
        <v>0.54226139872030066</v>
      </c>
      <c r="AO38" s="140">
        <f>AI38-AK38-AM38</f>
        <v>8.2900000000000205</v>
      </c>
      <c r="AP38" s="140">
        <f>(AO38/AI38)*100</f>
        <v>3.7093382254239651</v>
      </c>
      <c r="AQ38" s="139"/>
      <c r="AR38" s="146">
        <v>9</v>
      </c>
      <c r="AS38" s="145">
        <v>-7</v>
      </c>
      <c r="AT38" s="144">
        <v>8.7799999999999994</v>
      </c>
      <c r="AU38" s="144">
        <v>211.56</v>
      </c>
      <c r="AV38" s="144">
        <f>AU38-AT38</f>
        <v>202.78</v>
      </c>
      <c r="AW38" s="143">
        <v>191.73</v>
      </c>
      <c r="AX38" s="142">
        <f>((AV38-AW38)/AV38)</f>
        <v>5.4492553506263003E-2</v>
      </c>
      <c r="AY38" s="141">
        <v>81.55</v>
      </c>
      <c r="AZ38" s="141">
        <f>(AY38/AW38)</f>
        <v>0.42533771449434099</v>
      </c>
      <c r="BA38" s="140">
        <v>103.45</v>
      </c>
      <c r="BB38" s="140">
        <f>(BA38/AW38)</f>
        <v>0.53956084076566013</v>
      </c>
      <c r="BC38" s="140">
        <f>AW38-AY38-BA38</f>
        <v>6.7299999999999898</v>
      </c>
      <c r="BD38" s="140">
        <f>(BC38/AW38)*100</f>
        <v>3.5101444739998904</v>
      </c>
      <c r="BE38" s="139"/>
      <c r="BF38" s="146">
        <v>11</v>
      </c>
      <c r="BG38" s="145">
        <v>-7</v>
      </c>
      <c r="BH38" s="144">
        <v>8.77</v>
      </c>
      <c r="BI38" s="144">
        <v>248.13</v>
      </c>
      <c r="BJ38" s="144">
        <f>BI38-BH38</f>
        <v>239.35999999999999</v>
      </c>
      <c r="BK38" s="143">
        <v>226.34</v>
      </c>
      <c r="BL38" s="142">
        <f>((BJ38-BK38)/BJ38)</f>
        <v>5.4395053475935755E-2</v>
      </c>
      <c r="BM38" s="141">
        <v>95.16</v>
      </c>
      <c r="BN38" s="141">
        <f>(BM38/BK38)</f>
        <v>0.42042944243173985</v>
      </c>
      <c r="BO38" s="140">
        <v>124.14</v>
      </c>
      <c r="BP38" s="140">
        <f>(BO38/BK38)</f>
        <v>0.5484669081912168</v>
      </c>
      <c r="BQ38" s="140">
        <f>BK38-BM38-BO38</f>
        <v>7.0400000000000063</v>
      </c>
      <c r="BR38" s="140">
        <f>(BQ38/BK38)*100</f>
        <v>3.1103649377043414</v>
      </c>
      <c r="BS38" s="139"/>
    </row>
    <row r="39" spans="1:71" ht="20.25" thickTop="1" thickBot="1" x14ac:dyDescent="0.3">
      <c r="A39" s="139"/>
      <c r="B39" s="146">
        <v>3</v>
      </c>
      <c r="C39" s="145">
        <v>-8</v>
      </c>
      <c r="D39" s="144">
        <v>8.6999999999999993</v>
      </c>
      <c r="E39" s="144">
        <v>229.97</v>
      </c>
      <c r="F39" s="144">
        <f>E39-D39</f>
        <v>221.27</v>
      </c>
      <c r="G39" s="143">
        <v>207.51</v>
      </c>
      <c r="H39" s="142">
        <f>((F39-G39)/F39)</f>
        <v>6.218646901974971E-2</v>
      </c>
      <c r="I39" s="141">
        <v>87.48</v>
      </c>
      <c r="J39" s="141">
        <f>(I39/G39)</f>
        <v>0.4215700448171173</v>
      </c>
      <c r="K39" s="140">
        <v>112.81</v>
      </c>
      <c r="L39" s="140">
        <f>(K39/G39)</f>
        <v>0.5436364512553612</v>
      </c>
      <c r="M39" s="140">
        <f>G39-I39-K39</f>
        <v>7.2199999999999847</v>
      </c>
      <c r="N39" s="140">
        <f>(M39/G39)*100</f>
        <v>3.4793503927521492</v>
      </c>
      <c r="O39" s="139"/>
      <c r="P39" s="146">
        <v>5</v>
      </c>
      <c r="Q39" s="145">
        <v>-8</v>
      </c>
      <c r="R39" s="144">
        <v>8.75</v>
      </c>
      <c r="S39" s="144">
        <v>257.14999999999998</v>
      </c>
      <c r="T39" s="144">
        <f>S39-R39</f>
        <v>248.39999999999998</v>
      </c>
      <c r="U39" s="143">
        <v>231.67</v>
      </c>
      <c r="V39" s="142">
        <f>((T39-U39)/T39)</f>
        <v>6.7351046698872749E-2</v>
      </c>
      <c r="W39" s="141">
        <v>99.04</v>
      </c>
      <c r="X39" s="141">
        <f>(W39/U39)</f>
        <v>0.42750464022100404</v>
      </c>
      <c r="Y39" s="140">
        <v>125.75</v>
      </c>
      <c r="Z39" s="140">
        <f>(Y39/U39)</f>
        <v>0.54279794535330428</v>
      </c>
      <c r="AA39" s="140">
        <f>U39-W39-Y39</f>
        <v>6.8799999999999955</v>
      </c>
      <c r="AB39" s="140">
        <f>(AA39/U39)*100</f>
        <v>2.9697414425691697</v>
      </c>
      <c r="AC39" s="139"/>
      <c r="AD39" s="146">
        <v>7</v>
      </c>
      <c r="AE39" s="145">
        <v>-8</v>
      </c>
      <c r="AF39" s="144">
        <v>8.76</v>
      </c>
      <c r="AG39" s="144">
        <v>279.97000000000003</v>
      </c>
      <c r="AH39" s="144">
        <f>AG39-AF39</f>
        <v>271.21000000000004</v>
      </c>
      <c r="AI39" s="143">
        <v>255.79</v>
      </c>
      <c r="AJ39" s="142">
        <f>((AH39-AI39)/AH39)</f>
        <v>5.6856310608016082E-2</v>
      </c>
      <c r="AK39" s="141">
        <v>106.41</v>
      </c>
      <c r="AL39" s="141">
        <f>(AK39/AI39)</f>
        <v>0.41600531686148795</v>
      </c>
      <c r="AM39" s="140">
        <v>143.18</v>
      </c>
      <c r="AN39" s="140">
        <f>(AM39/AI39)</f>
        <v>0.55975604988467109</v>
      </c>
      <c r="AO39" s="140">
        <f>AI39-AK39-AM39</f>
        <v>6.1999999999999886</v>
      </c>
      <c r="AP39" s="140">
        <f>(AO39/AI39)*100</f>
        <v>2.4238633253841</v>
      </c>
      <c r="AQ39" s="139"/>
      <c r="AR39" s="146">
        <v>9</v>
      </c>
      <c r="AS39" s="145">
        <v>-8</v>
      </c>
      <c r="AT39" s="144">
        <v>8.75</v>
      </c>
      <c r="AU39" s="144">
        <v>261.2</v>
      </c>
      <c r="AV39" s="144">
        <f>AU39-AT39</f>
        <v>252.45</v>
      </c>
      <c r="AW39" s="143">
        <v>239.68</v>
      </c>
      <c r="AX39" s="142">
        <f>((AV39-AW39)/AV39)</f>
        <v>5.0584274113685809E-2</v>
      </c>
      <c r="AY39" s="141">
        <v>98.77</v>
      </c>
      <c r="AZ39" s="141">
        <f>(AY39/AW39)</f>
        <v>0.41209112149532706</v>
      </c>
      <c r="BA39" s="140">
        <v>133.38</v>
      </c>
      <c r="BB39" s="140">
        <f>(BA39/AW39)</f>
        <v>0.55649198931909205</v>
      </c>
      <c r="BC39" s="140">
        <f>AW39-AY39-BA39</f>
        <v>7.5300000000000296</v>
      </c>
      <c r="BD39" s="140">
        <f>(BC39/AW39)*100</f>
        <v>3.1416889185580894</v>
      </c>
      <c r="BE39" s="139"/>
      <c r="BF39" s="146">
        <v>11</v>
      </c>
      <c r="BG39" s="145">
        <v>-8</v>
      </c>
      <c r="BH39" s="144">
        <v>8.74</v>
      </c>
      <c r="BI39" s="144">
        <v>251.79</v>
      </c>
      <c r="BJ39" s="144">
        <f>BI39-BH39</f>
        <v>243.04999999999998</v>
      </c>
      <c r="BK39" s="143">
        <v>231.06</v>
      </c>
      <c r="BL39" s="142">
        <f>((BJ39-BK39)/BJ39)</f>
        <v>4.9331413289446541E-2</v>
      </c>
      <c r="BM39" s="141">
        <v>98.28</v>
      </c>
      <c r="BN39" s="141">
        <f>(BM39/BK39)</f>
        <v>0.42534406647623996</v>
      </c>
      <c r="BO39" s="140">
        <v>126.98</v>
      </c>
      <c r="BP39" s="140">
        <f>(BO39/BK39)</f>
        <v>0.54955422833895962</v>
      </c>
      <c r="BQ39" s="140">
        <f>BK39-BM39-BO39</f>
        <v>5.7999999999999972</v>
      </c>
      <c r="BR39" s="140">
        <f>(BQ39/BK39)*100</f>
        <v>2.5101705184800474</v>
      </c>
      <c r="BS39" s="139"/>
    </row>
    <row r="40" spans="1:71" ht="20.25" thickTop="1" thickBot="1" x14ac:dyDescent="0.3">
      <c r="A40" s="139"/>
      <c r="B40" s="146">
        <v>3</v>
      </c>
      <c r="C40" s="145">
        <v>-9</v>
      </c>
      <c r="D40" s="144">
        <v>8.69</v>
      </c>
      <c r="E40" s="144">
        <v>253.65</v>
      </c>
      <c r="F40" s="144">
        <f>E40-D40</f>
        <v>244.96</v>
      </c>
      <c r="G40" s="143">
        <v>230.06</v>
      </c>
      <c r="H40" s="142">
        <f>((F40-G40)/F40)</f>
        <v>6.0826257348138492E-2</v>
      </c>
      <c r="I40" s="141">
        <v>97.44</v>
      </c>
      <c r="J40" s="141">
        <f>(I40/G40)</f>
        <v>0.42354168477788401</v>
      </c>
      <c r="K40" s="140">
        <v>124.68</v>
      </c>
      <c r="L40" s="140">
        <f>(K40/G40)</f>
        <v>0.54194557941406596</v>
      </c>
      <c r="M40" s="140">
        <f>G40-I40-K40</f>
        <v>7.9399999999999977</v>
      </c>
      <c r="N40" s="140">
        <f>(M40/G40)*100</f>
        <v>3.4512735808050068</v>
      </c>
      <c r="O40" s="139"/>
      <c r="P40" s="146">
        <v>5</v>
      </c>
      <c r="Q40" s="145">
        <v>-9</v>
      </c>
      <c r="R40" s="144">
        <v>8.7799999999999994</v>
      </c>
      <c r="S40" s="144">
        <v>280.08</v>
      </c>
      <c r="T40" s="144">
        <f>S40-R40</f>
        <v>271.3</v>
      </c>
      <c r="U40" s="143">
        <v>255.38</v>
      </c>
      <c r="V40" s="142">
        <f>((T40-U40)/T40)</f>
        <v>5.8680427570954721E-2</v>
      </c>
      <c r="W40" s="141">
        <v>107.23</v>
      </c>
      <c r="X40" s="141">
        <f>(W40/U40)</f>
        <v>0.41988409429086071</v>
      </c>
      <c r="Y40" s="140">
        <v>140.62</v>
      </c>
      <c r="Z40" s="140">
        <f>(Y40/U40)</f>
        <v>0.55063043308011594</v>
      </c>
      <c r="AA40" s="140">
        <f>U40-W40-Y40</f>
        <v>7.5299999999999727</v>
      </c>
      <c r="AB40" s="140">
        <f>(AA40/U40)*100</f>
        <v>2.948547262902331</v>
      </c>
      <c r="AC40" s="139"/>
      <c r="AD40" s="146">
        <v>7</v>
      </c>
      <c r="AE40" s="145">
        <v>-9</v>
      </c>
      <c r="AF40" s="144">
        <v>8.7100000000000009</v>
      </c>
      <c r="AG40" s="144">
        <v>204.39</v>
      </c>
      <c r="AH40" s="144">
        <f>AG40-AF40</f>
        <v>195.67999999999998</v>
      </c>
      <c r="AI40" s="143">
        <v>184.43</v>
      </c>
      <c r="AJ40" s="142">
        <f>((AH40-AI40)/AH40)</f>
        <v>5.7491823385118421E-2</v>
      </c>
      <c r="AK40" s="141">
        <v>78.540000000000006</v>
      </c>
      <c r="AL40" s="141">
        <f>(AK40/AI40)</f>
        <v>0.42585262701295884</v>
      </c>
      <c r="AM40" s="140">
        <v>98.77</v>
      </c>
      <c r="AN40" s="140">
        <f>(AM40/AI40)</f>
        <v>0.53554194003144817</v>
      </c>
      <c r="AO40" s="140">
        <f>AI40-AK40-AM40</f>
        <v>7.1200000000000045</v>
      </c>
      <c r="AP40" s="140">
        <f>(AO40/AI40)*100</f>
        <v>3.8605432955592933</v>
      </c>
      <c r="AQ40" s="139"/>
      <c r="AR40" s="146">
        <v>9</v>
      </c>
      <c r="AS40" s="145">
        <v>-9</v>
      </c>
      <c r="AT40" s="144">
        <v>8.77</v>
      </c>
      <c r="AU40" s="144">
        <v>198.25</v>
      </c>
      <c r="AV40" s="144">
        <f>AU40-AT40</f>
        <v>189.48</v>
      </c>
      <c r="AW40" s="143">
        <v>180.18</v>
      </c>
      <c r="AX40" s="142">
        <f>((AV40-AW40)/AV40)</f>
        <v>4.9081697276757354E-2</v>
      </c>
      <c r="AY40" s="141">
        <v>76.02</v>
      </c>
      <c r="AZ40" s="141">
        <f>(AY40/AW40)</f>
        <v>0.42191142191142189</v>
      </c>
      <c r="BA40" s="140">
        <v>97.23</v>
      </c>
      <c r="BB40" s="140">
        <f>(BA40/AW40)</f>
        <v>0.53962703962703962</v>
      </c>
      <c r="BC40" s="140">
        <f>AW40-AY40-BA40</f>
        <v>6.9300000000000068</v>
      </c>
      <c r="BD40" s="140">
        <f>(BC40/AW40)*100</f>
        <v>3.8461538461538498</v>
      </c>
      <c r="BE40" s="139"/>
      <c r="BF40" s="146">
        <v>11</v>
      </c>
      <c r="BG40" s="145">
        <v>-9</v>
      </c>
      <c r="BH40" s="144">
        <v>8.77</v>
      </c>
      <c r="BI40" s="144">
        <v>185.32</v>
      </c>
      <c r="BJ40" s="144">
        <f>BI40-BH40</f>
        <v>176.54999999999998</v>
      </c>
      <c r="BK40" s="143">
        <v>167.58</v>
      </c>
      <c r="BL40" s="142">
        <f>((BJ40-BK40)/BJ40)</f>
        <v>5.0807136788445034E-2</v>
      </c>
      <c r="BM40" s="141">
        <v>70.28</v>
      </c>
      <c r="BN40" s="141">
        <f>(BM40/BK40)</f>
        <v>0.41938178780284041</v>
      </c>
      <c r="BO40" s="140">
        <v>91.79</v>
      </c>
      <c r="BP40" s="140">
        <f>(BO40/BK40)</f>
        <v>0.54773839360305521</v>
      </c>
      <c r="BQ40" s="140">
        <f>BK40-BM40-BO40</f>
        <v>5.5100000000000051</v>
      </c>
      <c r="BR40" s="140">
        <f>(BQ40/BK40)*100</f>
        <v>3.2879818594104333</v>
      </c>
      <c r="BS40" s="139"/>
    </row>
    <row r="41" spans="1:71" ht="20.25" thickTop="1" thickBot="1" x14ac:dyDescent="0.3">
      <c r="A41" s="139"/>
      <c r="B41" s="146">
        <v>3</v>
      </c>
      <c r="C41" s="145">
        <v>-10</v>
      </c>
      <c r="D41" s="144">
        <v>8.8000000000000007</v>
      </c>
      <c r="E41" s="144">
        <v>240.53</v>
      </c>
      <c r="F41" s="144">
        <f>E41-D41</f>
        <v>231.73</v>
      </c>
      <c r="G41" s="143">
        <v>217.93</v>
      </c>
      <c r="H41" s="142">
        <f>((F41-G41)/F41)</f>
        <v>5.9552064903119942E-2</v>
      </c>
      <c r="I41" s="141">
        <v>90.75</v>
      </c>
      <c r="J41" s="141">
        <f>(I41/G41)</f>
        <v>0.41641811590877803</v>
      </c>
      <c r="K41" s="140">
        <v>119.17</v>
      </c>
      <c r="L41" s="140">
        <f>(K41/G41)</f>
        <v>0.54682696278621579</v>
      </c>
      <c r="M41" s="140">
        <f>G41-I41-K41</f>
        <v>8.0100000000000051</v>
      </c>
      <c r="N41" s="140">
        <f>(M41/G41)*100</f>
        <v>3.6754921305006216</v>
      </c>
      <c r="O41" s="139"/>
      <c r="P41" s="146">
        <v>5</v>
      </c>
      <c r="Q41" s="145">
        <v>-10</v>
      </c>
      <c r="R41" s="144">
        <v>8.86</v>
      </c>
      <c r="S41" s="144">
        <v>278.20999999999998</v>
      </c>
      <c r="T41" s="144">
        <f>S41-R41</f>
        <v>269.34999999999997</v>
      </c>
      <c r="U41" s="143">
        <v>253.35</v>
      </c>
      <c r="V41" s="142">
        <f>((T41-U41)/T41)</f>
        <v>5.9402264711342023E-2</v>
      </c>
      <c r="W41" s="141">
        <v>105.02</v>
      </c>
      <c r="X41" s="141">
        <f>(W41/U41)</f>
        <v>0.41452536017367275</v>
      </c>
      <c r="Y41" s="140">
        <v>140.78</v>
      </c>
      <c r="Z41" s="140">
        <f>(Y41/U41)</f>
        <v>0.55567396881784092</v>
      </c>
      <c r="AA41" s="140">
        <f>U41-W41-Y41</f>
        <v>7.5499999999999829</v>
      </c>
      <c r="AB41" s="140">
        <f>(AA41/U41)*100</f>
        <v>2.9800671008486215</v>
      </c>
      <c r="AC41" s="139"/>
      <c r="AD41" s="146">
        <v>7</v>
      </c>
      <c r="AE41" s="145">
        <v>-10</v>
      </c>
      <c r="AF41" s="144">
        <v>8.7100000000000009</v>
      </c>
      <c r="AG41" s="144">
        <v>255.72</v>
      </c>
      <c r="AH41" s="144">
        <f>AG41-AF41</f>
        <v>247.01</v>
      </c>
      <c r="AI41" s="143">
        <v>233.21</v>
      </c>
      <c r="AJ41" s="142">
        <f>((AH41-AI41)/AH41)</f>
        <v>5.5868183474353197E-2</v>
      </c>
      <c r="AK41" s="141">
        <v>98.6</v>
      </c>
      <c r="AL41" s="141">
        <f>(AK41/AI41)</f>
        <v>0.42279490587882163</v>
      </c>
      <c r="AM41" s="140">
        <v>126.35</v>
      </c>
      <c r="AN41" s="140">
        <f>(AM41/AI41)</f>
        <v>0.54178637279704978</v>
      </c>
      <c r="AO41" s="140">
        <f>AI41-AK41-AM41</f>
        <v>8.2600000000000193</v>
      </c>
      <c r="AP41" s="140">
        <f>(AO41/AI41)*100</f>
        <v>3.541872132412855</v>
      </c>
      <c r="AQ41" s="139"/>
      <c r="AR41" s="146">
        <v>9</v>
      </c>
      <c r="AS41" s="145">
        <v>-10</v>
      </c>
      <c r="AT41" s="144">
        <v>8.8000000000000007</v>
      </c>
      <c r="AU41" s="144">
        <v>194.22</v>
      </c>
      <c r="AV41" s="144">
        <f>AU41-AT41</f>
        <v>185.42</v>
      </c>
      <c r="AW41" s="143">
        <v>175.7</v>
      </c>
      <c r="AX41" s="142">
        <f>((AV41-AW41)/AV41)</f>
        <v>5.2421529500593242E-2</v>
      </c>
      <c r="AY41" s="141">
        <v>74.09</v>
      </c>
      <c r="AZ41" s="141">
        <f>(AY41/AW41)</f>
        <v>0.42168468981217988</v>
      </c>
      <c r="BA41" s="140">
        <v>97.63</v>
      </c>
      <c r="BB41" s="140">
        <f>(BA41/AW41)</f>
        <v>0.55566306203756399</v>
      </c>
      <c r="BC41" s="140">
        <f>AW41-AY41-BA41</f>
        <v>3.9799999999999898</v>
      </c>
      <c r="BD41" s="140">
        <f>(BC41/AW41)*100</f>
        <v>2.265224815025606</v>
      </c>
      <c r="BE41" s="139"/>
      <c r="BF41" s="146">
        <v>11</v>
      </c>
      <c r="BG41" s="145">
        <v>-10</v>
      </c>
      <c r="BH41" s="144">
        <v>8.83</v>
      </c>
      <c r="BI41" s="144">
        <v>269.36</v>
      </c>
      <c r="BJ41" s="144">
        <f>BI41-BH41</f>
        <v>260.53000000000003</v>
      </c>
      <c r="BK41" s="143">
        <v>247.67</v>
      </c>
      <c r="BL41" s="142">
        <f>((BJ41-BK41)/BJ41)</f>
        <v>4.9360918128430666E-2</v>
      </c>
      <c r="BM41" s="141">
        <v>101.13</v>
      </c>
      <c r="BN41" s="141">
        <f>(BM41/BK41)</f>
        <v>0.40832559454112327</v>
      </c>
      <c r="BO41" s="140">
        <v>137.71</v>
      </c>
      <c r="BP41" s="140">
        <f>(BO41/BK41)</f>
        <v>0.55602212621633629</v>
      </c>
      <c r="BQ41" s="140">
        <f>BK41-BM41-BO41</f>
        <v>8.8299999999999841</v>
      </c>
      <c r="BR41" s="140">
        <f>(BQ41/BK41)*100</f>
        <v>3.5652279242540414</v>
      </c>
      <c r="BS41" s="139"/>
    </row>
    <row r="42" spans="1:71" ht="15" x14ac:dyDescent="0.25">
      <c r="A42" s="139"/>
      <c r="B42" s="139"/>
      <c r="C42" s="139"/>
      <c r="D42" s="139"/>
      <c r="E42" s="139"/>
      <c r="F42" s="139"/>
      <c r="G42" s="139"/>
      <c r="H42" s="139"/>
      <c r="I42" s="139"/>
      <c r="J42" s="139"/>
      <c r="K42" s="139"/>
      <c r="L42" s="139"/>
      <c r="M42" s="139"/>
      <c r="N42" s="139"/>
      <c r="O42" s="139"/>
      <c r="P42" s="139"/>
      <c r="Q42" s="139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39"/>
      <c r="AC42" s="139"/>
      <c r="AD42" s="139"/>
      <c r="AE42" s="139"/>
      <c r="AF42" s="139"/>
      <c r="AG42" s="139"/>
      <c r="AH42" s="139"/>
      <c r="AI42" s="139"/>
      <c r="AJ42" s="139"/>
      <c r="AK42" s="139"/>
      <c r="AL42" s="139"/>
      <c r="AM42" s="139"/>
      <c r="AN42" s="139"/>
      <c r="AO42" s="139"/>
      <c r="AP42" s="139"/>
      <c r="AQ42" s="139"/>
      <c r="AR42" s="139"/>
      <c r="AS42" s="139"/>
      <c r="AT42" s="139"/>
      <c r="AU42" s="139"/>
      <c r="AV42" s="139"/>
      <c r="AW42" s="139"/>
      <c r="AX42" s="139"/>
      <c r="AY42" s="139"/>
      <c r="AZ42" s="139"/>
      <c r="BA42" s="139"/>
      <c r="BB42" s="139"/>
      <c r="BC42" s="139"/>
      <c r="BD42" s="139"/>
      <c r="BE42" s="139"/>
      <c r="BF42" s="139"/>
      <c r="BG42" s="139"/>
      <c r="BH42" s="139"/>
      <c r="BI42" s="139"/>
      <c r="BJ42" s="139"/>
      <c r="BK42" s="139"/>
      <c r="BL42" s="139"/>
      <c r="BM42" s="139"/>
      <c r="BN42" s="139"/>
      <c r="BO42" s="139"/>
      <c r="BP42" s="139"/>
      <c r="BQ42" s="139"/>
      <c r="BR42" s="139"/>
      <c r="BS42" s="139"/>
    </row>
    <row r="43" spans="1:71" ht="15" x14ac:dyDescent="0.25">
      <c r="A43" s="139"/>
      <c r="B43" s="139"/>
      <c r="C43" s="139"/>
      <c r="D43" s="139"/>
      <c r="E43" s="139"/>
      <c r="F43" s="139"/>
      <c r="G43" s="139"/>
      <c r="H43" s="139"/>
      <c r="I43" s="139"/>
      <c r="J43" s="139"/>
      <c r="K43" s="139"/>
      <c r="L43" s="139"/>
      <c r="M43" s="139"/>
      <c r="N43" s="139"/>
      <c r="O43" s="139"/>
      <c r="P43" s="139"/>
      <c r="Q43" s="139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39"/>
      <c r="AC43" s="139"/>
      <c r="AD43" s="139"/>
      <c r="AE43" s="139"/>
      <c r="AF43" s="139"/>
      <c r="AG43" s="139"/>
      <c r="AH43" s="139"/>
      <c r="AI43" s="139"/>
      <c r="AJ43" s="139"/>
      <c r="AK43" s="139"/>
      <c r="AL43" s="139"/>
      <c r="AM43" s="139"/>
      <c r="AN43" s="139"/>
      <c r="AO43" s="139"/>
      <c r="AP43" s="139"/>
      <c r="AQ43" s="139"/>
      <c r="AR43" s="139"/>
      <c r="AS43" s="139"/>
      <c r="AT43" s="139"/>
      <c r="AU43" s="139"/>
      <c r="AV43" s="139"/>
      <c r="AW43" s="139"/>
      <c r="AX43" s="139"/>
      <c r="AY43" s="139"/>
      <c r="AZ43" s="139"/>
      <c r="BA43" s="139"/>
      <c r="BB43" s="139"/>
      <c r="BC43" s="139"/>
      <c r="BD43" s="139"/>
      <c r="BE43" s="139"/>
      <c r="BF43" s="139"/>
      <c r="BG43" s="139"/>
      <c r="BH43" s="139"/>
      <c r="BI43" s="139"/>
      <c r="BJ43" s="139"/>
      <c r="BK43" s="139"/>
      <c r="BL43" s="139"/>
      <c r="BM43" s="139"/>
      <c r="BN43" s="139"/>
      <c r="BO43" s="139"/>
      <c r="BP43" s="139"/>
      <c r="BQ43" s="139"/>
      <c r="BR43" s="139"/>
      <c r="BS43" s="139"/>
    </row>
    <row r="44" spans="1:71" ht="15" x14ac:dyDescent="0.25">
      <c r="A44" s="139"/>
      <c r="B44" s="139"/>
      <c r="C44" s="139"/>
      <c r="D44" s="139"/>
      <c r="E44" s="139"/>
      <c r="F44" s="139"/>
      <c r="G44" s="139"/>
      <c r="H44" s="139"/>
      <c r="I44" s="139"/>
      <c r="J44" s="139"/>
      <c r="K44" s="139"/>
      <c r="L44" s="139"/>
      <c r="M44" s="139"/>
      <c r="N44" s="139"/>
      <c r="O44" s="139"/>
      <c r="P44" s="139"/>
      <c r="Q44" s="139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39"/>
      <c r="AC44" s="139"/>
      <c r="AD44" s="139"/>
      <c r="AE44" s="139"/>
      <c r="AF44" s="139"/>
      <c r="AG44" s="139"/>
      <c r="AH44" s="139"/>
      <c r="AI44" s="139"/>
      <c r="AJ44" s="139"/>
      <c r="AK44" s="139"/>
      <c r="AL44" s="139"/>
      <c r="AM44" s="139"/>
      <c r="AN44" s="139"/>
      <c r="AO44" s="139"/>
      <c r="AP44" s="139"/>
      <c r="AQ44" s="139"/>
      <c r="AR44" s="139"/>
      <c r="AS44" s="139"/>
      <c r="AT44" s="139"/>
      <c r="AU44" s="139"/>
      <c r="AV44" s="139"/>
      <c r="AW44" s="139"/>
      <c r="AX44" s="139"/>
      <c r="AY44" s="139"/>
      <c r="AZ44" s="139"/>
      <c r="BA44" s="139"/>
      <c r="BB44" s="139"/>
      <c r="BC44" s="139"/>
      <c r="BD44" s="139"/>
      <c r="BE44" s="139"/>
      <c r="BF44" s="139"/>
      <c r="BG44" s="139"/>
      <c r="BH44" s="139"/>
      <c r="BI44" s="139"/>
      <c r="BJ44" s="139"/>
      <c r="BK44" s="139"/>
      <c r="BL44" s="139"/>
      <c r="BM44" s="139"/>
      <c r="BN44" s="139"/>
      <c r="BO44" s="139"/>
      <c r="BP44" s="139"/>
      <c r="BQ44" s="139"/>
      <c r="BR44" s="139"/>
      <c r="BS44" s="139"/>
    </row>
    <row r="45" spans="1:71" ht="15" x14ac:dyDescent="0.25">
      <c r="A45" s="139"/>
      <c r="B45" s="139"/>
      <c r="C45" s="139"/>
      <c r="D45" s="139"/>
      <c r="E45" s="139"/>
      <c r="F45" s="139"/>
      <c r="G45" s="139"/>
      <c r="H45" s="139"/>
      <c r="I45" s="139"/>
      <c r="J45" s="139"/>
      <c r="K45" s="139"/>
      <c r="L45" s="139"/>
      <c r="M45" s="139"/>
      <c r="N45" s="139"/>
      <c r="O45" s="139"/>
      <c r="P45" s="139"/>
      <c r="Q45" s="139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39"/>
      <c r="AC45" s="139"/>
      <c r="AD45" s="139"/>
      <c r="AE45" s="139"/>
      <c r="AF45" s="139"/>
      <c r="AG45" s="139"/>
      <c r="AH45" s="139"/>
      <c r="AI45" s="139"/>
      <c r="AJ45" s="139"/>
      <c r="AK45" s="139"/>
      <c r="AL45" s="139"/>
      <c r="AM45" s="139"/>
      <c r="AN45" s="139"/>
      <c r="AO45" s="139"/>
      <c r="AP45" s="139"/>
      <c r="AQ45" s="139"/>
      <c r="AR45" s="139"/>
      <c r="AS45" s="139"/>
      <c r="AT45" s="139"/>
      <c r="AU45" s="139"/>
      <c r="AV45" s="139"/>
      <c r="AW45" s="139"/>
      <c r="AX45" s="139"/>
      <c r="AY45" s="139"/>
      <c r="AZ45" s="139"/>
      <c r="BA45" s="139"/>
      <c r="BB45" s="139"/>
      <c r="BC45" s="139"/>
      <c r="BD45" s="139"/>
      <c r="BE45" s="139"/>
      <c r="BF45" s="139"/>
      <c r="BG45" s="139"/>
      <c r="BH45" s="139"/>
      <c r="BI45" s="139"/>
      <c r="BJ45" s="139"/>
      <c r="BK45" s="139"/>
      <c r="BL45" s="139"/>
      <c r="BM45" s="139"/>
      <c r="BN45" s="139"/>
      <c r="BO45" s="139"/>
      <c r="BP45" s="139"/>
      <c r="BQ45" s="139"/>
      <c r="BR45" s="139"/>
      <c r="BS45" s="139"/>
    </row>
    <row r="46" spans="1:71" ht="15" x14ac:dyDescent="0.25">
      <c r="A46" s="139"/>
      <c r="B46" s="139"/>
      <c r="C46" s="139"/>
      <c r="D46" s="139"/>
      <c r="E46" s="139"/>
      <c r="F46" s="139"/>
      <c r="G46" s="139"/>
      <c r="H46" s="139"/>
      <c r="I46" s="139"/>
      <c r="J46" s="139"/>
      <c r="K46" s="139"/>
      <c r="L46" s="139"/>
      <c r="M46" s="139"/>
      <c r="N46" s="139"/>
      <c r="O46" s="139"/>
      <c r="P46" s="139"/>
      <c r="Q46" s="139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39"/>
      <c r="AC46" s="139"/>
      <c r="AD46" s="139"/>
      <c r="AE46" s="139"/>
      <c r="AF46" s="139"/>
      <c r="AG46" s="139"/>
      <c r="AH46" s="139"/>
      <c r="AI46" s="139"/>
      <c r="AJ46" s="139"/>
      <c r="AK46" s="139"/>
      <c r="AL46" s="139"/>
      <c r="AM46" s="139"/>
      <c r="AN46" s="139"/>
      <c r="AO46" s="139"/>
      <c r="AP46" s="139"/>
      <c r="AQ46" s="139"/>
      <c r="AR46" s="139"/>
      <c r="AS46" s="139"/>
      <c r="AT46" s="139"/>
      <c r="AU46" s="139"/>
      <c r="AV46" s="139"/>
      <c r="AW46" s="139"/>
      <c r="AX46" s="139"/>
      <c r="AY46" s="139"/>
      <c r="AZ46" s="139"/>
      <c r="BA46" s="139"/>
      <c r="BB46" s="139"/>
      <c r="BC46" s="139"/>
      <c r="BD46" s="139"/>
      <c r="BE46" s="139"/>
      <c r="BF46" s="139"/>
      <c r="BG46" s="139"/>
      <c r="BH46" s="139"/>
      <c r="BI46" s="139"/>
      <c r="BJ46" s="139"/>
      <c r="BK46" s="139"/>
      <c r="BL46" s="139"/>
      <c r="BM46" s="139"/>
      <c r="BN46" s="139"/>
      <c r="BO46" s="139"/>
      <c r="BP46" s="139"/>
      <c r="BQ46" s="139"/>
      <c r="BR46" s="139"/>
      <c r="BS46" s="139"/>
    </row>
    <row r="47" spans="1:71" ht="15" x14ac:dyDescent="0.25">
      <c r="A47" s="139"/>
      <c r="B47" s="139"/>
      <c r="C47" s="139"/>
      <c r="D47" s="139"/>
      <c r="E47" s="139"/>
      <c r="F47" s="139"/>
      <c r="G47" s="139"/>
      <c r="H47" s="139"/>
      <c r="I47" s="139"/>
      <c r="J47" s="139"/>
      <c r="K47" s="139"/>
      <c r="L47" s="139"/>
      <c r="M47" s="139"/>
      <c r="N47" s="139"/>
      <c r="O47" s="139"/>
      <c r="P47" s="139"/>
      <c r="Q47" s="139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39"/>
      <c r="AC47" s="139"/>
      <c r="AD47" s="139"/>
      <c r="AE47" s="139"/>
      <c r="AF47" s="139"/>
      <c r="AG47" s="139"/>
      <c r="AH47" s="139"/>
      <c r="AI47" s="139"/>
      <c r="AJ47" s="139"/>
      <c r="AK47" s="139"/>
      <c r="AL47" s="139"/>
      <c r="AM47" s="139"/>
      <c r="AN47" s="139"/>
      <c r="AO47" s="139"/>
      <c r="AP47" s="139"/>
      <c r="AQ47" s="139"/>
      <c r="AR47" s="139"/>
      <c r="AS47" s="139"/>
      <c r="AT47" s="139"/>
      <c r="AU47" s="139"/>
      <c r="AV47" s="139"/>
      <c r="AW47" s="139"/>
      <c r="AX47" s="139"/>
      <c r="AY47" s="139"/>
      <c r="AZ47" s="139"/>
      <c r="BA47" s="139"/>
      <c r="BB47" s="139"/>
      <c r="BC47" s="139"/>
      <c r="BD47" s="139"/>
      <c r="BE47" s="139"/>
      <c r="BF47" s="139"/>
      <c r="BG47" s="139"/>
      <c r="BH47" s="139"/>
      <c r="BI47" s="139"/>
      <c r="BJ47" s="139"/>
      <c r="BK47" s="139"/>
      <c r="BL47" s="139"/>
      <c r="BM47" s="139"/>
      <c r="BN47" s="139"/>
      <c r="BO47" s="139"/>
      <c r="BP47" s="139"/>
      <c r="BQ47" s="139"/>
      <c r="BR47" s="139"/>
      <c r="BS47" s="139"/>
    </row>
    <row r="48" spans="1:71" ht="15" x14ac:dyDescent="0.25">
      <c r="A48" s="139"/>
      <c r="B48" s="139"/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39"/>
      <c r="AG48" s="139"/>
      <c r="AH48" s="139"/>
      <c r="AI48" s="139"/>
      <c r="AJ48" s="139"/>
      <c r="AK48" s="139"/>
      <c r="AL48" s="139"/>
      <c r="AM48" s="139"/>
      <c r="AN48" s="139"/>
      <c r="AO48" s="139"/>
      <c r="AP48" s="139"/>
      <c r="AQ48" s="139"/>
      <c r="AR48" s="139"/>
      <c r="AS48" s="139"/>
      <c r="AT48" s="139"/>
      <c r="AU48" s="139"/>
      <c r="AV48" s="139"/>
      <c r="AW48" s="139"/>
      <c r="AX48" s="139"/>
      <c r="AY48" s="139"/>
      <c r="AZ48" s="139"/>
      <c r="BA48" s="139"/>
      <c r="BB48" s="139"/>
      <c r="BC48" s="139"/>
      <c r="BD48" s="139"/>
      <c r="BE48" s="139"/>
      <c r="BF48" s="139"/>
      <c r="BG48" s="139"/>
      <c r="BH48" s="139"/>
      <c r="BI48" s="139"/>
      <c r="BJ48" s="139"/>
      <c r="BK48" s="139"/>
      <c r="BL48" s="139"/>
      <c r="BM48" s="139"/>
      <c r="BN48" s="139"/>
      <c r="BO48" s="139"/>
      <c r="BP48" s="139"/>
      <c r="BQ48" s="139"/>
      <c r="BR48" s="139"/>
      <c r="BS48" s="139"/>
    </row>
  </sheetData>
  <mergeCells count="12">
    <mergeCell ref="AK15:AO15"/>
    <mergeCell ref="AY15:BC15"/>
    <mergeCell ref="B12:N13"/>
    <mergeCell ref="BM15:BQ15"/>
    <mergeCell ref="I29:M29"/>
    <mergeCell ref="W29:AA29"/>
    <mergeCell ref="AK29:AO29"/>
    <mergeCell ref="AY29:BC29"/>
    <mergeCell ref="BM29:BQ29"/>
    <mergeCell ref="I15:J15"/>
    <mergeCell ref="D15:D16"/>
    <mergeCell ref="W15:AA15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9A2F6-3D39-492A-A909-514038744390}">
  <dimension ref="A1:X116"/>
  <sheetViews>
    <sheetView topLeftCell="A79" workbookViewId="0">
      <selection activeCell="K112" sqref="K112"/>
    </sheetView>
  </sheetViews>
  <sheetFormatPr defaultRowHeight="14.25" x14ac:dyDescent="0.2"/>
  <cols>
    <col min="1" max="3" width="9.140625" style="13"/>
    <col min="4" max="6" width="9.140625" style="179"/>
    <col min="7" max="10" width="9.140625" style="13"/>
    <col min="11" max="12" width="9.140625" style="179"/>
    <col min="13" max="16384" width="9.140625" style="13"/>
  </cols>
  <sheetData>
    <row r="1" spans="1:24" x14ac:dyDescent="0.2">
      <c r="C1" s="181" t="s">
        <v>326</v>
      </c>
      <c r="D1" s="179" t="s">
        <v>149</v>
      </c>
      <c r="E1" s="179" t="s">
        <v>319</v>
      </c>
      <c r="F1" s="179" t="s">
        <v>11</v>
      </c>
      <c r="G1" s="180" t="s">
        <v>176</v>
      </c>
      <c r="H1" s="180" t="s">
        <v>177</v>
      </c>
      <c r="I1" s="180" t="s">
        <v>325</v>
      </c>
      <c r="K1" s="179" t="s">
        <v>319</v>
      </c>
      <c r="L1" s="179" t="s">
        <v>11</v>
      </c>
      <c r="M1" s="180" t="s">
        <v>176</v>
      </c>
      <c r="N1" s="180" t="s">
        <v>177</v>
      </c>
      <c r="O1" s="180" t="s">
        <v>325</v>
      </c>
    </row>
    <row r="2" spans="1:24" x14ac:dyDescent="0.2">
      <c r="A2" s="13" t="s">
        <v>324</v>
      </c>
      <c r="B2" s="13" t="s">
        <v>323</v>
      </c>
      <c r="C2" s="181" t="s">
        <v>255</v>
      </c>
      <c r="D2" s="179" t="s">
        <v>322</v>
      </c>
      <c r="E2" s="179" t="s">
        <v>322</v>
      </c>
      <c r="F2" s="179" t="s">
        <v>322</v>
      </c>
      <c r="G2" s="180" t="s">
        <v>178</v>
      </c>
      <c r="H2" s="180" t="s">
        <v>178</v>
      </c>
      <c r="I2" s="180" t="s">
        <v>178</v>
      </c>
      <c r="K2" s="179" t="s">
        <v>322</v>
      </c>
      <c r="L2" s="179" t="s">
        <v>322</v>
      </c>
      <c r="M2" s="180" t="s">
        <v>178</v>
      </c>
      <c r="N2" s="180" t="s">
        <v>178</v>
      </c>
      <c r="O2" s="180" t="s">
        <v>178</v>
      </c>
    </row>
    <row r="3" spans="1:24" x14ac:dyDescent="0.2">
      <c r="A3" s="13">
        <v>2</v>
      </c>
      <c r="B3" s="13">
        <v>1</v>
      </c>
      <c r="C3" s="13">
        <v>46.9</v>
      </c>
      <c r="D3" s="179">
        <v>7.8626955137210797E-2</v>
      </c>
      <c r="E3" s="179">
        <v>0.37087109526427997</v>
      </c>
      <c r="F3" s="179">
        <v>0.53570269315951557</v>
      </c>
      <c r="G3" s="180">
        <f>C3*(1-D3)*E3*0.453592/(52.49*12*80*2.54^2/100/100/10000)</f>
        <v>2236.0498401313334</v>
      </c>
      <c r="H3" s="180">
        <f>C3*(1-D3)*F3*0.453592/(52.49*12*80*2.54^2/100/100/10000)</f>
        <v>3229.849769078593</v>
      </c>
      <c r="I3" s="180">
        <f>G3+H3</f>
        <v>5465.899609209926</v>
      </c>
      <c r="K3" s="179">
        <v>0.42968233799237615</v>
      </c>
      <c r="L3" s="179">
        <v>0.53682337992376117</v>
      </c>
      <c r="M3" s="180">
        <f>C3*(1-D3)*K3*0.453592/(52.49*12*80*2.54^2/100/100/10000)</f>
        <v>2590.63360678043</v>
      </c>
      <c r="N3" s="180">
        <f>C3*(1-D3)*L3*0.453592/(52.49*12*80*2.54^2/100/100/10000)</f>
        <v>3236.6065950810148</v>
      </c>
      <c r="O3" s="180">
        <f>M3+N3</f>
        <v>5827.2402018614448</v>
      </c>
    </row>
    <row r="4" spans="1:24" x14ac:dyDescent="0.2">
      <c r="A4" s="13">
        <v>2</v>
      </c>
      <c r="B4" s="13">
        <v>2</v>
      </c>
      <c r="C4" s="13">
        <v>51.6</v>
      </c>
      <c r="D4" s="179">
        <v>6.9040205766887824E-2</v>
      </c>
      <c r="E4" s="179">
        <v>0.35316770155829896</v>
      </c>
      <c r="F4" s="179">
        <v>0.52440052655626213</v>
      </c>
      <c r="G4" s="180">
        <f>C4*(1-D4)*E4*0.453592/(52.49*12*80*2.54^2/100/100/10000)</f>
        <v>2367.0735530551187</v>
      </c>
      <c r="H4" s="180">
        <f>C4*(1-D4)*F4*0.453592/(52.49*12*80*2.54^2/100/100/10000)</f>
        <v>3514.7455787788131</v>
      </c>
      <c r="I4" s="180">
        <f>G4+H4</f>
        <v>5881.8191318339323</v>
      </c>
      <c r="K4" s="179">
        <v>0.43376472298967572</v>
      </c>
      <c r="L4" s="179">
        <v>0.5214967766952644</v>
      </c>
      <c r="M4" s="180">
        <f>C4*(1-D4)*K4*0.453592/(52.49*12*80*2.54^2/100/100/10000)</f>
        <v>2907.2675658242497</v>
      </c>
      <c r="N4" s="180">
        <f>C4*(1-D4)*L4*0.453592/(52.49*12*80*2.54^2/100/100/10000)</f>
        <v>3495.2834663876529</v>
      </c>
      <c r="O4" s="180">
        <f>M4+N4</f>
        <v>6402.5510322119026</v>
      </c>
    </row>
    <row r="5" spans="1:24" x14ac:dyDescent="0.2">
      <c r="A5" s="13">
        <v>2</v>
      </c>
      <c r="B5" s="13">
        <v>3</v>
      </c>
      <c r="C5" s="13">
        <v>47.9</v>
      </c>
      <c r="D5" s="179">
        <v>6.4702534693341501E-2</v>
      </c>
      <c r="E5" s="179">
        <v>0.36509673992400105</v>
      </c>
      <c r="F5" s="179">
        <v>0.53360292758123229</v>
      </c>
      <c r="G5" s="180">
        <f>C5*(1-D5)*E5*0.453592/(52.49*12*80*2.54^2/100/100/10000)</f>
        <v>2282.1457275704515</v>
      </c>
      <c r="H5" s="180">
        <f>C5*(1-D5)*F5*0.453592/(52.49*12*80*2.54^2/100/100/10000)</f>
        <v>3335.4437556798907</v>
      </c>
      <c r="I5" s="180">
        <f>G5+H5</f>
        <v>5617.5894832503418</v>
      </c>
      <c r="K5" s="179">
        <v>0.4294874795225837</v>
      </c>
      <c r="L5" s="179">
        <v>0.53863795927919489</v>
      </c>
      <c r="M5" s="180">
        <f>C5*(1-D5)*K5*0.453592/(52.49*12*80*2.54^2/100/100/10000)</f>
        <v>2684.6391908114438</v>
      </c>
      <c r="N5" s="180">
        <f>C5*(1-D5)*L5*0.453592/(52.49*12*80*2.54^2/100/100/10000)</f>
        <v>3366.9167183803493</v>
      </c>
      <c r="O5" s="180">
        <f>M5+N5</f>
        <v>6051.555909191793</v>
      </c>
    </row>
    <row r="6" spans="1:24" x14ac:dyDescent="0.2">
      <c r="A6" s="13">
        <v>2</v>
      </c>
      <c r="B6" s="13">
        <v>4</v>
      </c>
      <c r="C6" s="13">
        <v>47.6</v>
      </c>
      <c r="D6" s="179">
        <v>6.6468119669689948E-2</v>
      </c>
      <c r="E6" s="179">
        <v>0.34963178143857232</v>
      </c>
      <c r="F6" s="179">
        <v>0.53415966608670773</v>
      </c>
      <c r="G6" s="180">
        <f>C6*(1-D6)*E6*0.453592/(52.49*12*80*2.54^2/100/100/10000)</f>
        <v>2167.6899134567107</v>
      </c>
      <c r="H6" s="180">
        <f>C6*(1-D6)*F6*0.453592/(52.49*12*80*2.54^2/100/100/10000)</f>
        <v>3311.7484788921965</v>
      </c>
      <c r="I6" s="180">
        <f>G6+H6</f>
        <v>5479.4383923489077</v>
      </c>
      <c r="K6" s="179">
        <v>0.41004447022428459</v>
      </c>
      <c r="L6" s="179">
        <v>0.56148491879350348</v>
      </c>
      <c r="M6" s="180">
        <f>C6*(1-D6)*K6*0.453592/(52.49*12*80*2.54^2/100/100/10000)</f>
        <v>2542.2438958972216</v>
      </c>
      <c r="N6" s="180">
        <f>C6*(1-D6)*L6*0.453592/(52.49*12*80*2.54^2/100/100/10000)</f>
        <v>3481.1629252318908</v>
      </c>
      <c r="O6" s="180">
        <f>M6+N6</f>
        <v>6023.4068211291124</v>
      </c>
    </row>
    <row r="7" spans="1:24" x14ac:dyDescent="0.2">
      <c r="A7" s="13">
        <v>2</v>
      </c>
      <c r="B7" s="13">
        <v>5</v>
      </c>
      <c r="C7" s="13">
        <v>50.5</v>
      </c>
      <c r="D7" s="179">
        <v>6.6313976377952819E-2</v>
      </c>
      <c r="E7" s="179">
        <v>0.3444722846638712</v>
      </c>
      <c r="F7" s="179">
        <v>0.51670842699580677</v>
      </c>
      <c r="G7" s="180">
        <f>C7*(1-D7)*E7*0.453592/(52.49*12*80*2.54^2/100/100/10000)</f>
        <v>2266.1918258529918</v>
      </c>
      <c r="H7" s="180">
        <f>C7*(1-D7)*F7*0.453592/(52.49*12*80*2.54^2/100/100/10000)</f>
        <v>3399.2877387794879</v>
      </c>
      <c r="I7" s="180">
        <f>G7+H7</f>
        <v>5665.4795646324801</v>
      </c>
      <c r="K7" s="179">
        <v>0.4280318004128783</v>
      </c>
      <c r="L7" s="179">
        <v>0.5454385733737428</v>
      </c>
      <c r="M7" s="180">
        <f>C7*(1-D7)*K7*0.453592/(52.49*12*80*2.54^2/100/100/10000)</f>
        <v>2815.9077246150928</v>
      </c>
      <c r="N7" s="180">
        <f>C7*(1-D7)*L7*0.453592/(52.49*12*80*2.54^2/100/100/10000)</f>
        <v>3588.2957541580531</v>
      </c>
      <c r="O7" s="180">
        <f>M7+N7</f>
        <v>6404.2034787731463</v>
      </c>
    </row>
    <row r="8" spans="1:24" x14ac:dyDescent="0.2">
      <c r="A8" s="13">
        <v>2</v>
      </c>
      <c r="B8" s="13">
        <v>6</v>
      </c>
      <c r="C8" s="13">
        <v>48.6</v>
      </c>
      <c r="D8" s="179">
        <v>6.547224065472243E-2</v>
      </c>
      <c r="E8" s="179">
        <v>0.37960389515276932</v>
      </c>
      <c r="F8" s="179">
        <v>0.5548056929155859</v>
      </c>
      <c r="G8" s="180">
        <f>C8*(1-D8)*E8*0.453592/(52.49*12*80*2.54^2/100/100/10000)</f>
        <v>2405.5217215822945</v>
      </c>
      <c r="H8" s="180">
        <f>C8*(1-D8)*F8*0.453592/(52.49*12*80*2.54^2/100/100/10000)</f>
        <v>3515.7625161587375</v>
      </c>
      <c r="I8" s="180">
        <f>G8+H8</f>
        <v>5921.2842377410325</v>
      </c>
      <c r="K8" s="179">
        <v>0.42467455621301775</v>
      </c>
      <c r="L8" s="179">
        <v>0.54056213017751487</v>
      </c>
      <c r="M8" s="180">
        <f>C8*(1-D8)*K8*0.453592/(52.49*12*80*2.54^2/100/100/10000)</f>
        <v>2691.1311570251755</v>
      </c>
      <c r="N8" s="180">
        <f>C8*(1-D8)*L8*0.453592/(52.49*12*80*2.54^2/100/100/10000)</f>
        <v>3425.5021157870269</v>
      </c>
      <c r="O8" s="180">
        <f>M8+N8</f>
        <v>6116.6332728122024</v>
      </c>
      <c r="X8" s="13">
        <v>0</v>
      </c>
    </row>
    <row r="9" spans="1:24" x14ac:dyDescent="0.2">
      <c r="A9" s="13">
        <v>2</v>
      </c>
      <c r="B9" s="13">
        <v>7</v>
      </c>
      <c r="C9" s="13">
        <v>47.5</v>
      </c>
      <c r="D9" s="179">
        <v>6.9287198405631079E-2</v>
      </c>
      <c r="E9" s="179">
        <v>0.3535715525606527</v>
      </c>
      <c r="F9" s="179">
        <v>0.51995816553037166</v>
      </c>
      <c r="G9" s="180">
        <f>C9*(1-D9)*E9*0.453592/(52.49*12*80*2.54^2/100/100/10000)</f>
        <v>2180.9050591122996</v>
      </c>
      <c r="H9" s="180">
        <f>C9*(1-D9)*F9*0.453592/(52.49*12*80*2.54^2/100/100/10000)</f>
        <v>3207.2133222239704</v>
      </c>
      <c r="I9" s="180">
        <f>G9+H9</f>
        <v>5388.1183813362695</v>
      </c>
      <c r="K9" s="179">
        <v>0.42931340835573373</v>
      </c>
      <c r="L9" s="179">
        <v>0.53469406351086612</v>
      </c>
      <c r="M9" s="180">
        <f>C9*(1-D9)*K9*0.453592/(52.49*12*80*2.54^2/100/100/10000)</f>
        <v>2648.0970469680246</v>
      </c>
      <c r="N9" s="180">
        <f>C9*(1-D9)*L9*0.453592/(52.49*12*80*2.54^2/100/100/10000)</f>
        <v>3298.107496892364</v>
      </c>
      <c r="O9" s="180">
        <f>M9+N9</f>
        <v>5946.2045438603891</v>
      </c>
      <c r="X9" s="13">
        <v>7000</v>
      </c>
    </row>
    <row r="10" spans="1:24" x14ac:dyDescent="0.2">
      <c r="A10" s="13">
        <v>2</v>
      </c>
      <c r="B10" s="13">
        <v>8</v>
      </c>
      <c r="C10" s="13">
        <v>50.5</v>
      </c>
      <c r="D10" s="179">
        <v>6.5954675696796028E-2</v>
      </c>
      <c r="E10" s="179">
        <v>0.35789328276765836</v>
      </c>
      <c r="F10" s="179">
        <v>0.54399778980684077</v>
      </c>
      <c r="G10" s="180">
        <f>C10*(1-D10)*E10*0.453592/(52.49*12*80*2.54^2/100/100/10000)</f>
        <v>2355.391065852014</v>
      </c>
      <c r="H10" s="180">
        <f>C10*(1-D10)*F10*0.453592/(52.49*12*80*2.54^2/100/100/10000)</f>
        <v>3580.1944200950611</v>
      </c>
      <c r="I10" s="180">
        <f>G10+H10</f>
        <v>5935.5854859470746</v>
      </c>
      <c r="K10" s="179">
        <v>0.42657147637905074</v>
      </c>
      <c r="L10" s="179">
        <v>0.53762061464666189</v>
      </c>
      <c r="M10" s="180">
        <f>C10*(1-D10)*K10*0.453592/(52.49*12*80*2.54^2/100/100/10000)</f>
        <v>2807.3805594803266</v>
      </c>
      <c r="N10" s="180">
        <f>C10*(1-D10)*L10*0.453592/(52.49*12*80*2.54^2/100/100/10000)</f>
        <v>3538.224530966379</v>
      </c>
      <c r="O10" s="180">
        <f>M10+N10</f>
        <v>6345.6050904467056</v>
      </c>
    </row>
    <row r="11" spans="1:24" x14ac:dyDescent="0.2">
      <c r="A11" s="13">
        <v>2</v>
      </c>
      <c r="B11" s="13">
        <v>9</v>
      </c>
      <c r="C11" s="13">
        <v>50.300000000000004</v>
      </c>
      <c r="D11" s="179">
        <v>6.492662084339583E-2</v>
      </c>
      <c r="E11" s="179">
        <v>0.3464406977190933</v>
      </c>
      <c r="F11" s="179">
        <v>0.52491014805923231</v>
      </c>
      <c r="G11" s="180">
        <f>C11*(1-D11)*E11*0.453592/(52.49*12*80*2.54^2/100/100/10000)</f>
        <v>2273.4883339121689</v>
      </c>
      <c r="H11" s="180">
        <f>C11*(1-D11)*F11*0.453592/(52.49*12*80*2.54^2/100/100/10000)</f>
        <v>3444.6792938063163</v>
      </c>
      <c r="I11" s="180">
        <f>G11+H11</f>
        <v>5718.1676277184852</v>
      </c>
      <c r="K11" s="179">
        <v>0.41715506109069234</v>
      </c>
      <c r="L11" s="179">
        <v>0.55319360286083241</v>
      </c>
      <c r="M11" s="180">
        <f>C11*(1-D11)*K11*0.453592/(52.49*12*80*2.54^2/100/100/10000)</f>
        <v>2737.5454762278018</v>
      </c>
      <c r="N11" s="180">
        <f>C11*(1-D11)*L11*0.453592/(52.49*12*80*2.54^2/100/100/10000)</f>
        <v>3630.2871192076741</v>
      </c>
      <c r="O11" s="180">
        <f>M11+N11</f>
        <v>6367.8325954354759</v>
      </c>
    </row>
    <row r="12" spans="1:24" x14ac:dyDescent="0.2">
      <c r="A12" s="13">
        <v>2</v>
      </c>
      <c r="B12" s="13">
        <v>10</v>
      </c>
      <c r="C12" s="13">
        <v>40.699999999999996</v>
      </c>
      <c r="D12" s="179">
        <v>6.002355712603067E-2</v>
      </c>
      <c r="E12" s="179">
        <v>0.35912404699799055</v>
      </c>
      <c r="F12" s="179">
        <v>0.54866173846915234</v>
      </c>
      <c r="G12" s="180">
        <f>C12*(1-D12)*E12*0.453592/(52.49*12*80*2.54^2/100/100/10000)</f>
        <v>1916.9289342769055</v>
      </c>
      <c r="H12" s="180">
        <f>C12*(1-D12)*F12*0.453592/(52.49*12*80*2.54^2/100/100/10000)</f>
        <v>2928.6414273674945</v>
      </c>
      <c r="I12" s="180">
        <f>G12+H12</f>
        <v>4845.5703616443998</v>
      </c>
      <c r="K12" s="179">
        <v>0.41747280838053236</v>
      </c>
      <c r="L12" s="179">
        <v>0.53054984712545739</v>
      </c>
      <c r="M12" s="180">
        <f>C12*(1-D12)*K12*0.453592/(52.49*12*80*2.54^2/100/100/10000)</f>
        <v>2228.3823997532486</v>
      </c>
      <c r="N12" s="180">
        <f>C12*(1-D12)*L12*0.453592/(52.49*12*80*2.54^2/100/100/10000)</f>
        <v>2831.9639454181934</v>
      </c>
      <c r="O12" s="180">
        <f>M12+N12</f>
        <v>5060.3463451714415</v>
      </c>
    </row>
    <row r="13" spans="1:24" x14ac:dyDescent="0.2">
      <c r="A13" s="13">
        <v>3</v>
      </c>
      <c r="B13" s="13">
        <v>1</v>
      </c>
      <c r="C13" s="13">
        <v>47.800000000000004</v>
      </c>
      <c r="D13" s="179">
        <v>6.6663601673486395E-2</v>
      </c>
      <c r="E13" s="179">
        <v>0.37186405669738387</v>
      </c>
      <c r="F13" s="179">
        <v>0.51795350754278469</v>
      </c>
      <c r="G13" s="180">
        <f>C13*(1-D13)*E13*0.453592/(52.49*12*80*2.54^2/100/100/10000)</f>
        <v>2314.7305813462985</v>
      </c>
      <c r="H13" s="180">
        <f>C13*(1-D13)*F13*0.453592/(52.49*12*80*2.54^2/100/100/10000)</f>
        <v>3224.0890240180588</v>
      </c>
      <c r="I13" s="180">
        <f>G13+H13</f>
        <v>5538.8196053643569</v>
      </c>
      <c r="K13" s="179">
        <v>0.42529924634254473</v>
      </c>
      <c r="L13" s="179">
        <v>0.52598394167774987</v>
      </c>
      <c r="M13" s="180">
        <f>C13*(1-D13)*K13*0.453592/(52.49*12*80*2.54^2/100/100/10000)</f>
        <v>2647.3469376841413</v>
      </c>
      <c r="N13" s="180">
        <f>C13*(1-D13)*L13*0.453592/(52.49*12*80*2.54^2/100/100/10000)</f>
        <v>3274.0758166077435</v>
      </c>
      <c r="O13" s="180">
        <f>M13+N13</f>
        <v>5921.4227542918852</v>
      </c>
    </row>
    <row r="14" spans="1:24" x14ac:dyDescent="0.2">
      <c r="A14" s="13">
        <v>3</v>
      </c>
      <c r="B14" s="13">
        <v>2</v>
      </c>
      <c r="C14" s="13">
        <v>50.400000000000006</v>
      </c>
      <c r="D14" s="179">
        <v>6.3855142507199897E-2</v>
      </c>
      <c r="E14" s="179">
        <v>0.36743710364146254</v>
      </c>
      <c r="F14" s="179">
        <v>0.53074248303766824</v>
      </c>
      <c r="G14" s="180">
        <f>C14*(1-D14)*E14*0.453592/(52.49*12*80*2.54^2/100/100/10000)</f>
        <v>2418.8378102624438</v>
      </c>
      <c r="H14" s="180">
        <f>C14*(1-D14)*F14*0.453592/(52.49*12*80*2.54^2/100/100/10000)</f>
        <v>3493.8768370457533</v>
      </c>
      <c r="I14" s="180">
        <f>G14+H14</f>
        <v>5912.7146473081975</v>
      </c>
      <c r="K14" s="179">
        <v>0.42602545968882605</v>
      </c>
      <c r="L14" s="179">
        <v>0.5357142857142857</v>
      </c>
      <c r="M14" s="180">
        <f>C14*(1-D14)*K14*0.453592/(52.49*12*80*2.54^2/100/100/10000)</f>
        <v>2804.5248555935123</v>
      </c>
      <c r="N14" s="180">
        <f>C14*(1-D14)*L14*0.453592/(52.49*12*80*2.54^2/100/100/10000)</f>
        <v>3526.6062053653477</v>
      </c>
      <c r="O14" s="180">
        <f>M14+N14</f>
        <v>6331.13106095886</v>
      </c>
    </row>
    <row r="15" spans="1:24" x14ac:dyDescent="0.2">
      <c r="A15" s="13">
        <v>3</v>
      </c>
      <c r="B15" s="13">
        <v>3</v>
      </c>
      <c r="C15" s="13">
        <v>51.8</v>
      </c>
      <c r="D15" s="179">
        <v>5.8983298200097227E-2</v>
      </c>
      <c r="E15" s="179">
        <v>0.36278600106372261</v>
      </c>
      <c r="F15" s="179">
        <v>0.54417900159558386</v>
      </c>
      <c r="G15" s="180">
        <f>C15*(1-D15)*E15*0.453592/(52.49*12*80*2.54^2/100/100/10000)</f>
        <v>2467.3329530499536</v>
      </c>
      <c r="H15" s="180">
        <f>C15*(1-D15)*F15*0.453592/(52.49*12*80*2.54^2/100/100/10000)</f>
        <v>3700.9994295749302</v>
      </c>
      <c r="I15" s="180">
        <f>G15+H15</f>
        <v>6168.3323826248834</v>
      </c>
      <c r="K15" s="179">
        <v>0.4227372592943609</v>
      </c>
      <c r="L15" s="179">
        <v>0.54934734846853051</v>
      </c>
      <c r="M15" s="180">
        <f>C15*(1-D15)*K15*0.453592/(52.49*12*80*2.54^2/100/100/10000)</f>
        <v>2875.065651046973</v>
      </c>
      <c r="N15" s="180">
        <f>C15*(1-D15)*L15*0.453592/(52.49*12*80*2.54^2/100/100/10000)</f>
        <v>3736.1497179405887</v>
      </c>
      <c r="O15" s="180">
        <f>M15+N15</f>
        <v>6611.2153689875613</v>
      </c>
    </row>
    <row r="16" spans="1:24" x14ac:dyDescent="0.2">
      <c r="A16" s="13">
        <v>3</v>
      </c>
      <c r="B16" s="13">
        <v>4</v>
      </c>
      <c r="C16" s="13">
        <v>52.7</v>
      </c>
      <c r="D16" s="179">
        <v>6.4471292633379682E-2</v>
      </c>
      <c r="E16" s="179">
        <v>0.33917271105365782</v>
      </c>
      <c r="F16" s="179">
        <v>0.52180417085178121</v>
      </c>
      <c r="G16" s="180">
        <f>C16*(1-D16)*E16*0.453592/(52.49*12*80*2.54^2/100/100/10000)</f>
        <v>2333.1291724447165</v>
      </c>
      <c r="H16" s="180">
        <f>C16*(1-D16)*F16*0.453592/(52.49*12*80*2.54^2/100/100/10000)</f>
        <v>3589.4294960687944</v>
      </c>
      <c r="I16" s="180">
        <f>G16+H16</f>
        <v>5922.5586685135113</v>
      </c>
      <c r="K16" s="179">
        <v>0.41785714285714287</v>
      </c>
      <c r="L16" s="179">
        <v>0.5445714285714286</v>
      </c>
      <c r="M16" s="180">
        <f>C16*(1-D16)*K16*0.453592/(52.49*12*80*2.54^2/100/100/10000)</f>
        <v>2874.390120849569</v>
      </c>
      <c r="N16" s="180">
        <f>C16*(1-D16)*L16*0.453592/(52.49*12*80*2.54^2/100/100/10000)</f>
        <v>3746.0427831379684</v>
      </c>
      <c r="O16" s="180">
        <f>M16+N16</f>
        <v>6620.4329039875374</v>
      </c>
    </row>
    <row r="17" spans="1:15" x14ac:dyDescent="0.2">
      <c r="A17" s="13">
        <v>3</v>
      </c>
      <c r="B17" s="13">
        <v>5</v>
      </c>
      <c r="C17" s="13">
        <v>50</v>
      </c>
      <c r="D17" s="179">
        <v>6.6190907717867301E-2</v>
      </c>
      <c r="E17" s="179">
        <v>0.38117307013273222</v>
      </c>
      <c r="F17" s="179">
        <v>0.54600466802796777</v>
      </c>
      <c r="G17" s="180">
        <f>C17*(1-D17)*E17*0.453592/(52.49*12*80*2.54^2/100/100/10000)</f>
        <v>2483.1357353325648</v>
      </c>
      <c r="H17" s="180">
        <f>C17*(1-D17)*F17*0.453592/(52.49*12*80*2.54^2/100/100/10000)</f>
        <v>3556.9241614223224</v>
      </c>
      <c r="I17" s="180">
        <f>G17+H17</f>
        <v>6040.0598967548867</v>
      </c>
      <c r="K17" s="179">
        <v>0.43382798916339821</v>
      </c>
      <c r="L17" s="179">
        <v>0.5301847883223485</v>
      </c>
      <c r="M17" s="180">
        <f>C17*(1-D17)*K17*0.453592/(52.49*12*80*2.54^2/100/100/10000)</f>
        <v>2826.1539633531324</v>
      </c>
      <c r="N17" s="180">
        <f>C17*(1-D17)*L17*0.453592/(52.49*12*80*2.54^2/100/100/10000)</f>
        <v>3453.8662286780009</v>
      </c>
      <c r="O17" s="180">
        <f>M17+N17</f>
        <v>6280.0201920311338</v>
      </c>
    </row>
    <row r="18" spans="1:15" x14ac:dyDescent="0.2">
      <c r="A18" s="13">
        <v>3</v>
      </c>
      <c r="B18" s="13">
        <v>6</v>
      </c>
      <c r="C18" s="13">
        <v>52</v>
      </c>
      <c r="D18" s="179">
        <v>6.3288441868394121E-2</v>
      </c>
      <c r="E18" s="179">
        <v>0.35368277355862704</v>
      </c>
      <c r="F18" s="179">
        <v>0.53052416033794059</v>
      </c>
      <c r="G18" s="180">
        <f>C18*(1-D18)*E18*0.453592/(52.49*12*80*2.54^2/100/100/10000)</f>
        <v>2403.6613352317831</v>
      </c>
      <c r="H18" s="180">
        <f>C18*(1-D18)*F18*0.453592/(52.49*12*80*2.54^2/100/100/10000)</f>
        <v>3605.4920028476749</v>
      </c>
      <c r="I18" s="180">
        <f>G18+H18</f>
        <v>6009.1533380794581</v>
      </c>
      <c r="K18" s="179">
        <v>0.42577005323263117</v>
      </c>
      <c r="L18" s="179">
        <v>0.54829610082351343</v>
      </c>
      <c r="M18" s="180">
        <f>C18*(1-D18)*K18*0.453592/(52.49*12*80*2.54^2/100/100/10000)</f>
        <v>2893.5732559369671</v>
      </c>
      <c r="N18" s="180">
        <f>C18*(1-D18)*L18*0.453592/(52.49*12*80*2.54^2/100/100/10000)</f>
        <v>3726.2717789374224</v>
      </c>
      <c r="O18" s="180">
        <f>M18+N18</f>
        <v>6619.84503487439</v>
      </c>
    </row>
    <row r="19" spans="1:15" x14ac:dyDescent="0.2">
      <c r="A19" s="13">
        <v>3</v>
      </c>
      <c r="B19" s="13">
        <v>7</v>
      </c>
      <c r="C19" s="13">
        <v>54.1</v>
      </c>
      <c r="D19" s="179">
        <v>6.7344817344817204E-2</v>
      </c>
      <c r="E19" s="179">
        <v>0.35368277355862704</v>
      </c>
      <c r="F19" s="179">
        <v>0.51873473455265307</v>
      </c>
      <c r="G19" s="180">
        <f>C19*(1-D19)*E19*0.453592/(52.49*12*80*2.54^2/100/100/10000)</f>
        <v>2489.9029966244684</v>
      </c>
      <c r="H19" s="180">
        <f>C19*(1-D19)*F19*0.453592/(52.49*12*80*2.54^2/100/100/10000)</f>
        <v>3651.8577283825539</v>
      </c>
      <c r="I19" s="180">
        <f>G19+H19</f>
        <v>6141.7607250070223</v>
      </c>
      <c r="K19" s="179">
        <v>0.419871029376642</v>
      </c>
      <c r="L19" s="179">
        <v>0.54937504975718499</v>
      </c>
      <c r="M19" s="180">
        <f>C19*(1-D19)*K19*0.453592/(52.49*12*80*2.54^2/100/100/10000)</f>
        <v>2955.8638768913847</v>
      </c>
      <c r="N19" s="180">
        <f>C19*(1-D19)*L19*0.453592/(52.49*12*80*2.54^2/100/100/10000)</f>
        <v>3867.5634917073153</v>
      </c>
      <c r="O19" s="180">
        <f>M19+N19</f>
        <v>6823.4273685987</v>
      </c>
    </row>
    <row r="20" spans="1:15" x14ac:dyDescent="0.2">
      <c r="A20" s="13">
        <v>3</v>
      </c>
      <c r="B20" s="13">
        <v>8</v>
      </c>
      <c r="C20" s="13">
        <v>52.1</v>
      </c>
      <c r="D20" s="179">
        <v>6.218646901974971E-2</v>
      </c>
      <c r="E20" s="179">
        <v>0.36195296776621688</v>
      </c>
      <c r="F20" s="179">
        <v>0.53744531577407972</v>
      </c>
      <c r="G20" s="180">
        <f>C20*(1-D20)*E20*0.453592/(52.49*12*80*2.54^2/100/100/10000)</f>
        <v>2467.496282249012</v>
      </c>
      <c r="H20" s="180">
        <f>C20*(1-D20)*F20*0.453592/(52.49*12*80*2.54^2/100/100/10000)</f>
        <v>3663.8581160667145</v>
      </c>
      <c r="I20" s="180">
        <f>G20+H20</f>
        <v>6131.3543983157269</v>
      </c>
      <c r="K20" s="179">
        <v>0.4215700448171173</v>
      </c>
      <c r="L20" s="179">
        <v>0.5436364512553612</v>
      </c>
      <c r="M20" s="180">
        <f>C20*(1-D20)*K20*0.453592/(52.49*12*80*2.54^2/100/100/10000)</f>
        <v>2873.9162568924125</v>
      </c>
      <c r="N20" s="180">
        <f>C20*(1-D20)*L20*0.453592/(52.49*12*80*2.54^2/100/100/10000)</f>
        <v>3706.0641625518174</v>
      </c>
      <c r="O20" s="180">
        <f>M20+N20</f>
        <v>6579.9804194442295</v>
      </c>
    </row>
    <row r="21" spans="1:15" x14ac:dyDescent="0.2">
      <c r="A21" s="13">
        <v>3</v>
      </c>
      <c r="B21" s="13">
        <v>9</v>
      </c>
      <c r="C21" s="13">
        <v>51.3</v>
      </c>
      <c r="D21" s="179">
        <v>6.0826257348138492E-2</v>
      </c>
      <c r="E21" s="179">
        <v>0.35558429384657664</v>
      </c>
      <c r="F21" s="179">
        <v>0.53337644076986501</v>
      </c>
      <c r="G21" s="180">
        <f>C21*(1-D21)*E21*0.453592/(52.49*12*80*2.54^2/100/100/10000)</f>
        <v>2390.3198851750844</v>
      </c>
      <c r="H21" s="180">
        <f>C21*(1-D21)*F21*0.453592/(52.49*12*80*2.54^2/100/100/10000)</f>
        <v>3585.4798277626278</v>
      </c>
      <c r="I21" s="180">
        <f>G21+H21</f>
        <v>5975.7997129377127</v>
      </c>
      <c r="K21" s="179">
        <v>0.42354168477788401</v>
      </c>
      <c r="L21" s="179">
        <v>0.54194557941406596</v>
      </c>
      <c r="M21" s="180">
        <f>C21*(1-D21)*K21*0.453592/(52.49*12*80*2.54^2/100/100/10000)</f>
        <v>2847.145188482235</v>
      </c>
      <c r="N21" s="180">
        <f>C21*(1-D21)*L21*0.453592/(52.49*12*80*2.54^2/100/100/10000)</f>
        <v>3643.0835601392146</v>
      </c>
      <c r="O21" s="180">
        <f>M21+N21</f>
        <v>6490.22874862145</v>
      </c>
    </row>
    <row r="22" spans="1:15" x14ac:dyDescent="0.2">
      <c r="A22" s="13">
        <v>3</v>
      </c>
      <c r="B22" s="13">
        <v>10</v>
      </c>
      <c r="C22" s="13">
        <v>41.900000000000006</v>
      </c>
      <c r="D22" s="179">
        <v>5.9552064903119942E-2</v>
      </c>
      <c r="E22" s="179">
        <v>0.3487538610834221</v>
      </c>
      <c r="F22" s="179">
        <v>0.54804178170252049</v>
      </c>
      <c r="G22" s="180">
        <f>C22*(1-D22)*E22*0.453592/(52.49*12*80*2.54^2/100/100/10000)</f>
        <v>1917.4230852882724</v>
      </c>
      <c r="H22" s="180">
        <f>C22*(1-D22)*F22*0.453592/(52.49*12*80*2.54^2/100/100/10000)</f>
        <v>3013.0934197387146</v>
      </c>
      <c r="I22" s="180">
        <f>G22+H22</f>
        <v>4930.516505026987</v>
      </c>
      <c r="K22" s="179">
        <v>0.41641811590877803</v>
      </c>
      <c r="L22" s="179">
        <v>0.54682696278621579</v>
      </c>
      <c r="M22" s="180">
        <f>C22*(1-D22)*K22*0.453592/(52.49*12*80*2.54^2/100/100/10000)</f>
        <v>2289.4361831445044</v>
      </c>
      <c r="N22" s="180">
        <f>C22*(1-D22)*L22*0.453592/(52.49*12*80*2.54^2/100/100/10000)</f>
        <v>3006.4144346592907</v>
      </c>
      <c r="O22" s="180">
        <f>M22+N22</f>
        <v>5295.8506178037951</v>
      </c>
    </row>
    <row r="23" spans="1:15" x14ac:dyDescent="0.2">
      <c r="A23" s="13">
        <v>4</v>
      </c>
      <c r="B23" s="13">
        <v>1</v>
      </c>
      <c r="C23" s="13">
        <v>46.499999999999993</v>
      </c>
      <c r="D23" s="179">
        <v>6.3341447662576392E-2</v>
      </c>
      <c r="E23" s="179">
        <v>0.35014594582304082</v>
      </c>
      <c r="F23" s="179">
        <v>0.50576636618883675</v>
      </c>
      <c r="G23" s="180">
        <f>C23*(1-D23)*E23*0.453592/(52.49*12*80*2.54^2/100/100/10000)</f>
        <v>2127.8132319247243</v>
      </c>
      <c r="H23" s="180">
        <f>C23*(1-D23)*F23*0.453592/(52.49*12*80*2.54^2/100/100/10000)</f>
        <v>3073.5080016690458</v>
      </c>
      <c r="I23" s="180">
        <f>G23+H23</f>
        <v>5201.3212335937696</v>
      </c>
      <c r="K23" s="179">
        <v>0.43359499310491145</v>
      </c>
      <c r="L23" s="179">
        <v>0.52418584915667765</v>
      </c>
      <c r="M23" s="180">
        <f>C23*(1-D23)*K23*0.453592/(52.49*12*80*2.54^2/100/100/10000)</f>
        <v>2634.9274484851949</v>
      </c>
      <c r="N23" s="180">
        <f>C23*(1-D23)*L23*0.453592/(52.49*12*80*2.54^2/100/100/10000)</f>
        <v>3185.4419539301748</v>
      </c>
      <c r="O23" s="180">
        <f>M23+N23</f>
        <v>5820.3694024153701</v>
      </c>
    </row>
    <row r="24" spans="1:15" x14ac:dyDescent="0.2">
      <c r="A24" s="13">
        <v>4</v>
      </c>
      <c r="B24" s="13">
        <v>2</v>
      </c>
      <c r="C24" s="13">
        <v>50.6</v>
      </c>
      <c r="D24" s="179">
        <v>6.0291877549014702E-2</v>
      </c>
      <c r="E24" s="179">
        <v>0.36050432810105759</v>
      </c>
      <c r="F24" s="179">
        <v>0.5268909410707765</v>
      </c>
      <c r="G24" s="180">
        <f>C24*(1-D24)*E24*0.453592/(52.49*12*80*2.54^2/100/100/10000)</f>
        <v>2391.6858159168733</v>
      </c>
      <c r="H24" s="180">
        <f>C24*(1-D24)*F24*0.453592/(52.49*12*80*2.54^2/100/100/10000)</f>
        <v>3495.5408078785076</v>
      </c>
      <c r="I24" s="180">
        <f>G24+H24</f>
        <v>5887.2266237953809</v>
      </c>
      <c r="K24" s="179">
        <v>0.43081991215226939</v>
      </c>
      <c r="L24" s="179">
        <v>0.53299518929094336</v>
      </c>
      <c r="M24" s="180">
        <f>C24*(1-D24)*K24*0.453592/(52.49*12*80*2.54^2/100/100/10000)</f>
        <v>2858.1789254421806</v>
      </c>
      <c r="N24" s="180">
        <f>C24*(1-D24)*L24*0.453592/(52.49*12*80*2.54^2/100/100/10000)</f>
        <v>3536.0380855725393</v>
      </c>
      <c r="O24" s="180">
        <f>M24+N24</f>
        <v>6394.2170110147199</v>
      </c>
    </row>
    <row r="25" spans="1:15" x14ac:dyDescent="0.2">
      <c r="A25" s="13">
        <v>4</v>
      </c>
      <c r="B25" s="13">
        <v>3</v>
      </c>
      <c r="C25" s="13">
        <v>53.3</v>
      </c>
      <c r="D25" s="179">
        <v>6.4773929861694182E-2</v>
      </c>
      <c r="E25" s="179">
        <v>0.3561313466063406</v>
      </c>
      <c r="F25" s="179">
        <v>0.5257177021331696</v>
      </c>
      <c r="G25" s="180">
        <f>C25*(1-D25)*E25*0.453592/(52.49*12*80*2.54^2/100/100/10000)</f>
        <v>2476.8754167955949</v>
      </c>
      <c r="H25" s="180">
        <f>C25*(1-D25)*F25*0.453592/(52.49*12*80*2.54^2/100/100/10000)</f>
        <v>3656.339900983975</v>
      </c>
      <c r="I25" s="180">
        <f>G25+H25</f>
        <v>6133.2153177795699</v>
      </c>
      <c r="K25" s="179">
        <v>0.42453566411737165</v>
      </c>
      <c r="L25" s="179">
        <v>0.53890276260340264</v>
      </c>
      <c r="M25" s="180">
        <f>C25*(1-D25)*K25*0.453592/(52.49*12*80*2.54^2/100/100/10000)</f>
        <v>2952.6239687281386</v>
      </c>
      <c r="N25" s="180">
        <f>C25*(1-D25)*L25*0.453592/(52.49*12*80*2.54^2/100/100/10000)</f>
        <v>3748.0413264801768</v>
      </c>
      <c r="O25" s="180">
        <f>M25+N25</f>
        <v>6700.665295208315</v>
      </c>
    </row>
    <row r="26" spans="1:15" x14ac:dyDescent="0.2">
      <c r="A26" s="13">
        <v>4</v>
      </c>
      <c r="B26" s="13">
        <v>4</v>
      </c>
      <c r="C26" s="13">
        <v>52.5</v>
      </c>
      <c r="D26" s="179">
        <v>6.0512089846205416E-2</v>
      </c>
      <c r="E26" s="179">
        <v>0.34294129673203172</v>
      </c>
      <c r="F26" s="179">
        <v>0.52665984855276304</v>
      </c>
      <c r="G26" s="180">
        <f>C26*(1-D26)*E26*0.453592/(52.49*12*80*2.54^2/100/100/10000)</f>
        <v>2360.04580503027</v>
      </c>
      <c r="H26" s="180">
        <f>C26*(1-D26)*F26*0.453592/(52.49*12*80*2.54^2/100/100/10000)</f>
        <v>3624.3560577250587</v>
      </c>
      <c r="I26" s="180">
        <f>G26+H26</f>
        <v>5984.4018627553287</v>
      </c>
      <c r="K26" s="179">
        <v>0.4177260359516482</v>
      </c>
      <c r="L26" s="179">
        <v>0.53704447120745802</v>
      </c>
      <c r="M26" s="180">
        <f>C26*(1-D26)*K26*0.453592/(52.49*12*80*2.54^2/100/100/10000)</f>
        <v>2874.697763710677</v>
      </c>
      <c r="N26" s="180">
        <f>C26*(1-D26)*L26*0.453592/(52.49*12*80*2.54^2/100/100/10000)</f>
        <v>3695.8207234465081</v>
      </c>
      <c r="O26" s="180">
        <f>M26+N26</f>
        <v>6570.5184871571855</v>
      </c>
    </row>
    <row r="27" spans="1:15" x14ac:dyDescent="0.2">
      <c r="A27" s="13">
        <v>4</v>
      </c>
      <c r="B27" s="13">
        <v>5</v>
      </c>
      <c r="C27" s="13">
        <v>46.6</v>
      </c>
      <c r="D27" s="179">
        <v>6.0373464056503276E-2</v>
      </c>
      <c r="E27" s="179">
        <v>0.35558429384657669</v>
      </c>
      <c r="F27" s="179">
        <v>0.53337644076986501</v>
      </c>
      <c r="G27" s="180">
        <f>C27*(1-D27)*E27*0.453592/(52.49*12*80*2.54^2/100/100/10000)</f>
        <v>2172.3705522819282</v>
      </c>
      <c r="H27" s="180">
        <f>C27*(1-D27)*F27*0.453592/(52.49*12*80*2.54^2/100/100/10000)</f>
        <v>3258.5558284228923</v>
      </c>
      <c r="I27" s="180">
        <f>G27+H27</f>
        <v>5430.926380704821</v>
      </c>
      <c r="K27" s="179">
        <v>0.42680624678222062</v>
      </c>
      <c r="L27" s="179">
        <v>0.54271494765745665</v>
      </c>
      <c r="M27" s="180">
        <f>C27*(1-D27)*K27*0.453592/(52.49*12*80*2.54^2/100/100/10000)</f>
        <v>2607.4867143589836</v>
      </c>
      <c r="N27" s="180">
        <f>C27*(1-D27)*L27*0.453592/(52.49*12*80*2.54^2/100/100/10000)</f>
        <v>3315.6075534736024</v>
      </c>
      <c r="O27" s="180">
        <f>M27+N27</f>
        <v>5923.0942678325864</v>
      </c>
    </row>
    <row r="28" spans="1:15" x14ac:dyDescent="0.2">
      <c r="A28" s="13">
        <v>4</v>
      </c>
      <c r="B28" s="13">
        <v>6</v>
      </c>
      <c r="C28" s="13">
        <v>45.9</v>
      </c>
      <c r="D28" s="179">
        <v>5.7887779752951438E-2</v>
      </c>
      <c r="E28" s="179">
        <v>0.35212722432306831</v>
      </c>
      <c r="F28" s="179">
        <v>0.53584577614379958</v>
      </c>
      <c r="G28" s="180">
        <f>C28*(1-D28)*E28*0.453592/(52.49*12*80*2.54^2/100/100/10000)</f>
        <v>2124.5407878007445</v>
      </c>
      <c r="H28" s="180">
        <f>C28*(1-D28)*F28*0.453592/(52.49*12*80*2.54^2/100/100/10000)</f>
        <v>3232.9968510011331</v>
      </c>
      <c r="I28" s="180">
        <f>G28+H28</f>
        <v>5357.5376388018776</v>
      </c>
      <c r="K28" s="179">
        <v>0.42629058009579562</v>
      </c>
      <c r="L28" s="179">
        <v>0.54371280661860755</v>
      </c>
      <c r="M28" s="180">
        <f>C28*(1-D28)*K28*0.453592/(52.49*12*80*2.54^2/100/100/10000)</f>
        <v>2572.00143104478</v>
      </c>
      <c r="N28" s="180">
        <f>C28*(1-D28)*L28*0.453592/(52.49*12*80*2.54^2/100/100/10000)</f>
        <v>3280.4621589015142</v>
      </c>
      <c r="O28" s="180">
        <f>M28+N28</f>
        <v>5852.4635899462937</v>
      </c>
    </row>
    <row r="29" spans="1:15" x14ac:dyDescent="0.2">
      <c r="A29" s="13">
        <v>4</v>
      </c>
      <c r="B29" s="13">
        <v>7</v>
      </c>
      <c r="C29" s="13">
        <v>51.699999999999996</v>
      </c>
      <c r="D29" s="179">
        <v>5.9689709617628844E-2</v>
      </c>
      <c r="E29" s="179">
        <v>0.3533049073475602</v>
      </c>
      <c r="F29" s="179">
        <v>0.53702345916829153</v>
      </c>
      <c r="G29" s="180">
        <f>C29*(1-D29)*E29*0.453592/(52.49*12*80*2.54^2/100/100/10000)</f>
        <v>2396.4123494995883</v>
      </c>
      <c r="H29" s="180">
        <f>C29*(1-D29)*F29*0.453592/(52.49*12*80*2.54^2/100/100/10000)</f>
        <v>3642.5467712393743</v>
      </c>
      <c r="I29" s="180">
        <f>G29+H29</f>
        <v>6038.9591207389622</v>
      </c>
      <c r="K29" s="179">
        <v>0.41898156597919328</v>
      </c>
      <c r="L29" s="179">
        <v>0.54937032305165179</v>
      </c>
      <c r="M29" s="180">
        <f>C29*(1-D29)*K29*0.453592/(52.49*12*80*2.54^2/100/100/10000)</f>
        <v>2841.8869312151628</v>
      </c>
      <c r="N29" s="180">
        <f>C29*(1-D29)*L29*0.453592/(52.49*12*80*2.54^2/100/100/10000)</f>
        <v>3726.293632583046</v>
      </c>
      <c r="O29" s="180">
        <f>M29+N29</f>
        <v>6568.1805637982088</v>
      </c>
    </row>
    <row r="30" spans="1:15" x14ac:dyDescent="0.2">
      <c r="A30" s="13">
        <v>4</v>
      </c>
      <c r="B30" s="13">
        <v>8</v>
      </c>
      <c r="C30" s="13">
        <v>50.999999999999993</v>
      </c>
      <c r="D30" s="179">
        <v>5.5908242197919393E-2</v>
      </c>
      <c r="E30" s="179">
        <v>0.38010734859461648</v>
      </c>
      <c r="F30" s="179">
        <v>0.54735458197624776</v>
      </c>
      <c r="G30" s="180">
        <f>C30*(1-D30)*E30*0.453592/(52.49*12*80*2.54^2/100/100/10000)</f>
        <v>2553.529005473652</v>
      </c>
      <c r="H30" s="180">
        <f>C30*(1-D30)*F30*0.453592/(52.49*12*80*2.54^2/100/100/10000)</f>
        <v>3677.0817678820595</v>
      </c>
      <c r="I30" s="180">
        <f>G30+H30</f>
        <v>6230.610773355711</v>
      </c>
      <c r="K30" s="179">
        <v>0.42312256314629598</v>
      </c>
      <c r="L30" s="179">
        <v>0.54438605413346897</v>
      </c>
      <c r="M30" s="180">
        <f>C30*(1-D30)*K30*0.453592/(52.49*12*80*2.54^2/100/100/10000)</f>
        <v>2842.5015771445323</v>
      </c>
      <c r="N30" s="180">
        <f>C30*(1-D30)*L30*0.453592/(52.49*12*80*2.54^2/100/100/10000)</f>
        <v>3657.1394490131447</v>
      </c>
      <c r="O30" s="180">
        <f>M30+N30</f>
        <v>6499.6410261576766</v>
      </c>
    </row>
    <row r="31" spans="1:15" x14ac:dyDescent="0.2">
      <c r="A31" s="13">
        <v>4</v>
      </c>
      <c r="B31" s="13">
        <v>9</v>
      </c>
      <c r="C31" s="13">
        <v>48.999999999999993</v>
      </c>
      <c r="D31" s="179">
        <v>5.482691099863303E-2</v>
      </c>
      <c r="E31" s="179">
        <v>0.34136092209271363</v>
      </c>
      <c r="F31" s="179">
        <v>0.52626475489293356</v>
      </c>
      <c r="G31" s="180">
        <f>C31*(1-D31)*E31*0.453592/(52.49*12*80*2.54^2/100/100/10000)</f>
        <v>2205.8266436346144</v>
      </c>
      <c r="H31" s="180">
        <f>C31*(1-D31)*F31*0.453592/(52.49*12*80*2.54^2/100/100/10000)</f>
        <v>3400.6494089366979</v>
      </c>
      <c r="I31" s="180">
        <f>G31+H31</f>
        <v>5606.4760525713118</v>
      </c>
      <c r="K31" s="179">
        <v>0.42203807215729194</v>
      </c>
      <c r="L31" s="179">
        <v>0.5486455849587617</v>
      </c>
      <c r="M31" s="180">
        <f>C31*(1-D31)*K31*0.453592/(52.49*12*80*2.54^2/100/100/10000)</f>
        <v>2727.1511293255135</v>
      </c>
      <c r="N31" s="180">
        <f>C31*(1-D31)*L31*0.453592/(52.49*12*80*2.54^2/100/100/10000)</f>
        <v>3545.2712097075955</v>
      </c>
      <c r="O31" s="180">
        <f>M31+N31</f>
        <v>6272.422339033109</v>
      </c>
    </row>
    <row r="32" spans="1:15" x14ac:dyDescent="0.2">
      <c r="A32" s="13">
        <v>4</v>
      </c>
      <c r="B32" s="13">
        <v>10</v>
      </c>
      <c r="C32" s="13">
        <v>42</v>
      </c>
      <c r="D32" s="179">
        <v>5.462287850009203E-2</v>
      </c>
      <c r="E32" s="179">
        <v>0.36260240490933809</v>
      </c>
      <c r="F32" s="179">
        <v>0.52214746306944682</v>
      </c>
      <c r="G32" s="180">
        <f>C32*(1-D32)*E32*0.453592/(52.49*12*80*2.54^2/100/100/10000)</f>
        <v>2008.7930901237182</v>
      </c>
      <c r="H32" s="180">
        <f>C32*(1-D32)*F32*0.453592/(52.49*12*80*2.54^2/100/100/10000)</f>
        <v>2892.6620497781541</v>
      </c>
      <c r="I32" s="180">
        <f>G32+H32</f>
        <v>4901.4551399018728</v>
      </c>
      <c r="K32" s="179">
        <v>0.4194562364302149</v>
      </c>
      <c r="L32" s="179">
        <v>0.54820311740497096</v>
      </c>
      <c r="M32" s="180">
        <f>C32*(1-D32)*K32*0.453592/(52.49*12*80*2.54^2/100/100/10000)</f>
        <v>2323.7595171521075</v>
      </c>
      <c r="N32" s="180">
        <f>C32*(1-D32)*L32*0.453592/(52.49*12*80*2.54^2/100/100/10000)</f>
        <v>3037.0086334720477</v>
      </c>
      <c r="O32" s="180">
        <f>M32+N32</f>
        <v>5360.7681506241552</v>
      </c>
    </row>
    <row r="33" spans="1:15" x14ac:dyDescent="0.2">
      <c r="A33" s="13">
        <v>5</v>
      </c>
      <c r="B33" s="13">
        <v>1</v>
      </c>
      <c r="C33" s="13">
        <v>46</v>
      </c>
      <c r="D33" s="179">
        <v>6.3858275826552707E-2</v>
      </c>
      <c r="E33" s="179">
        <v>0.343234659689031</v>
      </c>
      <c r="F33" s="179">
        <v>0.51485198953354649</v>
      </c>
      <c r="G33" s="180">
        <f>C33*(1-D33)*E33*0.453592/(52.49*12*80*2.54^2/100/100/10000)</f>
        <v>2062.2471758666393</v>
      </c>
      <c r="H33" s="180">
        <f>C33*(1-D33)*F33*0.453592/(52.49*12*80*2.54^2/100/100/10000)</f>
        <v>3093.3707637999591</v>
      </c>
      <c r="I33" s="180">
        <f>G33+H33</f>
        <v>5155.6179396665984</v>
      </c>
      <c r="K33" s="179">
        <v>0.42545934646275718</v>
      </c>
      <c r="L33" s="179">
        <v>0.53911321377489274</v>
      </c>
      <c r="M33" s="180">
        <f>C33*(1-D33)*K33*0.453592/(52.49*12*80*2.54^2/100/100/10000)</f>
        <v>2556.2754544771483</v>
      </c>
      <c r="N33" s="180">
        <f>C33*(1-D33)*L33*0.453592/(52.49*12*80*2.54^2/100/100/10000)</f>
        <v>3239.1387967256342</v>
      </c>
      <c r="O33" s="180">
        <f>M33+N33</f>
        <v>5795.4142512027829</v>
      </c>
    </row>
    <row r="34" spans="1:15" x14ac:dyDescent="0.2">
      <c r="A34" s="13">
        <v>5</v>
      </c>
      <c r="B34" s="13">
        <v>2</v>
      </c>
      <c r="C34" s="13">
        <v>49.9</v>
      </c>
      <c r="D34" s="179">
        <v>5.8384178413633615E-2</v>
      </c>
      <c r="E34" s="179">
        <v>0.35146157739618161</v>
      </c>
      <c r="F34" s="179">
        <v>0.54316789233955354</v>
      </c>
      <c r="G34" s="180">
        <f>C34*(1-D34)*E34*0.453592/(52.49*12*80*2.54^2/100/100/10000)</f>
        <v>2304.105146117623</v>
      </c>
      <c r="H34" s="180">
        <f>C34*(1-D34)*F34*0.453592/(52.49*12*80*2.54^2/100/100/10000)</f>
        <v>3560.8897712726916</v>
      </c>
      <c r="I34" s="180">
        <f>G34+H34</f>
        <v>5864.9949173903151</v>
      </c>
      <c r="K34" s="179">
        <v>0.42095855211708194</v>
      </c>
      <c r="L34" s="179">
        <v>0.54835586340446141</v>
      </c>
      <c r="M34" s="180">
        <f>C34*(1-D34)*K34*0.453592/(52.49*12*80*2.54^2/100/100/10000)</f>
        <v>2759.712095475646</v>
      </c>
      <c r="N34" s="180">
        <f>C34*(1-D34)*L34*0.453592/(52.49*12*80*2.54^2/100/100/10000)</f>
        <v>3594.9009736269363</v>
      </c>
      <c r="O34" s="180">
        <f>M34+N34</f>
        <v>6354.6130691025828</v>
      </c>
    </row>
    <row r="35" spans="1:15" x14ac:dyDescent="0.2">
      <c r="A35" s="13">
        <v>5</v>
      </c>
      <c r="B35" s="13">
        <v>3</v>
      </c>
      <c r="C35" s="13">
        <v>50.6</v>
      </c>
      <c r="D35" s="179">
        <v>6.2225360954174559E-2</v>
      </c>
      <c r="E35" s="179">
        <v>0.35889205471956809</v>
      </c>
      <c r="F35" s="179">
        <v>0.55115565546219392</v>
      </c>
      <c r="G35" s="180">
        <f>C35*(1-D35)*E35*0.453592/(52.49*12*80*2.54^2/100/100/10000)</f>
        <v>2376.090574618986</v>
      </c>
      <c r="H35" s="180">
        <f>C35*(1-D35)*F35*0.453592/(52.49*12*80*2.54^2/100/100/10000)</f>
        <v>3648.9962395934426</v>
      </c>
      <c r="I35" s="180">
        <f>G35+H35</f>
        <v>6025.0868142124291</v>
      </c>
      <c r="K35" s="179">
        <v>0.42101079407580949</v>
      </c>
      <c r="L35" s="179">
        <v>0.55468161660112125</v>
      </c>
      <c r="M35" s="180">
        <f>C35*(1-D35)*K35*0.453592/(52.49*12*80*2.54^2/100/100/10000)</f>
        <v>2787.3556030602276</v>
      </c>
      <c r="N35" s="180">
        <f>C35*(1-D35)*L35*0.453592/(52.49*12*80*2.54^2/100/100/10000)</f>
        <v>3672.3403145555499</v>
      </c>
      <c r="O35" s="180">
        <f>M35+N35</f>
        <v>6459.6959176157779</v>
      </c>
    </row>
    <row r="36" spans="1:15" x14ac:dyDescent="0.2">
      <c r="A36" s="13">
        <v>5</v>
      </c>
      <c r="B36" s="13">
        <v>4</v>
      </c>
      <c r="C36" s="13">
        <v>50.699999999999996</v>
      </c>
      <c r="D36" s="179">
        <v>6.2703204830469109E-2</v>
      </c>
      <c r="E36" s="179">
        <v>0.33069339327731634</v>
      </c>
      <c r="F36" s="179">
        <v>0.53540835102041706</v>
      </c>
      <c r="G36" s="180">
        <f>C36*(1-D36)*E36*0.453592/(52.49*12*80*2.54^2/100/100/10000)</f>
        <v>2192.6068024965571</v>
      </c>
      <c r="H36" s="180">
        <f>C36*(1-D36)*F36*0.453592/(52.49*12*80*2.54^2/100/100/10000)</f>
        <v>3549.9348230896644</v>
      </c>
      <c r="I36" s="180">
        <f>G36+H36</f>
        <v>5742.5416255862219</v>
      </c>
      <c r="K36" s="179">
        <v>0.41912784935579778</v>
      </c>
      <c r="L36" s="179">
        <v>0.54712586719524281</v>
      </c>
      <c r="M36" s="180">
        <f>C36*(1-D36)*K36*0.453592/(52.49*12*80*2.54^2/100/100/10000)</f>
        <v>2778.9565570262971</v>
      </c>
      <c r="N36" s="180">
        <f>C36*(1-D36)*L36*0.453592/(52.49*12*80*2.54^2/100/100/10000)</f>
        <v>3627.6258389840805</v>
      </c>
      <c r="O36" s="180">
        <f>M36+N36</f>
        <v>6406.5823960103771</v>
      </c>
    </row>
    <row r="37" spans="1:15" x14ac:dyDescent="0.2">
      <c r="A37" s="13">
        <v>5</v>
      </c>
      <c r="B37" s="13">
        <v>5</v>
      </c>
      <c r="C37" s="13">
        <v>46.9</v>
      </c>
      <c r="D37" s="179">
        <v>5.2677532013969665E-2</v>
      </c>
      <c r="E37" s="179">
        <v>0.36500374533920127</v>
      </c>
      <c r="F37" s="179">
        <v>0.54020554310201785</v>
      </c>
      <c r="G37" s="180">
        <f>C37*(1-D37)*E37*0.453592/(52.49*12*80*2.54^2/100/100/10000)</f>
        <v>2262.6540043956516</v>
      </c>
      <c r="H37" s="180">
        <f>C37*(1-D37)*F37*0.453592/(52.49*12*80*2.54^2/100/100/10000)</f>
        <v>3348.7279265055645</v>
      </c>
      <c r="I37" s="180">
        <f>G37+H37</f>
        <v>5611.381930901216</v>
      </c>
      <c r="K37" s="179">
        <v>0.42406554019457238</v>
      </c>
      <c r="L37" s="179">
        <v>0.54126984126984123</v>
      </c>
      <c r="M37" s="180">
        <f>C37*(1-D37)*K37*0.453592/(52.49*12*80*2.54^2/100/100/10000)</f>
        <v>2628.7773889984874</v>
      </c>
      <c r="N37" s="180">
        <f>C37*(1-D37)*L37*0.453592/(52.49*12*80*2.54^2/100/100/10000)</f>
        <v>3355.3254985635135</v>
      </c>
      <c r="O37" s="180">
        <f>M37+N37</f>
        <v>5984.1028875620013</v>
      </c>
    </row>
    <row r="38" spans="1:15" x14ac:dyDescent="0.2">
      <c r="A38" s="13">
        <v>5</v>
      </c>
      <c r="B38" s="13">
        <v>6</v>
      </c>
      <c r="C38" s="13">
        <v>49.9</v>
      </c>
      <c r="D38" s="179">
        <v>5.9178523097179886E-2</v>
      </c>
      <c r="E38" s="179">
        <v>0.36948982489085624</v>
      </c>
      <c r="F38" s="179">
        <v>0.52960208234356065</v>
      </c>
      <c r="G38" s="180">
        <f>C38*(1-D38)*E38*0.453592/(52.49*12*80*2.54^2/100/100/10000)</f>
        <v>2420.2509479531045</v>
      </c>
      <c r="H38" s="180">
        <f>C38*(1-D38)*F38*0.453592/(52.49*12*80*2.54^2/100/100/10000)</f>
        <v>3469.0263587327836</v>
      </c>
      <c r="I38" s="180">
        <f>G38+H38</f>
        <v>5889.2773066858881</v>
      </c>
      <c r="K38" s="179">
        <v>0.4210628620300898</v>
      </c>
      <c r="L38" s="179">
        <v>0.545465147922093</v>
      </c>
      <c r="M38" s="180">
        <f>C38*(1-D38)*K38*0.453592/(52.49*12*80*2.54^2/100/100/10000)</f>
        <v>2758.0672655253711</v>
      </c>
      <c r="N38" s="180">
        <f>C38*(1-D38)*L38*0.453592/(52.49*12*80*2.54^2/100/100/10000)</f>
        <v>3572.9334135893714</v>
      </c>
      <c r="O38" s="180">
        <f>M38+N38</f>
        <v>6331.0006791147425</v>
      </c>
    </row>
    <row r="39" spans="1:15" x14ac:dyDescent="0.2">
      <c r="A39" s="13">
        <v>5</v>
      </c>
      <c r="B39" s="13">
        <v>7</v>
      </c>
      <c r="C39" s="13">
        <v>51.4</v>
      </c>
      <c r="D39" s="179">
        <v>6.3276881612293404E-2</v>
      </c>
      <c r="E39" s="179">
        <v>0.35510699949242025</v>
      </c>
      <c r="F39" s="179">
        <v>0.53266049923863046</v>
      </c>
      <c r="G39" s="180">
        <f>C39*(1-D39)*E39*0.453592/(52.49*12*80*2.54^2/100/100/10000)</f>
        <v>2385.5237119041326</v>
      </c>
      <c r="H39" s="180">
        <f>C39*(1-D39)*F39*0.453592/(52.49*12*80*2.54^2/100/100/10000)</f>
        <v>3578.2855678562</v>
      </c>
      <c r="I39" s="180">
        <f>G39+H39</f>
        <v>5963.8092797603331</v>
      </c>
      <c r="K39" s="179">
        <v>0.42695181654212833</v>
      </c>
      <c r="L39" s="179">
        <v>0.54161298634372579</v>
      </c>
      <c r="M39" s="180">
        <f>C39*(1-D39)*K39*0.453592/(52.49*12*80*2.54^2/100/100/10000)</f>
        <v>2868.1599733534126</v>
      </c>
      <c r="N39" s="180">
        <f>C39*(1-D39)*L39*0.453592/(52.49*12*80*2.54^2/100/100/10000)</f>
        <v>3638.4262305304001</v>
      </c>
      <c r="O39" s="180">
        <f>M39+N39</f>
        <v>6506.5862038838131</v>
      </c>
    </row>
    <row r="40" spans="1:15" x14ac:dyDescent="0.2">
      <c r="A40" s="13">
        <v>5</v>
      </c>
      <c r="B40" s="13">
        <v>8</v>
      </c>
      <c r="C40" s="13">
        <v>50.4</v>
      </c>
      <c r="D40" s="179">
        <v>6.7351046698872749E-2</v>
      </c>
      <c r="E40" s="179">
        <v>0.36120935612211574</v>
      </c>
      <c r="F40" s="179">
        <v>0.53558628666382679</v>
      </c>
      <c r="G40" s="180">
        <f>C40*(1-D40)*E40*0.453592/(52.49*12*80*2.54^2/100/100/10000)</f>
        <v>2368.9608407747792</v>
      </c>
      <c r="H40" s="180">
        <f>C40*(1-D40)*F40*0.453592/(52.49*12*80*2.54^2/100/100/10000)</f>
        <v>3512.5971087350172</v>
      </c>
      <c r="I40" s="180">
        <f>G40+H40</f>
        <v>5881.5579495097963</v>
      </c>
      <c r="K40" s="179">
        <v>0.42750464022100404</v>
      </c>
      <c r="L40" s="179">
        <v>0.54279794535330428</v>
      </c>
      <c r="M40" s="180">
        <f>C40*(1-D40)*K40*0.453592/(52.49*12*80*2.54^2/100/100/10000)</f>
        <v>2803.7528230323214</v>
      </c>
      <c r="N40" s="180">
        <f>C40*(1-D40)*L40*0.453592/(52.49*12*80*2.54^2/100/100/10000)</f>
        <v>3559.8941588884732</v>
      </c>
      <c r="O40" s="180">
        <f>M40+N40</f>
        <v>6363.6469819207941</v>
      </c>
    </row>
    <row r="41" spans="1:15" x14ac:dyDescent="0.2">
      <c r="A41" s="13">
        <v>5</v>
      </c>
      <c r="B41" s="13">
        <v>9</v>
      </c>
      <c r="C41" s="13">
        <v>40.999999999999993</v>
      </c>
      <c r="D41" s="179">
        <v>5.8680427570954721E-2</v>
      </c>
      <c r="E41" s="179">
        <v>0.34692031105234539</v>
      </c>
      <c r="F41" s="179">
        <v>0.52597595546645914</v>
      </c>
      <c r="G41" s="180">
        <f>C41*(1-D41)*E41*0.453592/(52.49*12*80*2.54^2/100/100/10000)</f>
        <v>1868.1030089348037</v>
      </c>
      <c r="H41" s="180">
        <f>C41*(1-D41)*F41*0.453592/(52.49*12*80*2.54^2/100/100/10000)</f>
        <v>2832.2852070947024</v>
      </c>
      <c r="I41" s="180">
        <f>G41+H41</f>
        <v>4700.3882160295061</v>
      </c>
      <c r="K41" s="179">
        <v>0.41988409429086071</v>
      </c>
      <c r="L41" s="179">
        <v>0.55063043308011594</v>
      </c>
      <c r="M41" s="180">
        <f>C41*(1-D41)*K41*0.453592/(52.49*12*80*2.54^2/100/100/10000)</f>
        <v>2260.999759769813</v>
      </c>
      <c r="N41" s="180">
        <f>C41*(1-D41)*L41*0.453592/(52.49*12*80*2.54^2/100/100/10000)</f>
        <v>2965.0451013599841</v>
      </c>
      <c r="O41" s="180">
        <f>M41+N41</f>
        <v>5226.044861129797</v>
      </c>
    </row>
    <row r="42" spans="1:15" x14ac:dyDescent="0.2">
      <c r="A42" s="13">
        <v>5</v>
      </c>
      <c r="B42" s="13">
        <v>10</v>
      </c>
      <c r="C42" s="13">
        <v>35.999999999999993</v>
      </c>
      <c r="D42" s="179">
        <v>5.9402264711342023E-2</v>
      </c>
      <c r="E42" s="179">
        <v>0.34607448133672636</v>
      </c>
      <c r="F42" s="179">
        <v>0.55115565546219392</v>
      </c>
      <c r="G42" s="180">
        <f>C42*(1-D42)*E42*0.453592/(52.49*12*80*2.54^2/100/100/10000)</f>
        <v>1635.0316106854757</v>
      </c>
      <c r="H42" s="180">
        <f>C42*(1-D42)*F42*0.453592/(52.49*12*80*2.54^2/100/100/10000)</f>
        <v>2603.9392318324249</v>
      </c>
      <c r="I42" s="180">
        <f>G42+H42</f>
        <v>4238.9708425179006</v>
      </c>
      <c r="K42" s="179">
        <v>0.41452536017367275</v>
      </c>
      <c r="L42" s="179">
        <v>0.55567396881784092</v>
      </c>
      <c r="M42" s="180">
        <f>C42*(1-D42)*K42*0.453592/(52.49*12*80*2.54^2/100/100/10000)</f>
        <v>1958.4283264598255</v>
      </c>
      <c r="N42" s="180">
        <f>C42*(1-D42)*L42*0.453592/(52.49*12*80*2.54^2/100/100/10000)</f>
        <v>2625.2860388403565</v>
      </c>
      <c r="O42" s="180">
        <f>M42+N42</f>
        <v>4583.7143653001822</v>
      </c>
    </row>
    <row r="43" spans="1:15" x14ac:dyDescent="0.2">
      <c r="A43" s="13">
        <v>6</v>
      </c>
      <c r="B43" s="13">
        <v>1</v>
      </c>
      <c r="C43" s="13">
        <v>29.999999999999996</v>
      </c>
      <c r="D43" s="179">
        <v>5.5844569487206612E-2</v>
      </c>
      <c r="E43" s="179">
        <v>0.35961929292568678</v>
      </c>
      <c r="F43" s="179">
        <v>0.56288237153585763</v>
      </c>
      <c r="G43" s="180">
        <f>C43*(1-D43)*E43*0.453592/(52.49*12*80*2.54^2/100/100/10000)</f>
        <v>1421.2087746548375</v>
      </c>
      <c r="H43" s="180">
        <f>C43*(1-D43)*F43*0.453592/(52.49*12*80*2.54^2/100/100/10000)</f>
        <v>2224.5006907640936</v>
      </c>
      <c r="I43" s="180">
        <f>G43+H43</f>
        <v>3645.7094654189314</v>
      </c>
      <c r="K43" s="179">
        <v>0.42004947711683338</v>
      </c>
      <c r="L43" s="179">
        <v>0.55217586866074431</v>
      </c>
      <c r="M43" s="180">
        <f>C43*(1-D43)*K43*0.453592/(52.49*12*80*2.54^2/100/100/10000)</f>
        <v>1660.0277415899986</v>
      </c>
      <c r="N43" s="180">
        <f>C43*(1-D43)*L43*0.453592/(52.49*12*80*2.54^2/100/100/10000)</f>
        <v>2182.1887900087509</v>
      </c>
      <c r="O43" s="180">
        <f>M43+N43</f>
        <v>3842.2165315987495</v>
      </c>
    </row>
    <row r="44" spans="1:15" x14ac:dyDescent="0.2">
      <c r="A44" s="13">
        <v>6</v>
      </c>
      <c r="B44" s="13">
        <v>2</v>
      </c>
      <c r="C44" s="13">
        <v>26.3</v>
      </c>
      <c r="D44" s="179">
        <v>5.6697286904507628E-2</v>
      </c>
      <c r="E44" s="179">
        <v>0.35681753417205614</v>
      </c>
      <c r="F44" s="179">
        <v>0.53522630125808424</v>
      </c>
      <c r="G44" s="180">
        <f>C44*(1-D44)*E44*0.453592/(52.49*12*80*2.54^2/100/100/10000)</f>
        <v>1235.1029725384876</v>
      </c>
      <c r="H44" s="180">
        <f>C44*(1-D44)*F44*0.453592/(52.49*12*80*2.54^2/100/100/10000)</f>
        <v>1852.6544588077315</v>
      </c>
      <c r="I44" s="180">
        <f>G44+H44</f>
        <v>3087.7574313462192</v>
      </c>
      <c r="K44" s="179">
        <v>0.42327203551046294</v>
      </c>
      <c r="L44" s="179">
        <v>0.54008515264063772</v>
      </c>
      <c r="M44" s="180">
        <f>C44*(1-D44)*K44*0.453592/(52.49*12*80*2.54^2/100/100/10000)</f>
        <v>1465.1313323613301</v>
      </c>
      <c r="N44" s="180">
        <f>C44*(1-D44)*L44*0.453592/(52.49*12*80*2.54^2/100/100/10000)</f>
        <v>1869.4730879696626</v>
      </c>
      <c r="O44" s="180">
        <f>M44+N44</f>
        <v>3334.604420330993</v>
      </c>
    </row>
    <row r="45" spans="1:15" x14ac:dyDescent="0.2">
      <c r="A45" s="13">
        <v>6</v>
      </c>
      <c r="B45" s="13">
        <v>3</v>
      </c>
      <c r="C45" s="13">
        <v>34.1</v>
      </c>
      <c r="D45" s="179">
        <v>5.7786187322611204E-2</v>
      </c>
      <c r="E45" s="179">
        <v>0.36195296776621688</v>
      </c>
      <c r="F45" s="179">
        <v>0.55938185927506257</v>
      </c>
      <c r="G45" s="180">
        <f>C45*(1-D45)*E45*0.453592/(52.49*12*80*2.54^2/100/100/10000)</f>
        <v>1622.5800606302323</v>
      </c>
      <c r="H45" s="180">
        <f>C45*(1-D45)*F45*0.453592/(52.49*12*80*2.54^2/100/100/10000)</f>
        <v>2507.6237300649054</v>
      </c>
      <c r="I45" s="180">
        <f>G45+H45</f>
        <v>4130.2037906951373</v>
      </c>
      <c r="K45" s="179">
        <v>0.41826652743192227</v>
      </c>
      <c r="L45" s="179">
        <v>0.55715318499477873</v>
      </c>
      <c r="M45" s="180">
        <f>C45*(1-D45)*K45*0.453592/(52.49*12*80*2.54^2/100/100/10000)</f>
        <v>1875.0251769683912</v>
      </c>
      <c r="N45" s="180">
        <f>C45*(1-D45)*L45*0.453592/(52.49*12*80*2.54^2/100/100/10000)</f>
        <v>2497.63292249909</v>
      </c>
      <c r="O45" s="180">
        <f>M45+N45</f>
        <v>4372.6580994674814</v>
      </c>
    </row>
    <row r="46" spans="1:15" x14ac:dyDescent="0.2">
      <c r="A46" s="13">
        <v>6</v>
      </c>
      <c r="B46" s="13">
        <v>4</v>
      </c>
      <c r="C46" s="13">
        <v>32.800000000000004</v>
      </c>
      <c r="D46" s="179">
        <v>5.3738943982846427E-2</v>
      </c>
      <c r="E46" s="179">
        <v>0.35918009007648588</v>
      </c>
      <c r="F46" s="179">
        <v>0.55734841563592641</v>
      </c>
      <c r="G46" s="180">
        <f>C46*(1-D46)*E46*0.453592/(52.49*12*80*2.54^2/100/100/10000)</f>
        <v>1555.4183305181186</v>
      </c>
      <c r="H46" s="180">
        <f>C46*(1-D46)*F46*0.453592/(52.49*12*80*2.54^2/100/100/10000)</f>
        <v>2413.5801680453565</v>
      </c>
      <c r="I46" s="180">
        <f>G46+H46</f>
        <v>3968.9984985634751</v>
      </c>
      <c r="K46" s="179">
        <v>0.4101874144361044</v>
      </c>
      <c r="L46" s="179">
        <v>0.55799461832601616</v>
      </c>
      <c r="M46" s="180">
        <f>C46*(1-D46)*K46*0.453592/(52.49*12*80*2.54^2/100/100/10000)</f>
        <v>1776.3039795047853</v>
      </c>
      <c r="N46" s="180">
        <f>C46*(1-D46)*L46*0.453592/(52.49*12*80*2.54^2/100/100/10000)</f>
        <v>2416.3785289154753</v>
      </c>
      <c r="O46" s="180">
        <f>M46+N46</f>
        <v>4192.682508420261</v>
      </c>
    </row>
    <row r="47" spans="1:15" x14ac:dyDescent="0.2">
      <c r="A47" s="13">
        <v>6</v>
      </c>
      <c r="B47" s="13">
        <v>5</v>
      </c>
      <c r="C47" s="13">
        <v>26.7</v>
      </c>
      <c r="D47" s="179">
        <v>5.346896191966629E-2</v>
      </c>
      <c r="E47" s="179">
        <v>0.34607448133672636</v>
      </c>
      <c r="F47" s="179">
        <v>0.52552050869651046</v>
      </c>
      <c r="G47" s="180">
        <f>C47*(1-D47)*E47*0.453592/(52.49*12*80*2.54^2/100/100/10000)</f>
        <v>1220.2978468087226</v>
      </c>
      <c r="H47" s="180">
        <f>C47*(1-D47)*F47*0.453592/(52.49*12*80*2.54^2/100/100/10000)</f>
        <v>1853.0448784873197</v>
      </c>
      <c r="I47" s="180">
        <f>G47+H47</f>
        <v>3073.3427252960423</v>
      </c>
      <c r="K47" s="179">
        <v>0.4268944612841003</v>
      </c>
      <c r="L47" s="179">
        <v>0.54323505097823088</v>
      </c>
      <c r="M47" s="180">
        <f>C47*(1-D47)*K47*0.453592/(52.49*12*80*2.54^2/100/100/10000)</f>
        <v>1505.2782565978632</v>
      </c>
      <c r="N47" s="180">
        <f>C47*(1-D47)*L47*0.453592/(52.49*12*80*2.54^2/100/100/10000)</f>
        <v>1915.5083624173944</v>
      </c>
      <c r="O47" s="180">
        <f>M47+N47</f>
        <v>3420.7866190152577</v>
      </c>
    </row>
    <row r="48" spans="1:15" x14ac:dyDescent="0.2">
      <c r="A48" s="13">
        <v>6</v>
      </c>
      <c r="B48" s="13">
        <v>6</v>
      </c>
      <c r="C48" s="13">
        <v>27.2</v>
      </c>
      <c r="D48" s="179">
        <v>5.6021702100813801E-2</v>
      </c>
      <c r="E48" s="179">
        <v>0.3624037186600727</v>
      </c>
      <c r="F48" s="179">
        <v>0.543605577990109</v>
      </c>
      <c r="G48" s="180">
        <f>C48*(1-D48)*E48*0.453592/(52.49*12*80*2.54^2/100/100/10000)</f>
        <v>1298.2959628328008</v>
      </c>
      <c r="H48" s="180">
        <f>C48*(1-D48)*F48*0.453592/(52.49*12*80*2.54^2/100/100/10000)</f>
        <v>1947.4439442492007</v>
      </c>
      <c r="I48" s="180">
        <f>G48+H48</f>
        <v>3245.7399070820015</v>
      </c>
      <c r="K48" s="179">
        <v>0.42939250150370917</v>
      </c>
      <c r="L48" s="179">
        <v>0.5436743968455523</v>
      </c>
      <c r="M48" s="180">
        <f>C48*(1-D48)*K48*0.453592/(52.49*12*80*2.54^2/100/100/10000)</f>
        <v>1538.2804382751008</v>
      </c>
      <c r="N48" s="180">
        <f>C48*(1-D48)*L48*0.453592/(52.49*12*80*2.54^2/100/100/10000)</f>
        <v>1947.6904848821698</v>
      </c>
      <c r="O48" s="180">
        <f>M48+N48</f>
        <v>3485.9709231572706</v>
      </c>
    </row>
    <row r="49" spans="1:15" x14ac:dyDescent="0.2">
      <c r="A49" s="13">
        <v>6</v>
      </c>
      <c r="B49" s="13">
        <v>7</v>
      </c>
      <c r="C49" s="13">
        <v>29.900000000000002</v>
      </c>
      <c r="D49" s="179">
        <v>5.4460475513107086E-2</v>
      </c>
      <c r="E49" s="179">
        <v>0.36178422512390168</v>
      </c>
      <c r="F49" s="179">
        <v>0.54267633768585244</v>
      </c>
      <c r="G49" s="180">
        <f>C49*(1-D49)*E49*0.453592/(52.49*12*80*2.54^2/100/100/10000)</f>
        <v>1427.087655580774</v>
      </c>
      <c r="H49" s="180">
        <f>C49*(1-D49)*F49*0.453592/(52.49*12*80*2.54^2/100/100/10000)</f>
        <v>2140.6314833711608</v>
      </c>
      <c r="I49" s="180">
        <f>G49+H49</f>
        <v>3567.7191389519348</v>
      </c>
      <c r="K49" s="179">
        <v>0.41897700408338706</v>
      </c>
      <c r="L49" s="179">
        <v>0.55039759295078439</v>
      </c>
      <c r="M49" s="180">
        <f>C49*(1-D49)*K49*0.453592/(52.49*12*80*2.54^2/100/100/10000)</f>
        <v>1652.6892799011516</v>
      </c>
      <c r="N49" s="180">
        <f>C49*(1-D49)*L49*0.453592/(52.49*12*80*2.54^2/100/100/10000)</f>
        <v>2171.0886103241082</v>
      </c>
      <c r="O49" s="180">
        <f>M49+N49</f>
        <v>3823.7778902252599</v>
      </c>
    </row>
    <row r="50" spans="1:15" x14ac:dyDescent="0.2">
      <c r="A50" s="13">
        <v>6</v>
      </c>
      <c r="B50" s="13">
        <v>8</v>
      </c>
      <c r="C50" s="13">
        <v>30.7</v>
      </c>
      <c r="D50" s="179">
        <v>5.1984760968415984E-2</v>
      </c>
      <c r="E50" s="179">
        <v>0.35458965246518764</v>
      </c>
      <c r="F50" s="179">
        <v>0.53959294940354641</v>
      </c>
      <c r="G50" s="180">
        <f>C50*(1-D50)*E50*0.453592/(52.49*12*80*2.54^2/100/100/10000)</f>
        <v>1439.8919352497653</v>
      </c>
      <c r="H50" s="180">
        <f>C50*(1-D50)*F50*0.453592/(52.49*12*80*2.54^2/100/100/10000)</f>
        <v>2191.1399014670342</v>
      </c>
      <c r="I50" s="180">
        <f>G50+H50</f>
        <v>3631.0318367167993</v>
      </c>
      <c r="K50" s="179">
        <v>0.42018840203958169</v>
      </c>
      <c r="L50" s="179">
        <v>0.55176734940800276</v>
      </c>
      <c r="M50" s="180">
        <f>C50*(1-D50)*K50*0.453592/(52.49*12*80*2.54^2/100/100/10000)</f>
        <v>1706.2705783318902</v>
      </c>
      <c r="N50" s="180">
        <f>C50*(1-D50)*L50*0.453592/(52.49*12*80*2.54^2/100/100/10000)</f>
        <v>2240.576821752356</v>
      </c>
      <c r="O50" s="180">
        <f>M50+N50</f>
        <v>3946.8474000842461</v>
      </c>
    </row>
    <row r="51" spans="1:15" x14ac:dyDescent="0.2">
      <c r="A51" s="13">
        <v>6</v>
      </c>
      <c r="B51" s="13">
        <v>9</v>
      </c>
      <c r="C51" s="13">
        <v>26.2</v>
      </c>
      <c r="D51" s="179">
        <v>5.6796937594587336E-2</v>
      </c>
      <c r="E51" s="179">
        <v>0.35411036931249767</v>
      </c>
      <c r="F51" s="179">
        <v>0.54829992667741578</v>
      </c>
      <c r="G51" s="180">
        <f>C51*(1-D51)*E51*0.453592/(52.49*12*80*2.54^2/100/100/10000)</f>
        <v>1220.9427068375674</v>
      </c>
      <c r="H51" s="180">
        <f>C51*(1-D51)*F51*0.453592/(52.49*12*80*2.54^2/100/100/10000)</f>
        <v>1890.4919331678464</v>
      </c>
      <c r="I51" s="180">
        <f>G51+H51</f>
        <v>3111.4346400054137</v>
      </c>
      <c r="K51" s="179">
        <v>0.42840962718263331</v>
      </c>
      <c r="L51" s="179">
        <v>0.53544124587069364</v>
      </c>
      <c r="M51" s="180">
        <f>C51*(1-D51)*K51*0.453592/(52.49*12*80*2.54^2/100/100/10000)</f>
        <v>1477.1202855854267</v>
      </c>
      <c r="N51" s="180">
        <f>C51*(1-D51)*L51*0.453592/(52.49*12*80*2.54^2/100/100/10000)</f>
        <v>1846.1562855532327</v>
      </c>
      <c r="O51" s="180">
        <f>M51+N51</f>
        <v>3323.2765711386592</v>
      </c>
    </row>
    <row r="52" spans="1:15" x14ac:dyDescent="0.2">
      <c r="A52" s="13">
        <v>6</v>
      </c>
      <c r="B52" s="13">
        <v>10</v>
      </c>
      <c r="C52" s="13">
        <v>21.8</v>
      </c>
      <c r="D52" s="179">
        <v>5.7027516124541752E-2</v>
      </c>
      <c r="E52" s="179">
        <v>0.34809830871296454</v>
      </c>
      <c r="F52" s="179">
        <v>0.52859372804561289</v>
      </c>
      <c r="G52" s="180">
        <f>C52*(1-D52)*E52*0.453592/(52.49*12*80*2.54^2/100/100/10000)</f>
        <v>998.40690097911272</v>
      </c>
      <c r="H52" s="180">
        <f>C52*(1-D52)*F52*0.453592/(52.49*12*80*2.54^2/100/100/10000)</f>
        <v>1516.0993681534676</v>
      </c>
      <c r="I52" s="180">
        <f>G52+H52</f>
        <v>2514.5062691325802</v>
      </c>
      <c r="K52" s="179">
        <v>0.42613915953154213</v>
      </c>
      <c r="L52" s="179">
        <v>0.54285995472886528</v>
      </c>
      <c r="M52" s="180">
        <f>C52*(1-D52)*K52*0.453592/(52.49*12*80*2.54^2/100/100/10000)</f>
        <v>1222.2417259848205</v>
      </c>
      <c r="N52" s="180">
        <f>C52*(1-D52)*L52*0.453592/(52.49*12*80*2.54^2/100/100/10000)</f>
        <v>1557.0174042799702</v>
      </c>
      <c r="O52" s="180">
        <f>M52+N52</f>
        <v>2779.2591302647907</v>
      </c>
    </row>
    <row r="53" spans="1:15" x14ac:dyDescent="0.2">
      <c r="A53" s="13">
        <v>7</v>
      </c>
      <c r="B53" s="13">
        <v>1</v>
      </c>
      <c r="C53" s="13">
        <v>48.800000000000004</v>
      </c>
      <c r="D53" s="179">
        <v>5.6918702611625814E-2</v>
      </c>
      <c r="E53" s="179">
        <v>0.34156125127234549</v>
      </c>
      <c r="F53" s="179">
        <v>0.54339289975145877</v>
      </c>
      <c r="G53" s="180">
        <f>C53*(1-D53)*E53*0.453592/(52.49*12*80*2.54^2/100/100/10000)</f>
        <v>2193.2477748133615</v>
      </c>
      <c r="H53" s="180">
        <f>C53*(1-D53)*F53*0.453592/(52.49*12*80*2.54^2/100/100/10000)</f>
        <v>3489.257823566712</v>
      </c>
      <c r="I53" s="180">
        <f>G53+H53</f>
        <v>5682.5055983800739</v>
      </c>
      <c r="K53" s="179">
        <v>0.41577801351125004</v>
      </c>
      <c r="L53" s="179">
        <v>0.5478197755569203</v>
      </c>
      <c r="M53" s="180">
        <f>C53*(1-D53)*K53*0.453592/(52.49*12*80*2.54^2/100/100/10000)</f>
        <v>2669.8116356962219</v>
      </c>
      <c r="N53" s="180">
        <f>C53*(1-D53)*L53*0.453592/(52.49*12*80*2.54^2/100/100/10000)</f>
        <v>3517.6838685982721</v>
      </c>
      <c r="O53" s="180">
        <f>M53+N53</f>
        <v>6187.4955042944939</v>
      </c>
    </row>
    <row r="54" spans="1:15" x14ac:dyDescent="0.2">
      <c r="A54" s="13">
        <v>7</v>
      </c>
      <c r="B54" s="13">
        <v>2</v>
      </c>
      <c r="C54" s="13">
        <v>50.9</v>
      </c>
      <c r="D54" s="179">
        <v>5.3190398030365224E-2</v>
      </c>
      <c r="E54" s="179">
        <v>0.35518920018674716</v>
      </c>
      <c r="F54" s="179">
        <v>0.52665984855276304</v>
      </c>
      <c r="G54" s="180">
        <f>C54*(1-D54)*E54*0.453592/(52.49*12*80*2.54^2/100/100/10000)</f>
        <v>2388.3080114424029</v>
      </c>
      <c r="H54" s="180">
        <f>C54*(1-D54)*F54*0.453592/(52.49*12*80*2.54^2/100/100/10000)</f>
        <v>3541.2842928283912</v>
      </c>
      <c r="I54" s="180">
        <f>G54+H54</f>
        <v>5929.5923042707946</v>
      </c>
      <c r="K54" s="179">
        <v>0.41806165014356139</v>
      </c>
      <c r="L54" s="179">
        <v>0.55365946150929091</v>
      </c>
      <c r="M54" s="180">
        <f>C54*(1-D54)*K54*0.453592/(52.49*12*80*2.54^2/100/100/10000)</f>
        <v>2811.06516693002</v>
      </c>
      <c r="N54" s="180">
        <f>C54*(1-D54)*L54*0.453592/(52.49*12*80*2.54^2/100/100/10000)</f>
        <v>3722.8308936147218</v>
      </c>
      <c r="O54" s="180">
        <f>M54+N54</f>
        <v>6533.8960605447419</v>
      </c>
    </row>
    <row r="55" spans="1:15" x14ac:dyDescent="0.2">
      <c r="A55" s="13">
        <v>7</v>
      </c>
      <c r="B55" s="13">
        <v>3</v>
      </c>
      <c r="C55" s="13">
        <v>52.300000000000004</v>
      </c>
      <c r="D55" s="179">
        <v>5.6417985430796236E-2</v>
      </c>
      <c r="E55" s="179">
        <v>0.35663013000494892</v>
      </c>
      <c r="F55" s="179">
        <v>0.53494519500742355</v>
      </c>
      <c r="G55" s="180">
        <f>C55*(1-D55)*E55*0.453592/(52.49*12*80*2.54^2/100/100/10000)</f>
        <v>2455.5541875864142</v>
      </c>
      <c r="H55" s="180">
        <f>C55*(1-D55)*F55*0.453592/(52.49*12*80*2.54^2/100/100/10000)</f>
        <v>3683.3312813796229</v>
      </c>
      <c r="I55" s="180">
        <f>G55+H55</f>
        <v>6138.8854689660366</v>
      </c>
      <c r="K55" s="179">
        <v>0.41225641571717608</v>
      </c>
      <c r="L55" s="179">
        <v>0.55846022787775529</v>
      </c>
      <c r="M55" s="180">
        <f>C55*(1-D55)*K55*0.453592/(52.49*12*80*2.54^2/100/100/10000)</f>
        <v>2838.565457045454</v>
      </c>
      <c r="N55" s="180">
        <f>C55*(1-D55)*L55*0.453592/(52.49*12*80*2.54^2/100/100/10000)</f>
        <v>3845.2425518467981</v>
      </c>
      <c r="O55" s="180">
        <f>M55+N55</f>
        <v>6683.8080088922525</v>
      </c>
    </row>
    <row r="56" spans="1:15" x14ac:dyDescent="0.2">
      <c r="A56" s="13">
        <v>7</v>
      </c>
      <c r="B56" s="13">
        <v>4</v>
      </c>
      <c r="C56" s="13">
        <v>53.9</v>
      </c>
      <c r="D56" s="179">
        <v>6.3510961491091103E-2</v>
      </c>
      <c r="E56" s="179">
        <v>0.34294129673203172</v>
      </c>
      <c r="F56" s="179">
        <v>0.52665984855276304</v>
      </c>
      <c r="G56" s="180">
        <f>C56*(1-D56)*E56*0.453592/(52.49*12*80*2.54^2/100/100/10000)</f>
        <v>2415.2461388595452</v>
      </c>
      <c r="H56" s="180">
        <f>C56*(1-D56)*F56*0.453592/(52.49*12*80*2.54^2/100/100/10000)</f>
        <v>3709.1279989628729</v>
      </c>
      <c r="I56" s="180">
        <f>G56+H56</f>
        <v>6124.3741378224186</v>
      </c>
      <c r="K56" s="179">
        <v>0.42093726710797419</v>
      </c>
      <c r="L56" s="179">
        <v>0.53092806102319057</v>
      </c>
      <c r="M56" s="180">
        <f>C56*(1-D56)*K56*0.453592/(52.49*12*80*2.54^2/100/100/10000)</f>
        <v>2964.5514225690631</v>
      </c>
      <c r="N56" s="180">
        <f>C56*(1-D56)*L56*0.453592/(52.49*12*80*2.54^2/100/100/10000)</f>
        <v>3739.1879065542512</v>
      </c>
      <c r="O56" s="180">
        <f>M56+N56</f>
        <v>6703.7393291233147</v>
      </c>
    </row>
    <row r="57" spans="1:15" x14ac:dyDescent="0.2">
      <c r="A57" s="13">
        <v>7</v>
      </c>
      <c r="B57" s="13">
        <v>5</v>
      </c>
      <c r="C57" s="13">
        <v>50.3</v>
      </c>
      <c r="D57" s="179">
        <v>6.6883088006403663E-2</v>
      </c>
      <c r="E57" s="179">
        <v>0.32863939704578021</v>
      </c>
      <c r="F57" s="179">
        <v>0.52034571198915203</v>
      </c>
      <c r="G57" s="180">
        <f>C57*(1-D57)*E57*0.453592/(52.49*12*80*2.54^2/100/100/10000)</f>
        <v>2152.1563468867907</v>
      </c>
      <c r="H57" s="180">
        <f>C57*(1-D57)*F57*0.453592/(52.49*12*80*2.54^2/100/100/10000)</f>
        <v>3407.5808825707522</v>
      </c>
      <c r="I57" s="180">
        <f>G57+H57</f>
        <v>5559.7372294575434</v>
      </c>
      <c r="K57" s="179">
        <v>0.42315207548968214</v>
      </c>
      <c r="L57" s="179">
        <v>0.54553686317495109</v>
      </c>
      <c r="M57" s="180">
        <f>C57*(1-D57)*K57*0.453592/(52.49*12*80*2.54^2/100/100/10000)</f>
        <v>2771.0902379624827</v>
      </c>
      <c r="N57" s="180">
        <f>C57*(1-D57)*L57*0.453592/(52.49*12*80*2.54^2/100/100/10000)</f>
        <v>3572.5498315076625</v>
      </c>
      <c r="O57" s="180">
        <f>M57+N57</f>
        <v>6343.6400694701451</v>
      </c>
    </row>
    <row r="58" spans="1:15" x14ac:dyDescent="0.2">
      <c r="A58" s="13">
        <v>7</v>
      </c>
      <c r="B58" s="13">
        <v>6</v>
      </c>
      <c r="C58" s="13">
        <v>51.4</v>
      </c>
      <c r="D58" s="179">
        <v>5.5371948744709291E-2</v>
      </c>
      <c r="E58" s="179">
        <v>0.36479367124116435</v>
      </c>
      <c r="F58" s="179">
        <v>0.50753902085727221</v>
      </c>
      <c r="G58" s="180">
        <f>C58*(1-D58)*E58*0.453592/(52.49*12*80*2.54^2/100/100/10000)</f>
        <v>2471.2768421375558</v>
      </c>
      <c r="H58" s="180">
        <f>C58*(1-D58)*F58*0.453592/(52.49*12*80*2.54^2/100/100/10000)</f>
        <v>3438.2982151479046</v>
      </c>
      <c r="I58" s="180">
        <f>G58+H58</f>
        <v>5909.5750572854604</v>
      </c>
      <c r="K58" s="179">
        <v>0.42131107291922421</v>
      </c>
      <c r="L58" s="179">
        <v>0.53179474588755227</v>
      </c>
      <c r="M58" s="180">
        <f>C58*(1-D58)*K58*0.453592/(52.49*12*80*2.54^2/100/100/10000)</f>
        <v>2854.151209090156</v>
      </c>
      <c r="N58" s="180">
        <f>C58*(1-D58)*L58*0.453592/(52.49*12*80*2.54^2/100/100/10000)</f>
        <v>3602.6174352501616</v>
      </c>
      <c r="O58" s="180">
        <f>M58+N58</f>
        <v>6456.7686443403181</v>
      </c>
    </row>
    <row r="59" spans="1:15" x14ac:dyDescent="0.2">
      <c r="A59" s="13">
        <v>7</v>
      </c>
      <c r="B59" s="13">
        <v>7</v>
      </c>
      <c r="C59" s="13">
        <v>50.699999999999996</v>
      </c>
      <c r="D59" s="179">
        <v>6.2935010482180254E-2</v>
      </c>
      <c r="E59" s="179">
        <v>0.35889205471956809</v>
      </c>
      <c r="F59" s="179">
        <v>0.53833808207935219</v>
      </c>
      <c r="G59" s="180">
        <f>C59*(1-D59)*E59*0.453592/(52.49*12*80*2.54^2/100/100/10000)</f>
        <v>2378.9847746998184</v>
      </c>
      <c r="H59" s="180">
        <f>C59*(1-D59)*F59*0.453592/(52.49*12*80*2.54^2/100/100/10000)</f>
        <v>3568.4771620497277</v>
      </c>
      <c r="I59" s="180">
        <f>G59+H59</f>
        <v>5947.4619367495461</v>
      </c>
      <c r="K59" s="179">
        <v>0.42064521902545976</v>
      </c>
      <c r="L59" s="179">
        <v>0.54226139872030066</v>
      </c>
      <c r="M59" s="180">
        <f>C59*(1-D59)*K59*0.453592/(52.49*12*80*2.54^2/100/100/10000)</f>
        <v>2788.3274607284775</v>
      </c>
      <c r="N59" s="180">
        <f>C59*(1-D59)*L59*0.453592/(52.49*12*80*2.54^2/100/100/10000)</f>
        <v>3594.4836183989387</v>
      </c>
      <c r="O59" s="180">
        <f>M59+N59</f>
        <v>6382.8110791274157</v>
      </c>
    </row>
    <row r="60" spans="1:15" x14ac:dyDescent="0.2">
      <c r="A60" s="13">
        <v>7</v>
      </c>
      <c r="B60" s="13">
        <v>8</v>
      </c>
      <c r="C60" s="13">
        <v>47.6</v>
      </c>
      <c r="D60" s="179">
        <v>5.6856310608016082E-2</v>
      </c>
      <c r="E60" s="179">
        <v>0.35411036931249767</v>
      </c>
      <c r="F60" s="179">
        <v>0.53687701153830292</v>
      </c>
      <c r="G60" s="180">
        <f>C60*(1-D60)*E60*0.453592/(52.49*12*80*2.54^2/100/100/10000)</f>
        <v>2218.0616216832541</v>
      </c>
      <c r="H60" s="180">
        <f>C60*(1-D60)*F60*0.453592/(52.49*12*80*2.54^2/100/100/10000)</f>
        <v>3362.867619971385</v>
      </c>
      <c r="I60" s="180">
        <f>G60+H60</f>
        <v>5580.9292416546396</v>
      </c>
      <c r="K60" s="179">
        <v>0.41600531686148795</v>
      </c>
      <c r="L60" s="179">
        <v>0.55975604988467109</v>
      </c>
      <c r="M60" s="180">
        <f>C60*(1-D60)*K60*0.453592/(52.49*12*80*2.54^2/100/100/10000)</f>
        <v>2605.7565880889383</v>
      </c>
      <c r="N60" s="180">
        <f>C60*(1-D60)*L60*0.453592/(52.49*12*80*2.54^2/100/100/10000)</f>
        <v>3506.1763770564253</v>
      </c>
      <c r="O60" s="180">
        <f>M60+N60</f>
        <v>6111.9329651453636</v>
      </c>
    </row>
    <row r="61" spans="1:15" x14ac:dyDescent="0.2">
      <c r="A61" s="13">
        <v>7</v>
      </c>
      <c r="B61" s="13">
        <v>9</v>
      </c>
      <c r="C61" s="13">
        <v>48.999999999999993</v>
      </c>
      <c r="D61" s="179">
        <v>5.7491823385118421E-2</v>
      </c>
      <c r="E61" s="179">
        <v>0.35708676269381573</v>
      </c>
      <c r="F61" s="179">
        <v>0.51234187690851829</v>
      </c>
      <c r="G61" s="180">
        <f>C61*(1-D61)*E61*0.453592/(52.49*12*80*2.54^2/100/100/10000)</f>
        <v>2300.9389981087124</v>
      </c>
      <c r="H61" s="180">
        <f>C61*(1-D61)*F61*0.453592/(52.49*12*80*2.54^2/100/100/10000)</f>
        <v>3301.347258155979</v>
      </c>
      <c r="I61" s="180">
        <f>G61+H61</f>
        <v>5602.2862562646915</v>
      </c>
      <c r="K61" s="179">
        <v>0.42585262701295884</v>
      </c>
      <c r="L61" s="179">
        <v>0.53554194003144817</v>
      </c>
      <c r="M61" s="180">
        <f>C61*(1-D61)*K61*0.453592/(52.49*12*80*2.54^2/100/100/10000)</f>
        <v>2744.0415588335404</v>
      </c>
      <c r="N61" s="180">
        <f>C61*(1-D61)*L61*0.453592/(52.49*12*80*2.54^2/100/100/10000)</f>
        <v>3450.8401421694516</v>
      </c>
      <c r="O61" s="180">
        <f>M61+N61</f>
        <v>6194.8817010029925</v>
      </c>
    </row>
    <row r="62" spans="1:15" x14ac:dyDescent="0.2">
      <c r="A62" s="13">
        <v>7</v>
      </c>
      <c r="B62" s="13">
        <v>10</v>
      </c>
      <c r="C62" s="13">
        <v>39.999999999999993</v>
      </c>
      <c r="D62" s="179">
        <v>5.5868183474353197E-2</v>
      </c>
      <c r="E62" s="179">
        <v>0.35750637111061223</v>
      </c>
      <c r="F62" s="179">
        <v>0.52434267762889797</v>
      </c>
      <c r="G62" s="180">
        <f>C62*(1-D62)*E62*0.453592/(52.49*12*80*2.54^2/100/100/10000)</f>
        <v>1883.7642803426825</v>
      </c>
      <c r="H62" s="180">
        <f>C62*(1-D62)*F62*0.453592/(52.49*12*80*2.54^2/100/100/10000)</f>
        <v>2762.8542778359347</v>
      </c>
      <c r="I62" s="180">
        <f>G62+H62</f>
        <v>4646.6185581786176</v>
      </c>
      <c r="K62" s="179">
        <v>0.42279490587882163</v>
      </c>
      <c r="L62" s="179">
        <v>0.54178637279704978</v>
      </c>
      <c r="M62" s="180">
        <f>C62*(1-D62)*K62*0.453592/(52.49*12*80*2.54^2/100/100/10000)</f>
        <v>2227.7811137495805</v>
      </c>
      <c r="N62" s="180">
        <f>C62*(1-D62)*L62*0.453592/(52.49*12*80*2.54^2/100/100/10000)</f>
        <v>2854.7681919093257</v>
      </c>
      <c r="O62" s="180">
        <f>M62+N62</f>
        <v>5082.5493056589057</v>
      </c>
    </row>
    <row r="63" spans="1:15" x14ac:dyDescent="0.2">
      <c r="A63" s="13">
        <v>8</v>
      </c>
      <c r="B63" s="13">
        <v>1</v>
      </c>
      <c r="C63" s="13">
        <v>47.4</v>
      </c>
      <c r="D63" s="179">
        <v>5.4233439587790873E-2</v>
      </c>
      <c r="E63" s="179">
        <v>0.36120935612211574</v>
      </c>
      <c r="F63" s="179">
        <v>0.54804178170252049</v>
      </c>
      <c r="G63" s="180">
        <f>C63*(1-D63)*E63*0.453592/(52.49*12*80*2.54^2/100/100/10000)</f>
        <v>2259.2871616077423</v>
      </c>
      <c r="H63" s="180">
        <f>C63*(1-D63)*F63*0.453592/(52.49*12*80*2.54^2/100/100/10000)</f>
        <v>3427.8839693358855</v>
      </c>
      <c r="I63" s="180">
        <f>G63+H63</f>
        <v>5687.1711309436278</v>
      </c>
      <c r="K63" s="179">
        <v>0.41867122212475189</v>
      </c>
      <c r="L63" s="179">
        <v>0.54896347938501322</v>
      </c>
      <c r="M63" s="180">
        <f>C63*(1-D63)*K63*0.453592/(52.49*12*80*2.54^2/100/100/10000)</f>
        <v>2618.6988267305319</v>
      </c>
      <c r="N63" s="180">
        <f>C63*(1-D63)*L63*0.453592/(52.49*12*80*2.54^2/100/100/10000)</f>
        <v>3433.6489909380271</v>
      </c>
      <c r="O63" s="180">
        <f>M63+N63</f>
        <v>6052.3478176685585</v>
      </c>
    </row>
    <row r="64" spans="1:15" x14ac:dyDescent="0.2">
      <c r="A64" s="13">
        <v>8</v>
      </c>
      <c r="B64" s="13">
        <v>2</v>
      </c>
      <c r="C64" s="13">
        <v>48.699999999999996</v>
      </c>
      <c r="D64" s="179">
        <v>5.4455233776789111E-2</v>
      </c>
      <c r="E64" s="179">
        <v>0.36023245455045355</v>
      </c>
      <c r="F64" s="179">
        <v>0.54755333091668934</v>
      </c>
      <c r="G64" s="180">
        <f>C64*(1-D64)*E64*0.453592/(52.49*12*80*2.54^2/100/100/10000)</f>
        <v>2314.4299507661553</v>
      </c>
      <c r="H64" s="180">
        <f>C64*(1-D64)*F64*0.453592/(52.49*12*80*2.54^2/100/100/10000)</f>
        <v>3517.9335251645557</v>
      </c>
      <c r="I64" s="180">
        <f>G64+H64</f>
        <v>5832.3634759307115</v>
      </c>
      <c r="K64" s="179">
        <v>0.41761672095548319</v>
      </c>
      <c r="L64" s="179">
        <v>0.54949330437929789</v>
      </c>
      <c r="M64" s="180">
        <f>C64*(1-D64)*K64*0.453592/(52.49*12*80*2.54^2/100/100/10000)</f>
        <v>2683.1137358967462</v>
      </c>
      <c r="N64" s="180">
        <f>C64*(1-D64)*L64*0.453592/(52.49*12*80*2.54^2/100/100/10000)</f>
        <v>3530.3975123173959</v>
      </c>
      <c r="O64" s="180">
        <f>M64+N64</f>
        <v>6213.5112482141421</v>
      </c>
    </row>
    <row r="65" spans="1:15" x14ac:dyDescent="0.2">
      <c r="A65" s="13">
        <v>8</v>
      </c>
      <c r="B65" s="13">
        <v>3</v>
      </c>
      <c r="C65" s="13">
        <v>49.199999999999996</v>
      </c>
      <c r="D65" s="179">
        <v>5.871250765149965E-2</v>
      </c>
      <c r="E65" s="179">
        <v>0.33277322593943776</v>
      </c>
      <c r="F65" s="179">
        <v>0.5268909410707765</v>
      </c>
      <c r="G65" s="180">
        <f>C65*(1-D65)*E65*0.453592/(52.49*12*80*2.54^2/100/100/10000)</f>
        <v>2150.2349407684924</v>
      </c>
      <c r="H65" s="180">
        <f>C65*(1-D65)*F65*0.453592/(52.49*12*80*2.54^2/100/100/10000)</f>
        <v>3404.5386562167796</v>
      </c>
      <c r="I65" s="180">
        <f>G65+H65</f>
        <v>5554.773596985272</v>
      </c>
      <c r="K65" s="179">
        <v>0.41592153037446483</v>
      </c>
      <c r="L65" s="179">
        <v>0.53059123177803069</v>
      </c>
      <c r="M65" s="180">
        <f>C65*(1-D65)*K65*0.453592/(52.49*12*80*2.54^2/100/100/10000)</f>
        <v>2687.5028924106991</v>
      </c>
      <c r="N65" s="180">
        <f>C65*(1-D65)*L65*0.453592/(52.49*12*80*2.54^2/100/100/10000)</f>
        <v>3428.4483152564371</v>
      </c>
      <c r="O65" s="180">
        <f>M65+N65</f>
        <v>6115.9512076671363</v>
      </c>
    </row>
    <row r="66" spans="1:15" x14ac:dyDescent="0.2">
      <c r="A66" s="13">
        <v>8</v>
      </c>
      <c r="B66" s="13">
        <v>4</v>
      </c>
      <c r="C66" s="13">
        <v>45.9</v>
      </c>
      <c r="D66" s="179">
        <v>5.4230431629966165E-2</v>
      </c>
      <c r="E66" s="179">
        <v>0.36540706439482468</v>
      </c>
      <c r="F66" s="179">
        <v>0.54811059659223704</v>
      </c>
      <c r="G66" s="180">
        <f>C66*(1-D66)*E66*0.453592/(52.49*12*80*2.54^2/100/100/10000)</f>
        <v>2213.2226589883339</v>
      </c>
      <c r="H66" s="180">
        <f>C66*(1-D66)*F66*0.453592/(52.49*12*80*2.54^2/100/100/10000)</f>
        <v>3319.8339884825014</v>
      </c>
      <c r="I66" s="180">
        <f>G66+H66</f>
        <v>5533.0566474708357</v>
      </c>
      <c r="K66" s="179">
        <v>0.41667339197804859</v>
      </c>
      <c r="L66" s="179">
        <v>0.54894681623759178</v>
      </c>
      <c r="M66" s="180">
        <f>C66*(1-D66)*K66*0.453592/(52.49*12*80*2.54^2/100/100/10000)</f>
        <v>2523.7360806109423</v>
      </c>
      <c r="N66" s="180">
        <f>C66*(1-D66)*L66*0.453592/(52.49*12*80*2.54^2/100/100/10000)</f>
        <v>3324.8988611883842</v>
      </c>
      <c r="O66" s="180">
        <f>M66+N66</f>
        <v>5848.634941799326</v>
      </c>
    </row>
    <row r="67" spans="1:15" x14ac:dyDescent="0.2">
      <c r="A67" s="13">
        <v>8</v>
      </c>
      <c r="B67" s="13">
        <v>5</v>
      </c>
      <c r="C67" s="13">
        <v>47.6</v>
      </c>
      <c r="D67" s="179">
        <v>5.3964802061938731E-2</v>
      </c>
      <c r="E67" s="179">
        <v>0.35858319752962015</v>
      </c>
      <c r="F67" s="179">
        <v>0.54451522587831214</v>
      </c>
      <c r="G67" s="180">
        <f>C67*(1-D67)*E67*0.453592/(52.49*12*80*2.54^2/100/100/10000)</f>
        <v>2252.9644060530704</v>
      </c>
      <c r="H67" s="180">
        <f>C67*(1-D67)*F67*0.453592/(52.49*12*80*2.54^2/100/100/10000)</f>
        <v>3421.1681721546629</v>
      </c>
      <c r="I67" s="180">
        <f>G67+H67</f>
        <v>5674.1325782077329</v>
      </c>
      <c r="K67" s="179">
        <v>0.41190243071814742</v>
      </c>
      <c r="L67" s="179">
        <v>0.55514878038397686</v>
      </c>
      <c r="M67" s="180">
        <f>C67*(1-D67)*K67*0.453592/(52.49*12*80*2.54^2/100/100/10000)</f>
        <v>2587.9670926244976</v>
      </c>
      <c r="N67" s="180">
        <f>C67*(1-D67)*L67*0.453592/(52.49*12*80*2.54^2/100/100/10000)</f>
        <v>3487.9783851711527</v>
      </c>
      <c r="O67" s="180">
        <f>M67+N67</f>
        <v>6075.9454777956507</v>
      </c>
    </row>
    <row r="68" spans="1:15" x14ac:dyDescent="0.2">
      <c r="A68" s="13">
        <v>8</v>
      </c>
      <c r="B68" s="13">
        <v>6</v>
      </c>
      <c r="C68" s="13">
        <v>50.3</v>
      </c>
      <c r="D68" s="179">
        <v>4.9040953862104754E-2</v>
      </c>
      <c r="E68" s="179">
        <v>0.34447228466387114</v>
      </c>
      <c r="F68" s="179">
        <v>0.52359787268908409</v>
      </c>
      <c r="G68" s="180">
        <f>C68*(1-D68)*E68*0.453592/(52.49*12*80*2.54^2/100/100/10000)</f>
        <v>2298.9749113097523</v>
      </c>
      <c r="H68" s="180">
        <f>C68*(1-D68)*F68*0.453592/(52.49*12*80*2.54^2/100/100/10000)</f>
        <v>3494.4418651908231</v>
      </c>
      <c r="I68" s="180">
        <f>G68+H68</f>
        <v>5793.416776500575</v>
      </c>
      <c r="K68" s="179">
        <v>0.42264500654164849</v>
      </c>
      <c r="L68" s="179">
        <v>0.54017662450937642</v>
      </c>
      <c r="M68" s="180">
        <f>C68*(1-D68)*K68*0.453592/(52.49*12*80*2.54^2/100/100/10000)</f>
        <v>2820.6921418299648</v>
      </c>
      <c r="N68" s="180">
        <f>C68*(1-D68)*L68*0.453592/(52.49*12*80*2.54^2/100/100/10000)</f>
        <v>3605.086861007755</v>
      </c>
      <c r="O68" s="180">
        <f>M68+N68</f>
        <v>6425.7790028377203</v>
      </c>
    </row>
    <row r="69" spans="1:15" x14ac:dyDescent="0.2">
      <c r="A69" s="13">
        <v>8</v>
      </c>
      <c r="B69" s="13">
        <v>7</v>
      </c>
      <c r="C69" s="13">
        <v>44.499999999999993</v>
      </c>
      <c r="D69" s="179">
        <v>5.1140544518027908E-2</v>
      </c>
      <c r="E69" s="179">
        <v>0.3805598573429434</v>
      </c>
      <c r="F69" s="179">
        <v>0.56427840916367467</v>
      </c>
      <c r="G69" s="180">
        <f>C69*(1-D69)*E69*0.453592/(52.49*12*80*2.54^2/100/100/10000)</f>
        <v>2241.9969817055894</v>
      </c>
      <c r="H69" s="180">
        <f>C69*(1-D69)*F69*0.453592/(52.49*12*80*2.54^2/100/100/10000)</f>
        <v>3324.3403521841501</v>
      </c>
      <c r="I69" s="180">
        <f>G69+H69</f>
        <v>5566.33733388974</v>
      </c>
      <c r="K69" s="179">
        <v>0.42197972636126962</v>
      </c>
      <c r="L69" s="179">
        <v>0.54700049853209998</v>
      </c>
      <c r="M69" s="180">
        <f>C69*(1-D69)*K69*0.453592/(52.49*12*80*2.54^2/100/100/10000)</f>
        <v>2486.0143669602935</v>
      </c>
      <c r="N69" s="180">
        <f>C69*(1-D69)*L69*0.453592/(52.49*12*80*2.54^2/100/100/10000)</f>
        <v>3222.5507841602653</v>
      </c>
      <c r="O69" s="180">
        <f>M69+N69</f>
        <v>5708.5651511205588</v>
      </c>
    </row>
    <row r="70" spans="1:15" x14ac:dyDescent="0.2">
      <c r="A70" s="13">
        <v>8</v>
      </c>
      <c r="B70" s="13">
        <v>8</v>
      </c>
      <c r="C70" s="13">
        <v>49</v>
      </c>
      <c r="D70" s="179">
        <v>5.3736668029284014E-2</v>
      </c>
      <c r="E70" s="179">
        <v>0.36278600106372261</v>
      </c>
      <c r="F70" s="179">
        <v>0.51627238612914361</v>
      </c>
      <c r="G70" s="180">
        <f>C70*(1-D70)*E70*0.453592/(52.49*12*80*2.54^2/100/100/10000)</f>
        <v>2346.9765973535091</v>
      </c>
      <c r="H70" s="180">
        <f>C70*(1-D70)*F70*0.453592/(52.49*12*80*2.54^2/100/100/10000)</f>
        <v>3339.9282346953778</v>
      </c>
      <c r="I70" s="180">
        <f>G70+H70</f>
        <v>5686.9048320488873</v>
      </c>
      <c r="K70" s="179">
        <v>0.42284883949259711</v>
      </c>
      <c r="L70" s="179">
        <v>0.54482975297490477</v>
      </c>
      <c r="M70" s="180">
        <f>C70*(1-D70)*K70*0.453592/(52.49*12*80*2.54^2/100/100/10000)</f>
        <v>2735.5419657797102</v>
      </c>
      <c r="N70" s="180">
        <f>C70*(1-D70)*L70*0.453592/(52.49*12*80*2.54^2/100/100/10000)</f>
        <v>3524.6748111137663</v>
      </c>
      <c r="O70" s="180">
        <f>M70+N70</f>
        <v>6260.216776893476</v>
      </c>
    </row>
    <row r="71" spans="1:15" x14ac:dyDescent="0.2">
      <c r="A71" s="13">
        <v>8</v>
      </c>
      <c r="B71" s="13">
        <v>9</v>
      </c>
      <c r="C71" s="13">
        <v>44.699999999999996</v>
      </c>
      <c r="D71" s="179">
        <v>4.9571522742254452E-2</v>
      </c>
      <c r="E71" s="179">
        <v>0.3646744186516771</v>
      </c>
      <c r="F71" s="179">
        <v>0.5635877379162284</v>
      </c>
      <c r="G71" s="180">
        <f>C71*(1-D71)*E71*0.453592/(52.49*12*80*2.54^2/100/100/10000)</f>
        <v>2161.635231398755</v>
      </c>
      <c r="H71" s="180">
        <f>C71*(1-D71)*F71*0.453592/(52.49*12*80*2.54^2/100/100/10000)</f>
        <v>3340.7089939798952</v>
      </c>
      <c r="I71" s="180">
        <f>G71+H71</f>
        <v>5502.3442253786507</v>
      </c>
      <c r="K71" s="179">
        <v>0.42571785268414475</v>
      </c>
      <c r="L71" s="179">
        <v>0.54529060896102099</v>
      </c>
      <c r="M71" s="180">
        <f>C71*(1-D71)*K71*0.453592/(52.49*12*80*2.54^2/100/100/10000)</f>
        <v>2523.4748091185866</v>
      </c>
      <c r="N71" s="180">
        <f>C71*(1-D71)*L71*0.453592/(52.49*12*80*2.54^2/100/100/10000)</f>
        <v>3232.2513765543058</v>
      </c>
      <c r="O71" s="180">
        <f>M71+N71</f>
        <v>5755.7261856728928</v>
      </c>
    </row>
    <row r="72" spans="1:15" x14ac:dyDescent="0.2">
      <c r="A72" s="13">
        <v>8</v>
      </c>
      <c r="B72" s="13">
        <v>10</v>
      </c>
      <c r="C72" s="13">
        <v>35.6</v>
      </c>
      <c r="D72" s="179">
        <v>5.1036121254784732E-2</v>
      </c>
      <c r="E72" s="179">
        <v>0.36526291959624679</v>
      </c>
      <c r="F72" s="179">
        <v>0.53484927512307567</v>
      </c>
      <c r="G72" s="180">
        <f>C72*(1-D72)*E72*0.453592/(52.49*12*80*2.54^2/100/100/10000)</f>
        <v>1721.6918085954317</v>
      </c>
      <c r="H72" s="180">
        <f>C72*(1-D72)*F72*0.453592/(52.49*12*80*2.54^2/100/100/10000)</f>
        <v>2521.0487197290254</v>
      </c>
      <c r="I72" s="180">
        <f>G72+H72</f>
        <v>4242.740528324457</v>
      </c>
      <c r="K72" s="179">
        <v>0.40780750150679212</v>
      </c>
      <c r="L72" s="179">
        <v>0.548796884417451</v>
      </c>
      <c r="M72" s="180">
        <f>C72*(1-D72)*K72*0.453592/(52.49*12*80*2.54^2/100/100/10000)</f>
        <v>1922.2286116644941</v>
      </c>
      <c r="N72" s="180">
        <f>C72*(1-D72)*L72*0.453592/(52.49*12*80*2.54^2/100/100/10000)</f>
        <v>2586.7917321819714</v>
      </c>
      <c r="O72" s="180">
        <f>M72+N72</f>
        <v>4509.020343846465</v>
      </c>
    </row>
    <row r="73" spans="1:15" x14ac:dyDescent="0.2">
      <c r="A73" s="13">
        <v>9</v>
      </c>
      <c r="B73" s="13">
        <v>1</v>
      </c>
      <c r="C73" s="13">
        <v>40</v>
      </c>
      <c r="D73" s="179">
        <v>5.5003122447999181E-2</v>
      </c>
      <c r="E73" s="179">
        <v>0.36169589889706466</v>
      </c>
      <c r="F73" s="179">
        <v>0.56837926969538743</v>
      </c>
      <c r="G73" s="180">
        <f>C73*(1-D73)*E73*0.453592/(52.49*12*80*2.54^2/100/100/10000)</f>
        <v>1907.5858690794184</v>
      </c>
      <c r="H73" s="180">
        <f>C73*(1-D73)*F73*0.453592/(52.49*12*80*2.54^2/100/100/10000)</f>
        <v>2997.6349371248011</v>
      </c>
      <c r="I73" s="180">
        <f>G73+H73</f>
        <v>4905.2208062042191</v>
      </c>
      <c r="K73" s="179">
        <v>0.41515860105734037</v>
      </c>
      <c r="L73" s="179">
        <v>0.56059373729158191</v>
      </c>
      <c r="M73" s="180">
        <f>C73*(1-D73)*K73*0.453592/(52.49*12*80*2.54^2/100/100/10000)</f>
        <v>2189.5484112999138</v>
      </c>
      <c r="N73" s="180">
        <f>C73*(1-D73)*L73*0.453592/(52.49*12*80*2.54^2/100/100/10000)</f>
        <v>2956.5740026711705</v>
      </c>
      <c r="O73" s="180">
        <f>M73+N73</f>
        <v>5146.1224139710848</v>
      </c>
    </row>
    <row r="74" spans="1:15" x14ac:dyDescent="0.2">
      <c r="A74" s="13">
        <v>9</v>
      </c>
      <c r="B74" s="13">
        <v>2</v>
      </c>
      <c r="C74" s="13">
        <v>47.400000000000006</v>
      </c>
      <c r="D74" s="179">
        <v>5.7385100553171517E-2</v>
      </c>
      <c r="E74" s="179">
        <v>0.36479367124116435</v>
      </c>
      <c r="F74" s="179">
        <v>0.53926020966085175</v>
      </c>
      <c r="G74" s="180">
        <f>C74*(1-D74)*E74*0.453592/(52.49*12*80*2.54^2/100/100/10000)</f>
        <v>2274.1027547870417</v>
      </c>
      <c r="H74" s="180">
        <f>C74*(1-D74)*F74*0.453592/(52.49*12*80*2.54^2/100/100/10000)</f>
        <v>3361.7171157721486</v>
      </c>
      <c r="I74" s="180">
        <f>G74+H74</f>
        <v>5635.8198705591903</v>
      </c>
      <c r="K74" s="179">
        <v>0.42231119398892114</v>
      </c>
      <c r="L74" s="179">
        <v>0.54889486096637963</v>
      </c>
      <c r="M74" s="180">
        <f>C74*(1-D74)*K74*0.453592/(52.49*12*80*2.54^2/100/100/10000)</f>
        <v>2632.6636818013917</v>
      </c>
      <c r="N74" s="180">
        <f>C74*(1-D74)*L74*0.453592/(52.49*12*80*2.54^2/100/100/10000)</f>
        <v>3421.7789775932897</v>
      </c>
      <c r="O74" s="180">
        <f>M74+N74</f>
        <v>6054.442659394681</v>
      </c>
    </row>
    <row r="75" spans="1:15" x14ac:dyDescent="0.2">
      <c r="A75" s="13">
        <v>9</v>
      </c>
      <c r="B75" s="13">
        <v>3</v>
      </c>
      <c r="C75" s="13">
        <v>48.600000000000009</v>
      </c>
      <c r="D75" s="179">
        <v>5.7069573581275977E-2</v>
      </c>
      <c r="E75" s="179">
        <v>0.34607448133672636</v>
      </c>
      <c r="F75" s="179">
        <v>0.53833808207935219</v>
      </c>
      <c r="G75" s="180">
        <f>C75*(1-D75)*E75*0.453592/(52.49*12*80*2.54^2/100/100/10000)</f>
        <v>2212.7667807834227</v>
      </c>
      <c r="H75" s="180">
        <f>C75*(1-D75)*F75*0.453592/(52.49*12*80*2.54^2/100/100/10000)</f>
        <v>3442.0816589964361</v>
      </c>
      <c r="I75" s="180">
        <f>G75+H75</f>
        <v>5654.8484397798584</v>
      </c>
      <c r="K75" s="179">
        <v>0.35651139068344101</v>
      </c>
      <c r="L75" s="179">
        <v>0.46128017681060862</v>
      </c>
      <c r="M75" s="180">
        <f>C75*(1-D75)*K75*0.453592/(52.49*12*80*2.54^2/100/100/10000)</f>
        <v>2279.4993702747224</v>
      </c>
      <c r="N75" s="180">
        <f>C75*(1-D75)*L75*0.453592/(52.49*12*80*2.54^2/100/100/10000)</f>
        <v>2949.3808614200711</v>
      </c>
      <c r="O75" s="180">
        <f>M75+N75</f>
        <v>5228.8802316947931</v>
      </c>
    </row>
    <row r="76" spans="1:15" x14ac:dyDescent="0.2">
      <c r="A76" s="13">
        <v>9</v>
      </c>
      <c r="B76" s="13">
        <v>4</v>
      </c>
      <c r="C76" s="13">
        <v>53.900000000000006</v>
      </c>
      <c r="D76" s="179">
        <v>5.362519715146024E-2</v>
      </c>
      <c r="E76" s="179">
        <v>0.3720300674369808</v>
      </c>
      <c r="F76" s="179">
        <v>0.55115565546219381</v>
      </c>
      <c r="G76" s="180">
        <f>C76*(1-D76)*E76*0.453592/(52.49*12*80*2.54^2/100/100/10000)</f>
        <v>2647.7691764912247</v>
      </c>
      <c r="H76" s="180">
        <f>C76*(1-D76)*F76*0.453592/(52.49*12*80*2.54^2/100/100/10000)</f>
        <v>3922.6210022092218</v>
      </c>
      <c r="I76" s="180">
        <f>G76+H76</f>
        <v>6570.390178700447</v>
      </c>
      <c r="K76" s="179">
        <v>0.49411645876470889</v>
      </c>
      <c r="L76" s="179">
        <v>0.66531993333670025</v>
      </c>
      <c r="M76" s="180">
        <f>C76*(1-D76)*K76*0.453592/(52.49*12*80*2.54^2/100/100/10000)</f>
        <v>3516.6682578305608</v>
      </c>
      <c r="N76" s="180">
        <f>C76*(1-D76)*L76*0.453592/(52.49*12*80*2.54^2/100/100/10000)</f>
        <v>4735.1377380069316</v>
      </c>
      <c r="O76" s="180">
        <f>M76+N76</f>
        <v>8251.8059958374924</v>
      </c>
    </row>
    <row r="77" spans="1:15" x14ac:dyDescent="0.2">
      <c r="A77" s="13">
        <v>9</v>
      </c>
      <c r="B77" s="13">
        <v>5</v>
      </c>
      <c r="C77" s="13">
        <v>37.300000000000004</v>
      </c>
      <c r="D77" s="179">
        <v>4.9109692155946676E-2</v>
      </c>
      <c r="E77" s="179">
        <v>0.34730356371590299</v>
      </c>
      <c r="F77" s="179">
        <v>0.543605577990109</v>
      </c>
      <c r="G77" s="180">
        <f>C77*(1-D77)*E77*0.453592/(52.49*12*80*2.54^2/100/100/10000)</f>
        <v>1718.6943113542045</v>
      </c>
      <c r="H77" s="180">
        <f>C77*(1-D77)*F77*0.453592/(52.49*12*80*2.54^2/100/100/10000)</f>
        <v>2690.1302264674505</v>
      </c>
      <c r="I77" s="180">
        <f>G77+H77</f>
        <v>4408.8245378216552</v>
      </c>
      <c r="K77" s="179">
        <v>0.40890975596440471</v>
      </c>
      <c r="L77" s="179">
        <v>0.56128186930174162</v>
      </c>
      <c r="M77" s="180">
        <f>C77*(1-D77)*K77*0.453592/(52.49*12*80*2.54^2/100/100/10000)</f>
        <v>2023.5636626180628</v>
      </c>
      <c r="N77" s="180">
        <f>C77*(1-D77)*L77*0.453592/(52.49*12*80*2.54^2/100/100/10000)</f>
        <v>2777.6045414387586</v>
      </c>
      <c r="O77" s="180">
        <f>M77+N77</f>
        <v>4801.1682040568212</v>
      </c>
    </row>
    <row r="78" spans="1:15" x14ac:dyDescent="0.2">
      <c r="A78" s="13">
        <v>9</v>
      </c>
      <c r="B78" s="13">
        <v>6</v>
      </c>
      <c r="C78" s="13">
        <v>47.5</v>
      </c>
      <c r="D78" s="179">
        <v>5.8883544672788245E-2</v>
      </c>
      <c r="E78" s="179">
        <v>0.36526291959624679</v>
      </c>
      <c r="F78" s="179">
        <v>0.54789437939437025</v>
      </c>
      <c r="G78" s="180">
        <f>C78*(1-D78)*E78*0.453592/(52.49*12*80*2.54^2/100/100/10000)</f>
        <v>2278.2045250044557</v>
      </c>
      <c r="H78" s="180">
        <f>C78*(1-D78)*F78*0.453592/(52.49*12*80*2.54^2/100/100/10000)</f>
        <v>3417.306787506684</v>
      </c>
      <c r="I78" s="180">
        <f>G78+H78</f>
        <v>5695.5113125111402</v>
      </c>
      <c r="K78" s="179">
        <v>0.4187703267771411</v>
      </c>
      <c r="L78" s="179">
        <v>0.55397243301842958</v>
      </c>
      <c r="M78" s="180">
        <f>C78*(1-D78)*K78*0.453592/(52.49*12*80*2.54^2/100/100/10000)</f>
        <v>2611.9389683898271</v>
      </c>
      <c r="N78" s="180">
        <f>C78*(1-D78)*L78*0.453592/(52.49*12*80*2.54^2/100/100/10000)</f>
        <v>3455.2166013056258</v>
      </c>
      <c r="O78" s="180">
        <f>M78+N78</f>
        <v>6067.1555696954529</v>
      </c>
    </row>
    <row r="79" spans="1:15" x14ac:dyDescent="0.2">
      <c r="A79" s="13">
        <v>9</v>
      </c>
      <c r="B79" s="13">
        <v>7</v>
      </c>
      <c r="C79" s="13">
        <v>48.7</v>
      </c>
      <c r="D79" s="179">
        <v>5.4492553506263003E-2</v>
      </c>
      <c r="E79" s="179">
        <v>0.3599383872406165</v>
      </c>
      <c r="F79" s="179">
        <v>0.53990758086092472</v>
      </c>
      <c r="G79" s="180">
        <f>C79*(1-D79)*E79*0.453592/(52.49*12*80*2.54^2/100/100/10000)</f>
        <v>2312.4493464718776</v>
      </c>
      <c r="H79" s="180">
        <f>C79*(1-D79)*F79*0.453592/(52.49*12*80*2.54^2/100/100/10000)</f>
        <v>3468.6740197078157</v>
      </c>
      <c r="I79" s="180">
        <f>G79+H79</f>
        <v>5781.1233661796932</v>
      </c>
      <c r="K79" s="179">
        <v>0.42533771449434099</v>
      </c>
      <c r="L79" s="179">
        <v>0.53956084076566013</v>
      </c>
      <c r="M79" s="180">
        <f>C79*(1-D79)*K79*0.453592/(52.49*12*80*2.54^2/100/100/10000)</f>
        <v>2732.6118990880773</v>
      </c>
      <c r="N79" s="180">
        <f>C79*(1-D79)*L79*0.453592/(52.49*12*80*2.54^2/100/100/10000)</f>
        <v>3466.4463637113631</v>
      </c>
      <c r="O79" s="180">
        <f>M79+N79</f>
        <v>6199.0582627994409</v>
      </c>
    </row>
    <row r="80" spans="1:15" x14ac:dyDescent="0.2">
      <c r="A80" s="13">
        <v>9</v>
      </c>
      <c r="B80" s="13">
        <v>8</v>
      </c>
      <c r="C80" s="13">
        <v>40.6</v>
      </c>
      <c r="D80" s="179">
        <v>5.0584274113685809E-2</v>
      </c>
      <c r="E80" s="179">
        <v>0.37156561042395092</v>
      </c>
      <c r="F80" s="179">
        <v>0.55734841563592641</v>
      </c>
      <c r="G80" s="180">
        <f>C80*(1-D80)*E80*0.453592/(52.49*12*80*2.54^2/100/100/10000)</f>
        <v>1998.3341659647967</v>
      </c>
      <c r="H80" s="180">
        <f>C80*(1-D80)*F80*0.453592/(52.49*12*80*2.54^2/100/100/10000)</f>
        <v>2997.5012489471951</v>
      </c>
      <c r="I80" s="180">
        <f>G80+H80</f>
        <v>4995.8354149119914</v>
      </c>
      <c r="K80" s="179">
        <v>0.41209112149532706</v>
      </c>
      <c r="L80" s="179">
        <v>0.55649198931909205</v>
      </c>
      <c r="M80" s="180">
        <f>C80*(1-D80)*K80*0.453592/(52.49*12*80*2.54^2/100/100/10000)</f>
        <v>2216.2862882688887</v>
      </c>
      <c r="N80" s="180">
        <f>C80*(1-D80)*L80*0.453592/(52.49*12*80*2.54^2/100/100/10000)</f>
        <v>2992.895263028292</v>
      </c>
      <c r="O80" s="180">
        <f>M80+N80</f>
        <v>5209.1815512971807</v>
      </c>
    </row>
    <row r="81" spans="1:15" x14ac:dyDescent="0.2">
      <c r="A81" s="13">
        <v>9</v>
      </c>
      <c r="B81" s="13">
        <v>9</v>
      </c>
      <c r="C81" s="13">
        <v>44.6</v>
      </c>
      <c r="D81" s="179">
        <v>4.9081697276757354E-2</v>
      </c>
      <c r="E81" s="179">
        <v>0.35558429384657669</v>
      </c>
      <c r="F81" s="179">
        <v>0.55115565546219392</v>
      </c>
      <c r="G81" s="180">
        <f>C81*(1-D81)*E81*0.453592/(52.49*12*80*2.54^2/100/100/10000)</f>
        <v>2104.1213469437039</v>
      </c>
      <c r="H81" s="180">
        <f>C81*(1-D81)*F81*0.453592/(52.49*12*80*2.54^2/100/100/10000)</f>
        <v>3261.3880877627421</v>
      </c>
      <c r="I81" s="180">
        <f>G81+H81</f>
        <v>5365.509434706446</v>
      </c>
      <c r="K81" s="179">
        <v>0.42191142191142189</v>
      </c>
      <c r="L81" s="179">
        <v>0.53962703962703962</v>
      </c>
      <c r="M81" s="180">
        <f>C81*(1-D81)*K81*0.453592/(52.49*12*80*2.54^2/100/100/10000)</f>
        <v>2496.6030410393532</v>
      </c>
      <c r="N81" s="180">
        <f>C81*(1-D81)*L81*0.453592/(52.49*12*80*2.54^2/100/100/10000)</f>
        <v>3193.1690828763008</v>
      </c>
      <c r="O81" s="180">
        <f>M81+N81</f>
        <v>5689.7721239156544</v>
      </c>
    </row>
    <row r="82" spans="1:15" x14ac:dyDescent="0.2">
      <c r="A82" s="13">
        <v>9</v>
      </c>
      <c r="B82" s="13">
        <v>10</v>
      </c>
      <c r="C82" s="13">
        <v>25.3</v>
      </c>
      <c r="D82" s="179">
        <v>5.2421529500593242E-2</v>
      </c>
      <c r="E82" s="179">
        <v>0.36326168200917325</v>
      </c>
      <c r="F82" s="179">
        <v>0.53862939056532588</v>
      </c>
      <c r="G82" s="180">
        <f>C82*(1-D82)*E82*0.453592/(52.49*12*80*2.54^2/100/100/10000)</f>
        <v>1215.0815953066051</v>
      </c>
      <c r="H82" s="180">
        <f>C82*(1-D82)*F82*0.453592/(52.49*12*80*2.54^2/100/100/10000)</f>
        <v>1801.6727102822074</v>
      </c>
      <c r="I82" s="180">
        <f>G82+H82</f>
        <v>3016.7543055888127</v>
      </c>
      <c r="K82" s="179">
        <v>0.42168468981217988</v>
      </c>
      <c r="L82" s="179">
        <v>0.55566306203756399</v>
      </c>
      <c r="M82" s="180">
        <f>C82*(1-D82)*K82*0.453592/(52.49*12*80*2.54^2/100/100/10000)</f>
        <v>1410.5019356278142</v>
      </c>
      <c r="N82" s="180">
        <f>C82*(1-D82)*L82*0.453592/(52.49*12*80*2.54^2/100/100/10000)</f>
        <v>1858.6489941333984</v>
      </c>
      <c r="O82" s="180">
        <f>M82+N82</f>
        <v>3269.1509297612129</v>
      </c>
    </row>
    <row r="83" spans="1:15" x14ac:dyDescent="0.2">
      <c r="A83" s="13">
        <v>10</v>
      </c>
      <c r="B83" s="13">
        <v>1</v>
      </c>
      <c r="C83" s="13">
        <v>38.699999999999996</v>
      </c>
      <c r="D83" s="179">
        <v>4.9410193634542472E-2</v>
      </c>
      <c r="E83" s="179">
        <v>0.35510699949242025</v>
      </c>
      <c r="F83" s="179">
        <v>0.54745662421748131</v>
      </c>
      <c r="G83" s="180">
        <f>C83*(1-D83)*E83*0.453592/(52.49*12*80*2.54^2/100/100/10000)</f>
        <v>1822.6928831602124</v>
      </c>
      <c r="H83" s="180">
        <f>C83*(1-D83)*F83*0.453592/(52.49*12*80*2.54^2/100/100/10000)</f>
        <v>2809.9848615386618</v>
      </c>
      <c r="I83" s="180">
        <f>G83+H83</f>
        <v>4632.6777446988744</v>
      </c>
      <c r="K83" s="179">
        <v>0.41826270194333875</v>
      </c>
      <c r="L83" s="179">
        <v>0.55963474596113327</v>
      </c>
      <c r="M83" s="180">
        <f>C83*(1-D83)*K83*0.453592/(52.49*12*80*2.54^2/100/100/10000)</f>
        <v>2146.8584151063951</v>
      </c>
      <c r="N83" s="180">
        <f>C83*(1-D83)*L83*0.453592/(52.49*12*80*2.54^2/100/100/10000)</f>
        <v>2872.4927137188233</v>
      </c>
      <c r="O83" s="180">
        <f>M83+N83</f>
        <v>5019.3511288252184</v>
      </c>
    </row>
    <row r="84" spans="1:15" x14ac:dyDescent="0.2">
      <c r="A84" s="13">
        <v>10</v>
      </c>
      <c r="B84" s="13">
        <v>2</v>
      </c>
      <c r="C84" s="13">
        <v>45.4</v>
      </c>
      <c r="D84" s="179">
        <v>5.1091365655785259E-2</v>
      </c>
      <c r="E84" s="179">
        <v>0.34494095443892409</v>
      </c>
      <c r="F84" s="179">
        <v>0.55490501366261702</v>
      </c>
      <c r="G84" s="180">
        <f>C84*(1-D84)*E84*0.453592/(52.49*12*80*2.54^2/100/100/10000)</f>
        <v>2073.3621173355423</v>
      </c>
      <c r="H84" s="180">
        <f>C84*(1-D84)*F84*0.453592/(52.49*12*80*2.54^2/100/100/10000)</f>
        <v>3335.4086235397858</v>
      </c>
      <c r="I84" s="180">
        <f>G84+H84</f>
        <v>5408.7707408753286</v>
      </c>
      <c r="K84" s="179">
        <v>0.42193384223918573</v>
      </c>
      <c r="L84" s="179">
        <v>0.5553180661577608</v>
      </c>
      <c r="M84" s="180">
        <f>C84*(1-D84)*K84*0.453592/(52.49*12*80*2.54^2/100/100/10000)</f>
        <v>2536.1489648091538</v>
      </c>
      <c r="N84" s="180">
        <f>C84*(1-D84)*L84*0.453592/(52.49*12*80*2.54^2/100/100/10000)</f>
        <v>3337.8913887344693</v>
      </c>
      <c r="O84" s="180">
        <f>M84+N84</f>
        <v>5874.0403535436235</v>
      </c>
    </row>
    <row r="85" spans="1:15" x14ac:dyDescent="0.2">
      <c r="A85" s="13">
        <v>10</v>
      </c>
      <c r="B85" s="13">
        <v>3</v>
      </c>
      <c r="C85" s="13">
        <v>46.3</v>
      </c>
      <c r="D85" s="179">
        <v>4.9076842754758189E-2</v>
      </c>
      <c r="E85" s="179">
        <v>0.3533049073475602</v>
      </c>
      <c r="F85" s="179">
        <v>0.55115565546219392</v>
      </c>
      <c r="G85" s="180">
        <f>C85*(1-D85)*E85*0.453592/(52.49*12*80*2.54^2/100/100/10000)</f>
        <v>2170.3322890557729</v>
      </c>
      <c r="H85" s="180">
        <f>C85*(1-D85)*F85*0.453592/(52.49*12*80*2.54^2/100/100/10000)</f>
        <v>3385.7183709270053</v>
      </c>
      <c r="I85" s="180">
        <f>G85+H85</f>
        <v>5556.0506599827786</v>
      </c>
      <c r="K85" s="179">
        <v>0.41866733216870478</v>
      </c>
      <c r="L85" s="179">
        <v>0.55363114549538306</v>
      </c>
      <c r="M85" s="180">
        <f>C85*(1-D85)*K85*0.453592/(52.49*12*80*2.54^2/100/100/10000)</f>
        <v>2571.8500096708422</v>
      </c>
      <c r="N85" s="180">
        <f>C85*(1-D85)*L85*0.453592/(52.49*12*80*2.54^2/100/100/10000)</f>
        <v>3400.9251677716952</v>
      </c>
      <c r="O85" s="180">
        <f>M85+N85</f>
        <v>5972.7751774425378</v>
      </c>
    </row>
    <row r="86" spans="1:15" x14ac:dyDescent="0.2">
      <c r="A86" s="13">
        <v>10</v>
      </c>
      <c r="B86" s="13">
        <v>4</v>
      </c>
      <c r="C86" s="13">
        <v>47.6</v>
      </c>
      <c r="D86" s="179">
        <v>4.9468309364313498E-2</v>
      </c>
      <c r="E86" s="179">
        <v>0.36490305465083178</v>
      </c>
      <c r="F86" s="179">
        <v>0.5625588759200324</v>
      </c>
      <c r="G86" s="180">
        <f>C86*(1-D86)*E86*0.453592/(52.49*12*80*2.54^2/100/100/10000)</f>
        <v>2303.5688633555478</v>
      </c>
      <c r="H86" s="180">
        <f>C86*(1-D86)*F86*0.453592/(52.49*12*80*2.54^2/100/100/10000)</f>
        <v>3551.3353310064699</v>
      </c>
      <c r="I86" s="180">
        <f>G86+H86</f>
        <v>5854.9041943620177</v>
      </c>
      <c r="K86" s="179">
        <v>0.41166034202355728</v>
      </c>
      <c r="L86" s="179">
        <v>0.56384604011630768</v>
      </c>
      <c r="M86" s="180">
        <f>C86*(1-D86)*K86*0.453592/(52.49*12*80*2.54^2/100/100/10000)</f>
        <v>2598.7394023630713</v>
      </c>
      <c r="N86" s="180">
        <f>C86*(1-D86)*L86*0.453592/(52.49*12*80*2.54^2/100/100/10000)</f>
        <v>3559.46097239745</v>
      </c>
      <c r="O86" s="180">
        <f>M86+N86</f>
        <v>6158.2003747605213</v>
      </c>
    </row>
    <row r="87" spans="1:15" x14ac:dyDescent="0.2">
      <c r="A87" s="13">
        <v>10</v>
      </c>
      <c r="B87" s="13">
        <v>5</v>
      </c>
      <c r="C87" s="13">
        <v>47</v>
      </c>
      <c r="D87" s="179">
        <v>4.8026886383347712E-2</v>
      </c>
      <c r="E87" s="179">
        <v>0.3624037186600727</v>
      </c>
      <c r="F87" s="179">
        <v>0.543605577990109</v>
      </c>
      <c r="G87" s="180">
        <f>C87*(1-D87)*E87*0.453592/(52.49*12*80*2.54^2/100/100/10000)</f>
        <v>2262.3788568694526</v>
      </c>
      <c r="H87" s="180">
        <f>C87*(1-D87)*F87*0.453592/(52.49*12*80*2.54^2/100/100/10000)</f>
        <v>3393.5682853041785</v>
      </c>
      <c r="I87" s="180">
        <f>G87+H87</f>
        <v>5655.9471421736307</v>
      </c>
      <c r="K87" s="179">
        <v>0.41937137000341651</v>
      </c>
      <c r="L87" s="179">
        <v>0.54862771893861739</v>
      </c>
      <c r="M87" s="180">
        <f>C87*(1-D87)*K87*0.453592/(52.49*12*80*2.54^2/100/100/10000)</f>
        <v>2618.0109966311879</v>
      </c>
      <c r="N87" s="180">
        <f>C87*(1-D87)*L87*0.453592/(52.49*12*80*2.54^2/100/100/10000)</f>
        <v>3424.920020711676</v>
      </c>
      <c r="O87" s="180">
        <f>M87+N87</f>
        <v>6042.9310173428639</v>
      </c>
    </row>
    <row r="88" spans="1:15" x14ac:dyDescent="0.2">
      <c r="A88" s="13">
        <v>10</v>
      </c>
      <c r="B88" s="13">
        <v>6</v>
      </c>
      <c r="C88" s="13">
        <v>46.699999999999996</v>
      </c>
      <c r="D88" s="179">
        <v>4.8225934165378556E-2</v>
      </c>
      <c r="E88" s="179">
        <v>0.34739507980647383</v>
      </c>
      <c r="F88" s="179">
        <v>0.53445396893303665</v>
      </c>
      <c r="G88" s="180">
        <f>C88*(1-D88)*E88*0.453592/(52.49*12*80*2.54^2/100/100/10000)</f>
        <v>2154.3911574817239</v>
      </c>
      <c r="H88" s="180">
        <f>C88*(1-D88)*F88*0.453592/(52.49*12*80*2.54^2/100/100/10000)</f>
        <v>3314.4479345872678</v>
      </c>
      <c r="I88" s="180">
        <f>G88+H88</f>
        <v>5468.8390920689917</v>
      </c>
      <c r="K88" s="179">
        <v>0.4166072418984233</v>
      </c>
      <c r="L88" s="179">
        <v>0.55585928214879965</v>
      </c>
      <c r="M88" s="180">
        <f>C88*(1-D88)*K88*0.453592/(52.49*12*80*2.54^2/100/100/10000)</f>
        <v>2583.6144789062923</v>
      </c>
      <c r="N88" s="180">
        <f>C88*(1-D88)*L88*0.453592/(52.49*12*80*2.54^2/100/100/10000)</f>
        <v>3447.194251952661</v>
      </c>
      <c r="O88" s="180">
        <f>M88+N88</f>
        <v>6030.8087308589529</v>
      </c>
    </row>
    <row r="89" spans="1:15" x14ac:dyDescent="0.2">
      <c r="A89" s="13">
        <v>10</v>
      </c>
      <c r="B89" s="13">
        <v>7</v>
      </c>
      <c r="C89" s="13">
        <v>46.3</v>
      </c>
      <c r="D89" s="179">
        <v>5.2870396629258937E-2</v>
      </c>
      <c r="E89" s="179">
        <v>0.34883269333050249</v>
      </c>
      <c r="F89" s="179">
        <v>0.54417900159558386</v>
      </c>
      <c r="G89" s="180">
        <f>C89*(1-D89)*E89*0.453592/(52.49*12*80*2.54^2/100/100/10000)</f>
        <v>2134.3111367180395</v>
      </c>
      <c r="H89" s="180">
        <f>C89*(1-D89)*F89*0.453592/(52.49*12*80*2.54^2/100/100/10000)</f>
        <v>3329.5253732801416</v>
      </c>
      <c r="I89" s="180">
        <f>G89+H89</f>
        <v>5463.8365099981811</v>
      </c>
      <c r="K89" s="179">
        <v>0.41564718966549746</v>
      </c>
      <c r="L89" s="179">
        <v>0.55150141158354016</v>
      </c>
      <c r="M89" s="180">
        <f>C89*(1-D89)*K89*0.453592/(52.49*12*80*2.54^2/100/100/10000)</f>
        <v>2543.1114766760747</v>
      </c>
      <c r="N89" s="180">
        <f>C89*(1-D89)*L89*0.453592/(52.49*12*80*2.54^2/100/100/10000)</f>
        <v>3374.3270833368974</v>
      </c>
      <c r="O89" s="180">
        <f>M89+N89</f>
        <v>5917.4385600129717</v>
      </c>
    </row>
    <row r="90" spans="1:15" x14ac:dyDescent="0.2">
      <c r="A90" s="13">
        <v>10</v>
      </c>
      <c r="B90" s="13">
        <v>8</v>
      </c>
      <c r="C90" s="13">
        <v>46.699999999999996</v>
      </c>
      <c r="D90" s="179">
        <v>5.0595089885961834E-2</v>
      </c>
      <c r="E90" s="179">
        <v>0.36050432810105759</v>
      </c>
      <c r="F90" s="179">
        <v>0.54075649215158639</v>
      </c>
      <c r="G90" s="180">
        <f>C90*(1-D90)*E90*0.453592/(52.49*12*80*2.54^2/100/100/10000)</f>
        <v>2230.1238607746554</v>
      </c>
      <c r="H90" s="180">
        <f>C90*(1-D90)*F90*0.453592/(52.49*12*80*2.54^2/100/100/10000)</f>
        <v>3345.1857911619836</v>
      </c>
      <c r="I90" s="180">
        <f>G90+H90</f>
        <v>5575.3096519366391</v>
      </c>
      <c r="K90" s="179">
        <v>0.4168895882507212</v>
      </c>
      <c r="L90" s="179">
        <v>0.55735641227380017</v>
      </c>
      <c r="M90" s="180">
        <f>C90*(1-D90)*K90*0.453592/(52.49*12*80*2.54^2/100/100/10000)</f>
        <v>2578.9299755808602</v>
      </c>
      <c r="N90" s="180">
        <f>C90*(1-D90)*L90*0.453592/(52.49*12*80*2.54^2/100/100/10000)</f>
        <v>3447.8749270913713</v>
      </c>
      <c r="O90" s="180">
        <f>M90+N90</f>
        <v>6026.804902672231</v>
      </c>
    </row>
    <row r="91" spans="1:15" x14ac:dyDescent="0.2">
      <c r="A91" s="13">
        <v>10</v>
      </c>
      <c r="B91" s="13">
        <v>9</v>
      </c>
      <c r="C91" s="13">
        <v>35</v>
      </c>
      <c r="D91" s="179">
        <v>4.7044527384775638E-2</v>
      </c>
      <c r="E91" s="179">
        <v>0.36980766560043982</v>
      </c>
      <c r="F91" s="179">
        <v>0.5547114984006597</v>
      </c>
      <c r="G91" s="180">
        <f>C91*(1-D91)*E91*0.453592/(52.49*12*80*2.54^2/100/100/10000)</f>
        <v>1720.9438843220464</v>
      </c>
      <c r="H91" s="180">
        <f>C91*(1-D91)*F91*0.453592/(52.49*12*80*2.54^2/100/100/10000)</f>
        <v>2581.4158264830703</v>
      </c>
      <c r="I91" s="180">
        <f>G91+H91</f>
        <v>4302.3597108051163</v>
      </c>
      <c r="K91" s="179">
        <v>0.41802532106749252</v>
      </c>
      <c r="L91" s="179">
        <v>0.55820202204208025</v>
      </c>
      <c r="M91" s="180">
        <f>C91*(1-D91)*K91*0.453592/(52.49*12*80*2.54^2/100/100/10000)</f>
        <v>1945.3304695964248</v>
      </c>
      <c r="N91" s="180">
        <f>C91*(1-D91)*L91*0.453592/(52.49*12*80*2.54^2/100/100/10000)</f>
        <v>2597.6593927272447</v>
      </c>
      <c r="O91" s="180">
        <f>M91+N91</f>
        <v>4542.9898623236695</v>
      </c>
    </row>
    <row r="92" spans="1:15" x14ac:dyDescent="0.2">
      <c r="A92" s="13">
        <v>10</v>
      </c>
      <c r="B92" s="13">
        <v>10</v>
      </c>
      <c r="C92" s="13">
        <v>29.6</v>
      </c>
      <c r="D92" s="179">
        <v>4.5439578531445486E-2</v>
      </c>
      <c r="E92" s="179">
        <v>0.34893307683937458</v>
      </c>
      <c r="F92" s="179">
        <v>0.57098139846443119</v>
      </c>
      <c r="G92" s="180">
        <f>C92*(1-D92)*E92*0.453592/(52.49*12*80*2.54^2/100/100/10000)</f>
        <v>1375.5849693550256</v>
      </c>
      <c r="H92" s="180">
        <f>C92*(1-D92)*F92*0.453592/(52.49*12*80*2.54^2/100/100/10000)</f>
        <v>2250.9572225809511</v>
      </c>
      <c r="I92" s="180">
        <f>G92+H92</f>
        <v>3626.5421919359769</v>
      </c>
      <c r="K92" s="179">
        <v>0.40930370078352141</v>
      </c>
      <c r="L92" s="179">
        <v>0.56916177992411177</v>
      </c>
      <c r="M92" s="180">
        <f>C92*(1-D92)*K92*0.453592/(52.49*12*80*2.54^2/100/100/10000)</f>
        <v>1613.5816753147228</v>
      </c>
      <c r="N92" s="180">
        <f>C92*(1-D92)*L92*0.453592/(52.49*12*80*2.54^2/100/100/10000)</f>
        <v>2243.7838128924932</v>
      </c>
      <c r="O92" s="180">
        <f>M92+N92</f>
        <v>3857.365488207216</v>
      </c>
    </row>
    <row r="93" spans="1:15" x14ac:dyDescent="0.2">
      <c r="A93" s="13">
        <v>11</v>
      </c>
      <c r="B93" s="13">
        <v>1</v>
      </c>
      <c r="C93" s="13">
        <v>19</v>
      </c>
      <c r="D93" s="179">
        <v>5.2835051546391752E-2</v>
      </c>
      <c r="E93" s="179">
        <v>0.3561313466063406</v>
      </c>
      <c r="F93" s="179">
        <v>0.54267633768585244</v>
      </c>
      <c r="G93" s="180">
        <f>C93*(1-D93)*E93*0.453592/(52.49*12*80*2.54^2/100/100/10000)</f>
        <v>894.21009389271228</v>
      </c>
      <c r="H93" s="180">
        <f>C93*(1-D93)*F93*0.453592/(52.49*12*80*2.54^2/100/100/10000)</f>
        <v>1362.6058573603236</v>
      </c>
      <c r="I93" s="180">
        <f>G93+H93</f>
        <v>2256.815951253036</v>
      </c>
      <c r="K93" s="179">
        <v>0.41730612244897963</v>
      </c>
      <c r="L93" s="179">
        <v>0.55118367346938779</v>
      </c>
      <c r="M93" s="180">
        <f>C93*(1-D93)*K93*0.453592/(52.49*12*80*2.54^2/100/100/10000)</f>
        <v>1047.8138206395729</v>
      </c>
      <c r="N93" s="180">
        <f>C93*(1-D93)*L93*0.453592/(52.49*12*80*2.54^2/100/100/10000)</f>
        <v>1383.9669242876362</v>
      </c>
      <c r="O93" s="180">
        <f>M93+N93</f>
        <v>2431.7807449272091</v>
      </c>
    </row>
    <row r="94" spans="1:15" x14ac:dyDescent="0.2">
      <c r="A94" s="13">
        <v>11</v>
      </c>
      <c r="B94" s="13">
        <v>2</v>
      </c>
      <c r="C94" s="13">
        <v>16.2</v>
      </c>
      <c r="D94" s="179">
        <v>5.3490658800393158E-2</v>
      </c>
      <c r="E94" s="179">
        <v>0.3455005601404797</v>
      </c>
      <c r="F94" s="179">
        <v>0.52647704402358819</v>
      </c>
      <c r="G94" s="180">
        <f>C94*(1-D94)*E94*0.453592/(52.49*12*80*2.54^2/100/100/10000)</f>
        <v>739.16062161664036</v>
      </c>
      <c r="H94" s="180">
        <f>C94*(1-D94)*F94*0.453592/(52.49*12*80*2.54^2/100/100/10000)</f>
        <v>1126.3399948444046</v>
      </c>
      <c r="I94" s="180">
        <f>G94+H94</f>
        <v>1865.500616461045</v>
      </c>
      <c r="K94" s="179">
        <v>0.42265738624558485</v>
      </c>
      <c r="L94" s="179">
        <v>0.55152711406607102</v>
      </c>
      <c r="M94" s="180">
        <f>C94*(1-D94)*K94*0.453592/(52.49*12*80*2.54^2/100/100/10000)</f>
        <v>904.22920362596551</v>
      </c>
      <c r="N94" s="180">
        <f>C94*(1-D94)*L94*0.453592/(52.49*12*80*2.54^2/100/100/10000)</f>
        <v>1179.9318771169353</v>
      </c>
      <c r="O94" s="180">
        <f>M94+N94</f>
        <v>2084.1610807429006</v>
      </c>
    </row>
    <row r="95" spans="1:15" x14ac:dyDescent="0.2">
      <c r="A95" s="13">
        <v>11</v>
      </c>
      <c r="B95" s="13">
        <v>3</v>
      </c>
      <c r="C95" s="13">
        <v>27.2</v>
      </c>
      <c r="D95" s="179">
        <v>5.0275379577255204E-2</v>
      </c>
      <c r="E95" s="179">
        <v>0.31494608883553937</v>
      </c>
      <c r="F95" s="179">
        <v>0.50991271525754001</v>
      </c>
      <c r="G95" s="180">
        <f>C95*(1-D95)*E95*0.453592/(52.49*12*80*2.54^2/100/100/10000)</f>
        <v>1135.1492522537287</v>
      </c>
      <c r="H95" s="180">
        <f>C95*(1-D95)*F95*0.453592/(52.49*12*80*2.54^2/100/100/10000)</f>
        <v>1837.8606941250848</v>
      </c>
      <c r="I95" s="180">
        <f>G95+H95</f>
        <v>2973.0099463788138</v>
      </c>
      <c r="K95" s="179">
        <v>0.41969358567454251</v>
      </c>
      <c r="L95" s="179">
        <v>0.54750989381293835</v>
      </c>
      <c r="M95" s="180">
        <f>C95*(1-D95)*K95*0.453592/(52.49*12*80*2.54^2/100/100/10000)</f>
        <v>1512.6870180087251</v>
      </c>
      <c r="N95" s="180">
        <f>C95*(1-D95)*L95*0.453592/(52.49*12*80*2.54^2/100/100/10000)</f>
        <v>1973.3708993218113</v>
      </c>
      <c r="O95" s="180">
        <f>M95+N95</f>
        <v>3486.0579173305364</v>
      </c>
    </row>
    <row r="96" spans="1:15" x14ac:dyDescent="0.2">
      <c r="A96" s="13">
        <v>11</v>
      </c>
      <c r="B96" s="13">
        <v>4</v>
      </c>
      <c r="C96" s="13">
        <v>28.5</v>
      </c>
      <c r="D96" s="179">
        <v>4.9811992075364984E-2</v>
      </c>
      <c r="E96" s="179">
        <v>0.37000659387671758</v>
      </c>
      <c r="F96" s="179">
        <v>0.55500989081507635</v>
      </c>
      <c r="G96" s="180">
        <f>C96*(1-D96)*E96*0.453592/(52.49*12*80*2.54^2/100/100/10000)</f>
        <v>1398.0220328414428</v>
      </c>
      <c r="H96" s="180">
        <f>C96*(1-D96)*F96*0.453592/(52.49*12*80*2.54^2/100/100/10000)</f>
        <v>2097.0330492621638</v>
      </c>
      <c r="I96" s="180">
        <f>G96+H96</f>
        <v>3495.0550821036068</v>
      </c>
      <c r="K96" s="179">
        <v>0.41296115058933663</v>
      </c>
      <c r="L96" s="179">
        <v>0.55448704310454877</v>
      </c>
      <c r="M96" s="180">
        <f>C96*(1-D96)*K96*0.453592/(52.49*12*80*2.54^2/100/100/10000)</f>
        <v>1560.3202666809921</v>
      </c>
      <c r="N96" s="180">
        <f>C96*(1-D96)*L96*0.453592/(52.49*12*80*2.54^2/100/100/10000)</f>
        <v>2095.0575368490477</v>
      </c>
      <c r="O96" s="180">
        <f>M96+N96</f>
        <v>3655.3778035300397</v>
      </c>
    </row>
    <row r="97" spans="1:15" x14ac:dyDescent="0.2">
      <c r="A97" s="13">
        <v>11</v>
      </c>
      <c r="B97" s="13">
        <v>5</v>
      </c>
      <c r="C97" s="13">
        <v>25</v>
      </c>
      <c r="D97" s="179">
        <v>4.9763341873290109E-2</v>
      </c>
      <c r="E97" s="179">
        <v>0.35558429384657669</v>
      </c>
      <c r="F97" s="179">
        <v>0.52626475489293356</v>
      </c>
      <c r="G97" s="180">
        <f>C97*(1-D97)*E97*0.453592/(52.49*12*80*2.54^2/100/100/10000)</f>
        <v>1178.5947614580118</v>
      </c>
      <c r="H97" s="180">
        <f>C97*(1-D97)*F97*0.453592/(52.49*12*80*2.54^2/100/100/10000)</f>
        <v>1744.3202469578575</v>
      </c>
      <c r="I97" s="180">
        <f>G97+H97</f>
        <v>2922.9150084158691</v>
      </c>
      <c r="K97" s="179">
        <v>0.42005209523374309</v>
      </c>
      <c r="L97" s="179">
        <v>0.55193529223598226</v>
      </c>
      <c r="M97" s="180">
        <f>C97*(1-D97)*K97*0.453592/(52.49*12*80*2.54^2/100/100/10000)</f>
        <v>1392.2752144827828</v>
      </c>
      <c r="N97" s="180">
        <f>C97*(1-D97)*L97*0.453592/(52.49*12*80*2.54^2/100/100/10000)</f>
        <v>1829.4060096304447</v>
      </c>
      <c r="O97" s="180">
        <f>M97+N97</f>
        <v>3221.6812241132275</v>
      </c>
    </row>
    <row r="98" spans="1:15" x14ac:dyDescent="0.2">
      <c r="A98" s="13">
        <v>11</v>
      </c>
      <c r="B98" s="13">
        <v>6</v>
      </c>
      <c r="C98" s="13">
        <v>19.299999999999997</v>
      </c>
      <c r="D98" s="179">
        <v>5.1215438856930751E-2</v>
      </c>
      <c r="E98" s="179">
        <v>0.34969876070704714</v>
      </c>
      <c r="F98" s="179">
        <v>0.54735458197624776</v>
      </c>
      <c r="G98" s="180">
        <f>C98*(1-D98)*E98*0.453592/(52.49*12*80*2.54^2/100/100/10000)</f>
        <v>893.44774823716534</v>
      </c>
      <c r="H98" s="180">
        <f>C98*(1-D98)*F98*0.453592/(52.49*12*80*2.54^2/100/100/10000)</f>
        <v>1398.4399537625197</v>
      </c>
      <c r="I98" s="180">
        <f>G98+H98</f>
        <v>2291.8877019996853</v>
      </c>
      <c r="K98" s="179">
        <v>0.41438490123215332</v>
      </c>
      <c r="L98" s="179">
        <v>0.55754938392333264</v>
      </c>
      <c r="M98" s="180">
        <f>C98*(1-D98)*K98*0.453592/(52.49*12*80*2.54^2/100/100/10000)</f>
        <v>1058.7148097430666</v>
      </c>
      <c r="N98" s="180">
        <f>C98*(1-D98)*L98*0.453592/(52.49*12*80*2.54^2/100/100/10000)</f>
        <v>1424.4867227728832</v>
      </c>
      <c r="O98" s="180">
        <f>M98+N98</f>
        <v>2483.20153251595</v>
      </c>
    </row>
    <row r="99" spans="1:15" x14ac:dyDescent="0.2">
      <c r="A99" s="13">
        <v>11</v>
      </c>
      <c r="B99" s="13">
        <v>7</v>
      </c>
      <c r="C99" s="13">
        <v>16.399999999999999</v>
      </c>
      <c r="D99" s="179">
        <v>5.4395053475935755E-2</v>
      </c>
      <c r="E99" s="179">
        <v>0.33804213535014555</v>
      </c>
      <c r="F99" s="179">
        <v>0.52910942924370608</v>
      </c>
      <c r="G99" s="180">
        <f>C99*(1-D99)*E99*0.453592/(52.49*12*80*2.54^2/100/100/10000)</f>
        <v>731.43302795683326</v>
      </c>
      <c r="H99" s="180">
        <f>C99*(1-D99)*F99*0.453592/(52.49*12*80*2.54^2/100/100/10000)</f>
        <v>1144.8516959324347</v>
      </c>
      <c r="I99" s="180">
        <f>G99+H99</f>
        <v>1876.284723889268</v>
      </c>
      <c r="K99" s="179">
        <v>0.42042944243173985</v>
      </c>
      <c r="L99" s="179">
        <v>0.5484669081912168</v>
      </c>
      <c r="M99" s="180">
        <f>C99*(1-D99)*K99*0.453592/(52.49*12*80*2.54^2/100/100/10000)</f>
        <v>909.69718849256526</v>
      </c>
      <c r="N99" s="180">
        <f>C99*(1-D99)*L99*0.453592/(52.49*12*80*2.54^2/100/100/10000)</f>
        <v>1186.7361179010829</v>
      </c>
      <c r="O99" s="180">
        <f>M99+N99</f>
        <v>2096.4333063936483</v>
      </c>
    </row>
    <row r="100" spans="1:15" x14ac:dyDescent="0.2">
      <c r="A100" s="13">
        <v>11</v>
      </c>
      <c r="B100" s="13">
        <v>8</v>
      </c>
      <c r="C100" s="13">
        <v>20.5</v>
      </c>
      <c r="D100" s="179">
        <v>4.9331413289446541E-2</v>
      </c>
      <c r="E100" s="179">
        <v>0.3720300674369808</v>
      </c>
      <c r="F100" s="179">
        <v>0.55115565546219381</v>
      </c>
      <c r="G100" s="180">
        <f>C100*(1-D100)*E100*0.453592/(52.49*12*80*2.54^2/100/100/10000)</f>
        <v>1011.6055255130256</v>
      </c>
      <c r="H100" s="180">
        <f>C100*(1-D100)*F100*0.453592/(52.49*12*80*2.54^2/100/100/10000)</f>
        <v>1498.6748526118899</v>
      </c>
      <c r="I100" s="180">
        <f>G100+H100</f>
        <v>2510.2803781249154</v>
      </c>
      <c r="K100" s="179">
        <v>0.42534406647623996</v>
      </c>
      <c r="L100" s="179">
        <v>0.54955422833895962</v>
      </c>
      <c r="M100" s="180">
        <f>C100*(1-D100)*K100*0.453592/(52.49*12*80*2.54^2/100/100/10000)</f>
        <v>1156.5742813635093</v>
      </c>
      <c r="N100" s="180">
        <f>C100*(1-D100)*L100*0.453592/(52.49*12*80*2.54^2/100/100/10000)</f>
        <v>1494.3203321890355</v>
      </c>
      <c r="O100" s="180">
        <f>M100+N100</f>
        <v>2650.8946135525448</v>
      </c>
    </row>
    <row r="101" spans="1:15" x14ac:dyDescent="0.2">
      <c r="A101" s="13">
        <v>11</v>
      </c>
      <c r="B101" s="13">
        <v>9</v>
      </c>
      <c r="C101" s="13">
        <v>16.899999999999999</v>
      </c>
      <c r="D101" s="179">
        <v>5.0807136788445034E-2</v>
      </c>
      <c r="E101" s="179">
        <v>0.36050432810105759</v>
      </c>
      <c r="F101" s="179">
        <v>0.54075649215158639</v>
      </c>
      <c r="G101" s="180">
        <f>C101*(1-D101)*E101*0.453592/(52.49*12*80*2.54^2/100/100/10000)</f>
        <v>806.86671294798441</v>
      </c>
      <c r="H101" s="180">
        <f>C101*(1-D101)*F101*0.453592/(52.49*12*80*2.54^2/100/100/10000)</f>
        <v>1210.3000694219766</v>
      </c>
      <c r="I101" s="180">
        <f>G101+H101</f>
        <v>2017.1667823699609</v>
      </c>
      <c r="K101" s="179">
        <v>0.41938178780284041</v>
      </c>
      <c r="L101" s="179">
        <v>0.54773839360305521</v>
      </c>
      <c r="M101" s="180">
        <f>C101*(1-D101)*K101*0.453592/(52.49*12*80*2.54^2/100/100/10000)</f>
        <v>938.64394465708006</v>
      </c>
      <c r="N101" s="180">
        <f>C101*(1-D101)*L101*0.453592/(52.49*12*80*2.54^2/100/100/10000)</f>
        <v>1225.9266886749199</v>
      </c>
      <c r="O101" s="180">
        <f>M101+N101</f>
        <v>2164.5706333319999</v>
      </c>
    </row>
    <row r="102" spans="1:15" x14ac:dyDescent="0.2">
      <c r="A102" s="13">
        <v>11</v>
      </c>
      <c r="B102" s="13">
        <v>10</v>
      </c>
      <c r="C102" s="13">
        <v>12.9</v>
      </c>
      <c r="D102" s="179">
        <v>4.9360918128430666E-2</v>
      </c>
      <c r="E102" s="179">
        <v>0.34530233836185648</v>
      </c>
      <c r="F102" s="179">
        <v>0.51795350754278469</v>
      </c>
      <c r="G102" s="180">
        <f>C102*(1-D102)*E102*0.453592/(52.49*12*80*2.54^2/100/100/10000)</f>
        <v>590.81980042004147</v>
      </c>
      <c r="H102" s="180">
        <f>C102*(1-D102)*F102*0.453592/(52.49*12*80*2.54^2/100/100/10000)</f>
        <v>886.2297006300621</v>
      </c>
      <c r="I102" s="180">
        <f>G102+H102</f>
        <v>1477.0495010501036</v>
      </c>
      <c r="K102" s="179">
        <v>0.40832559454112327</v>
      </c>
      <c r="L102" s="179">
        <v>0.55602212621633629</v>
      </c>
      <c r="M102" s="180">
        <f>C102*(1-D102)*K102*0.453592/(52.49*12*80*2.54^2/100/100/10000)</f>
        <v>698.65396051957441</v>
      </c>
      <c r="N102" s="180">
        <f>C102*(1-D102)*L102*0.453592/(52.49*12*80*2.54^2/100/100/10000)</f>
        <v>951.36593397755973</v>
      </c>
      <c r="O102" s="180">
        <f>M102+N102</f>
        <v>1650.0198944971341</v>
      </c>
    </row>
    <row r="105" spans="1:15" x14ac:dyDescent="0.2">
      <c r="B105" s="13" t="s">
        <v>321</v>
      </c>
      <c r="C105" s="181">
        <f>AVERAGE(C13:C22,C53:C62)</f>
        <v>49.949999999999996</v>
      </c>
      <c r="D105" s="179">
        <f>AVERAGE(D13:D22,D53:D62)</f>
        <v>6.0940335274045465E-2</v>
      </c>
      <c r="E105" s="179">
        <f>AVERAGE(E13:E22,E53:E62)</f>
        <v>0.35567200583609704</v>
      </c>
      <c r="F105" s="179">
        <f>AVERAGE(F13:F22,F53:F62)</f>
        <v>0.5300124218529374</v>
      </c>
      <c r="G105" s="180">
        <f>AVERAGE(G13:G22,G53:G62)</f>
        <v>2327.1754406782575</v>
      </c>
      <c r="H105" s="180">
        <f>AVERAGE(H13:H22,H53:H62)</f>
        <v>3467.4763427698717</v>
      </c>
      <c r="I105" s="180">
        <f>AVERAGE(I13:I22,I53:I62)</f>
        <v>5794.6517834481292</v>
      </c>
      <c r="K105" s="179">
        <f>AVERAGE(K13:K22,K53:K62)</f>
        <v>0.42148562945634616</v>
      </c>
      <c r="L105" s="179">
        <f>AVERAGE(L13:L22,L53:L62)</f>
        <v>0.54317134166269077</v>
      </c>
      <c r="M105" s="180">
        <f>AVERAGE(M13:M22,M53:M62)</f>
        <v>2758.1279070284386</v>
      </c>
      <c r="N105" s="180">
        <f>AVERAGE(N13:N22,N53:N62)</f>
        <v>3554.6259498315367</v>
      </c>
      <c r="O105" s="180">
        <f>AVERAGE(O13:O22,O53:O62)</f>
        <v>6312.7538568599739</v>
      </c>
    </row>
    <row r="106" spans="1:15" x14ac:dyDescent="0.2">
      <c r="B106" s="13" t="s">
        <v>237</v>
      </c>
      <c r="C106" s="181">
        <f>AVERAGE(C3:C12,C83:C92)</f>
        <v>45.570000000000007</v>
      </c>
      <c r="D106" s="179">
        <f>AVERAGE(D3:D12,D83:D92)</f>
        <v>5.810326043806132E-2</v>
      </c>
      <c r="E106" s="179">
        <f>AVERAGE(E3:E12,E83:E92)</f>
        <v>0.35680027781574214</v>
      </c>
      <c r="F106" s="179">
        <f>AVERAGE(F3:F12,F83:F92)</f>
        <v>0.54208359409792206</v>
      </c>
      <c r="G106" s="180">
        <f>AVERAGE(G3:G12,G83:G92)</f>
        <v>2134.9537996615154</v>
      </c>
      <c r="H106" s="180">
        <f>AVERAGE(H3:H12,H83:H92)</f>
        <v>3238.2556960635038</v>
      </c>
      <c r="I106" s="180">
        <f>AVERAGE(I3:I12,I83:I92)</f>
        <v>5373.2094957250183</v>
      </c>
      <c r="K106" s="179">
        <f>AVERAGE(K3:K12,K83:K92)</f>
        <v>0.42062833758023421</v>
      </c>
      <c r="L106" s="179">
        <f>AVERAGE(L3:L12,L83:L92)</f>
        <v>0.54868202455141668</v>
      </c>
      <c r="M106" s="180">
        <f>AVERAGE(M3:M12,M83:M92)</f>
        <v>2519.4702244019018</v>
      </c>
      <c r="N106" s="180">
        <f>AVERAGE(N3:N12,N83:N92)</f>
        <v>3279.9440199422688</v>
      </c>
      <c r="O106" s="180">
        <f>AVERAGE(O3:O12,O83:O92)</f>
        <v>5799.4142443441715</v>
      </c>
    </row>
    <row r="107" spans="1:15" x14ac:dyDescent="0.2">
      <c r="B107" s="13" t="s">
        <v>277</v>
      </c>
      <c r="C107" s="181">
        <f>AVERAGE(C43:C52,C93:C102)</f>
        <v>24.379999999999995</v>
      </c>
      <c r="D107" s="179">
        <f>AVERAGE(D43:D52,D93:D102)</f>
        <v>5.3255686316509412E-2</v>
      </c>
      <c r="E107" s="179">
        <f>AVERAGE(E43:E52,E93:E102)</f>
        <v>0.35361885769072687</v>
      </c>
      <c r="F107" s="179">
        <f>AVERAGE(F43:F52,F93:F102)</f>
        <v>0.53948991926277434</v>
      </c>
      <c r="G107" s="180">
        <f>AVERAGE(G43:G52,G93:G102)</f>
        <v>1140.9271361884003</v>
      </c>
      <c r="H107" s="180">
        <f>AVERAGE(H43:H52,H93:H102)</f>
        <v>1742.1933335743415</v>
      </c>
      <c r="I107" s="180">
        <f>AVERAGE(I43:I52,I93:I102)</f>
        <v>2883.1204697627422</v>
      </c>
      <c r="K107" s="179">
        <f>AVERAGE(K43:K52,K93:K102)</f>
        <v>0.42011563713982791</v>
      </c>
      <c r="L107" s="179">
        <f>AVERAGE(L43:L52,L93:L102)</f>
        <v>0.54953792361830645</v>
      </c>
      <c r="M107" s="180">
        <f>AVERAGE(M43:M52,M93:M102)</f>
        <v>1352.8989251657295</v>
      </c>
      <c r="N107" s="180">
        <f>AVERAGE(N43:N52,N93:N102)</f>
        <v>1769.4140170661783</v>
      </c>
      <c r="O107" s="180">
        <f>AVERAGE(O43:O52,O93:O102)</f>
        <v>3122.3129422319084</v>
      </c>
    </row>
    <row r="108" spans="1:15" x14ac:dyDescent="0.2">
      <c r="B108" s="13" t="s">
        <v>236</v>
      </c>
      <c r="C108" s="181">
        <f>AVERAGE(C33:C42,C73:C82)</f>
        <v>45.334999999999994</v>
      </c>
      <c r="D108" s="179">
        <f>AVERAGE(D33:D42,D73:D82)</f>
        <v>5.7269699034469178E-2</v>
      </c>
      <c r="E108" s="179">
        <f>AVERAGE(E33:E42,E73:E82)</f>
        <v>0.35677984895300829</v>
      </c>
      <c r="F108" s="179">
        <f>AVERAGE(F33:F42,F73:F82)</f>
        <v>0.54177220637195178</v>
      </c>
      <c r="G108" s="180">
        <f>AVERAGE(G33:G42,G73:G82)</f>
        <v>2127.2341847967255</v>
      </c>
      <c r="H108" s="180">
        <f>AVERAGE(H33:H42,H73:H82)</f>
        <v>3227.9390396644576</v>
      </c>
      <c r="I108" s="180">
        <f>AVERAGE(I33:I42,I73:I82)</f>
        <v>5355.1732244611821</v>
      </c>
      <c r="K108" s="179">
        <f>AVERAGE(K33:K42,K73:K82)</f>
        <v>0.42086767652065005</v>
      </c>
      <c r="L108" s="179">
        <f>AVERAGE(L33:L42,L73:L82)</f>
        <v>0.55047064131187173</v>
      </c>
      <c r="M108" s="180">
        <f>AVERAGE(M33:M42,M73:M82)</f>
        <v>2513.5185381708579</v>
      </c>
      <c r="N108" s="180">
        <f>AVERAGE(N33:N42,N73:N82)</f>
        <v>3282.8884395924752</v>
      </c>
      <c r="O108" s="180">
        <f>AVERAGE(O33:O42,O73:O82)</f>
        <v>5796.4069777633331</v>
      </c>
    </row>
    <row r="109" spans="1:15" x14ac:dyDescent="0.2">
      <c r="B109" s="13" t="s">
        <v>235</v>
      </c>
      <c r="C109" s="181">
        <f>AVERAGE(C23:C32,C63:C72)</f>
        <v>47.600000000000009</v>
      </c>
      <c r="D109" s="179">
        <f>AVERAGE(D23:D32,D63:D72)</f>
        <v>5.6117527757882965E-2</v>
      </c>
      <c r="E109" s="179">
        <f>AVERAGE(E23:E32,E63:E72)</f>
        <v>0.35753853991156281</v>
      </c>
      <c r="F109" s="179">
        <f>AVERAGE(F23:F32,F63:F72)</f>
        <v>0.53523724455739363</v>
      </c>
      <c r="G109" s="180">
        <f>AVERAGE(G23:G32,G63:G72)</f>
        <v>2238.9653673514267</v>
      </c>
      <c r="H109" s="180">
        <f>AVERAGE(H23:H32,H63:H72)</f>
        <v>3353.3031961325273</v>
      </c>
      <c r="I109" s="180">
        <f>AVERAGE(I23:I32,I63:I72)</f>
        <v>5592.2685634839545</v>
      </c>
      <c r="K109" s="179">
        <f>AVERAGE(K23:K32,K63:K72)</f>
        <v>0.42125780463272805</v>
      </c>
      <c r="L109" s="179">
        <f>AVERAGE(L23:L32,L63:L72)</f>
        <v>0.54346995438210821</v>
      </c>
      <c r="M109" s="180">
        <f>AVERAGE(M23:M32,M63:M72)</f>
        <v>2641.2092965116872</v>
      </c>
      <c r="N109" s="180">
        <f>AVERAGE(N23:N32,N63:N72)</f>
        <v>3405.1926178234908</v>
      </c>
      <c r="O109" s="180">
        <f>AVERAGE(O23:O32,O63:O72)</f>
        <v>6046.4019143351779</v>
      </c>
    </row>
    <row r="111" spans="1:15" ht="15" x14ac:dyDescent="0.25">
      <c r="B111" s="182" t="s">
        <v>320</v>
      </c>
      <c r="C111" s="181">
        <f>AVERAGE(C13:C22)</f>
        <v>50.410000000000004</v>
      </c>
      <c r="D111" s="179">
        <f>AVERAGE(D13:D22)</f>
        <v>6.3336229321624998E-2</v>
      </c>
      <c r="E111" s="179">
        <f>AVERAGE(E13:E22)</f>
        <v>0.35960896124024294</v>
      </c>
      <c r="F111" s="179">
        <f>AVERAGE(F13:F22)</f>
        <v>0.53288062641928435</v>
      </c>
      <c r="G111" s="180">
        <f>AVERAGE(G13:G22)</f>
        <v>2368.59698370046</v>
      </c>
      <c r="H111" s="180">
        <f>AVERAGE(H13:H22)</f>
        <v>3508.5100042928143</v>
      </c>
      <c r="I111" s="180">
        <f>AVERAGE(I13:I22)</f>
        <v>5877.1069879932747</v>
      </c>
      <c r="K111" s="179" t="s">
        <v>319</v>
      </c>
      <c r="L111" s="179" t="s">
        <v>11</v>
      </c>
      <c r="M111" s="13" t="s">
        <v>318</v>
      </c>
    </row>
    <row r="112" spans="1:15" ht="15" x14ac:dyDescent="0.25">
      <c r="B112" s="182" t="s">
        <v>317</v>
      </c>
      <c r="C112" s="181">
        <f>AVERAGE(C3:C12)</f>
        <v>48.21</v>
      </c>
      <c r="D112" s="179">
        <f>AVERAGE(D3:D12)</f>
        <v>6.7081608437165902E-2</v>
      </c>
      <c r="E112" s="179">
        <f>AVERAGE(E3:E12)</f>
        <v>0.35798730780471877</v>
      </c>
      <c r="F112" s="179">
        <f>AVERAGE(F3:F12)</f>
        <v>0.53369077751607086</v>
      </c>
      <c r="G112" s="180">
        <f>AVERAGE(G3:G12)</f>
        <v>2245.1385974802288</v>
      </c>
      <c r="H112" s="180">
        <f>AVERAGE(H3:H12)</f>
        <v>3346.7566300860562</v>
      </c>
      <c r="I112" s="180">
        <f>AVERAGE(I3:I12)</f>
        <v>5591.895227566285</v>
      </c>
      <c r="K112" s="179">
        <f>AVERAGE(K3:K102)*100</f>
        <v>42.087101706595725</v>
      </c>
      <c r="L112" s="179">
        <f>AVERAGE(L3:L102)*100</f>
        <v>54.706637710527886</v>
      </c>
      <c r="M112" s="179">
        <f>100-K112-L112</f>
        <v>3.2062605828763893</v>
      </c>
    </row>
    <row r="113" spans="2:9" ht="15" x14ac:dyDescent="0.25">
      <c r="B113" s="182" t="s">
        <v>316</v>
      </c>
      <c r="C113" s="181">
        <f>AVERAGE(C43:C52)</f>
        <v>28.57</v>
      </c>
      <c r="D113" s="179">
        <f>AVERAGE(D43:D52)</f>
        <v>5.5382734191830409E-2</v>
      </c>
      <c r="E113" s="179">
        <f>AVERAGE(E43:E52)</f>
        <v>0.35646306405517969</v>
      </c>
      <c r="F113" s="179">
        <f>AVERAGE(F43:F52)</f>
        <v>0.54431279762039775</v>
      </c>
      <c r="G113" s="180">
        <f>AVERAGE(G43:G52)</f>
        <v>1343.9233146630418</v>
      </c>
      <c r="H113" s="180">
        <f>AVERAGE(H43:H52)</f>
        <v>2053.7210556578111</v>
      </c>
      <c r="I113" s="180">
        <f>AVERAGE(I43:I52)</f>
        <v>3397.6443703208543</v>
      </c>
    </row>
    <row r="114" spans="2:9" ht="15" x14ac:dyDescent="0.25">
      <c r="B114" s="182" t="s">
        <v>315</v>
      </c>
      <c r="C114" s="181">
        <f>AVERAGE(C53:C62)</f>
        <v>49.489999999999995</v>
      </c>
      <c r="D114" s="179">
        <f>AVERAGE(D53:D62)</f>
        <v>5.8544441226465925E-2</v>
      </c>
      <c r="E114" s="179">
        <f>AVERAGE(E53:E62)</f>
        <v>0.35173505043195119</v>
      </c>
      <c r="F114" s="179">
        <f>AVERAGE(F53:F62)</f>
        <v>0.52714421728659044</v>
      </c>
      <c r="G114" s="180">
        <f>AVERAGE(G53:G62)</f>
        <v>2285.7538976560531</v>
      </c>
      <c r="H114" s="180">
        <f>AVERAGE(H53:H62)</f>
        <v>3426.4426812469283</v>
      </c>
      <c r="I114" s="180">
        <f>AVERAGE(I53:I62)</f>
        <v>5712.1965789029828</v>
      </c>
    </row>
    <row r="115" spans="2:9" ht="15" x14ac:dyDescent="0.25">
      <c r="B115" s="182" t="s">
        <v>314</v>
      </c>
      <c r="C115" s="181">
        <f>AVERAGE(C83:C92)</f>
        <v>42.93</v>
      </c>
      <c r="D115" s="179">
        <f>AVERAGE(D83:D92)</f>
        <v>4.912491243895676E-2</v>
      </c>
      <c r="E115" s="179">
        <f>AVERAGE(E83:E92)</f>
        <v>0.35561324782676579</v>
      </c>
      <c r="F115" s="179">
        <f>AVERAGE(F83:F92)</f>
        <v>0.55047641067977304</v>
      </c>
      <c r="G115" s="180">
        <f>AVERAGE(G83:G92)</f>
        <v>2024.769001842802</v>
      </c>
      <c r="H115" s="180">
        <f>AVERAGE(H83:H92)</f>
        <v>3129.7547620409518</v>
      </c>
      <c r="I115" s="180">
        <f>AVERAGE(I83:I92)</f>
        <v>5154.5237638837543</v>
      </c>
    </row>
    <row r="116" spans="2:9" ht="15" x14ac:dyDescent="0.25">
      <c r="B116" s="182" t="s">
        <v>313</v>
      </c>
      <c r="C116" s="181">
        <f>AVERAGE(C93:C102)</f>
        <v>20.190000000000001</v>
      </c>
      <c r="D116" s="179">
        <f>AVERAGE(D93:D102)</f>
        <v>5.1128638441188402E-2</v>
      </c>
      <c r="E116" s="179">
        <f>AVERAGE(E93:E102)</f>
        <v>0.35077465132627417</v>
      </c>
      <c r="F116" s="179">
        <f>AVERAGE(F93:F102)</f>
        <v>0.53466704090515094</v>
      </c>
      <c r="G116" s="180">
        <f>AVERAGE(G93:G102)</f>
        <v>937.93095771375863</v>
      </c>
      <c r="H116" s="180">
        <f>AVERAGE(H93:H102)</f>
        <v>1430.6656114908717</v>
      </c>
      <c r="I116" s="180">
        <f>AVERAGE(I93:I102)</f>
        <v>2368.5965692046302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3</vt:i4>
      </vt:variant>
    </vt:vector>
  </HeadingPairs>
  <TitlesOfParts>
    <vt:vector size="11" baseType="lpstr">
      <vt:lpstr>Raw Scale</vt:lpstr>
      <vt:lpstr>Plot Scale</vt:lpstr>
      <vt:lpstr>Compare</vt:lpstr>
      <vt:lpstr>Harvest image</vt:lpstr>
      <vt:lpstr>Field weights</vt:lpstr>
      <vt:lpstr>Ginning</vt:lpstr>
      <vt:lpstr>Moisture content</vt:lpstr>
      <vt:lpstr>OrigReduced</vt:lpstr>
      <vt:lpstr>'Field weights'!Print_Area</vt:lpstr>
      <vt:lpstr>'Harvest image'!Print_Area</vt:lpstr>
      <vt:lpstr>Ginning!Print_Titles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2023-09-06T13:49:24Z</dcterms:created>
  <dcterms:modified xsi:type="dcterms:W3CDTF">2025-05-27T22:28:32Z</dcterms:modified>
</cp:coreProperties>
</file>