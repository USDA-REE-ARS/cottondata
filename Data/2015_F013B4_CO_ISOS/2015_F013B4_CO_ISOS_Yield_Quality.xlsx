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tool\tool\Data\2015_F013B4_CO_ISOS\"/>
    </mc:Choice>
  </mc:AlternateContent>
  <xr:revisionPtr revIDLastSave="0" documentId="13_ncr:1_{1F320240-B09A-4D42-8E77-DC082EF572C6}" xr6:coauthVersionLast="47" xr6:coauthVersionMax="47" xr10:uidLastSave="{00000000-0000-0000-0000-000000000000}"/>
  <bookViews>
    <workbookView xWindow="-4590" yWindow="-28920" windowWidth="18240" windowHeight="29040" xr2:uid="{5485CBB2-C13A-4C0B-BAC8-38661C175E52}"/>
  </bookViews>
  <sheets>
    <sheet name="Raw Scale" sheetId="1" r:id="rId1"/>
    <sheet name="Plot Scale" sheetId="2" r:id="rId2"/>
    <sheet name="Compa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30" i="1" l="1"/>
  <c r="AS130" i="1" s="1"/>
  <c r="AP130" i="1"/>
  <c r="AR130" i="1" s="1"/>
  <c r="AO130" i="1"/>
  <c r="AN130" i="1"/>
  <c r="AM130" i="1"/>
  <c r="AJ130" i="1"/>
  <c r="AH130" i="1"/>
  <c r="AI130" i="1" s="1"/>
  <c r="AK130" i="1" s="1"/>
  <c r="AG130" i="1"/>
  <c r="AE130" i="1"/>
  <c r="AD130" i="1"/>
  <c r="AC130" i="1"/>
  <c r="AQ120" i="1"/>
  <c r="AO120" i="1"/>
  <c r="AP120" i="1" s="1"/>
  <c r="AN120" i="1"/>
  <c r="AS120" i="1" s="1"/>
  <c r="AM120" i="1"/>
  <c r="AJ120" i="1"/>
  <c r="AH120" i="1"/>
  <c r="AG120" i="1"/>
  <c r="AE120" i="1"/>
  <c r="AD120" i="1"/>
  <c r="AC120" i="1"/>
  <c r="AQ110" i="1"/>
  <c r="AS110" i="1" s="1"/>
  <c r="AO110" i="1"/>
  <c r="AP110" i="1" s="1"/>
  <c r="AR110" i="1" s="1"/>
  <c r="AN110" i="1"/>
  <c r="AM110" i="1"/>
  <c r="AJ110" i="1"/>
  <c r="AH110" i="1"/>
  <c r="AG110" i="1"/>
  <c r="AI110" i="1" s="1"/>
  <c r="AK110" i="1" s="1"/>
  <c r="AE110" i="1"/>
  <c r="AD110" i="1"/>
  <c r="AC110" i="1"/>
  <c r="AQ100" i="1"/>
  <c r="AO100" i="1"/>
  <c r="AP100" i="1" s="1"/>
  <c r="AN100" i="1"/>
  <c r="AS100" i="1" s="1"/>
  <c r="AM100" i="1"/>
  <c r="AJ100" i="1"/>
  <c r="AH100" i="1"/>
  <c r="AI100" i="1" s="1"/>
  <c r="AK100" i="1" s="1"/>
  <c r="AG100" i="1"/>
  <c r="AE100" i="1"/>
  <c r="AD100" i="1"/>
  <c r="AC100" i="1"/>
  <c r="AS90" i="1"/>
  <c r="AQ90" i="1"/>
  <c r="AO90" i="1"/>
  <c r="AP90" i="1" s="1"/>
  <c r="AR90" i="1" s="1"/>
  <c r="AN90" i="1"/>
  <c r="AM90" i="1"/>
  <c r="AJ90" i="1"/>
  <c r="AH90" i="1"/>
  <c r="AG90" i="1"/>
  <c r="AI90" i="1" s="1"/>
  <c r="AE90" i="1"/>
  <c r="AD90" i="1"/>
  <c r="AC90" i="1"/>
  <c r="AQ80" i="1"/>
  <c r="AS80" i="1" s="1"/>
  <c r="AO80" i="1"/>
  <c r="AP80" i="1" s="1"/>
  <c r="AN80" i="1"/>
  <c r="AM80" i="1"/>
  <c r="AJ80" i="1"/>
  <c r="AH80" i="1"/>
  <c r="AG80" i="1"/>
  <c r="AE80" i="1"/>
  <c r="AD80" i="1"/>
  <c r="AC80" i="1"/>
  <c r="AS70" i="1"/>
  <c r="AQ70" i="1"/>
  <c r="AO70" i="1"/>
  <c r="AP70" i="1" s="1"/>
  <c r="AR70" i="1" s="1"/>
  <c r="AN70" i="1"/>
  <c r="AM70" i="1"/>
  <c r="AJ70" i="1"/>
  <c r="AH70" i="1"/>
  <c r="AG70" i="1"/>
  <c r="AI70" i="1" s="1"/>
  <c r="AK70" i="1" s="1"/>
  <c r="AE70" i="1"/>
  <c r="AD70" i="1"/>
  <c r="AC70" i="1"/>
  <c r="AQ60" i="1"/>
  <c r="AO60" i="1"/>
  <c r="AP60" i="1" s="1"/>
  <c r="AR60" i="1" s="1"/>
  <c r="AN60" i="1"/>
  <c r="AS60" i="1" s="1"/>
  <c r="AM60" i="1"/>
  <c r="AJ60" i="1"/>
  <c r="AH60" i="1"/>
  <c r="AG60" i="1"/>
  <c r="AI60" i="1" s="1"/>
  <c r="AE60" i="1"/>
  <c r="AD60" i="1"/>
  <c r="AC60" i="1"/>
  <c r="AQ50" i="1"/>
  <c r="AS50" i="1" s="1"/>
  <c r="AO50" i="1"/>
  <c r="AP50" i="1" s="1"/>
  <c r="AR50" i="1" s="1"/>
  <c r="AN50" i="1"/>
  <c r="AM50" i="1"/>
  <c r="AJ50" i="1"/>
  <c r="AH50" i="1"/>
  <c r="AG50" i="1"/>
  <c r="AI50" i="1" s="1"/>
  <c r="AK50" i="1" s="1"/>
  <c r="AE50" i="1"/>
  <c r="AD50" i="1"/>
  <c r="AC50" i="1"/>
  <c r="AQ40" i="1"/>
  <c r="AS40" i="1" s="1"/>
  <c r="P40" i="1"/>
  <c r="R40" i="1" s="1"/>
  <c r="AO40" i="1"/>
  <c r="AP40" i="1" s="1"/>
  <c r="AR40" i="1" s="1"/>
  <c r="AT40" i="1" s="1"/>
  <c r="AN40" i="1"/>
  <c r="AM40" i="1"/>
  <c r="AJ40" i="1"/>
  <c r="AH40" i="1"/>
  <c r="AG40" i="1"/>
  <c r="AI40" i="1" s="1"/>
  <c r="AK40" i="1" s="1"/>
  <c r="AE40" i="1"/>
  <c r="I40" i="1"/>
  <c r="AR100" i="1" l="1"/>
  <c r="AT100" i="1" s="1"/>
  <c r="AR120" i="1"/>
  <c r="AT120" i="1" s="1"/>
  <c r="AI80" i="1"/>
  <c r="AK80" i="1" s="1"/>
  <c r="AT70" i="1"/>
  <c r="AT90" i="1"/>
  <c r="AT60" i="1"/>
  <c r="AK60" i="1"/>
  <c r="AI120" i="1"/>
  <c r="AK120" i="1" s="1"/>
  <c r="AT50" i="1"/>
  <c r="AT110" i="1"/>
  <c r="AT130" i="1"/>
  <c r="AK90" i="1"/>
  <c r="AR80" i="1"/>
  <c r="AT80" i="1" s="1"/>
  <c r="T69" i="1" l="1"/>
  <c r="T101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40" i="1"/>
  <c r="T40" i="1" s="1"/>
  <c r="P41" i="1"/>
  <c r="R41" i="1" s="1"/>
  <c r="T41" i="1" s="1"/>
  <c r="P42" i="1"/>
  <c r="R42" i="1" s="1"/>
  <c r="T42" i="1" s="1"/>
  <c r="P43" i="1"/>
  <c r="R43" i="1" s="1"/>
  <c r="T43" i="1" s="1"/>
  <c r="P44" i="1"/>
  <c r="P45" i="1"/>
  <c r="P46" i="1"/>
  <c r="P47" i="1"/>
  <c r="P48" i="1"/>
  <c r="R48" i="1" s="1"/>
  <c r="T48" i="1" s="1"/>
  <c r="P49" i="1"/>
  <c r="R49" i="1" s="1"/>
  <c r="T49" i="1" s="1"/>
  <c r="P50" i="1"/>
  <c r="R50" i="1" s="1"/>
  <c r="T50" i="1" s="1"/>
  <c r="P51" i="1"/>
  <c r="R51" i="1" s="1"/>
  <c r="T51" i="1" s="1"/>
  <c r="P52" i="1"/>
  <c r="P53" i="1"/>
  <c r="P54" i="1"/>
  <c r="R54" i="1" s="1"/>
  <c r="T54" i="1" s="1"/>
  <c r="P55" i="1"/>
  <c r="P56" i="1"/>
  <c r="R56" i="1" s="1"/>
  <c r="T56" i="1" s="1"/>
  <c r="P57" i="1"/>
  <c r="R57" i="1" s="1"/>
  <c r="T57" i="1" s="1"/>
  <c r="P58" i="1"/>
  <c r="R58" i="1" s="1"/>
  <c r="T58" i="1" s="1"/>
  <c r="P59" i="1"/>
  <c r="R59" i="1" s="1"/>
  <c r="T59" i="1" s="1"/>
  <c r="P60" i="1"/>
  <c r="P61" i="1"/>
  <c r="R61" i="1" s="1"/>
  <c r="T61" i="1" s="1"/>
  <c r="P62" i="1"/>
  <c r="P63" i="1"/>
  <c r="P64" i="1"/>
  <c r="R64" i="1" s="1"/>
  <c r="T64" i="1" s="1"/>
  <c r="P65" i="1"/>
  <c r="R65" i="1" s="1"/>
  <c r="T65" i="1" s="1"/>
  <c r="P66" i="1"/>
  <c r="R66" i="1" s="1"/>
  <c r="T66" i="1" s="1"/>
  <c r="P67" i="1"/>
  <c r="R67" i="1" s="1"/>
  <c r="T67" i="1" s="1"/>
  <c r="P68" i="1"/>
  <c r="P69" i="1"/>
  <c r="P70" i="1"/>
  <c r="R70" i="1" s="1"/>
  <c r="T70" i="1" s="1"/>
  <c r="P71" i="1"/>
  <c r="P72" i="1"/>
  <c r="R72" i="1" s="1"/>
  <c r="T72" i="1" s="1"/>
  <c r="P73" i="1"/>
  <c r="R73" i="1" s="1"/>
  <c r="T73" i="1" s="1"/>
  <c r="P74" i="1"/>
  <c r="R74" i="1" s="1"/>
  <c r="T74" i="1" s="1"/>
  <c r="P75" i="1"/>
  <c r="R75" i="1" s="1"/>
  <c r="T75" i="1" s="1"/>
  <c r="P76" i="1"/>
  <c r="P77" i="1"/>
  <c r="P78" i="1"/>
  <c r="R78" i="1" s="1"/>
  <c r="T78" i="1" s="1"/>
  <c r="P79" i="1"/>
  <c r="P80" i="1"/>
  <c r="R80" i="1" s="1"/>
  <c r="T80" i="1" s="1"/>
  <c r="P81" i="1"/>
  <c r="R81" i="1" s="1"/>
  <c r="T81" i="1" s="1"/>
  <c r="P82" i="1"/>
  <c r="R82" i="1" s="1"/>
  <c r="T82" i="1" s="1"/>
  <c r="P83" i="1"/>
  <c r="R83" i="1" s="1"/>
  <c r="T83" i="1" s="1"/>
  <c r="P84" i="1"/>
  <c r="P85" i="1"/>
  <c r="P86" i="1"/>
  <c r="R86" i="1" s="1"/>
  <c r="T86" i="1" s="1"/>
  <c r="P87" i="1"/>
  <c r="P88" i="1"/>
  <c r="R88" i="1" s="1"/>
  <c r="T88" i="1" s="1"/>
  <c r="P89" i="1"/>
  <c r="R89" i="1" s="1"/>
  <c r="T89" i="1" s="1"/>
  <c r="P90" i="1"/>
  <c r="R90" i="1" s="1"/>
  <c r="T90" i="1" s="1"/>
  <c r="P91" i="1"/>
  <c r="R91" i="1" s="1"/>
  <c r="T91" i="1" s="1"/>
  <c r="P92" i="1"/>
  <c r="P93" i="1"/>
  <c r="P94" i="1"/>
  <c r="P95" i="1"/>
  <c r="R95" i="1" s="1"/>
  <c r="T95" i="1" s="1"/>
  <c r="P96" i="1"/>
  <c r="R96" i="1" s="1"/>
  <c r="T96" i="1" s="1"/>
  <c r="P97" i="1"/>
  <c r="R97" i="1" s="1"/>
  <c r="T97" i="1" s="1"/>
  <c r="P98" i="1"/>
  <c r="R98" i="1" s="1"/>
  <c r="T98" i="1" s="1"/>
  <c r="P99" i="1"/>
  <c r="R99" i="1" s="1"/>
  <c r="T99" i="1" s="1"/>
  <c r="P100" i="1"/>
  <c r="P101" i="1"/>
  <c r="P102" i="1"/>
  <c r="R102" i="1" s="1"/>
  <c r="T102" i="1" s="1"/>
  <c r="P103" i="1"/>
  <c r="P104" i="1"/>
  <c r="R104" i="1" s="1"/>
  <c r="T104" i="1" s="1"/>
  <c r="P105" i="1"/>
  <c r="R105" i="1" s="1"/>
  <c r="T105" i="1" s="1"/>
  <c r="P106" i="1"/>
  <c r="R106" i="1" s="1"/>
  <c r="T106" i="1" s="1"/>
  <c r="P107" i="1"/>
  <c r="R107" i="1" s="1"/>
  <c r="T107" i="1" s="1"/>
  <c r="P108" i="1"/>
  <c r="P109" i="1"/>
  <c r="P110" i="1"/>
  <c r="P111" i="1"/>
  <c r="P112" i="1"/>
  <c r="R112" i="1" s="1"/>
  <c r="T112" i="1" s="1"/>
  <c r="P113" i="1"/>
  <c r="R113" i="1" s="1"/>
  <c r="T113" i="1" s="1"/>
  <c r="P114" i="1"/>
  <c r="R114" i="1" s="1"/>
  <c r="T114" i="1" s="1"/>
  <c r="P115" i="1"/>
  <c r="R115" i="1" s="1"/>
  <c r="T115" i="1" s="1"/>
  <c r="P116" i="1"/>
  <c r="P117" i="1"/>
  <c r="P118" i="1"/>
  <c r="R118" i="1" s="1"/>
  <c r="T118" i="1" s="1"/>
  <c r="P119" i="1"/>
  <c r="P120" i="1"/>
  <c r="R120" i="1" s="1"/>
  <c r="T120" i="1" s="1"/>
  <c r="P121" i="1"/>
  <c r="R121" i="1" s="1"/>
  <c r="T121" i="1" s="1"/>
  <c r="P122" i="1"/>
  <c r="R122" i="1" s="1"/>
  <c r="T122" i="1" s="1"/>
  <c r="P123" i="1"/>
  <c r="R123" i="1" s="1"/>
  <c r="T123" i="1" s="1"/>
  <c r="P124" i="1"/>
  <c r="P125" i="1"/>
  <c r="P126" i="1"/>
  <c r="P127" i="1"/>
  <c r="P128" i="1"/>
  <c r="R128" i="1" s="1"/>
  <c r="T128" i="1" s="1"/>
  <c r="P129" i="1"/>
  <c r="R129" i="1" s="1"/>
  <c r="T129" i="1" s="1"/>
  <c r="P130" i="1"/>
  <c r="R130" i="1" s="1"/>
  <c r="T130" i="1" s="1"/>
  <c r="P131" i="1"/>
  <c r="R131" i="1" s="1"/>
  <c r="T131" i="1" s="1"/>
  <c r="P132" i="1"/>
  <c r="P133" i="1"/>
  <c r="R133" i="1" s="1"/>
  <c r="T133" i="1" s="1"/>
  <c r="P134" i="1"/>
  <c r="R134" i="1" s="1"/>
  <c r="T134" i="1" s="1"/>
  <c r="P135" i="1"/>
  <c r="P136" i="1"/>
  <c r="R136" i="1" s="1"/>
  <c r="T136" i="1" s="1"/>
  <c r="P137" i="1"/>
  <c r="R137" i="1" s="1"/>
  <c r="T137" i="1" s="1"/>
  <c r="P138" i="1"/>
  <c r="R138" i="1" s="1"/>
  <c r="T138" i="1" s="1"/>
  <c r="P139" i="1"/>
  <c r="R139" i="1" s="1"/>
  <c r="T139" i="1" s="1"/>
  <c r="R44" i="1"/>
  <c r="R45" i="1"/>
  <c r="T45" i="1" s="1"/>
  <c r="R46" i="1"/>
  <c r="T46" i="1" s="1"/>
  <c r="R47" i="1"/>
  <c r="T47" i="1" s="1"/>
  <c r="R52" i="1"/>
  <c r="T52" i="1" s="1"/>
  <c r="R53" i="1"/>
  <c r="T53" i="1" s="1"/>
  <c r="R55" i="1"/>
  <c r="T55" i="1" s="1"/>
  <c r="R60" i="1"/>
  <c r="T60" i="1" s="1"/>
  <c r="R62" i="1"/>
  <c r="T62" i="1" s="1"/>
  <c r="R63" i="1"/>
  <c r="T63" i="1" s="1"/>
  <c r="R68" i="1"/>
  <c r="T68" i="1" s="1"/>
  <c r="R69" i="1"/>
  <c r="R71" i="1"/>
  <c r="T71" i="1" s="1"/>
  <c r="R76" i="1"/>
  <c r="T76" i="1" s="1"/>
  <c r="R77" i="1"/>
  <c r="T77" i="1" s="1"/>
  <c r="R79" i="1"/>
  <c r="T79" i="1" s="1"/>
  <c r="R84" i="1"/>
  <c r="T84" i="1" s="1"/>
  <c r="R85" i="1"/>
  <c r="T85" i="1" s="1"/>
  <c r="R87" i="1"/>
  <c r="T87" i="1" s="1"/>
  <c r="R92" i="1"/>
  <c r="T92" i="1" s="1"/>
  <c r="R93" i="1"/>
  <c r="T93" i="1" s="1"/>
  <c r="R94" i="1"/>
  <c r="T94" i="1" s="1"/>
  <c r="R100" i="1"/>
  <c r="T100" i="1" s="1"/>
  <c r="R101" i="1"/>
  <c r="R103" i="1"/>
  <c r="T103" i="1" s="1"/>
  <c r="R108" i="1"/>
  <c r="T108" i="1" s="1"/>
  <c r="R109" i="1"/>
  <c r="T109" i="1" s="1"/>
  <c r="R110" i="1"/>
  <c r="T110" i="1" s="1"/>
  <c r="R111" i="1"/>
  <c r="T111" i="1" s="1"/>
  <c r="R116" i="1"/>
  <c r="R117" i="1"/>
  <c r="T117" i="1" s="1"/>
  <c r="R119" i="1"/>
  <c r="T119" i="1" s="1"/>
  <c r="R124" i="1"/>
  <c r="T124" i="1" s="1"/>
  <c r="R125" i="1"/>
  <c r="T125" i="1" s="1"/>
  <c r="R126" i="1"/>
  <c r="T126" i="1" s="1"/>
  <c r="R127" i="1"/>
  <c r="T127" i="1" s="1"/>
  <c r="R132" i="1"/>
  <c r="T132" i="1" s="1"/>
  <c r="R135" i="1"/>
  <c r="T135" i="1" s="1"/>
  <c r="K40" i="1"/>
  <c r="T116" i="1" l="1"/>
  <c r="T44" i="1"/>
  <c r="I45" i="1"/>
  <c r="K45" i="1" s="1"/>
  <c r="I41" i="1"/>
  <c r="K41" i="1" s="1"/>
  <c r="I42" i="1"/>
  <c r="K42" i="1" s="1"/>
  <c r="I43" i="1"/>
  <c r="K43" i="1" s="1"/>
  <c r="I44" i="1"/>
  <c r="K44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K130" i="1" s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A30" i="1" l="1"/>
  <c r="A41" i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F90" i="1" l="1"/>
  <c r="AF120" i="1"/>
  <c r="AF40" i="1"/>
  <c r="AF110" i="1"/>
  <c r="AF50" i="1"/>
  <c r="AF130" i="1"/>
  <c r="AF100" i="1"/>
  <c r="AF60" i="1"/>
  <c r="AF80" i="1"/>
  <c r="AF70" i="1"/>
  <c r="F41" i="1"/>
  <c r="F49" i="1"/>
  <c r="F57" i="1"/>
  <c r="F65" i="1"/>
  <c r="F73" i="1"/>
  <c r="F81" i="1"/>
  <c r="F89" i="1"/>
  <c r="F97" i="1"/>
  <c r="F105" i="1"/>
  <c r="F113" i="1"/>
  <c r="F121" i="1"/>
  <c r="F129" i="1"/>
  <c r="F137" i="1"/>
  <c r="F50" i="1"/>
  <c r="F66" i="1"/>
  <c r="F82" i="1"/>
  <c r="F98" i="1"/>
  <c r="F106" i="1"/>
  <c r="F122" i="1"/>
  <c r="F138" i="1"/>
  <c r="F51" i="1"/>
  <c r="F75" i="1"/>
  <c r="F99" i="1"/>
  <c r="F123" i="1"/>
  <c r="F132" i="1"/>
  <c r="F77" i="1"/>
  <c r="F109" i="1"/>
  <c r="F42" i="1"/>
  <c r="F58" i="1"/>
  <c r="F74" i="1"/>
  <c r="F90" i="1"/>
  <c r="F114" i="1"/>
  <c r="F130" i="1"/>
  <c r="F59" i="1"/>
  <c r="F83" i="1"/>
  <c r="F107" i="1"/>
  <c r="F131" i="1"/>
  <c r="F139" i="1"/>
  <c r="F40" i="1"/>
  <c r="F61" i="1"/>
  <c r="F117" i="1"/>
  <c r="F94" i="1"/>
  <c r="F110" i="1"/>
  <c r="F43" i="1"/>
  <c r="F67" i="1"/>
  <c r="F91" i="1"/>
  <c r="F115" i="1"/>
  <c r="F124" i="1"/>
  <c r="F53" i="1"/>
  <c r="F93" i="1"/>
  <c r="F62" i="1"/>
  <c r="F44" i="1"/>
  <c r="F52" i="1"/>
  <c r="F60" i="1"/>
  <c r="F68" i="1"/>
  <c r="F76" i="1"/>
  <c r="F84" i="1"/>
  <c r="F92" i="1"/>
  <c r="F100" i="1"/>
  <c r="F108" i="1"/>
  <c r="F116" i="1"/>
  <c r="F69" i="1"/>
  <c r="F101" i="1"/>
  <c r="F133" i="1"/>
  <c r="F86" i="1"/>
  <c r="F45" i="1"/>
  <c r="F85" i="1"/>
  <c r="F125" i="1"/>
  <c r="F78" i="1"/>
  <c r="F46" i="1"/>
  <c r="F54" i="1"/>
  <c r="F47" i="1"/>
  <c r="F55" i="1"/>
  <c r="F63" i="1"/>
  <c r="F71" i="1"/>
  <c r="F79" i="1"/>
  <c r="F87" i="1"/>
  <c r="F95" i="1"/>
  <c r="F103" i="1"/>
  <c r="F111" i="1"/>
  <c r="F119" i="1"/>
  <c r="F127" i="1"/>
  <c r="F135" i="1"/>
  <c r="F80" i="1"/>
  <c r="F126" i="1"/>
  <c r="F96" i="1"/>
  <c r="F134" i="1"/>
  <c r="F120" i="1"/>
  <c r="F88" i="1"/>
  <c r="F128" i="1"/>
  <c r="F112" i="1"/>
  <c r="F118" i="1"/>
  <c r="F72" i="1"/>
  <c r="F48" i="1"/>
  <c r="F102" i="1"/>
  <c r="F136" i="1"/>
  <c r="F56" i="1"/>
  <c r="F104" i="1"/>
  <c r="F64" i="1"/>
  <c r="F70" i="1"/>
  <c r="AD40" i="1"/>
  <c r="AC40" i="1"/>
  <c r="U60" i="1" l="1"/>
  <c r="L60" i="1"/>
  <c r="V60" i="1"/>
  <c r="U81" i="1"/>
  <c r="W81" i="1" s="1"/>
  <c r="V81" i="1"/>
  <c r="L81" i="1"/>
  <c r="V126" i="1"/>
  <c r="U126" i="1"/>
  <c r="W126" i="1" s="1"/>
  <c r="L126" i="1"/>
  <c r="U78" i="1"/>
  <c r="V78" i="1"/>
  <c r="L78" i="1"/>
  <c r="U52" i="1"/>
  <c r="V52" i="1"/>
  <c r="L52" i="1"/>
  <c r="U67" i="1"/>
  <c r="W67" i="1" s="1"/>
  <c r="V67" i="1"/>
  <c r="L67" i="1"/>
  <c r="U131" i="1"/>
  <c r="V131" i="1"/>
  <c r="L131" i="1"/>
  <c r="U58" i="1"/>
  <c r="W58" i="1" s="1"/>
  <c r="V58" i="1"/>
  <c r="L58" i="1"/>
  <c r="U51" i="1"/>
  <c r="L51" i="1"/>
  <c r="V51" i="1"/>
  <c r="U137" i="1"/>
  <c r="L137" i="1"/>
  <c r="V137" i="1"/>
  <c r="U73" i="1"/>
  <c r="V73" i="1"/>
  <c r="L73" i="1"/>
  <c r="AV100" i="1"/>
  <c r="AL100" i="1"/>
  <c r="AU100" i="1"/>
  <c r="AW100" i="1" s="1"/>
  <c r="U48" i="1"/>
  <c r="V48" i="1"/>
  <c r="L48" i="1"/>
  <c r="AU60" i="1"/>
  <c r="AW60" i="1" s="1"/>
  <c r="AV60" i="1"/>
  <c r="AL60" i="1"/>
  <c r="U72" i="1"/>
  <c r="V72" i="1"/>
  <c r="L72" i="1"/>
  <c r="U87" i="1"/>
  <c r="V87" i="1"/>
  <c r="L87" i="1"/>
  <c r="U116" i="1"/>
  <c r="V116" i="1"/>
  <c r="W116" i="1" s="1"/>
  <c r="L116" i="1"/>
  <c r="U70" i="1"/>
  <c r="W70" i="1" s="1"/>
  <c r="V70" i="1"/>
  <c r="L70" i="1"/>
  <c r="V118" i="1"/>
  <c r="U118" i="1"/>
  <c r="W118" i="1" s="1"/>
  <c r="L118" i="1"/>
  <c r="U80" i="1"/>
  <c r="V80" i="1"/>
  <c r="L80" i="1"/>
  <c r="U79" i="1"/>
  <c r="V79" i="1"/>
  <c r="L79" i="1"/>
  <c r="U125" i="1"/>
  <c r="V125" i="1"/>
  <c r="L125" i="1"/>
  <c r="U108" i="1"/>
  <c r="V108" i="1"/>
  <c r="W108" i="1" s="1"/>
  <c r="L108" i="1"/>
  <c r="U44" i="1"/>
  <c r="W44" i="1" s="1"/>
  <c r="V44" i="1"/>
  <c r="L44" i="1"/>
  <c r="U43" i="1"/>
  <c r="V43" i="1"/>
  <c r="L43" i="1"/>
  <c r="U107" i="1"/>
  <c r="W107" i="1" s="1"/>
  <c r="V107" i="1"/>
  <c r="L107" i="1"/>
  <c r="U42" i="1"/>
  <c r="V42" i="1"/>
  <c r="L42" i="1"/>
  <c r="U138" i="1"/>
  <c r="W138" i="1" s="1"/>
  <c r="V138" i="1"/>
  <c r="L138" i="1"/>
  <c r="U129" i="1"/>
  <c r="L129" i="1"/>
  <c r="V129" i="1"/>
  <c r="U65" i="1"/>
  <c r="W65" i="1" s="1"/>
  <c r="V65" i="1"/>
  <c r="L65" i="1"/>
  <c r="AU130" i="1"/>
  <c r="AV130" i="1"/>
  <c r="AL130" i="1"/>
  <c r="V46" i="1"/>
  <c r="U46" i="1"/>
  <c r="W46" i="1" s="1"/>
  <c r="L46" i="1"/>
  <c r="U91" i="1"/>
  <c r="V91" i="1"/>
  <c r="L91" i="1"/>
  <c r="U64" i="1"/>
  <c r="W64" i="1" s="1"/>
  <c r="V64" i="1"/>
  <c r="L64" i="1"/>
  <c r="U100" i="1"/>
  <c r="W100" i="1" s="1"/>
  <c r="L100" i="1"/>
  <c r="V100" i="1"/>
  <c r="U62" i="1"/>
  <c r="W62" i="1" s="1"/>
  <c r="V62" i="1"/>
  <c r="L62" i="1"/>
  <c r="U110" i="1"/>
  <c r="L110" i="1"/>
  <c r="V110" i="1"/>
  <c r="U83" i="1"/>
  <c r="W83" i="1" s="1"/>
  <c r="V83" i="1"/>
  <c r="L83" i="1"/>
  <c r="V109" i="1"/>
  <c r="U109" i="1"/>
  <c r="L109" i="1"/>
  <c r="U122" i="1"/>
  <c r="V122" i="1"/>
  <c r="L122" i="1"/>
  <c r="U121" i="1"/>
  <c r="V121" i="1"/>
  <c r="L121" i="1"/>
  <c r="U57" i="1"/>
  <c r="W57" i="1" s="1"/>
  <c r="V57" i="1"/>
  <c r="L57" i="1"/>
  <c r="AV50" i="1"/>
  <c r="AU50" i="1"/>
  <c r="AW50" i="1" s="1"/>
  <c r="AL50" i="1"/>
  <c r="U96" i="1"/>
  <c r="W96" i="1" s="1"/>
  <c r="V96" i="1"/>
  <c r="L96" i="1"/>
  <c r="U75" i="1"/>
  <c r="V75" i="1"/>
  <c r="L75" i="1"/>
  <c r="V112" i="1"/>
  <c r="W112" i="1" s="1"/>
  <c r="L112" i="1"/>
  <c r="U112" i="1"/>
  <c r="U92" i="1"/>
  <c r="V92" i="1"/>
  <c r="L92" i="1"/>
  <c r="V94" i="1"/>
  <c r="U94" i="1"/>
  <c r="W94" i="1" s="1"/>
  <c r="L94" i="1"/>
  <c r="U59" i="1"/>
  <c r="V59" i="1"/>
  <c r="L59" i="1"/>
  <c r="V77" i="1"/>
  <c r="U77" i="1"/>
  <c r="L77" i="1"/>
  <c r="U106" i="1"/>
  <c r="V106" i="1"/>
  <c r="L106" i="1"/>
  <c r="U113" i="1"/>
  <c r="V113" i="1"/>
  <c r="W113" i="1" s="1"/>
  <c r="L113" i="1"/>
  <c r="U49" i="1"/>
  <c r="L49" i="1"/>
  <c r="V49" i="1"/>
  <c r="AV110" i="1"/>
  <c r="AL110" i="1"/>
  <c r="AU110" i="1"/>
  <c r="V69" i="1"/>
  <c r="U69" i="1"/>
  <c r="W69" i="1" s="1"/>
  <c r="L69" i="1"/>
  <c r="U139" i="1"/>
  <c r="V139" i="1"/>
  <c r="L139" i="1"/>
  <c r="V85" i="1"/>
  <c r="L85" i="1"/>
  <c r="U85" i="1"/>
  <c r="W85" i="1" s="1"/>
  <c r="V104" i="1"/>
  <c r="L104" i="1"/>
  <c r="U104" i="1"/>
  <c r="U45" i="1"/>
  <c r="V45" i="1"/>
  <c r="L45" i="1"/>
  <c r="U88" i="1"/>
  <c r="W88" i="1" s="1"/>
  <c r="V88" i="1"/>
  <c r="L88" i="1"/>
  <c r="U55" i="1"/>
  <c r="L55" i="1"/>
  <c r="V55" i="1"/>
  <c r="U84" i="1"/>
  <c r="W84" i="1" s="1"/>
  <c r="L84" i="1"/>
  <c r="V84" i="1"/>
  <c r="U117" i="1"/>
  <c r="V117" i="1"/>
  <c r="W117" i="1" s="1"/>
  <c r="L117" i="1"/>
  <c r="U130" i="1"/>
  <c r="W130" i="1" s="1"/>
  <c r="V130" i="1"/>
  <c r="L130" i="1"/>
  <c r="U132" i="1"/>
  <c r="V132" i="1"/>
  <c r="L132" i="1"/>
  <c r="U98" i="1"/>
  <c r="W98" i="1" s="1"/>
  <c r="V98" i="1"/>
  <c r="L98" i="1"/>
  <c r="V105" i="1"/>
  <c r="W105" i="1" s="1"/>
  <c r="L105" i="1"/>
  <c r="U105" i="1"/>
  <c r="U41" i="1"/>
  <c r="W41" i="1" s="1"/>
  <c r="V41" i="1"/>
  <c r="L41" i="1"/>
  <c r="AV40" i="1"/>
  <c r="AU40" i="1"/>
  <c r="AW40" i="1" s="1"/>
  <c r="AL40" i="1"/>
  <c r="U95" i="1"/>
  <c r="W95" i="1" s="1"/>
  <c r="V95" i="1"/>
  <c r="L95" i="1"/>
  <c r="V74" i="1"/>
  <c r="L74" i="1"/>
  <c r="U74" i="1"/>
  <c r="W74" i="1" s="1"/>
  <c r="U135" i="1"/>
  <c r="W135" i="1" s="1"/>
  <c r="V135" i="1"/>
  <c r="L135" i="1"/>
  <c r="U127" i="1"/>
  <c r="V127" i="1"/>
  <c r="L127" i="1"/>
  <c r="U93" i="1"/>
  <c r="W93" i="1" s="1"/>
  <c r="L93" i="1"/>
  <c r="V93" i="1"/>
  <c r="U119" i="1"/>
  <c r="W119" i="1" s="1"/>
  <c r="L119" i="1"/>
  <c r="V119" i="1"/>
  <c r="U86" i="1"/>
  <c r="W86" i="1" s="1"/>
  <c r="V86" i="1"/>
  <c r="L86" i="1"/>
  <c r="U53" i="1"/>
  <c r="L53" i="1"/>
  <c r="V53" i="1"/>
  <c r="U136" i="1"/>
  <c r="W136" i="1" s="1"/>
  <c r="V136" i="1"/>
  <c r="L136" i="1"/>
  <c r="U120" i="1"/>
  <c r="V120" i="1"/>
  <c r="W120" i="1" s="1"/>
  <c r="L120" i="1"/>
  <c r="V111" i="1"/>
  <c r="L111" i="1"/>
  <c r="U111" i="1"/>
  <c r="W111" i="1" s="1"/>
  <c r="U47" i="1"/>
  <c r="V47" i="1"/>
  <c r="L47" i="1"/>
  <c r="V133" i="1"/>
  <c r="L133" i="1"/>
  <c r="U133" i="1"/>
  <c r="U76" i="1"/>
  <c r="V76" i="1"/>
  <c r="L76" i="1"/>
  <c r="U124" i="1"/>
  <c r="W124" i="1" s="1"/>
  <c r="V124" i="1"/>
  <c r="L124" i="1"/>
  <c r="V61" i="1"/>
  <c r="L61" i="1"/>
  <c r="U61" i="1"/>
  <c r="W61" i="1" s="1"/>
  <c r="U114" i="1"/>
  <c r="W114" i="1" s="1"/>
  <c r="V114" i="1"/>
  <c r="L114" i="1"/>
  <c r="U123" i="1"/>
  <c r="V123" i="1"/>
  <c r="L123" i="1"/>
  <c r="V82" i="1"/>
  <c r="L82" i="1"/>
  <c r="U82" i="1"/>
  <c r="W82" i="1" s="1"/>
  <c r="U97" i="1"/>
  <c r="L97" i="1"/>
  <c r="V97" i="1"/>
  <c r="AV70" i="1"/>
  <c r="AL70" i="1"/>
  <c r="AU70" i="1"/>
  <c r="AV120" i="1"/>
  <c r="AU120" i="1"/>
  <c r="AW120" i="1" s="1"/>
  <c r="AL120" i="1"/>
  <c r="V50" i="1"/>
  <c r="L50" i="1"/>
  <c r="U50" i="1"/>
  <c r="W50" i="1" s="1"/>
  <c r="U71" i="1"/>
  <c r="V71" i="1"/>
  <c r="L71" i="1"/>
  <c r="U128" i="1"/>
  <c r="W128" i="1" s="1"/>
  <c r="V128" i="1"/>
  <c r="L128" i="1"/>
  <c r="U63" i="1"/>
  <c r="V63" i="1"/>
  <c r="L63" i="1"/>
  <c r="U56" i="1"/>
  <c r="V56" i="1"/>
  <c r="L56" i="1"/>
  <c r="U102" i="1"/>
  <c r="V102" i="1"/>
  <c r="L102" i="1"/>
  <c r="V134" i="1"/>
  <c r="L134" i="1"/>
  <c r="U134" i="1"/>
  <c r="U103" i="1"/>
  <c r="V103" i="1"/>
  <c r="L103" i="1"/>
  <c r="U54" i="1"/>
  <c r="W54" i="1" s="1"/>
  <c r="V54" i="1"/>
  <c r="L54" i="1"/>
  <c r="U101" i="1"/>
  <c r="V101" i="1"/>
  <c r="L101" i="1"/>
  <c r="U68" i="1"/>
  <c r="W68" i="1" s="1"/>
  <c r="V68" i="1"/>
  <c r="L68" i="1"/>
  <c r="U115" i="1"/>
  <c r="V115" i="1"/>
  <c r="L115" i="1"/>
  <c r="V40" i="1"/>
  <c r="U40" i="1"/>
  <c r="W40" i="1" s="1"/>
  <c r="L40" i="1"/>
  <c r="V90" i="1"/>
  <c r="U90" i="1"/>
  <c r="W90" i="1" s="1"/>
  <c r="L90" i="1"/>
  <c r="U99" i="1"/>
  <c r="W99" i="1" s="1"/>
  <c r="V99" i="1"/>
  <c r="L99" i="1"/>
  <c r="V66" i="1"/>
  <c r="L66" i="1"/>
  <c r="U66" i="1"/>
  <c r="U89" i="1"/>
  <c r="W89" i="1" s="1"/>
  <c r="V89" i="1"/>
  <c r="L89" i="1"/>
  <c r="AV80" i="1"/>
  <c r="AL80" i="1"/>
  <c r="AU80" i="1"/>
  <c r="AW80" i="1" s="1"/>
  <c r="AV90" i="1"/>
  <c r="AU90" i="1"/>
  <c r="AL90" i="1"/>
  <c r="X130" i="1" l="1"/>
  <c r="Z130" i="1" s="1"/>
  <c r="Y130" i="1"/>
  <c r="X44" i="1"/>
  <c r="Y44" i="1"/>
  <c r="X101" i="1"/>
  <c r="Y101" i="1"/>
  <c r="W103" i="1"/>
  <c r="X71" i="1"/>
  <c r="Z71" i="1" s="1"/>
  <c r="Y71" i="1"/>
  <c r="X82" i="1"/>
  <c r="Y82" i="1"/>
  <c r="W76" i="1"/>
  <c r="X111" i="1"/>
  <c r="Y111" i="1"/>
  <c r="AY40" i="1"/>
  <c r="AX40" i="1"/>
  <c r="AZ40" i="1" s="1"/>
  <c r="W45" i="1"/>
  <c r="W106" i="1"/>
  <c r="Y75" i="1"/>
  <c r="X75" i="1"/>
  <c r="Z75" i="1" s="1"/>
  <c r="W42" i="1"/>
  <c r="X79" i="1"/>
  <c r="Z79" i="1" s="1"/>
  <c r="Y79" i="1"/>
  <c r="X48" i="1"/>
  <c r="Z48" i="1" s="1"/>
  <c r="Y48" i="1"/>
  <c r="W73" i="1"/>
  <c r="X52" i="1"/>
  <c r="Y52" i="1"/>
  <c r="X56" i="1"/>
  <c r="Y56" i="1"/>
  <c r="AY80" i="1"/>
  <c r="AX80" i="1"/>
  <c r="AZ80" i="1" s="1"/>
  <c r="X99" i="1"/>
  <c r="Z99" i="1" s="1"/>
  <c r="Y99" i="1"/>
  <c r="W134" i="1"/>
  <c r="W56" i="1"/>
  <c r="AW70" i="1"/>
  <c r="X61" i="1"/>
  <c r="Y61" i="1"/>
  <c r="W133" i="1"/>
  <c r="X53" i="1"/>
  <c r="Y53" i="1"/>
  <c r="Y98" i="1"/>
  <c r="X98" i="1"/>
  <c r="Z98" i="1" s="1"/>
  <c r="X55" i="1"/>
  <c r="Y55" i="1"/>
  <c r="W139" i="1"/>
  <c r="X49" i="1"/>
  <c r="Y49" i="1"/>
  <c r="X77" i="1"/>
  <c r="Y77" i="1"/>
  <c r="X57" i="1"/>
  <c r="Y57" i="1"/>
  <c r="Z57" i="1" s="1"/>
  <c r="W122" i="1"/>
  <c r="X110" i="1"/>
  <c r="Y110" i="1"/>
  <c r="X64" i="1"/>
  <c r="Z64" i="1" s="1"/>
  <c r="Y64" i="1"/>
  <c r="X129" i="1"/>
  <c r="Y129" i="1"/>
  <c r="X107" i="1"/>
  <c r="Y107" i="1"/>
  <c r="X70" i="1"/>
  <c r="Y70" i="1"/>
  <c r="W87" i="1"/>
  <c r="X81" i="1"/>
  <c r="Z81" i="1" s="1"/>
  <c r="Y81" i="1"/>
  <c r="Y58" i="1"/>
  <c r="X58" i="1"/>
  <c r="Z58" i="1" s="1"/>
  <c r="Y115" i="1"/>
  <c r="X115" i="1"/>
  <c r="W101" i="1"/>
  <c r="X134" i="1"/>
  <c r="Z134" i="1" s="1"/>
  <c r="Y134" i="1"/>
  <c r="X63" i="1"/>
  <c r="Y63" i="1"/>
  <c r="W71" i="1"/>
  <c r="AY70" i="1"/>
  <c r="AX70" i="1"/>
  <c r="X123" i="1"/>
  <c r="Z123" i="1" s="1"/>
  <c r="Y123" i="1"/>
  <c r="X133" i="1"/>
  <c r="Z133" i="1" s="1"/>
  <c r="Y133" i="1"/>
  <c r="X120" i="1"/>
  <c r="Y120" i="1"/>
  <c r="W53" i="1"/>
  <c r="X93" i="1"/>
  <c r="Y93" i="1"/>
  <c r="X117" i="1"/>
  <c r="Z117" i="1" s="1"/>
  <c r="Y117" i="1"/>
  <c r="W55" i="1"/>
  <c r="X104" i="1"/>
  <c r="Y104" i="1"/>
  <c r="X69" i="1"/>
  <c r="Y69" i="1"/>
  <c r="W49" i="1"/>
  <c r="W77" i="1"/>
  <c r="X92" i="1"/>
  <c r="Z92" i="1" s="1"/>
  <c r="Y92" i="1"/>
  <c r="W75" i="1"/>
  <c r="X109" i="1"/>
  <c r="Y109" i="1"/>
  <c r="W110" i="1"/>
  <c r="AY130" i="1"/>
  <c r="AX130" i="1"/>
  <c r="W129" i="1"/>
  <c r="Y108" i="1"/>
  <c r="X108" i="1"/>
  <c r="Z108" i="1" s="1"/>
  <c r="W79" i="1"/>
  <c r="X72" i="1"/>
  <c r="Z72" i="1" s="1"/>
  <c r="Y72" i="1"/>
  <c r="W48" i="1"/>
  <c r="X137" i="1"/>
  <c r="Z137" i="1" s="1"/>
  <c r="Y137" i="1"/>
  <c r="X131" i="1"/>
  <c r="Y131" i="1"/>
  <c r="W52" i="1"/>
  <c r="X89" i="1"/>
  <c r="Z89" i="1" s="1"/>
  <c r="Y89" i="1"/>
  <c r="Y54" i="1"/>
  <c r="X54" i="1"/>
  <c r="X124" i="1"/>
  <c r="Z124" i="1" s="1"/>
  <c r="Y124" i="1"/>
  <c r="X86" i="1"/>
  <c r="Z86" i="1" s="1"/>
  <c r="Y86" i="1"/>
  <c r="X74" i="1"/>
  <c r="Z74" i="1" s="1"/>
  <c r="Y74" i="1"/>
  <c r="Y41" i="1"/>
  <c r="Z41" i="1" s="1"/>
  <c r="X41" i="1"/>
  <c r="X88" i="1"/>
  <c r="Z88" i="1" s="1"/>
  <c r="Y88" i="1"/>
  <c r="W104" i="1"/>
  <c r="X113" i="1"/>
  <c r="Y113" i="1"/>
  <c r="X96" i="1"/>
  <c r="Y96" i="1"/>
  <c r="X62" i="1"/>
  <c r="Z62" i="1" s="1"/>
  <c r="Y62" i="1"/>
  <c r="X138" i="1"/>
  <c r="Y138" i="1"/>
  <c r="X80" i="1"/>
  <c r="Y80" i="1"/>
  <c r="W137" i="1"/>
  <c r="X78" i="1"/>
  <c r="Z78" i="1" s="1"/>
  <c r="Y78" i="1"/>
  <c r="Y40" i="1"/>
  <c r="X40" i="1"/>
  <c r="Z40" i="1" s="1"/>
  <c r="X105" i="1"/>
  <c r="Z105" i="1" s="1"/>
  <c r="Y105" i="1"/>
  <c r="X100" i="1"/>
  <c r="Z100" i="1" s="1"/>
  <c r="Y100" i="1"/>
  <c r="X90" i="1"/>
  <c r="Z90" i="1" s="1"/>
  <c r="Y90" i="1"/>
  <c r="W115" i="1"/>
  <c r="Y102" i="1"/>
  <c r="X102" i="1"/>
  <c r="Z102" i="1" s="1"/>
  <c r="W63" i="1"/>
  <c r="X50" i="1"/>
  <c r="Z50" i="1" s="1"/>
  <c r="Y50" i="1"/>
  <c r="W123" i="1"/>
  <c r="X47" i="1"/>
  <c r="Z47" i="1" s="1"/>
  <c r="Y47" i="1"/>
  <c r="X127" i="1"/>
  <c r="Y127" i="1"/>
  <c r="Y132" i="1"/>
  <c r="X132" i="1"/>
  <c r="Z132" i="1" s="1"/>
  <c r="Y59" i="1"/>
  <c r="X59" i="1"/>
  <c r="Z59" i="1" s="1"/>
  <c r="W92" i="1"/>
  <c r="Y121" i="1"/>
  <c r="X121" i="1"/>
  <c r="Z121" i="1" s="1"/>
  <c r="W109" i="1"/>
  <c r="X91" i="1"/>
  <c r="Y91" i="1"/>
  <c r="AW130" i="1"/>
  <c r="X43" i="1"/>
  <c r="Z43" i="1" s="1"/>
  <c r="Y43" i="1"/>
  <c r="X116" i="1"/>
  <c r="Y116" i="1"/>
  <c r="W72" i="1"/>
  <c r="AY100" i="1"/>
  <c r="AX100" i="1"/>
  <c r="AZ100" i="1" s="1"/>
  <c r="W131" i="1"/>
  <c r="X119" i="1"/>
  <c r="Z119" i="1" s="1"/>
  <c r="Y119" i="1"/>
  <c r="X94" i="1"/>
  <c r="Z94" i="1" s="1"/>
  <c r="Y94" i="1"/>
  <c r="X46" i="1"/>
  <c r="Z46" i="1" s="1"/>
  <c r="Y46" i="1"/>
  <c r="AX90" i="1"/>
  <c r="AZ90" i="1" s="1"/>
  <c r="AY90" i="1"/>
  <c r="X68" i="1"/>
  <c r="Z68" i="1" s="1"/>
  <c r="Y68" i="1"/>
  <c r="X128" i="1"/>
  <c r="Z128" i="1" s="1"/>
  <c r="Y128" i="1"/>
  <c r="X97" i="1"/>
  <c r="Z97" i="1" s="1"/>
  <c r="Y97" i="1"/>
  <c r="Y114" i="1"/>
  <c r="X114" i="1"/>
  <c r="X136" i="1"/>
  <c r="Z136" i="1" s="1"/>
  <c r="Y136" i="1"/>
  <c r="X95" i="1"/>
  <c r="Z95" i="1" s="1"/>
  <c r="Y95" i="1"/>
  <c r="X85" i="1"/>
  <c r="Z85" i="1" s="1"/>
  <c r="Y85" i="1"/>
  <c r="AW110" i="1"/>
  <c r="Y83" i="1"/>
  <c r="X83" i="1"/>
  <c r="Z83" i="1" s="1"/>
  <c r="X65" i="1"/>
  <c r="Y65" i="1"/>
  <c r="X125" i="1"/>
  <c r="Y125" i="1"/>
  <c r="W80" i="1"/>
  <c r="AX60" i="1"/>
  <c r="AZ60" i="1" s="1"/>
  <c r="AY60" i="1"/>
  <c r="X51" i="1"/>
  <c r="Z51" i="1" s="1"/>
  <c r="Y51" i="1"/>
  <c r="Y67" i="1"/>
  <c r="X67" i="1"/>
  <c r="W78" i="1"/>
  <c r="X60" i="1"/>
  <c r="Y60" i="1"/>
  <c r="X66" i="1"/>
  <c r="Y66" i="1"/>
  <c r="Y135" i="1"/>
  <c r="X135" i="1"/>
  <c r="X139" i="1"/>
  <c r="Y139" i="1"/>
  <c r="X122" i="1"/>
  <c r="Y122" i="1"/>
  <c r="X87" i="1"/>
  <c r="Y87" i="1"/>
  <c r="AW90" i="1"/>
  <c r="W66" i="1"/>
  <c r="X103" i="1"/>
  <c r="Y103" i="1"/>
  <c r="W102" i="1"/>
  <c r="AY120" i="1"/>
  <c r="AX120" i="1"/>
  <c r="W97" i="1"/>
  <c r="X76" i="1"/>
  <c r="Z76" i="1" s="1"/>
  <c r="Y76" i="1"/>
  <c r="W47" i="1"/>
  <c r="W127" i="1"/>
  <c r="W132" i="1"/>
  <c r="X84" i="1"/>
  <c r="Z84" i="1" s="1"/>
  <c r="Y84" i="1"/>
  <c r="X45" i="1"/>
  <c r="Y45" i="1"/>
  <c r="AY110" i="1"/>
  <c r="AX110" i="1"/>
  <c r="AZ110" i="1" s="1"/>
  <c r="X106" i="1"/>
  <c r="Z106" i="1" s="1"/>
  <c r="Y106" i="1"/>
  <c r="W59" i="1"/>
  <c r="X112" i="1"/>
  <c r="Y112" i="1"/>
  <c r="AY50" i="1"/>
  <c r="AX50" i="1"/>
  <c r="W121" i="1"/>
  <c r="W91" i="1"/>
  <c r="X42" i="1"/>
  <c r="Y42" i="1"/>
  <c r="W43" i="1"/>
  <c r="W125" i="1"/>
  <c r="X118" i="1"/>
  <c r="Z118" i="1" s="1"/>
  <c r="Y118" i="1"/>
  <c r="X73" i="1"/>
  <c r="Y73" i="1"/>
  <c r="Z73" i="1" s="1"/>
  <c r="W51" i="1"/>
  <c r="X126" i="1"/>
  <c r="Z126" i="1" s="1"/>
  <c r="Y126" i="1"/>
  <c r="W60" i="1"/>
  <c r="Z112" i="1" l="1"/>
  <c r="AZ120" i="1"/>
  <c r="Z87" i="1"/>
  <c r="Z66" i="1"/>
  <c r="Z114" i="1"/>
  <c r="Z96" i="1"/>
  <c r="Z69" i="1"/>
  <c r="Z93" i="1"/>
  <c r="AZ70" i="1"/>
  <c r="Z115" i="1"/>
  <c r="Z70" i="1"/>
  <c r="Z110" i="1"/>
  <c r="Z61" i="1"/>
  <c r="Z42" i="1"/>
  <c r="Z122" i="1"/>
  <c r="Z60" i="1"/>
  <c r="Z91" i="1"/>
  <c r="Z80" i="1"/>
  <c r="Z113" i="1"/>
  <c r="Z109" i="1"/>
  <c r="Z107" i="1"/>
  <c r="Z55" i="1"/>
  <c r="Z56" i="1"/>
  <c r="Z111" i="1"/>
  <c r="Z101" i="1"/>
  <c r="Z104" i="1"/>
  <c r="Z120" i="1"/>
  <c r="Z103" i="1"/>
  <c r="Z139" i="1"/>
  <c r="Z67" i="1"/>
  <c r="Z125" i="1"/>
  <c r="Z127" i="1"/>
  <c r="Z138" i="1"/>
  <c r="Z131" i="1"/>
  <c r="Z63" i="1"/>
  <c r="Z129" i="1"/>
  <c r="Z52" i="1"/>
  <c r="Z44" i="1"/>
  <c r="AZ50" i="1"/>
  <c r="Z135" i="1"/>
  <c r="Z65" i="1"/>
  <c r="Z116" i="1"/>
  <c r="Z77" i="1"/>
  <c r="Z53" i="1"/>
  <c r="Z82" i="1"/>
  <c r="Z45" i="1"/>
  <c r="Z54" i="1"/>
  <c r="AZ130" i="1"/>
  <c r="Z49" i="1"/>
</calcChain>
</file>

<file path=xl/sharedStrings.xml><?xml version="1.0" encoding="utf-8"?>
<sst xmlns="http://schemas.openxmlformats.org/spreadsheetml/2006/main" count="670" uniqueCount="192">
  <si>
    <t>Harvest</t>
  </si>
  <si>
    <t>Field wt</t>
  </si>
  <si>
    <t>HADAT</t>
  </si>
  <si>
    <t>WBWAH</t>
  </si>
  <si>
    <t>(kg/ha)</t>
  </si>
  <si>
    <t>Parameters</t>
  </si>
  <si>
    <t>m2 per ha</t>
  </si>
  <si>
    <t>Ginning</t>
  </si>
  <si>
    <t>Sample</t>
  </si>
  <si>
    <t>(g)</t>
  </si>
  <si>
    <t>Fiber</t>
  </si>
  <si>
    <t>Seed</t>
  </si>
  <si>
    <t>FFRAC</t>
  </si>
  <si>
    <t>SFRAC</t>
  </si>
  <si>
    <t>TFRAC</t>
  </si>
  <si>
    <t>(g/g)</t>
  </si>
  <si>
    <t>Compute</t>
  </si>
  <si>
    <t>WFWAH</t>
  </si>
  <si>
    <t>WSWAH</t>
  </si>
  <si>
    <t>WSCWAH</t>
  </si>
  <si>
    <t>PID</t>
  </si>
  <si>
    <t>HARM</t>
  </si>
  <si>
    <t>Column C - Harvest method (HARM)</t>
  </si>
  <si>
    <t>Column F - Wet bulk weight at harvest (fiber + seed + trash) (WBWAH, kg/ha)</t>
  </si>
  <si>
    <t>Date</t>
  </si>
  <si>
    <t>GNDAT</t>
  </si>
  <si>
    <t>Column D - Harvest date (HADAT, mm/dd/yyyy)</t>
  </si>
  <si>
    <t>HID</t>
  </si>
  <si>
    <t>p02</t>
  </si>
  <si>
    <t>p04</t>
  </si>
  <si>
    <t>p05</t>
  </si>
  <si>
    <t>p06</t>
  </si>
  <si>
    <t>p07</t>
  </si>
  <si>
    <t>p08</t>
  </si>
  <si>
    <t>p11</t>
  </si>
  <si>
    <t>ID</t>
  </si>
  <si>
    <t>Column A - ID (ID)</t>
  </si>
  <si>
    <t>Column B - Harvest Area ID (HID)</t>
  </si>
  <si>
    <t>(kg)</t>
  </si>
  <si>
    <t>p02-01</t>
  </si>
  <si>
    <t>p02-02</t>
  </si>
  <si>
    <t>p02-03</t>
  </si>
  <si>
    <t>p02-04</t>
  </si>
  <si>
    <t>p02-05</t>
  </si>
  <si>
    <t>p02-06</t>
  </si>
  <si>
    <t>p02-07</t>
  </si>
  <si>
    <t>p02-08</t>
  </si>
  <si>
    <t>p02-09</t>
  </si>
  <si>
    <t>p02-10</t>
  </si>
  <si>
    <t>p03-01</t>
  </si>
  <si>
    <t>p03-02</t>
  </si>
  <si>
    <t>p03-03</t>
  </si>
  <si>
    <t>p03-04</t>
  </si>
  <si>
    <t>p03-05</t>
  </si>
  <si>
    <t>p03-06</t>
  </si>
  <si>
    <t>p03-07</t>
  </si>
  <si>
    <t>p03-08</t>
  </si>
  <si>
    <t>p03-09</t>
  </si>
  <si>
    <t>p03-10</t>
  </si>
  <si>
    <t>p04-01</t>
  </si>
  <si>
    <t>p04-02</t>
  </si>
  <si>
    <t>p04-03</t>
  </si>
  <si>
    <t>p04-04</t>
  </si>
  <si>
    <t>p04-05</t>
  </si>
  <si>
    <t>p04-06</t>
  </si>
  <si>
    <t>p04-07</t>
  </si>
  <si>
    <t>p04-08</t>
  </si>
  <si>
    <t>p04-09</t>
  </si>
  <si>
    <t>p04-10</t>
  </si>
  <si>
    <t>p05-01</t>
  </si>
  <si>
    <t>p05-02</t>
  </si>
  <si>
    <t>p05-03</t>
  </si>
  <si>
    <t>p05-04</t>
  </si>
  <si>
    <t>p05-05</t>
  </si>
  <si>
    <t>p05-06</t>
  </si>
  <si>
    <t>p05-07</t>
  </si>
  <si>
    <t>p05-08</t>
  </si>
  <si>
    <t>p05-09</t>
  </si>
  <si>
    <t>p05-10</t>
  </si>
  <si>
    <t>p06-01</t>
  </si>
  <si>
    <t>p06-02</t>
  </si>
  <si>
    <t>p06-03</t>
  </si>
  <si>
    <t>p06-04</t>
  </si>
  <si>
    <t>p06-05</t>
  </si>
  <si>
    <t>p06-06</t>
  </si>
  <si>
    <t>p06-07</t>
  </si>
  <si>
    <t>p06-08</t>
  </si>
  <si>
    <t>p06-09</t>
  </si>
  <si>
    <t>p06-10</t>
  </si>
  <si>
    <t>p07-01</t>
  </si>
  <si>
    <t>p07-02</t>
  </si>
  <si>
    <t>p07-03</t>
  </si>
  <si>
    <t>p07-04</t>
  </si>
  <si>
    <t>p07-05</t>
  </si>
  <si>
    <t>p07-06</t>
  </si>
  <si>
    <t>p07-07</t>
  </si>
  <si>
    <t>p07-08</t>
  </si>
  <si>
    <t>p07-09</t>
  </si>
  <si>
    <t>p07-10</t>
  </si>
  <si>
    <t>p08-01</t>
  </si>
  <si>
    <t>p08-02</t>
  </si>
  <si>
    <t>p08-03</t>
  </si>
  <si>
    <t>p08-04</t>
  </si>
  <si>
    <t>p08-05</t>
  </si>
  <si>
    <t>p08-06</t>
  </si>
  <si>
    <t>p08-07</t>
  </si>
  <si>
    <t>p08-08</t>
  </si>
  <si>
    <t>p08-09</t>
  </si>
  <si>
    <t>p08-10</t>
  </si>
  <si>
    <t>p09-01</t>
  </si>
  <si>
    <t>p09-02</t>
  </si>
  <si>
    <t>p09-03</t>
  </si>
  <si>
    <t>p09-04</t>
  </si>
  <si>
    <t>p09-05</t>
  </si>
  <si>
    <t>p09-06</t>
  </si>
  <si>
    <t>p09-07</t>
  </si>
  <si>
    <t>p09-08</t>
  </si>
  <si>
    <t>p09-09</t>
  </si>
  <si>
    <t>p09-10</t>
  </si>
  <si>
    <t>p10-01</t>
  </si>
  <si>
    <t>p10-02</t>
  </si>
  <si>
    <t>p10-03</t>
  </si>
  <si>
    <t>p10-04</t>
  </si>
  <si>
    <t>p10-05</t>
  </si>
  <si>
    <t>p10-06</t>
  </si>
  <si>
    <t>p10-07</t>
  </si>
  <si>
    <t>p10-08</t>
  </si>
  <si>
    <t>p10-09</t>
  </si>
  <si>
    <t>p10-10</t>
  </si>
  <si>
    <t>p11-01</t>
  </si>
  <si>
    <t>p11-02</t>
  </si>
  <si>
    <t>p11-03</t>
  </si>
  <si>
    <t>p11-04</t>
  </si>
  <si>
    <t>p11-05</t>
  </si>
  <si>
    <t>p11-06</t>
  </si>
  <si>
    <t>p11-07</t>
  </si>
  <si>
    <t>p11-08</t>
  </si>
  <si>
    <t>p11-09</t>
  </si>
  <si>
    <t>p11-10</t>
  </si>
  <si>
    <t>Machine</t>
  </si>
  <si>
    <t>(lbs)</t>
  </si>
  <si>
    <t>in bag</t>
  </si>
  <si>
    <t>kg per lb</t>
  </si>
  <si>
    <t>wt in bag</t>
  </si>
  <si>
    <t>Weight</t>
  </si>
  <si>
    <t>p03</t>
  </si>
  <si>
    <t>p09</t>
  </si>
  <si>
    <t>p10</t>
  </si>
  <si>
    <t>minus bag</t>
  </si>
  <si>
    <t>Moisture</t>
  </si>
  <si>
    <t>Bag</t>
  </si>
  <si>
    <t>weight</t>
  </si>
  <si>
    <t>Sample wt</t>
  </si>
  <si>
    <t>Wet</t>
  </si>
  <si>
    <t>Dry</t>
  </si>
  <si>
    <t>BWCAH</t>
  </si>
  <si>
    <t>DBWAH</t>
  </si>
  <si>
    <t>(%)</t>
  </si>
  <si>
    <t>wt no bag</t>
  </si>
  <si>
    <t>wt no bin</t>
  </si>
  <si>
    <t>DFWAH</t>
  </si>
  <si>
    <t>DSWAH</t>
  </si>
  <si>
    <t>DSCWAH</t>
  </si>
  <si>
    <t>Column K - Bulk water content at harvest (BWCAH, %)</t>
  </si>
  <si>
    <t>Column L - Dry bulk weight at harvest (fiber + seed + trash) (0% water content) (DBWAH, kg/ha)</t>
  </si>
  <si>
    <t>Column R - Fiber fraction after ginning (FFRAC, g/g)</t>
  </si>
  <si>
    <t>Column S - Seed fraction after ginning (SFRAC, g/g)</t>
  </si>
  <si>
    <t>Column T - Trash fraction after ginning (TFRAC, g/g)</t>
  </si>
  <si>
    <t>Column U - Wet fiber weight at harvest (WFWAH, kg/ha)</t>
  </si>
  <si>
    <t>Column V - Wet seed weight at harvest (WSWAH, kg/ha)</t>
  </si>
  <si>
    <t>Column W - Wet seed cotton weight at harvest (fiber + seed) (WSCWAH, kg/ha)</t>
  </si>
  <si>
    <t>Column X - Dry fiber weight at harvest (DFWAH, kg/ha)</t>
  </si>
  <si>
    <t>Column Y - Dry seed weight at harvest (DSWAH, kg/ha)</t>
  </si>
  <si>
    <t>Column Z - Dry seed cotton weight at harvest (fiber + seed) (DSCWAH, kg/ha)</t>
  </si>
  <si>
    <t>Size of harvest area (2 40-inch rows by 16 m) (m2)</t>
  </si>
  <si>
    <t>Weight of a single bag holding fiber at MAC gin (kg)</t>
  </si>
  <si>
    <t>Dry Lint Wt</t>
  </si>
  <si>
    <t>Dry Seed Wt</t>
  </si>
  <si>
    <t>kg/ha</t>
  </si>
  <si>
    <t>Original</t>
  </si>
  <si>
    <t>Spreadsheet</t>
  </si>
  <si>
    <t>Column E - Weight of machine-picked cotton, no bag (lbs). Machine harvest 2 rows by 16 m into mesh bags. Weigh in field using IQ plus 300-DC scale.</t>
  </si>
  <si>
    <t>Column N - Weight of bulk cotton subsample prior to ginning, no bag (lbs). Weigh in Room 318 on Ohaus C-11 scale.</t>
  </si>
  <si>
    <t>Column O - Weight of fiber after ginning, in bag (kg). Weigh using scale at MAC gin.</t>
  </si>
  <si>
    <t>Column P - Weight of fiber after ginning, no bag (kg). Weigh using scale at MAC gin.</t>
  </si>
  <si>
    <t>Column M - Ginning Date (GNDAT, mm/dd/yyyy).  Ginned using the MAC large gin with cleaners.</t>
  </si>
  <si>
    <t>Column G - Weight of Zip-lock plastic bag for subsampling harvest bags for moisture content. Weigh in room 189 on Sartorius scale.</t>
  </si>
  <si>
    <t>Column H - Weight of bulk subsample for moisture content in plastic bag (g).  Weigh in room 189 on Sartorius scale.</t>
  </si>
  <si>
    <t>Column I - Wet weight of bulk subsample prior to oven drying (g). Weigh in room 189 on Sartorius scale.</t>
  </si>
  <si>
    <t>Column J - Dry weight of bulk subsample after oven drying (g). Weigh in room 189 on Sartorius scale.</t>
  </si>
  <si>
    <t>Column Q - Weight of fuzzy seed after ginning, no bag (kg). Weigh using scale at MAC gin.</t>
  </si>
  <si>
    <t>Plot-scale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</si>
</sst>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mm/dd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</cellStyleXfs>
  <cellXfs count="13">
    <xf numFmtId="0" fontId="0" fillId="0" borderId="0" xfId="0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166" fontId="0" fillId="0" borderId="0" xfId="0" applyNumberFormat="1"/>
    <xf numFmtId="1" fontId="2" fillId="0" borderId="0" xfId="1" applyNumberFormat="1"/>
  </cellXfs>
  <cellStyles count="9">
    <cellStyle name="Normal" xfId="0" builtinId="0"/>
    <cellStyle name="Normal 2" xfId="2" xr:uid="{3A69CC3C-8DA1-4CF4-867B-B43727D71D4D}"/>
    <cellStyle name="Normal 2 2" xfId="4" xr:uid="{258A2AA6-8E03-4FDD-B455-B6BA4D06FF40}"/>
    <cellStyle name="Normal 3" xfId="5" xr:uid="{E3EFB7CE-A939-4BF0-8A54-478EA3F467D0}"/>
    <cellStyle name="Normal 3 2" xfId="8" xr:uid="{307950DD-D4D0-4884-A81A-23EA50911EAE}"/>
    <cellStyle name="Normal 4" xfId="7" xr:uid="{1E07BD5D-27B0-4EC4-AB28-F18321417FF5}"/>
    <cellStyle name="Normal 5" xfId="6" xr:uid="{7F1073E2-3D7B-4B47-838C-C9D8F0845388}"/>
    <cellStyle name="Normal 6" xfId="3" xr:uid="{5E839790-0AF2-4637-9DED-AD6F599BDF18}"/>
    <cellStyle name="Normal 7" xfId="1" xr:uid="{478CEDD3-080B-463E-BF99-14BE5A334E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Compare!$N$5:$N$6</c:f>
              <c:numCache>
                <c:formatCode>General</c:formatCode>
                <c:ptCount val="2"/>
                <c:pt idx="0">
                  <c:v>0</c:v>
                </c:pt>
                <c:pt idx="1">
                  <c:v>4500</c:v>
                </c:pt>
              </c:numCache>
            </c:numRef>
          </c:xVal>
          <c:yVal>
            <c:numRef>
              <c:f>Compare!$N$5:$N$6</c:f>
              <c:numCache>
                <c:formatCode>General</c:formatCode>
                <c:ptCount val="2"/>
                <c:pt idx="0">
                  <c:v>0</c:v>
                </c:pt>
                <c:pt idx="1">
                  <c:v>4500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96-4DFE-B1F2-800EBEFAF6F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Compare!$B$6:$B$105</c:f>
              <c:numCache>
                <c:formatCode>0</c:formatCode>
                <c:ptCount val="100"/>
                <c:pt idx="0">
                  <c:v>2236.0498401313334</c:v>
                </c:pt>
                <c:pt idx="1">
                  <c:v>2367.0735530551187</c:v>
                </c:pt>
                <c:pt idx="2">
                  <c:v>2282.1457275704515</c:v>
                </c:pt>
                <c:pt idx="3">
                  <c:v>2167.6899134567107</c:v>
                </c:pt>
                <c:pt idx="4">
                  <c:v>2266.1918258529918</c:v>
                </c:pt>
                <c:pt idx="5">
                  <c:v>2405.5217215822945</c:v>
                </c:pt>
                <c:pt idx="6">
                  <c:v>2180.9050591122996</c:v>
                </c:pt>
                <c:pt idx="7">
                  <c:v>2355.391065852014</c:v>
                </c:pt>
                <c:pt idx="8">
                  <c:v>2273.4883339121689</c:v>
                </c:pt>
                <c:pt idx="9">
                  <c:v>1916.9289342769055</c:v>
                </c:pt>
                <c:pt idx="10">
                  <c:v>2314.7305813462985</c:v>
                </c:pt>
                <c:pt idx="11">
                  <c:v>2418.8378102624438</c:v>
                </c:pt>
                <c:pt idx="12">
                  <c:v>2467.3329530499536</c:v>
                </c:pt>
                <c:pt idx="13">
                  <c:v>2333.1291724447165</c:v>
                </c:pt>
                <c:pt idx="14">
                  <c:v>2483.1357353325648</c:v>
                </c:pt>
                <c:pt idx="15">
                  <c:v>2403.6613352317831</c:v>
                </c:pt>
                <c:pt idx="16">
                  <c:v>2489.9029966244684</c:v>
                </c:pt>
                <c:pt idx="17">
                  <c:v>2467.496282249012</c:v>
                </c:pt>
                <c:pt idx="18">
                  <c:v>2390.3198851750844</c:v>
                </c:pt>
                <c:pt idx="19">
                  <c:v>1917.4230852882724</c:v>
                </c:pt>
                <c:pt idx="20">
                  <c:v>2127.8132319247243</c:v>
                </c:pt>
                <c:pt idx="21">
                  <c:v>2391.6858159168733</c:v>
                </c:pt>
                <c:pt idx="22">
                  <c:v>2476.8754167955949</c:v>
                </c:pt>
                <c:pt idx="23">
                  <c:v>2360.04580503027</c:v>
                </c:pt>
                <c:pt idx="24">
                  <c:v>2172.3705522819282</c:v>
                </c:pt>
                <c:pt idx="25">
                  <c:v>2124.5407878007445</c:v>
                </c:pt>
                <c:pt idx="26">
                  <c:v>2396.4123494995883</c:v>
                </c:pt>
                <c:pt idx="27">
                  <c:v>2553.529005473652</c:v>
                </c:pt>
                <c:pt idx="28">
                  <c:v>2205.8266436346144</c:v>
                </c:pt>
                <c:pt idx="29">
                  <c:v>2008.7930901237182</c:v>
                </c:pt>
                <c:pt idx="30">
                  <c:v>2062.2471758666393</c:v>
                </c:pt>
                <c:pt idx="31">
                  <c:v>2304.105146117623</c:v>
                </c:pt>
                <c:pt idx="32">
                  <c:v>2376.090574618986</c:v>
                </c:pt>
                <c:pt idx="33">
                  <c:v>2192.6068024965571</c:v>
                </c:pt>
                <c:pt idx="34">
                  <c:v>2262.6540043956516</c:v>
                </c:pt>
                <c:pt idx="35">
                  <c:v>2420.2509479531045</c:v>
                </c:pt>
                <c:pt idx="36">
                  <c:v>2385.5237119041326</c:v>
                </c:pt>
                <c:pt idx="37">
                  <c:v>2368.9608407747792</c:v>
                </c:pt>
                <c:pt idx="38">
                  <c:v>1868.1030089348037</c:v>
                </c:pt>
                <c:pt idx="39">
                  <c:v>1635.0316106854757</c:v>
                </c:pt>
                <c:pt idx="40">
                  <c:v>1421.2087746548375</c:v>
                </c:pt>
                <c:pt idx="41">
                  <c:v>1235.1029725384876</c:v>
                </c:pt>
                <c:pt idx="42">
                  <c:v>1622.5800606302323</c:v>
                </c:pt>
                <c:pt idx="43">
                  <c:v>1555.4183305181186</c:v>
                </c:pt>
                <c:pt idx="44">
                  <c:v>1220.2978468087226</c:v>
                </c:pt>
                <c:pt idx="45">
                  <c:v>1298.2959628328008</c:v>
                </c:pt>
                <c:pt idx="46">
                  <c:v>1427.087655580774</c:v>
                </c:pt>
                <c:pt idx="47">
                  <c:v>1439.8919352497653</c:v>
                </c:pt>
                <c:pt idx="48">
                  <c:v>1220.9427068375674</c:v>
                </c:pt>
                <c:pt idx="49">
                  <c:v>998.40690097911272</c:v>
                </c:pt>
                <c:pt idx="50">
                  <c:v>2193.2477748133615</c:v>
                </c:pt>
                <c:pt idx="51">
                  <c:v>2388.3080114424029</c:v>
                </c:pt>
                <c:pt idx="52">
                  <c:v>2455.5541875864142</c:v>
                </c:pt>
                <c:pt idx="53">
                  <c:v>2415.2461388595452</c:v>
                </c:pt>
                <c:pt idx="54">
                  <c:v>2152.1563468867907</c:v>
                </c:pt>
                <c:pt idx="55">
                  <c:v>2471.2768421375558</c:v>
                </c:pt>
                <c:pt idx="56">
                  <c:v>2378.9847746998184</c:v>
                </c:pt>
                <c:pt idx="57">
                  <c:v>2218.0616216832541</c:v>
                </c:pt>
                <c:pt idx="58">
                  <c:v>2300.9389981087124</c:v>
                </c:pt>
                <c:pt idx="59">
                  <c:v>1883.7642803426825</c:v>
                </c:pt>
                <c:pt idx="60">
                  <c:v>2259.2871616077423</c:v>
                </c:pt>
                <c:pt idx="61">
                  <c:v>2314.4299507661553</c:v>
                </c:pt>
                <c:pt idx="62">
                  <c:v>2150.2349407684924</c:v>
                </c:pt>
                <c:pt idx="63">
                  <c:v>2213.2226589883339</c:v>
                </c:pt>
                <c:pt idx="64">
                  <c:v>2252.9644060530704</c:v>
                </c:pt>
                <c:pt idx="65">
                  <c:v>2298.9749113097523</c:v>
                </c:pt>
                <c:pt idx="66">
                  <c:v>2241.9969817055894</c:v>
                </c:pt>
                <c:pt idx="67">
                  <c:v>2346.9765973535091</c:v>
                </c:pt>
                <c:pt idx="68">
                  <c:v>2161.635231398755</c:v>
                </c:pt>
                <c:pt idx="69">
                  <c:v>1721.6918085954317</c:v>
                </c:pt>
                <c:pt idx="70">
                  <c:v>1907.5858690794184</c:v>
                </c:pt>
                <c:pt idx="71">
                  <c:v>2274.1027547870417</c:v>
                </c:pt>
                <c:pt idx="72">
                  <c:v>2212.7667807834227</c:v>
                </c:pt>
                <c:pt idx="73">
                  <c:v>2647.7691764912247</c:v>
                </c:pt>
                <c:pt idx="74">
                  <c:v>1718.6943113542045</c:v>
                </c:pt>
                <c:pt idx="75">
                  <c:v>2278.2045250044557</c:v>
                </c:pt>
                <c:pt idx="76">
                  <c:v>2312.4493464718776</c:v>
                </c:pt>
                <c:pt idx="77">
                  <c:v>1998.3341659647967</c:v>
                </c:pt>
                <c:pt idx="78">
                  <c:v>2104.1213469437039</c:v>
                </c:pt>
                <c:pt idx="79">
                  <c:v>1215.0815953066051</c:v>
                </c:pt>
                <c:pt idx="80">
                  <c:v>1822.6928831602124</c:v>
                </c:pt>
                <c:pt idx="81">
                  <c:v>2073.3621173355423</c:v>
                </c:pt>
                <c:pt idx="82">
                  <c:v>2170.3322890557729</c:v>
                </c:pt>
                <c:pt idx="83">
                  <c:v>2303.5688633555478</c:v>
                </c:pt>
                <c:pt idx="84">
                  <c:v>2262.3788568694526</c:v>
                </c:pt>
                <c:pt idx="85">
                  <c:v>2154.3911574817239</c:v>
                </c:pt>
                <c:pt idx="86">
                  <c:v>2134.3111367180395</c:v>
                </c:pt>
                <c:pt idx="87">
                  <c:v>2230.1238607746554</c:v>
                </c:pt>
                <c:pt idx="88">
                  <c:v>1720.9438843220464</c:v>
                </c:pt>
                <c:pt idx="89">
                  <c:v>1375.5849693550256</c:v>
                </c:pt>
                <c:pt idx="90">
                  <c:v>894.21009389271228</c:v>
                </c:pt>
                <c:pt idx="91">
                  <c:v>739.16062161664036</c:v>
                </c:pt>
                <c:pt idx="92">
                  <c:v>1135.1492522537287</c:v>
                </c:pt>
                <c:pt idx="93">
                  <c:v>1398.0220328414428</c:v>
                </c:pt>
                <c:pt idx="94">
                  <c:v>1178.5947614580118</c:v>
                </c:pt>
                <c:pt idx="95">
                  <c:v>893.44774823716534</c:v>
                </c:pt>
                <c:pt idx="96">
                  <c:v>731.43302795683326</c:v>
                </c:pt>
                <c:pt idx="97">
                  <c:v>1011.6055255130256</c:v>
                </c:pt>
                <c:pt idx="98">
                  <c:v>806.86671294798441</c:v>
                </c:pt>
                <c:pt idx="99">
                  <c:v>590.81980042004147</c:v>
                </c:pt>
              </c:numCache>
            </c:numRef>
          </c:xVal>
          <c:yVal>
            <c:numRef>
              <c:f>'Raw Scale'!$X$40:$X$139</c:f>
              <c:numCache>
                <c:formatCode>0.0</c:formatCode>
                <c:ptCount val="100"/>
                <c:pt idx="0">
                  <c:v>2235.905202717865</c:v>
                </c:pt>
                <c:pt idx="1">
                  <c:v>2366.9204404589423</c:v>
                </c:pt>
                <c:pt idx="2">
                  <c:v>2281.9981084748174</c:v>
                </c:pt>
                <c:pt idx="3">
                  <c:v>2167.5496978601454</c:v>
                </c:pt>
                <c:pt idx="4">
                  <c:v>2266.0452387249993</c:v>
                </c:pt>
                <c:pt idx="5">
                  <c:v>2405.3661219916207</c:v>
                </c:pt>
                <c:pt idx="6">
                  <c:v>2180.7639887027276</c:v>
                </c:pt>
                <c:pt idx="7">
                  <c:v>2355.23870892984</c:v>
                </c:pt>
                <c:pt idx="8">
                  <c:v>2273.3412748143496</c:v>
                </c:pt>
                <c:pt idx="9">
                  <c:v>1966.2556806586358</c:v>
                </c:pt>
                <c:pt idx="10">
                  <c:v>2314.5808545208256</c:v>
                </c:pt>
                <c:pt idx="11">
                  <c:v>2418.6813493293303</c:v>
                </c:pt>
                <c:pt idx="12">
                  <c:v>2467.1733552404198</c:v>
                </c:pt>
                <c:pt idx="13">
                  <c:v>2332.9782555184784</c:v>
                </c:pt>
                <c:pt idx="14">
                  <c:v>2482.975115330451</c:v>
                </c:pt>
                <c:pt idx="15">
                  <c:v>2403.5058559789773</c:v>
                </c:pt>
                <c:pt idx="16">
                  <c:v>2489.7419388865083</c:v>
                </c:pt>
                <c:pt idx="17">
                  <c:v>2467.3366738746358</c:v>
                </c:pt>
                <c:pt idx="18">
                  <c:v>2390.1652689052021</c:v>
                </c:pt>
                <c:pt idx="19">
                  <c:v>1917.2990580369099</c:v>
                </c:pt>
                <c:pt idx="20">
                  <c:v>2127.6755957250807</c:v>
                </c:pt>
                <c:pt idx="21">
                  <c:v>2391.5311112926593</c:v>
                </c:pt>
                <c:pt idx="22">
                  <c:v>2476.7152017380695</c:v>
                </c:pt>
                <c:pt idx="23">
                  <c:v>2359.8931470193529</c:v>
                </c:pt>
                <c:pt idx="24">
                  <c:v>2172.2300339213189</c:v>
                </c:pt>
                <c:pt idx="25">
                  <c:v>2124.403363276997</c:v>
                </c:pt>
                <c:pt idx="26">
                  <c:v>2396.2573391426567</c:v>
                </c:pt>
                <c:pt idx="27">
                  <c:v>2553.363832129151</c:v>
                </c:pt>
                <c:pt idx="28">
                  <c:v>2205.6839611887367</c:v>
                </c:pt>
                <c:pt idx="29">
                  <c:v>2008.6631526636788</c:v>
                </c:pt>
                <c:pt idx="30">
                  <c:v>2062.1137807642158</c:v>
                </c:pt>
                <c:pt idx="31">
                  <c:v>2303.9561065914413</c:v>
                </c:pt>
                <c:pt idx="32">
                  <c:v>2375.9368787626986</c:v>
                </c:pt>
                <c:pt idx="33">
                  <c:v>2192.4649751674096</c:v>
                </c:pt>
                <c:pt idx="34">
                  <c:v>2262.5076461093136</c:v>
                </c:pt>
                <c:pt idx="35">
                  <c:v>2420.0943956121087</c:v>
                </c:pt>
                <c:pt idx="36">
                  <c:v>2385.3694058715641</c:v>
                </c:pt>
                <c:pt idx="37">
                  <c:v>2368.8076061006373</c:v>
                </c:pt>
                <c:pt idx="38">
                  <c:v>1867.9821719201475</c:v>
                </c:pt>
                <c:pt idx="39">
                  <c:v>1634.9258497409458</c:v>
                </c:pt>
                <c:pt idx="40">
                  <c:v>1421.1168446998454</c:v>
                </c:pt>
                <c:pt idx="41">
                  <c:v>1235.023080714921</c:v>
                </c:pt>
                <c:pt idx="42">
                  <c:v>1622.47510510603</c:v>
                </c:pt>
                <c:pt idx="43">
                  <c:v>1555.3177193062625</c:v>
                </c:pt>
                <c:pt idx="44">
                  <c:v>1220.2189126449773</c:v>
                </c:pt>
                <c:pt idx="45">
                  <c:v>1298.2119834122125</c:v>
                </c:pt>
                <c:pt idx="46">
                  <c:v>1426.9953453542346</c:v>
                </c:pt>
                <c:pt idx="47">
                  <c:v>1439.7987967868164</c:v>
                </c:pt>
                <c:pt idx="48">
                  <c:v>1220.8637309614753</c:v>
                </c:pt>
                <c:pt idx="49">
                  <c:v>998.34231968528161</c:v>
                </c:pt>
                <c:pt idx="50">
                  <c:v>2193.105906023341</c:v>
                </c:pt>
                <c:pt idx="51">
                  <c:v>2388.1535253092493</c:v>
                </c:pt>
                <c:pt idx="52">
                  <c:v>2455.3953516785787</c:v>
                </c:pt>
                <c:pt idx="53">
                  <c:v>2415.0899102513345</c:v>
                </c:pt>
                <c:pt idx="54">
                  <c:v>2152.0171360687641</c:v>
                </c:pt>
                <c:pt idx="55">
                  <c:v>2471.1169892201501</c:v>
                </c:pt>
                <c:pt idx="56">
                  <c:v>2378.8308916341025</c:v>
                </c:pt>
                <c:pt idx="57">
                  <c:v>2217.918147825867</c:v>
                </c:pt>
                <c:pt idx="58">
                  <c:v>2300.7901633827319</c:v>
                </c:pt>
                <c:pt idx="59">
                  <c:v>1883.6424302889841</c:v>
                </c:pt>
                <c:pt idx="60">
                  <c:v>2259.1410211034158</c:v>
                </c:pt>
                <c:pt idx="61">
                  <c:v>2314.2802433867741</c:v>
                </c:pt>
                <c:pt idx="62">
                  <c:v>2150.0958542353574</c:v>
                </c:pt>
                <c:pt idx="63">
                  <c:v>2213.0794981360664</c:v>
                </c:pt>
                <c:pt idx="64">
                  <c:v>2252.8186745320286</c:v>
                </c:pt>
                <c:pt idx="65">
                  <c:v>2298.826203629435</c:v>
                </c:pt>
                <c:pt idx="66">
                  <c:v>2241.8519596051806</c:v>
                </c:pt>
                <c:pt idx="67">
                  <c:v>2346.8247847156963</c:v>
                </c:pt>
                <c:pt idx="68">
                  <c:v>2161.4954074453176</c:v>
                </c:pt>
                <c:pt idx="69">
                  <c:v>1721.5804420929887</c:v>
                </c:pt>
                <c:pt idx="70">
                  <c:v>1907.4624781419182</c:v>
                </c:pt>
                <c:pt idx="71">
                  <c:v>2273.9556559458124</c:v>
                </c:pt>
                <c:pt idx="72">
                  <c:v>2212.6236494193367</c:v>
                </c:pt>
                <c:pt idx="73">
                  <c:v>2647.5979072832338</c:v>
                </c:pt>
                <c:pt idx="74">
                  <c:v>1718.5831387428991</c:v>
                </c:pt>
                <c:pt idx="75">
                  <c:v>2278.0571608429173</c:v>
                </c:pt>
                <c:pt idx="76">
                  <c:v>2312.2997672065821</c:v>
                </c:pt>
                <c:pt idx="77">
                  <c:v>1998.2049050333894</c:v>
                </c:pt>
                <c:pt idx="78">
                  <c:v>2103.9852432380617</c:v>
                </c:pt>
                <c:pt idx="79">
                  <c:v>1215.002998552658</c:v>
                </c:pt>
                <c:pt idx="80">
                  <c:v>1822.5749834696803</c:v>
                </c:pt>
                <c:pt idx="81">
                  <c:v>2073.2280032704384</c:v>
                </c:pt>
                <c:pt idx="82">
                  <c:v>2170.1919025388797</c:v>
                </c:pt>
                <c:pt idx="83">
                  <c:v>2303.419858518464</c:v>
                </c:pt>
                <c:pt idx="84">
                  <c:v>2262.2325163808505</c:v>
                </c:pt>
                <c:pt idx="85">
                  <c:v>2154.2518021064434</c:v>
                </c:pt>
                <c:pt idx="86">
                  <c:v>2134.1730802056973</c:v>
                </c:pt>
                <c:pt idx="87">
                  <c:v>2229.979606679266</c:v>
                </c:pt>
                <c:pt idx="88">
                  <c:v>1720.8325661985934</c:v>
                </c:pt>
                <c:pt idx="89">
                  <c:v>1375.4959905458763</c:v>
                </c:pt>
                <c:pt idx="90">
                  <c:v>894.1522525008271</c:v>
                </c:pt>
                <c:pt idx="91">
                  <c:v>739.11280949790807</c:v>
                </c:pt>
                <c:pt idx="92">
                  <c:v>1135.0758258708279</c:v>
                </c:pt>
                <c:pt idx="93">
                  <c:v>1397.9316027055968</c:v>
                </c:pt>
                <c:pt idx="94">
                  <c:v>1178.5185248309183</c:v>
                </c:pt>
                <c:pt idx="95">
                  <c:v>893.38995615710746</c:v>
                </c:pt>
                <c:pt idx="96">
                  <c:v>731.38571569241492</c:v>
                </c:pt>
                <c:pt idx="97">
                  <c:v>1011.5400904748465</c:v>
                </c:pt>
                <c:pt idx="98">
                  <c:v>806.81452130525804</c:v>
                </c:pt>
                <c:pt idx="99">
                  <c:v>590.7815836297782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96-4DFE-B1F2-800EBEFAF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600384"/>
        <c:axId val="908601104"/>
      </c:scatterChart>
      <c:valAx>
        <c:axId val="908600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01104"/>
        <c:crosses val="autoZero"/>
        <c:crossBetween val="midCat"/>
      </c:valAx>
      <c:valAx>
        <c:axId val="90860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0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Compare!$N$21:$N$22</c:f>
              <c:numCache>
                <c:formatCode>General</c:formatCode>
                <c:ptCount val="2"/>
                <c:pt idx="0">
                  <c:v>0</c:v>
                </c:pt>
                <c:pt idx="1">
                  <c:v>4500</c:v>
                </c:pt>
              </c:numCache>
            </c:numRef>
          </c:xVal>
          <c:yVal>
            <c:numRef>
              <c:f>Compare!$N$21:$N$22</c:f>
              <c:numCache>
                <c:formatCode>General</c:formatCode>
                <c:ptCount val="2"/>
                <c:pt idx="0">
                  <c:v>0</c:v>
                </c:pt>
                <c:pt idx="1">
                  <c:v>4500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39-406C-B5B2-709598322F21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Compare!$C$6:$C$105</c:f>
              <c:numCache>
                <c:formatCode>0</c:formatCode>
                <c:ptCount val="100"/>
                <c:pt idx="0">
                  <c:v>3229.849769078593</c:v>
                </c:pt>
                <c:pt idx="1">
                  <c:v>3514.7455787788131</c:v>
                </c:pt>
                <c:pt idx="2">
                  <c:v>3335.4437556798907</c:v>
                </c:pt>
                <c:pt idx="3">
                  <c:v>3311.7484788921965</c:v>
                </c:pt>
                <c:pt idx="4">
                  <c:v>3399.2877387794879</c:v>
                </c:pt>
                <c:pt idx="5">
                  <c:v>3515.7625161587375</c:v>
                </c:pt>
                <c:pt idx="6">
                  <c:v>3207.2133222239704</c:v>
                </c:pt>
                <c:pt idx="7">
                  <c:v>3580.1944200950611</c:v>
                </c:pt>
                <c:pt idx="8">
                  <c:v>3444.6792938063163</c:v>
                </c:pt>
                <c:pt idx="9">
                  <c:v>2928.6414273674945</c:v>
                </c:pt>
                <c:pt idx="10">
                  <c:v>3224.0890240180588</c:v>
                </c:pt>
                <c:pt idx="11">
                  <c:v>3493.8768370457533</c:v>
                </c:pt>
                <c:pt idx="12">
                  <c:v>3700.9994295749302</c:v>
                </c:pt>
                <c:pt idx="13">
                  <c:v>3589.4294960687944</c:v>
                </c:pt>
                <c:pt idx="14">
                  <c:v>3556.9241614223224</c:v>
                </c:pt>
                <c:pt idx="15">
                  <c:v>3605.4920028476749</c:v>
                </c:pt>
                <c:pt idx="16">
                  <c:v>3651.8577283825539</c:v>
                </c:pt>
                <c:pt idx="17">
                  <c:v>3663.8581160667145</c:v>
                </c:pt>
                <c:pt idx="18">
                  <c:v>3585.4798277626278</c:v>
                </c:pt>
                <c:pt idx="19">
                  <c:v>3013.0934197387146</c:v>
                </c:pt>
                <c:pt idx="20">
                  <c:v>3073.5080016690458</c:v>
                </c:pt>
                <c:pt idx="21">
                  <c:v>3495.5408078785076</c:v>
                </c:pt>
                <c:pt idx="22">
                  <c:v>3656.339900983975</c:v>
                </c:pt>
                <c:pt idx="23">
                  <c:v>3624.3560577250587</c:v>
                </c:pt>
                <c:pt idx="24">
                  <c:v>3258.5558284228923</c:v>
                </c:pt>
                <c:pt idx="25">
                  <c:v>3232.9968510011331</c:v>
                </c:pt>
                <c:pt idx="26">
                  <c:v>3642.5467712393743</c:v>
                </c:pt>
                <c:pt idx="27">
                  <c:v>3677.0817678820595</c:v>
                </c:pt>
                <c:pt idx="28">
                  <c:v>3400.6494089366979</c:v>
                </c:pt>
                <c:pt idx="29">
                  <c:v>2892.6620497781541</c:v>
                </c:pt>
                <c:pt idx="30">
                  <c:v>3093.3707637999591</c:v>
                </c:pt>
                <c:pt idx="31">
                  <c:v>3560.8897712726916</c:v>
                </c:pt>
                <c:pt idx="32">
                  <c:v>3648.9962395934426</c:v>
                </c:pt>
                <c:pt idx="33">
                  <c:v>3549.9348230896644</c:v>
                </c:pt>
                <c:pt idx="34">
                  <c:v>3348.7279265055645</c:v>
                </c:pt>
                <c:pt idx="35">
                  <c:v>3469.0263587327836</c:v>
                </c:pt>
                <c:pt idx="36">
                  <c:v>3578.2855678562</c:v>
                </c:pt>
                <c:pt idx="37">
                  <c:v>3512.5971087350172</c:v>
                </c:pt>
                <c:pt idx="38">
                  <c:v>2832.2852070947024</c:v>
                </c:pt>
                <c:pt idx="39">
                  <c:v>2603.9392318324249</c:v>
                </c:pt>
                <c:pt idx="40">
                  <c:v>2224.5006907640936</c:v>
                </c:pt>
                <c:pt idx="41">
                  <c:v>1852.6544588077315</c:v>
                </c:pt>
                <c:pt idx="42">
                  <c:v>2507.6237300649054</c:v>
                </c:pt>
                <c:pt idx="43">
                  <c:v>2413.5801680453565</c:v>
                </c:pt>
                <c:pt idx="44">
                  <c:v>1853.0448784873197</c:v>
                </c:pt>
                <c:pt idx="45">
                  <c:v>1947.4439442492007</c:v>
                </c:pt>
                <c:pt idx="46">
                  <c:v>2140.6314833711608</c:v>
                </c:pt>
                <c:pt idx="47">
                  <c:v>2191.1399014670342</c:v>
                </c:pt>
                <c:pt idx="48">
                  <c:v>1890.4919331678464</c:v>
                </c:pt>
                <c:pt idx="49">
                  <c:v>1516.0993681534676</c:v>
                </c:pt>
                <c:pt idx="50">
                  <c:v>3489.257823566712</c:v>
                </c:pt>
                <c:pt idx="51">
                  <c:v>3541.2842928283912</c:v>
                </c:pt>
                <c:pt idx="52">
                  <c:v>3683.3312813796229</c:v>
                </c:pt>
                <c:pt idx="53">
                  <c:v>3709.1279989628729</c:v>
                </c:pt>
                <c:pt idx="54">
                  <c:v>3407.5808825707522</c:v>
                </c:pt>
                <c:pt idx="55">
                  <c:v>3438.2982151479046</c:v>
                </c:pt>
                <c:pt idx="56">
                  <c:v>3568.4771620497277</c:v>
                </c:pt>
                <c:pt idx="57">
                  <c:v>3362.867619971385</c:v>
                </c:pt>
                <c:pt idx="58">
                  <c:v>3301.347258155979</c:v>
                </c:pt>
                <c:pt idx="59">
                  <c:v>2762.8542778359347</c:v>
                </c:pt>
                <c:pt idx="60">
                  <c:v>3427.8839693358855</c:v>
                </c:pt>
                <c:pt idx="61">
                  <c:v>3517.9335251645557</c:v>
                </c:pt>
                <c:pt idx="62">
                  <c:v>3404.5386562167796</c:v>
                </c:pt>
                <c:pt idx="63">
                  <c:v>3319.8339884825014</c:v>
                </c:pt>
                <c:pt idx="64">
                  <c:v>3421.1681721546629</c:v>
                </c:pt>
                <c:pt idx="65">
                  <c:v>3494.4418651908231</c:v>
                </c:pt>
                <c:pt idx="66">
                  <c:v>3324.3403521841501</c:v>
                </c:pt>
                <c:pt idx="67">
                  <c:v>3339.9282346953778</c:v>
                </c:pt>
                <c:pt idx="68">
                  <c:v>3340.7089939798952</c:v>
                </c:pt>
                <c:pt idx="69">
                  <c:v>2521.0487197290254</c:v>
                </c:pt>
                <c:pt idx="70">
                  <c:v>2997.6349371248011</c:v>
                </c:pt>
                <c:pt idx="71">
                  <c:v>3361.7171157721486</c:v>
                </c:pt>
                <c:pt idx="72">
                  <c:v>3442.0816589964361</c:v>
                </c:pt>
                <c:pt idx="73">
                  <c:v>3922.6210022092218</c:v>
                </c:pt>
                <c:pt idx="74">
                  <c:v>2690.1302264674505</c:v>
                </c:pt>
                <c:pt idx="75">
                  <c:v>3417.306787506684</c:v>
                </c:pt>
                <c:pt idx="76">
                  <c:v>3468.6740197078157</c:v>
                </c:pt>
                <c:pt idx="77">
                  <c:v>2997.5012489471951</c:v>
                </c:pt>
                <c:pt idx="78">
                  <c:v>3261.3880877627421</c:v>
                </c:pt>
                <c:pt idx="79">
                  <c:v>1801.6727102822074</c:v>
                </c:pt>
                <c:pt idx="80">
                  <c:v>2809.9848615386618</c:v>
                </c:pt>
                <c:pt idx="81">
                  <c:v>3335.4086235397858</c:v>
                </c:pt>
                <c:pt idx="82">
                  <c:v>3385.7183709270053</c:v>
                </c:pt>
                <c:pt idx="83">
                  <c:v>3551.3353310064699</c:v>
                </c:pt>
                <c:pt idx="84">
                  <c:v>3393.5682853041785</c:v>
                </c:pt>
                <c:pt idx="85">
                  <c:v>3314.4479345872678</c:v>
                </c:pt>
                <c:pt idx="86">
                  <c:v>3329.5253732801416</c:v>
                </c:pt>
                <c:pt idx="87">
                  <c:v>3345.1857911619836</c:v>
                </c:pt>
                <c:pt idx="88">
                  <c:v>2581.4158264830703</c:v>
                </c:pt>
                <c:pt idx="89">
                  <c:v>2250.9572225809511</c:v>
                </c:pt>
                <c:pt idx="90">
                  <c:v>1362.6058573603236</c:v>
                </c:pt>
                <c:pt idx="91">
                  <c:v>1126.3399948444046</c:v>
                </c:pt>
                <c:pt idx="92">
                  <c:v>1837.8606941250848</c:v>
                </c:pt>
                <c:pt idx="93">
                  <c:v>2097.0330492621638</c:v>
                </c:pt>
                <c:pt idx="94">
                  <c:v>1744.3202469578575</c:v>
                </c:pt>
                <c:pt idx="95">
                  <c:v>1398.4399537625197</c:v>
                </c:pt>
                <c:pt idx="96">
                  <c:v>1144.8516959324347</c:v>
                </c:pt>
                <c:pt idx="97">
                  <c:v>1498.6748526118899</c:v>
                </c:pt>
                <c:pt idx="98">
                  <c:v>1210.3000694219766</c:v>
                </c:pt>
                <c:pt idx="99">
                  <c:v>886.2297006300621</c:v>
                </c:pt>
              </c:numCache>
            </c:numRef>
          </c:xVal>
          <c:yVal>
            <c:numRef>
              <c:f>'Raw Scale'!$Y$40:$Y$139</c:f>
              <c:numCache>
                <c:formatCode>0.0</c:formatCode>
                <c:ptCount val="100"/>
                <c:pt idx="0">
                  <c:v>3229.6408483702503</c:v>
                </c:pt>
                <c:pt idx="1">
                  <c:v>3514.5182297723691</c:v>
                </c:pt>
                <c:pt idx="2">
                  <c:v>3335.2280046939636</c:v>
                </c:pt>
                <c:pt idx="3">
                  <c:v>3311.5342606196668</c:v>
                </c:pt>
                <c:pt idx="4">
                  <c:v>3399.0678580874983</c:v>
                </c:pt>
                <c:pt idx="5">
                  <c:v>3515.5351013723689</c:v>
                </c:pt>
                <c:pt idx="6">
                  <c:v>3207.0058657393056</c:v>
                </c:pt>
                <c:pt idx="7">
                  <c:v>3579.9628375733564</c:v>
                </c:pt>
                <c:pt idx="8">
                  <c:v>3444.45647699144</c:v>
                </c:pt>
                <c:pt idx="9">
                  <c:v>3004.0017343395825</c:v>
                </c:pt>
                <c:pt idx="10">
                  <c:v>3223.8804759397217</c:v>
                </c:pt>
                <c:pt idx="11">
                  <c:v>3493.6508379201446</c:v>
                </c:pt>
                <c:pt idx="12">
                  <c:v>3700.76003286063</c:v>
                </c:pt>
                <c:pt idx="13">
                  <c:v>3589.1973161822743</c:v>
                </c:pt>
                <c:pt idx="14">
                  <c:v>3556.694084121998</c:v>
                </c:pt>
                <c:pt idx="15">
                  <c:v>3605.2587839684661</c:v>
                </c:pt>
                <c:pt idx="16">
                  <c:v>3651.6215103668787</c:v>
                </c:pt>
                <c:pt idx="17">
                  <c:v>3663.6211218138533</c:v>
                </c:pt>
                <c:pt idx="18">
                  <c:v>3585.2479033578038</c:v>
                </c:pt>
                <c:pt idx="19">
                  <c:v>3012.8985197722873</c:v>
                </c:pt>
                <c:pt idx="20">
                  <c:v>3073.3091938251168</c:v>
                </c:pt>
                <c:pt idx="21">
                  <c:v>3495.3147011200404</c:v>
                </c:pt>
                <c:pt idx="22">
                  <c:v>3656.1033930419126</c:v>
                </c:pt>
                <c:pt idx="23">
                  <c:v>3624.1216186368638</c:v>
                </c:pt>
                <c:pt idx="24">
                  <c:v>3258.3450508819778</c:v>
                </c:pt>
                <c:pt idx="25">
                  <c:v>3232.7877267258655</c:v>
                </c:pt>
                <c:pt idx="26">
                  <c:v>3642.3111554968386</c:v>
                </c:pt>
                <c:pt idx="27">
                  <c:v>3676.8439182659772</c:v>
                </c:pt>
                <c:pt idx="28">
                  <c:v>3400.429440165969</c:v>
                </c:pt>
                <c:pt idx="29">
                  <c:v>2892.4749398356971</c:v>
                </c:pt>
                <c:pt idx="30">
                  <c:v>3093.170671146323</c:v>
                </c:pt>
                <c:pt idx="31">
                  <c:v>3560.6594374595011</c:v>
                </c:pt>
                <c:pt idx="32">
                  <c:v>3648.760206671288</c:v>
                </c:pt>
                <c:pt idx="33">
                  <c:v>3549.7051978900922</c:v>
                </c:pt>
                <c:pt idx="34">
                  <c:v>3348.5113162417838</c:v>
                </c:pt>
                <c:pt idx="35">
                  <c:v>3468.8019670440221</c:v>
                </c:pt>
                <c:pt idx="36">
                  <c:v>3578.0541088073464</c:v>
                </c:pt>
                <c:pt idx="37">
                  <c:v>3512.3698987009452</c:v>
                </c:pt>
                <c:pt idx="38">
                  <c:v>2832.1020025886105</c:v>
                </c:pt>
                <c:pt idx="39">
                  <c:v>2603.7707977355808</c:v>
                </c:pt>
                <c:pt idx="40">
                  <c:v>2224.356800399758</c:v>
                </c:pt>
                <c:pt idx="41">
                  <c:v>1852.5346210723815</c:v>
                </c:pt>
                <c:pt idx="42">
                  <c:v>2507.4615260729552</c:v>
                </c:pt>
                <c:pt idx="43">
                  <c:v>2413.424047199373</c:v>
                </c:pt>
                <c:pt idx="44">
                  <c:v>1852.9250154979288</c:v>
                </c:pt>
                <c:pt idx="45">
                  <c:v>1947.3179751183186</c:v>
                </c:pt>
                <c:pt idx="46">
                  <c:v>2140.4930180313522</c:v>
                </c:pt>
                <c:pt idx="47">
                  <c:v>2190.9981690234163</c:v>
                </c:pt>
                <c:pt idx="48">
                  <c:v>1890.3696479403488</c:v>
                </c:pt>
                <c:pt idx="49">
                  <c:v>1516.0013002628352</c:v>
                </c:pt>
                <c:pt idx="50">
                  <c:v>3489.0321232189526</c:v>
                </c:pt>
                <c:pt idx="51">
                  <c:v>3541.05522718268</c:v>
                </c:pt>
                <c:pt idx="52">
                  <c:v>3683.0930275178684</c:v>
                </c:pt>
                <c:pt idx="53">
                  <c:v>3708.8880764574069</c:v>
                </c:pt>
                <c:pt idx="54">
                  <c:v>3407.3604654422097</c:v>
                </c:pt>
                <c:pt idx="55">
                  <c:v>3438.0758110889046</c:v>
                </c:pt>
                <c:pt idx="56">
                  <c:v>3568.2463374511544</c:v>
                </c:pt>
                <c:pt idx="57">
                  <c:v>3362.6500950908307</c:v>
                </c:pt>
                <c:pt idx="58">
                  <c:v>3301.133712679572</c:v>
                </c:pt>
                <c:pt idx="59">
                  <c:v>2762.6755644238433</c:v>
                </c:pt>
                <c:pt idx="60">
                  <c:v>3427.6622389155277</c:v>
                </c:pt>
                <c:pt idx="61">
                  <c:v>3517.7059699478968</c:v>
                </c:pt>
                <c:pt idx="62">
                  <c:v>3404.3184358726494</c:v>
                </c:pt>
                <c:pt idx="63">
                  <c:v>3319.6192472041002</c:v>
                </c:pt>
                <c:pt idx="64">
                  <c:v>3420.946876141229</c:v>
                </c:pt>
                <c:pt idx="65">
                  <c:v>3494.2158295167415</c:v>
                </c:pt>
                <c:pt idx="66">
                  <c:v>3324.1253194145779</c:v>
                </c:pt>
                <c:pt idx="67">
                  <c:v>3339.7121936338749</c:v>
                </c:pt>
                <c:pt idx="68">
                  <c:v>3340.4929024154912</c:v>
                </c:pt>
                <c:pt idx="69">
                  <c:v>2520.8856473504484</c:v>
                </c:pt>
                <c:pt idx="70">
                  <c:v>2997.4410370801579</c:v>
                </c:pt>
                <c:pt idx="71">
                  <c:v>3361.4996653112016</c:v>
                </c:pt>
                <c:pt idx="72">
                  <c:v>3441.8590102078579</c:v>
                </c:pt>
                <c:pt idx="73">
                  <c:v>3922.3672700492361</c:v>
                </c:pt>
                <c:pt idx="74">
                  <c:v>2689.956217162799</c:v>
                </c:pt>
                <c:pt idx="75">
                  <c:v>3417.0857412643768</c:v>
                </c:pt>
                <c:pt idx="76">
                  <c:v>3468.4496508098723</c:v>
                </c:pt>
                <c:pt idx="77">
                  <c:v>2997.3073575500839</c:v>
                </c:pt>
                <c:pt idx="78">
                  <c:v>3261.1771270189947</c:v>
                </c:pt>
                <c:pt idx="79">
                  <c:v>1801.5561702677346</c:v>
                </c:pt>
                <c:pt idx="80">
                  <c:v>2809.8030995157569</c:v>
                </c:pt>
                <c:pt idx="81">
                  <c:v>3335.1928748263581</c:v>
                </c:pt>
                <c:pt idx="82">
                  <c:v>3385.4993679606523</c:v>
                </c:pt>
                <c:pt idx="83">
                  <c:v>3551.1056152159654</c:v>
                </c:pt>
                <c:pt idx="84">
                  <c:v>3393.348774571276</c:v>
                </c:pt>
                <c:pt idx="85">
                  <c:v>3314.2335417022209</c:v>
                </c:pt>
                <c:pt idx="86">
                  <c:v>3329.310005120888</c:v>
                </c:pt>
                <c:pt idx="87">
                  <c:v>3344.9694100188985</c:v>
                </c:pt>
                <c:pt idx="88">
                  <c:v>2581.24884929789</c:v>
                </c:pt>
                <c:pt idx="89">
                  <c:v>2250.8116208932524</c:v>
                </c:pt>
                <c:pt idx="90">
                  <c:v>1362.5177180964986</c:v>
                </c:pt>
                <c:pt idx="91">
                  <c:v>1126.2671382825267</c:v>
                </c:pt>
                <c:pt idx="92">
                  <c:v>1837.7418133146741</c:v>
                </c:pt>
                <c:pt idx="93">
                  <c:v>2096.8974040583953</c:v>
                </c:pt>
                <c:pt idx="94">
                  <c:v>1744.2074167497592</c:v>
                </c:pt>
                <c:pt idx="95">
                  <c:v>1398.3494965937336</c:v>
                </c:pt>
                <c:pt idx="96">
                  <c:v>1144.7776419533452</c:v>
                </c:pt>
                <c:pt idx="97">
                  <c:v>1498.5779118145877</c:v>
                </c:pt>
                <c:pt idx="98">
                  <c:v>1210.2217819578871</c:v>
                </c:pt>
                <c:pt idx="99">
                  <c:v>886.1723754446673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39-406C-B5B2-709598322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600384"/>
        <c:axId val="908601104"/>
      </c:scatterChart>
      <c:valAx>
        <c:axId val="908600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01104"/>
        <c:crosses val="autoZero"/>
        <c:crossBetween val="midCat"/>
      </c:valAx>
      <c:valAx>
        <c:axId val="90860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0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3</xdr:row>
      <xdr:rowOff>56197</xdr:rowOff>
    </xdr:from>
    <xdr:to>
      <xdr:col>11</xdr:col>
      <xdr:colOff>266700</xdr:colOff>
      <xdr:row>18</xdr:row>
      <xdr:rowOff>82867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0E2BF5-76DC-3A75-1A23-388A87245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581025</xdr:colOff>
      <xdr:row>19</xdr:row>
      <xdr:rowOff>66675</xdr:rowOff>
    </xdr:from>
    <xdr:to>
      <xdr:col>11</xdr:col>
      <xdr:colOff>276225</xdr:colOff>
      <xdr:row>34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D0F28E-6F24-43BD-A860-C60275900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8EA-A5C9-47F2-8D6E-B68B0450AD04}">
  <dimension ref="A1:AZ139"/>
  <sheetViews>
    <sheetView tabSelected="1" zoomScaleNormal="100" workbookViewId="0"/>
  </sheetViews>
  <sheetFormatPr defaultRowHeight="14.4" x14ac:dyDescent="0.3"/>
  <cols>
    <col min="1" max="2" width="8.88671875" customWidth="1"/>
    <col min="3" max="6" width="10.5546875" bestFit="1" customWidth="1"/>
    <col min="7" max="12" width="10.5546875" customWidth="1"/>
    <col min="13" max="13" width="10.5546875" bestFit="1" customWidth="1"/>
    <col min="30" max="30" width="10.5546875" bestFit="1" customWidth="1"/>
    <col min="31" max="31" width="8.88671875" customWidth="1"/>
    <col min="33" max="33" width="9.5546875" bestFit="1" customWidth="1"/>
    <col min="39" max="39" width="10.5546875" bestFit="1" customWidth="1"/>
  </cols>
  <sheetData>
    <row r="1" spans="1:1" x14ac:dyDescent="0.3">
      <c r="A1" t="s">
        <v>36</v>
      </c>
    </row>
    <row r="2" spans="1:1" x14ac:dyDescent="0.3">
      <c r="A2" t="s">
        <v>37</v>
      </c>
    </row>
    <row r="3" spans="1:1" x14ac:dyDescent="0.3">
      <c r="A3" t="s">
        <v>22</v>
      </c>
    </row>
    <row r="4" spans="1:1" x14ac:dyDescent="0.3">
      <c r="A4" t="s">
        <v>26</v>
      </c>
    </row>
    <row r="5" spans="1:1" x14ac:dyDescent="0.3">
      <c r="A5" t="s">
        <v>181</v>
      </c>
    </row>
    <row r="6" spans="1:1" x14ac:dyDescent="0.3">
      <c r="A6" t="s">
        <v>23</v>
      </c>
    </row>
    <row r="7" spans="1:1" x14ac:dyDescent="0.3">
      <c r="A7" t="s">
        <v>186</v>
      </c>
    </row>
    <row r="8" spans="1:1" x14ac:dyDescent="0.3">
      <c r="A8" t="s">
        <v>187</v>
      </c>
    </row>
    <row r="9" spans="1:1" x14ac:dyDescent="0.3">
      <c r="A9" t="s">
        <v>188</v>
      </c>
    </row>
    <row r="10" spans="1:1" x14ac:dyDescent="0.3">
      <c r="A10" t="s">
        <v>189</v>
      </c>
    </row>
    <row r="11" spans="1:1" x14ac:dyDescent="0.3">
      <c r="A11" t="s">
        <v>163</v>
      </c>
    </row>
    <row r="12" spans="1:1" x14ac:dyDescent="0.3">
      <c r="A12" t="s">
        <v>164</v>
      </c>
    </row>
    <row r="13" spans="1:1" x14ac:dyDescent="0.3">
      <c r="A13" t="s">
        <v>185</v>
      </c>
    </row>
    <row r="14" spans="1:1" x14ac:dyDescent="0.3">
      <c r="A14" t="s">
        <v>182</v>
      </c>
    </row>
    <row r="15" spans="1:1" x14ac:dyDescent="0.3">
      <c r="A15" t="s">
        <v>183</v>
      </c>
    </row>
    <row r="16" spans="1:1" x14ac:dyDescent="0.3">
      <c r="A16" t="s">
        <v>184</v>
      </c>
    </row>
    <row r="17" spans="1:28" x14ac:dyDescent="0.3">
      <c r="A17" t="s">
        <v>190</v>
      </c>
    </row>
    <row r="18" spans="1:28" x14ac:dyDescent="0.3">
      <c r="A18" t="s">
        <v>165</v>
      </c>
    </row>
    <row r="19" spans="1:28" x14ac:dyDescent="0.3">
      <c r="A19" t="s">
        <v>166</v>
      </c>
    </row>
    <row r="20" spans="1:28" x14ac:dyDescent="0.3">
      <c r="A20" t="s">
        <v>167</v>
      </c>
    </row>
    <row r="21" spans="1:28" x14ac:dyDescent="0.3">
      <c r="A21" t="s">
        <v>168</v>
      </c>
    </row>
    <row r="22" spans="1:28" x14ac:dyDescent="0.3">
      <c r="A22" t="s">
        <v>169</v>
      </c>
    </row>
    <row r="23" spans="1:28" x14ac:dyDescent="0.3">
      <c r="A23" t="s">
        <v>170</v>
      </c>
    </row>
    <row r="24" spans="1:28" x14ac:dyDescent="0.3">
      <c r="A24" t="s">
        <v>171</v>
      </c>
    </row>
    <row r="25" spans="1:28" x14ac:dyDescent="0.3">
      <c r="A25" t="s">
        <v>172</v>
      </c>
    </row>
    <row r="26" spans="1:28" x14ac:dyDescent="0.3">
      <c r="A26" t="s">
        <v>173</v>
      </c>
    </row>
    <row r="28" spans="1:28" x14ac:dyDescent="0.3">
      <c r="A28" t="s">
        <v>5</v>
      </c>
    </row>
    <row r="29" spans="1:28" x14ac:dyDescent="0.3">
      <c r="A29">
        <v>0.453592</v>
      </c>
      <c r="B29" t="s">
        <v>142</v>
      </c>
    </row>
    <row r="30" spans="1:28" x14ac:dyDescent="0.3">
      <c r="A30">
        <f>2*1.016*16</f>
        <v>32.512</v>
      </c>
      <c r="B30" t="s">
        <v>174</v>
      </c>
    </row>
    <row r="31" spans="1:28" x14ac:dyDescent="0.3">
      <c r="A31">
        <v>10000</v>
      </c>
      <c r="B31" t="s">
        <v>6</v>
      </c>
    </row>
    <row r="32" spans="1:28" x14ac:dyDescent="0.3">
      <c r="A32">
        <v>0.28000000000000003</v>
      </c>
      <c r="B32" t="s">
        <v>175</v>
      </c>
      <c r="AB32" t="s">
        <v>191</v>
      </c>
    </row>
    <row r="34" spans="1:52" x14ac:dyDescent="0.3">
      <c r="B34" s="1"/>
      <c r="C34" s="1" t="s">
        <v>0</v>
      </c>
      <c r="D34" s="1" t="s">
        <v>0</v>
      </c>
      <c r="E34" t="s">
        <v>0</v>
      </c>
      <c r="F34" s="1" t="s">
        <v>0</v>
      </c>
      <c r="G34" t="s">
        <v>149</v>
      </c>
      <c r="H34" t="s">
        <v>149</v>
      </c>
      <c r="I34" t="s">
        <v>149</v>
      </c>
      <c r="J34" t="s">
        <v>149</v>
      </c>
      <c r="K34" s="1" t="s">
        <v>149</v>
      </c>
      <c r="L34" s="1" t="s">
        <v>149</v>
      </c>
      <c r="M34" s="1" t="s">
        <v>7</v>
      </c>
      <c r="N34" t="s">
        <v>7</v>
      </c>
      <c r="O34" t="s">
        <v>7</v>
      </c>
      <c r="P34" t="s">
        <v>7</v>
      </c>
      <c r="Q34" t="s">
        <v>7</v>
      </c>
      <c r="R34" s="1" t="s">
        <v>7</v>
      </c>
      <c r="S34" s="1" t="s">
        <v>7</v>
      </c>
      <c r="T34" s="1" t="s">
        <v>7</v>
      </c>
      <c r="U34" s="1" t="s">
        <v>16</v>
      </c>
      <c r="V34" s="1" t="s">
        <v>16</v>
      </c>
      <c r="W34" s="1" t="s">
        <v>16</v>
      </c>
      <c r="X34" s="1" t="s">
        <v>16</v>
      </c>
      <c r="Y34" s="1" t="s">
        <v>16</v>
      </c>
      <c r="Z34" s="1" t="s">
        <v>16</v>
      </c>
      <c r="AC34" t="s">
        <v>0</v>
      </c>
      <c r="AD34" t="s">
        <v>0</v>
      </c>
      <c r="AE34" t="s">
        <v>0</v>
      </c>
      <c r="AF34" t="s">
        <v>0</v>
      </c>
      <c r="AG34" t="s">
        <v>149</v>
      </c>
      <c r="AH34" t="s">
        <v>149</v>
      </c>
      <c r="AI34" t="s">
        <v>149</v>
      </c>
      <c r="AJ34" t="s">
        <v>149</v>
      </c>
      <c r="AK34" t="s">
        <v>149</v>
      </c>
      <c r="AL34" t="s">
        <v>149</v>
      </c>
      <c r="AM34" t="s">
        <v>7</v>
      </c>
      <c r="AN34" t="s">
        <v>7</v>
      </c>
      <c r="AO34" t="s">
        <v>7</v>
      </c>
      <c r="AP34" t="s">
        <v>7</v>
      </c>
      <c r="AQ34" t="s">
        <v>7</v>
      </c>
      <c r="AR34" t="s">
        <v>7</v>
      </c>
      <c r="AS34" t="s">
        <v>7</v>
      </c>
      <c r="AT34" t="s">
        <v>7</v>
      </c>
      <c r="AU34" t="s">
        <v>16</v>
      </c>
      <c r="AV34" t="s">
        <v>16</v>
      </c>
      <c r="AW34" t="s">
        <v>16</v>
      </c>
      <c r="AX34" t="s">
        <v>16</v>
      </c>
      <c r="AY34" t="s">
        <v>16</v>
      </c>
      <c r="AZ34" t="s">
        <v>16</v>
      </c>
    </row>
    <row r="35" spans="1:52" x14ac:dyDescent="0.3">
      <c r="B35" s="1"/>
      <c r="C35" s="1"/>
      <c r="D35" s="1"/>
      <c r="F35" s="1"/>
      <c r="H35" t="s">
        <v>152</v>
      </c>
      <c r="I35" t="s">
        <v>153</v>
      </c>
      <c r="J35" t="s">
        <v>154</v>
      </c>
      <c r="K35" s="1"/>
      <c r="L35" s="1"/>
      <c r="M35" s="1"/>
      <c r="R35" s="1"/>
      <c r="S35" s="1"/>
      <c r="T35" s="1"/>
      <c r="U35" s="1"/>
      <c r="V35" s="1"/>
      <c r="W35" s="1"/>
      <c r="X35" s="1"/>
      <c r="Y35" s="1"/>
      <c r="Z35" s="1"/>
      <c r="AH35" t="s">
        <v>152</v>
      </c>
      <c r="AI35" t="s">
        <v>153</v>
      </c>
      <c r="AJ35" t="s">
        <v>154</v>
      </c>
    </row>
    <row r="36" spans="1:52" x14ac:dyDescent="0.3">
      <c r="B36" s="1"/>
      <c r="C36" s="1"/>
      <c r="D36" s="1"/>
      <c r="E36" t="s">
        <v>1</v>
      </c>
      <c r="F36" s="1"/>
      <c r="G36" t="s">
        <v>150</v>
      </c>
      <c r="H36" t="s">
        <v>151</v>
      </c>
      <c r="I36" t="s">
        <v>8</v>
      </c>
      <c r="J36" t="s">
        <v>8</v>
      </c>
      <c r="K36" s="1"/>
      <c r="L36" s="1"/>
      <c r="M36" s="1" t="s">
        <v>24</v>
      </c>
      <c r="N36" t="s">
        <v>8</v>
      </c>
      <c r="O36" t="s">
        <v>10</v>
      </c>
      <c r="P36" t="s">
        <v>10</v>
      </c>
      <c r="Q36" t="s">
        <v>11</v>
      </c>
      <c r="R36" s="1"/>
      <c r="S36" s="1"/>
      <c r="T36" s="1"/>
      <c r="U36" s="1"/>
      <c r="V36" s="1"/>
      <c r="W36" s="1"/>
      <c r="X36" s="1"/>
      <c r="Y36" s="1"/>
      <c r="Z36" s="1"/>
      <c r="AE36" t="s">
        <v>1</v>
      </c>
      <c r="AG36" t="s">
        <v>150</v>
      </c>
      <c r="AH36" t="s">
        <v>151</v>
      </c>
      <c r="AI36" t="s">
        <v>8</v>
      </c>
      <c r="AJ36" t="s">
        <v>8</v>
      </c>
      <c r="AM36" t="s">
        <v>24</v>
      </c>
      <c r="AN36" t="s">
        <v>8</v>
      </c>
      <c r="AO36" t="s">
        <v>10</v>
      </c>
      <c r="AP36" t="s">
        <v>10</v>
      </c>
      <c r="AQ36" t="s">
        <v>11</v>
      </c>
    </row>
    <row r="37" spans="1:52" x14ac:dyDescent="0.3">
      <c r="A37" t="s">
        <v>35</v>
      </c>
      <c r="B37" s="1" t="s">
        <v>27</v>
      </c>
      <c r="C37" s="1" t="s">
        <v>21</v>
      </c>
      <c r="D37" s="1" t="s">
        <v>2</v>
      </c>
      <c r="E37" t="s">
        <v>148</v>
      </c>
      <c r="F37" s="1" t="s">
        <v>3</v>
      </c>
      <c r="G37" t="s">
        <v>151</v>
      </c>
      <c r="H37" t="s">
        <v>141</v>
      </c>
      <c r="I37" t="s">
        <v>144</v>
      </c>
      <c r="J37" t="s">
        <v>144</v>
      </c>
      <c r="K37" s="1" t="s">
        <v>155</v>
      </c>
      <c r="L37" s="1" t="s">
        <v>156</v>
      </c>
      <c r="M37" s="1" t="s">
        <v>25</v>
      </c>
      <c r="N37" t="s">
        <v>158</v>
      </c>
      <c r="O37" t="s">
        <v>143</v>
      </c>
      <c r="P37" t="s">
        <v>158</v>
      </c>
      <c r="Q37" t="s">
        <v>159</v>
      </c>
      <c r="R37" s="1" t="s">
        <v>12</v>
      </c>
      <c r="S37" s="1" t="s">
        <v>13</v>
      </c>
      <c r="T37" s="1" t="s">
        <v>14</v>
      </c>
      <c r="U37" s="1" t="s">
        <v>17</v>
      </c>
      <c r="V37" s="1" t="s">
        <v>18</v>
      </c>
      <c r="W37" s="1" t="s">
        <v>19</v>
      </c>
      <c r="X37" s="1" t="s">
        <v>160</v>
      </c>
      <c r="Y37" s="1" t="s">
        <v>161</v>
      </c>
      <c r="Z37" s="1" t="s">
        <v>162</v>
      </c>
      <c r="AB37" t="s">
        <v>20</v>
      </c>
      <c r="AC37" t="s">
        <v>21</v>
      </c>
      <c r="AD37" t="s">
        <v>2</v>
      </c>
      <c r="AE37" t="s">
        <v>148</v>
      </c>
      <c r="AF37" t="s">
        <v>3</v>
      </c>
      <c r="AG37" t="s">
        <v>151</v>
      </c>
      <c r="AH37" t="s">
        <v>141</v>
      </c>
      <c r="AI37" t="s">
        <v>144</v>
      </c>
      <c r="AJ37" t="s">
        <v>144</v>
      </c>
      <c r="AK37" t="s">
        <v>155</v>
      </c>
      <c r="AL37" t="s">
        <v>156</v>
      </c>
      <c r="AM37" t="s">
        <v>25</v>
      </c>
      <c r="AN37" t="s">
        <v>158</v>
      </c>
      <c r="AO37" t="s">
        <v>143</v>
      </c>
      <c r="AP37" t="s">
        <v>158</v>
      </c>
      <c r="AQ37" t="s">
        <v>159</v>
      </c>
      <c r="AR37" t="s">
        <v>12</v>
      </c>
      <c r="AS37" t="s">
        <v>13</v>
      </c>
      <c r="AT37" t="s">
        <v>14</v>
      </c>
      <c r="AU37" t="s">
        <v>17</v>
      </c>
      <c r="AV37" t="s">
        <v>18</v>
      </c>
      <c r="AW37" t="s">
        <v>19</v>
      </c>
      <c r="AX37" t="s">
        <v>160</v>
      </c>
      <c r="AY37" t="s">
        <v>161</v>
      </c>
      <c r="AZ37" t="s">
        <v>162</v>
      </c>
    </row>
    <row r="38" spans="1:52" x14ac:dyDescent="0.3">
      <c r="B38" s="1"/>
      <c r="C38" s="1"/>
      <c r="D38" s="1"/>
      <c r="E38" t="s">
        <v>140</v>
      </c>
      <c r="F38" s="1" t="s">
        <v>4</v>
      </c>
      <c r="G38" t="s">
        <v>9</v>
      </c>
      <c r="H38" t="s">
        <v>9</v>
      </c>
      <c r="I38" t="s">
        <v>9</v>
      </c>
      <c r="J38" t="s">
        <v>9</v>
      </c>
      <c r="K38" s="1" t="s">
        <v>157</v>
      </c>
      <c r="L38" s="1" t="s">
        <v>4</v>
      </c>
      <c r="M38" s="1"/>
      <c r="N38" t="s">
        <v>140</v>
      </c>
      <c r="O38" t="s">
        <v>38</v>
      </c>
      <c r="P38" t="s">
        <v>38</v>
      </c>
      <c r="Q38" t="s">
        <v>38</v>
      </c>
      <c r="R38" s="5" t="s">
        <v>15</v>
      </c>
      <c r="S38" s="5" t="s">
        <v>15</v>
      </c>
      <c r="T38" s="5" t="s">
        <v>15</v>
      </c>
      <c r="U38" s="5" t="s">
        <v>4</v>
      </c>
      <c r="V38" s="5" t="s">
        <v>4</v>
      </c>
      <c r="W38" s="5" t="s">
        <v>4</v>
      </c>
      <c r="X38" s="5" t="s">
        <v>4</v>
      </c>
      <c r="Y38" s="5" t="s">
        <v>4</v>
      </c>
      <c r="Z38" s="5" t="s">
        <v>4</v>
      </c>
      <c r="AE38" t="s">
        <v>140</v>
      </c>
      <c r="AF38" s="7" t="s">
        <v>4</v>
      </c>
      <c r="AG38" t="s">
        <v>9</v>
      </c>
      <c r="AH38" t="s">
        <v>9</v>
      </c>
      <c r="AI38" t="s">
        <v>9</v>
      </c>
      <c r="AJ38" t="s">
        <v>9</v>
      </c>
      <c r="AK38" t="s">
        <v>157</v>
      </c>
      <c r="AL38" t="s">
        <v>4</v>
      </c>
      <c r="AN38" t="s">
        <v>140</v>
      </c>
      <c r="AO38" t="s">
        <v>38</v>
      </c>
      <c r="AP38" t="s">
        <v>38</v>
      </c>
      <c r="AQ38" t="s">
        <v>38</v>
      </c>
      <c r="AR38" t="s">
        <v>15</v>
      </c>
      <c r="AS38" t="s">
        <v>15</v>
      </c>
      <c r="AT38" t="s">
        <v>15</v>
      </c>
      <c r="AU38" t="s">
        <v>4</v>
      </c>
      <c r="AV38" t="s">
        <v>4</v>
      </c>
      <c r="AW38" t="s">
        <v>4</v>
      </c>
      <c r="AX38" t="s">
        <v>4</v>
      </c>
      <c r="AY38" t="s">
        <v>4</v>
      </c>
      <c r="AZ38" t="s">
        <v>4</v>
      </c>
    </row>
    <row r="39" spans="1:52" x14ac:dyDescent="0.3">
      <c r="A39" t="s">
        <v>35</v>
      </c>
      <c r="B39" s="1" t="s">
        <v>27</v>
      </c>
      <c r="C39" s="1" t="s">
        <v>21</v>
      </c>
      <c r="D39" s="1" t="s">
        <v>2</v>
      </c>
      <c r="F39" s="1" t="s">
        <v>3</v>
      </c>
      <c r="K39" s="1" t="s">
        <v>155</v>
      </c>
      <c r="L39" s="1" t="s">
        <v>156</v>
      </c>
      <c r="M39" s="1" t="s">
        <v>25</v>
      </c>
      <c r="R39" s="1" t="s">
        <v>12</v>
      </c>
      <c r="S39" s="1" t="s">
        <v>13</v>
      </c>
      <c r="T39" s="1" t="s">
        <v>14</v>
      </c>
      <c r="U39" s="1" t="s">
        <v>17</v>
      </c>
      <c r="V39" s="1" t="s">
        <v>18</v>
      </c>
      <c r="W39" s="1" t="s">
        <v>19</v>
      </c>
      <c r="X39" s="1" t="s">
        <v>160</v>
      </c>
      <c r="Y39" s="1" t="s">
        <v>161</v>
      </c>
      <c r="Z39" s="1" t="s">
        <v>162</v>
      </c>
      <c r="AB39" t="s">
        <v>20</v>
      </c>
      <c r="AC39" t="s">
        <v>21</v>
      </c>
      <c r="AD39" t="s">
        <v>2</v>
      </c>
      <c r="AF39" t="s">
        <v>3</v>
      </c>
      <c r="AK39" t="s">
        <v>155</v>
      </c>
      <c r="AL39" t="s">
        <v>156</v>
      </c>
      <c r="AM39" t="s">
        <v>25</v>
      </c>
      <c r="AR39" t="s">
        <v>12</v>
      </c>
      <c r="AS39" t="s">
        <v>13</v>
      </c>
      <c r="AT39" t="s">
        <v>14</v>
      </c>
      <c r="AU39" t="s">
        <v>17</v>
      </c>
      <c r="AV39" t="s">
        <v>18</v>
      </c>
      <c r="AW39" t="s">
        <v>19</v>
      </c>
      <c r="AX39" t="s">
        <v>160</v>
      </c>
      <c r="AY39" t="s">
        <v>161</v>
      </c>
      <c r="AZ39" t="s">
        <v>162</v>
      </c>
    </row>
    <row r="40" spans="1:52" x14ac:dyDescent="0.3">
      <c r="A40">
        <v>1</v>
      </c>
      <c r="B40" s="1" t="s">
        <v>39</v>
      </c>
      <c r="C40" s="1" t="s">
        <v>139</v>
      </c>
      <c r="D40" s="2">
        <v>42325</v>
      </c>
      <c r="E40" s="3">
        <v>46.9</v>
      </c>
      <c r="F40" s="4">
        <f>E40*$A$29/$A$30*$A$31</f>
        <v>6543.2655019685035</v>
      </c>
      <c r="G40" s="7">
        <v>8.84</v>
      </c>
      <c r="H40" s="7">
        <v>222.38</v>
      </c>
      <c r="I40" s="7">
        <f>H40-G40</f>
        <v>213.54</v>
      </c>
      <c r="J40" s="7">
        <v>196.75</v>
      </c>
      <c r="K40" s="5">
        <f>(I40-J40)/I40*100</f>
        <v>7.8626955137210794</v>
      </c>
      <c r="L40" s="4">
        <f>F40*(1-K40/100)</f>
        <v>6028.7884588943671</v>
      </c>
      <c r="M40" s="2">
        <v>42339</v>
      </c>
      <c r="N40" s="7">
        <v>4.28</v>
      </c>
      <c r="O40" s="7">
        <v>1</v>
      </c>
      <c r="P40" s="7">
        <f>O40-$A$32</f>
        <v>0.72</v>
      </c>
      <c r="Q40" s="7">
        <v>1.04</v>
      </c>
      <c r="R40" s="6">
        <f>P40/(N40*$A$29)</f>
        <v>0.37087139778792516</v>
      </c>
      <c r="S40" s="6">
        <f>Q40/(N40*$A$29)</f>
        <v>0.53570313013811421</v>
      </c>
      <c r="T40" s="6">
        <f>1-R40-S40</f>
        <v>9.3425472073960569E-2</v>
      </c>
      <c r="U40" s="4">
        <f>F40*R40</f>
        <v>2426.7100228125687</v>
      </c>
      <c r="V40" s="4">
        <f>F40*S40</f>
        <v>3505.2478107292663</v>
      </c>
      <c r="W40" s="4">
        <f>U40+V40</f>
        <v>5931.9578335418355</v>
      </c>
      <c r="X40" s="4">
        <f>L40*R40</f>
        <v>2235.905202717865</v>
      </c>
      <c r="Y40" s="4">
        <f>L40*S40</f>
        <v>3229.6408483702503</v>
      </c>
      <c r="Z40" s="4">
        <f>X40+Y40</f>
        <v>5465.5460510881148</v>
      </c>
      <c r="AA40" s="3"/>
      <c r="AB40" t="s">
        <v>28</v>
      </c>
      <c r="AC40" t="str">
        <f>C40</f>
        <v>Machine</v>
      </c>
      <c r="AD40" s="8">
        <f>D40</f>
        <v>42325</v>
      </c>
      <c r="AE40" s="3">
        <f>SUM(E40:E49)</f>
        <v>483.15000000000003</v>
      </c>
      <c r="AF40" s="3">
        <f>AE40*$A$29/($A$30*10)*$A$31</f>
        <v>6740.6795890748026</v>
      </c>
      <c r="AG40" s="7">
        <f>SUM(G40:G49)</f>
        <v>88.19</v>
      </c>
      <c r="AH40" s="7">
        <f>SUM(H40:H49)</f>
        <v>2434.25</v>
      </c>
      <c r="AI40" s="7">
        <f>AH40-AG40</f>
        <v>2346.06</v>
      </c>
      <c r="AJ40" s="7">
        <f>SUM(J40:J49)</f>
        <v>2188.89</v>
      </c>
      <c r="AK40" s="7">
        <f>(AI40-AJ40)/AI40*100</f>
        <v>6.6993171530139923</v>
      </c>
      <c r="AL40" s="3">
        <f>AF40*(1-AK40/100)</f>
        <v>6289.1000851342014</v>
      </c>
      <c r="AM40" s="11">
        <f>M40</f>
        <v>42339</v>
      </c>
      <c r="AN40" s="7">
        <f>SUM(N40:N49)</f>
        <v>37.6</v>
      </c>
      <c r="AO40" s="7">
        <f>SUM(O40:O49)</f>
        <v>8.9</v>
      </c>
      <c r="AP40" s="7">
        <f>AO40-10*$A$32</f>
        <v>6.1</v>
      </c>
      <c r="AQ40" s="7">
        <f>SUM(Q40:Q49)</f>
        <v>9.1</v>
      </c>
      <c r="AR40" s="9">
        <f>AP40/(AN40*$A$29)</f>
        <v>0.35766513199790007</v>
      </c>
      <c r="AS40" s="9">
        <f>AQ40/(AN40*$A$29)</f>
        <v>0.53356601658703129</v>
      </c>
      <c r="AT40" s="9">
        <f>1-AR40-AS40</f>
        <v>0.10876885141506865</v>
      </c>
      <c r="AU40" s="3">
        <f>AF40*AR40</f>
        <v>2410.9060549819901</v>
      </c>
      <c r="AV40" s="3">
        <f>AF40*AS40</f>
        <v>3596.5975574321492</v>
      </c>
      <c r="AW40" s="3">
        <f>AU40+AV40</f>
        <v>6007.5036124141388</v>
      </c>
      <c r="AX40" s="3">
        <f>AL40*AR40</f>
        <v>2249.3918120975286</v>
      </c>
      <c r="AY40" s="3">
        <f>AL40*AS40</f>
        <v>3355.650080342215</v>
      </c>
      <c r="AZ40" s="3">
        <f>AX40+AY40</f>
        <v>5605.0418924397436</v>
      </c>
    </row>
    <row r="41" spans="1:52" x14ac:dyDescent="0.3">
      <c r="A41">
        <f>A40+1</f>
        <v>2</v>
      </c>
      <c r="B41" s="1" t="s">
        <v>40</v>
      </c>
      <c r="C41" s="1" t="s">
        <v>139</v>
      </c>
      <c r="D41" s="2">
        <v>42325</v>
      </c>
      <c r="E41" s="3">
        <v>51.6</v>
      </c>
      <c r="F41" s="4">
        <f t="shared" ref="F41:F104" si="0">E41*$A$29/$A$30*$A$31</f>
        <v>7198.9872047244098</v>
      </c>
      <c r="G41" s="7">
        <v>8.76</v>
      </c>
      <c r="H41" s="7">
        <v>230.37</v>
      </c>
      <c r="I41" s="7">
        <f t="shared" ref="I41:I104" si="1">H41-G41</f>
        <v>221.61</v>
      </c>
      <c r="J41" s="7">
        <v>206.31</v>
      </c>
      <c r="K41" s="5">
        <f t="shared" ref="K41:K104" si="2">(I41-J41)/I41*100</f>
        <v>6.9040205766887821</v>
      </c>
      <c r="L41" s="4">
        <f t="shared" ref="L41:L104" si="3">F41*(1-K41/100)</f>
        <v>6701.9676467970439</v>
      </c>
      <c r="M41" s="2">
        <v>42339</v>
      </c>
      <c r="N41" s="7">
        <v>4.12</v>
      </c>
      <c r="O41" s="7">
        <v>0.94</v>
      </c>
      <c r="P41" s="7">
        <f t="shared" ref="P41:P104" si="4">O41-$A$32</f>
        <v>0.65999999999999992</v>
      </c>
      <c r="Q41" s="7">
        <v>0.98</v>
      </c>
      <c r="R41" s="6">
        <f t="shared" ref="R41:R104" si="5">P41/(N41*$A$29)</f>
        <v>0.35316798964109053</v>
      </c>
      <c r="S41" s="6">
        <f t="shared" ref="S41:S104" si="6">Q41/(N41*$A$29)</f>
        <v>0.52440095431555867</v>
      </c>
      <c r="T41" s="6">
        <f t="shared" ref="T41:T104" si="7">1-R41-S41</f>
        <v>0.12243105604335081</v>
      </c>
      <c r="U41" s="4">
        <f t="shared" ref="U41:U104" si="8">F41*R41</f>
        <v>2542.4518385444535</v>
      </c>
      <c r="V41" s="4">
        <f t="shared" ref="V41:V104" si="9">F41*S41</f>
        <v>3775.1557602629764</v>
      </c>
      <c r="W41" s="4">
        <f t="shared" ref="W41:W104" si="10">U41+V41</f>
        <v>6317.6075988074299</v>
      </c>
      <c r="X41" s="4">
        <f t="shared" ref="X41:X104" si="11">L41*R41</f>
        <v>2366.9204404589423</v>
      </c>
      <c r="Y41" s="4">
        <f t="shared" ref="Y41:Y104" si="12">L41*S41</f>
        <v>3514.5182297723691</v>
      </c>
      <c r="Z41" s="4">
        <f t="shared" ref="Z41:Z104" si="13">X41+Y41</f>
        <v>5881.4386702313113</v>
      </c>
      <c r="AA41" s="3"/>
      <c r="AE41" s="3"/>
      <c r="AF41" s="3"/>
      <c r="AG41" s="7"/>
      <c r="AH41" s="7"/>
      <c r="AI41" s="7"/>
      <c r="AJ41" s="7"/>
      <c r="AK41" s="7"/>
      <c r="AL41" s="3"/>
      <c r="AM41" s="9"/>
      <c r="AN41" s="7"/>
      <c r="AO41" s="7"/>
      <c r="AP41" s="7"/>
      <c r="AQ41" s="7"/>
      <c r="AR41" s="9"/>
      <c r="AS41" s="9"/>
      <c r="AT41" s="9"/>
      <c r="AU41" s="3"/>
      <c r="AV41" s="3"/>
      <c r="AW41" s="3"/>
      <c r="AX41" s="3"/>
      <c r="AY41" s="3"/>
      <c r="AZ41" s="3"/>
    </row>
    <row r="42" spans="1:52" x14ac:dyDescent="0.3">
      <c r="A42">
        <f t="shared" ref="A42:A105" si="14">A41+1</f>
        <v>3</v>
      </c>
      <c r="B42" s="1" t="s">
        <v>41</v>
      </c>
      <c r="C42" s="1" t="s">
        <v>139</v>
      </c>
      <c r="D42" s="2">
        <v>42325</v>
      </c>
      <c r="E42" s="3">
        <v>47.9</v>
      </c>
      <c r="F42" s="4">
        <f t="shared" si="0"/>
        <v>6682.7807578740149</v>
      </c>
      <c r="G42" s="7">
        <v>8.7899999999999991</v>
      </c>
      <c r="H42" s="7">
        <v>237.22</v>
      </c>
      <c r="I42" s="7">
        <f t="shared" si="1"/>
        <v>228.43</v>
      </c>
      <c r="J42" s="7">
        <v>213.65</v>
      </c>
      <c r="K42" s="5">
        <f t="shared" si="2"/>
        <v>6.4702534693341498</v>
      </c>
      <c r="L42" s="4">
        <f t="shared" si="3"/>
        <v>6250.387904039676</v>
      </c>
      <c r="M42" s="2">
        <v>42339</v>
      </c>
      <c r="N42" s="7">
        <v>3.14</v>
      </c>
      <c r="O42" s="7">
        <v>0.8</v>
      </c>
      <c r="P42" s="7">
        <f t="shared" si="4"/>
        <v>0.52</v>
      </c>
      <c r="Q42" s="7">
        <v>0.76</v>
      </c>
      <c r="R42" s="6">
        <f t="shared" si="5"/>
        <v>0.36509703773744084</v>
      </c>
      <c r="S42" s="6">
        <f t="shared" si="6"/>
        <v>0.53360336284702892</v>
      </c>
      <c r="T42" s="6">
        <f t="shared" si="7"/>
        <v>0.10129959941553024</v>
      </c>
      <c r="U42" s="4">
        <f t="shared" si="8"/>
        <v>2439.8634585485729</v>
      </c>
      <c r="V42" s="4">
        <f t="shared" si="9"/>
        <v>3565.954285570991</v>
      </c>
      <c r="W42" s="4">
        <f t="shared" si="10"/>
        <v>6005.8177441195639</v>
      </c>
      <c r="X42" s="4">
        <f t="shared" si="11"/>
        <v>2281.9981084748174</v>
      </c>
      <c r="Y42" s="4">
        <f t="shared" si="12"/>
        <v>3335.2280046939636</v>
      </c>
      <c r="Z42" s="4">
        <f t="shared" si="13"/>
        <v>5617.226113168781</v>
      </c>
      <c r="AA42" s="3"/>
      <c r="AE42" s="3"/>
      <c r="AF42" s="3"/>
      <c r="AG42" s="7"/>
      <c r="AH42" s="7"/>
      <c r="AI42" s="7"/>
      <c r="AJ42" s="7"/>
      <c r="AK42" s="7"/>
      <c r="AL42" s="3"/>
      <c r="AM42" s="9"/>
      <c r="AN42" s="7"/>
      <c r="AO42" s="7"/>
      <c r="AP42" s="7"/>
      <c r="AQ42" s="7"/>
      <c r="AR42" s="9"/>
      <c r="AS42" s="9"/>
      <c r="AT42" s="9"/>
      <c r="AU42" s="3"/>
      <c r="AV42" s="3"/>
      <c r="AW42" s="3"/>
      <c r="AX42" s="3"/>
      <c r="AY42" s="3"/>
      <c r="AZ42" s="3"/>
    </row>
    <row r="43" spans="1:52" x14ac:dyDescent="0.3">
      <c r="A43">
        <f t="shared" si="14"/>
        <v>4</v>
      </c>
      <c r="B43" s="1" t="s">
        <v>42</v>
      </c>
      <c r="C43" s="1" t="s">
        <v>139</v>
      </c>
      <c r="D43" s="2">
        <v>42325</v>
      </c>
      <c r="E43" s="3">
        <v>47.6</v>
      </c>
      <c r="F43" s="4">
        <f t="shared" si="0"/>
        <v>6640.9261811023625</v>
      </c>
      <c r="G43" s="7">
        <v>8.7799999999999994</v>
      </c>
      <c r="H43" s="7">
        <v>230.39</v>
      </c>
      <c r="I43" s="7">
        <f t="shared" si="1"/>
        <v>221.60999999999999</v>
      </c>
      <c r="J43" s="7">
        <v>206.88</v>
      </c>
      <c r="K43" s="5">
        <f t="shared" si="2"/>
        <v>6.6468119669689951</v>
      </c>
      <c r="L43" s="4">
        <f t="shared" si="3"/>
        <v>6199.5163049792736</v>
      </c>
      <c r="M43" s="2">
        <v>42339</v>
      </c>
      <c r="N43" s="7">
        <v>4.54</v>
      </c>
      <c r="O43" s="7">
        <v>1</v>
      </c>
      <c r="P43" s="7">
        <f t="shared" si="4"/>
        <v>0.72</v>
      </c>
      <c r="Q43" s="7">
        <v>1.1000000000000001</v>
      </c>
      <c r="R43" s="6">
        <f t="shared" si="5"/>
        <v>0.34963206663707486</v>
      </c>
      <c r="S43" s="6">
        <f t="shared" si="6"/>
        <v>0.5341601018066422</v>
      </c>
      <c r="T43" s="6">
        <f t="shared" si="7"/>
        <v>0.11620783155628289</v>
      </c>
      <c r="U43" s="4">
        <f t="shared" si="8"/>
        <v>2321.8807450830764</v>
      </c>
      <c r="V43" s="4">
        <f t="shared" si="9"/>
        <v>3547.3178049880335</v>
      </c>
      <c r="W43" s="4">
        <f t="shared" si="10"/>
        <v>5869.1985500711098</v>
      </c>
      <c r="X43" s="4">
        <f t="shared" si="11"/>
        <v>2167.5496978601454</v>
      </c>
      <c r="Y43" s="4">
        <f t="shared" si="12"/>
        <v>3311.5342606196668</v>
      </c>
      <c r="Z43" s="4">
        <f t="shared" si="13"/>
        <v>5479.0839584798123</v>
      </c>
      <c r="AA43" s="3"/>
      <c r="AE43" s="3"/>
      <c r="AF43" s="3"/>
      <c r="AG43" s="7"/>
      <c r="AH43" s="7"/>
      <c r="AI43" s="7"/>
      <c r="AJ43" s="7"/>
      <c r="AK43" s="7"/>
      <c r="AL43" s="3"/>
      <c r="AM43" s="9"/>
      <c r="AN43" s="7"/>
      <c r="AO43" s="7"/>
      <c r="AP43" s="7"/>
      <c r="AQ43" s="7"/>
      <c r="AR43" s="9"/>
      <c r="AS43" s="9"/>
      <c r="AT43" s="9"/>
      <c r="AU43" s="3"/>
      <c r="AV43" s="3"/>
      <c r="AW43" s="3"/>
      <c r="AX43" s="3"/>
      <c r="AY43" s="3"/>
      <c r="AZ43" s="3"/>
    </row>
    <row r="44" spans="1:52" x14ac:dyDescent="0.3">
      <c r="A44">
        <f t="shared" si="14"/>
        <v>5</v>
      </c>
      <c r="B44" s="1" t="s">
        <v>43</v>
      </c>
      <c r="C44" s="1" t="s">
        <v>139</v>
      </c>
      <c r="D44" s="2">
        <v>42325</v>
      </c>
      <c r="E44" s="3">
        <v>50.5</v>
      </c>
      <c r="F44" s="4">
        <f t="shared" si="0"/>
        <v>7045.5204232283468</v>
      </c>
      <c r="G44" s="7">
        <v>8.81</v>
      </c>
      <c r="H44" s="7">
        <v>252.65</v>
      </c>
      <c r="I44" s="7">
        <f t="shared" si="1"/>
        <v>243.84</v>
      </c>
      <c r="J44" s="7">
        <v>227.67</v>
      </c>
      <c r="K44" s="5">
        <f t="shared" si="2"/>
        <v>6.6313976377952821</v>
      </c>
      <c r="L44" s="4">
        <f t="shared" si="3"/>
        <v>6578.3039483119983</v>
      </c>
      <c r="M44" s="2">
        <v>42339</v>
      </c>
      <c r="N44" s="7">
        <v>2.56</v>
      </c>
      <c r="O44" s="7">
        <v>0.68</v>
      </c>
      <c r="P44" s="7">
        <f t="shared" si="4"/>
        <v>0.4</v>
      </c>
      <c r="Q44" s="7">
        <v>0.6</v>
      </c>
      <c r="R44" s="6">
        <f t="shared" si="5"/>
        <v>0.34447256565371526</v>
      </c>
      <c r="S44" s="6">
        <f t="shared" si="6"/>
        <v>0.51670884848057286</v>
      </c>
      <c r="T44" s="6">
        <f t="shared" si="7"/>
        <v>0.13881858586571183</v>
      </c>
      <c r="U44" s="4">
        <f t="shared" si="8"/>
        <v>2426.9884965551182</v>
      </c>
      <c r="V44" s="4">
        <f t="shared" si="9"/>
        <v>3640.4827448326773</v>
      </c>
      <c r="W44" s="4">
        <f t="shared" si="10"/>
        <v>6067.4712413877951</v>
      </c>
      <c r="X44" s="4">
        <f t="shared" si="11"/>
        <v>2266.0452387249993</v>
      </c>
      <c r="Y44" s="4">
        <f t="shared" si="12"/>
        <v>3399.0678580874983</v>
      </c>
      <c r="Z44" s="4">
        <f t="shared" si="13"/>
        <v>5665.113096812498</v>
      </c>
      <c r="AA44" s="3"/>
      <c r="AE44" s="3"/>
      <c r="AF44" s="3"/>
      <c r="AG44" s="7"/>
      <c r="AH44" s="7"/>
      <c r="AI44" s="7"/>
      <c r="AJ44" s="7"/>
      <c r="AK44" s="7"/>
      <c r="AL44" s="3"/>
      <c r="AM44" s="9"/>
      <c r="AN44" s="7"/>
      <c r="AO44" s="7"/>
      <c r="AP44" s="7"/>
      <c r="AQ44" s="7"/>
      <c r="AR44" s="9"/>
      <c r="AS44" s="9"/>
      <c r="AT44" s="9"/>
      <c r="AU44" s="3"/>
      <c r="AV44" s="3"/>
      <c r="AW44" s="3"/>
      <c r="AX44" s="3"/>
      <c r="AY44" s="3"/>
      <c r="AZ44" s="3"/>
    </row>
    <row r="45" spans="1:52" x14ac:dyDescent="0.3">
      <c r="A45">
        <f t="shared" si="14"/>
        <v>6</v>
      </c>
      <c r="B45" s="1" t="s">
        <v>44</v>
      </c>
      <c r="C45" s="1" t="s">
        <v>139</v>
      </c>
      <c r="D45" s="2">
        <v>42325</v>
      </c>
      <c r="E45" s="3">
        <v>48.6</v>
      </c>
      <c r="F45" s="4">
        <f t="shared" si="0"/>
        <v>6780.4414370078739</v>
      </c>
      <c r="G45" s="7">
        <v>8.82</v>
      </c>
      <c r="H45" s="7">
        <v>370.5</v>
      </c>
      <c r="I45" s="7">
        <f>H45-G45</f>
        <v>361.68</v>
      </c>
      <c r="J45" s="7">
        <v>338</v>
      </c>
      <c r="K45" s="5">
        <f t="shared" si="2"/>
        <v>6.5472240654722427</v>
      </c>
      <c r="L45" s="4">
        <f t="shared" si="3"/>
        <v>6336.5107434988422</v>
      </c>
      <c r="M45" s="2">
        <v>42339</v>
      </c>
      <c r="N45" s="7">
        <v>3.02</v>
      </c>
      <c r="O45" s="7">
        <v>0.8</v>
      </c>
      <c r="P45" s="7">
        <f t="shared" si="4"/>
        <v>0.52</v>
      </c>
      <c r="Q45" s="7">
        <v>0.76</v>
      </c>
      <c r="R45" s="6">
        <f t="shared" si="5"/>
        <v>0.37960420479985574</v>
      </c>
      <c r="S45" s="6">
        <f t="shared" si="6"/>
        <v>0.55480614547671225</v>
      </c>
      <c r="T45" s="6">
        <f t="shared" si="7"/>
        <v>6.5589649723431953E-2</v>
      </c>
      <c r="U45" s="4">
        <f t="shared" si="8"/>
        <v>2573.8840798873653</v>
      </c>
      <c r="V45" s="4">
        <f t="shared" si="9"/>
        <v>3761.8305782969182</v>
      </c>
      <c r="W45" s="4">
        <f t="shared" si="10"/>
        <v>6335.7146581842835</v>
      </c>
      <c r="X45" s="4">
        <f t="shared" si="11"/>
        <v>2405.3661219916207</v>
      </c>
      <c r="Y45" s="4">
        <f t="shared" si="12"/>
        <v>3515.5351013723689</v>
      </c>
      <c r="Z45" s="4">
        <f t="shared" si="13"/>
        <v>5920.9012233639896</v>
      </c>
      <c r="AA45" s="3"/>
      <c r="AE45" s="3"/>
      <c r="AF45" s="3"/>
      <c r="AG45" s="7"/>
      <c r="AH45" s="7"/>
      <c r="AI45" s="7"/>
      <c r="AJ45" s="7"/>
      <c r="AK45" s="7"/>
      <c r="AL45" s="3"/>
      <c r="AM45" s="9"/>
      <c r="AN45" s="7"/>
      <c r="AO45" s="7"/>
      <c r="AP45" s="7"/>
      <c r="AQ45" s="7"/>
      <c r="AR45" s="9"/>
      <c r="AS45" s="9"/>
      <c r="AT45" s="9"/>
      <c r="AU45" s="3"/>
      <c r="AV45" s="3"/>
      <c r="AW45" s="3"/>
      <c r="AX45" s="3"/>
      <c r="AY45" s="3"/>
      <c r="AZ45" s="3"/>
    </row>
    <row r="46" spans="1:52" x14ac:dyDescent="0.3">
      <c r="A46">
        <f t="shared" si="14"/>
        <v>7</v>
      </c>
      <c r="B46" s="1" t="s">
        <v>45</v>
      </c>
      <c r="C46" s="1" t="s">
        <v>139</v>
      </c>
      <c r="D46" s="2">
        <v>42325</v>
      </c>
      <c r="E46" s="3">
        <v>47.5</v>
      </c>
      <c r="F46" s="4">
        <f t="shared" si="0"/>
        <v>6626.9746555118099</v>
      </c>
      <c r="G46" s="7">
        <v>8.84</v>
      </c>
      <c r="H46" s="7">
        <v>244.67</v>
      </c>
      <c r="I46" s="7">
        <f t="shared" si="1"/>
        <v>235.82999999999998</v>
      </c>
      <c r="J46" s="7">
        <v>219.49</v>
      </c>
      <c r="K46" s="5">
        <f t="shared" si="2"/>
        <v>6.9287198405631081</v>
      </c>
      <c r="L46" s="4">
        <f t="shared" si="3"/>
        <v>6167.8101477262744</v>
      </c>
      <c r="M46" s="2">
        <v>42339</v>
      </c>
      <c r="N46" s="7">
        <v>4.24</v>
      </c>
      <c r="O46" s="7">
        <v>0.96</v>
      </c>
      <c r="P46" s="7">
        <f t="shared" si="4"/>
        <v>0.67999999999999994</v>
      </c>
      <c r="Q46" s="7">
        <v>1</v>
      </c>
      <c r="R46" s="6">
        <f t="shared" si="5"/>
        <v>0.35357184097286992</v>
      </c>
      <c r="S46" s="6">
        <f t="shared" si="6"/>
        <v>0.51995858966598518</v>
      </c>
      <c r="T46" s="6">
        <f t="shared" si="7"/>
        <v>0.12646956936114495</v>
      </c>
      <c r="U46" s="4">
        <f t="shared" si="8"/>
        <v>2343.111629029861</v>
      </c>
      <c r="V46" s="4">
        <f t="shared" si="9"/>
        <v>3445.7523956321488</v>
      </c>
      <c r="W46" s="4">
        <f t="shared" si="10"/>
        <v>5788.8640246620098</v>
      </c>
      <c r="X46" s="4">
        <f t="shared" si="11"/>
        <v>2180.7639887027276</v>
      </c>
      <c r="Y46" s="4">
        <f t="shared" si="12"/>
        <v>3207.0058657393056</v>
      </c>
      <c r="Z46" s="4">
        <f t="shared" si="13"/>
        <v>5387.7698544420327</v>
      </c>
      <c r="AA46" s="3"/>
      <c r="AE46" s="3"/>
      <c r="AF46" s="3"/>
      <c r="AG46" s="7"/>
      <c r="AH46" s="7"/>
      <c r="AI46" s="7"/>
      <c r="AJ46" s="7"/>
      <c r="AK46" s="7"/>
      <c r="AL46" s="3"/>
      <c r="AM46" s="9"/>
      <c r="AN46" s="7"/>
      <c r="AO46" s="7"/>
      <c r="AP46" s="7"/>
      <c r="AQ46" s="7"/>
      <c r="AR46" s="9"/>
      <c r="AS46" s="9"/>
      <c r="AT46" s="9"/>
      <c r="AU46" s="3"/>
      <c r="AV46" s="3"/>
      <c r="AW46" s="3"/>
      <c r="AX46" s="3"/>
      <c r="AY46" s="3"/>
      <c r="AZ46" s="3"/>
    </row>
    <row r="47" spans="1:52" x14ac:dyDescent="0.3">
      <c r="A47">
        <f t="shared" si="14"/>
        <v>8</v>
      </c>
      <c r="B47" s="1" t="s">
        <v>46</v>
      </c>
      <c r="C47" s="1" t="s">
        <v>139</v>
      </c>
      <c r="D47" s="2">
        <v>42325</v>
      </c>
      <c r="E47" s="3">
        <v>50.5</v>
      </c>
      <c r="F47" s="4">
        <f t="shared" si="0"/>
        <v>7045.5204232283468</v>
      </c>
      <c r="G47" s="7">
        <v>8.83</v>
      </c>
      <c r="H47" s="7">
        <v>200.78</v>
      </c>
      <c r="I47" s="7">
        <f t="shared" si="1"/>
        <v>191.95</v>
      </c>
      <c r="J47" s="7">
        <v>179.29</v>
      </c>
      <c r="K47" s="5">
        <f t="shared" si="2"/>
        <v>6.5954675696796023</v>
      </c>
      <c r="L47" s="4">
        <f t="shared" si="3"/>
        <v>6580.8354085991677</v>
      </c>
      <c r="M47" s="2">
        <v>42339</v>
      </c>
      <c r="N47" s="7">
        <v>3.08</v>
      </c>
      <c r="O47" s="7">
        <v>0.78</v>
      </c>
      <c r="P47" s="7">
        <f t="shared" si="4"/>
        <v>0.5</v>
      </c>
      <c r="Q47" s="7">
        <v>0.76</v>
      </c>
      <c r="R47" s="6">
        <f t="shared" si="5"/>
        <v>0.3578935747051587</v>
      </c>
      <c r="S47" s="6">
        <f t="shared" si="6"/>
        <v>0.54399823355184118</v>
      </c>
      <c r="T47" s="6">
        <f t="shared" si="7"/>
        <v>9.8108191743000117E-2</v>
      </c>
      <c r="U47" s="4">
        <f t="shared" si="8"/>
        <v>2521.5464899273957</v>
      </c>
      <c r="V47" s="4">
        <f t="shared" si="9"/>
        <v>3832.7506646896413</v>
      </c>
      <c r="W47" s="4">
        <f t="shared" si="10"/>
        <v>6354.2971546170374</v>
      </c>
      <c r="X47" s="4">
        <f t="shared" si="11"/>
        <v>2355.23870892984</v>
      </c>
      <c r="Y47" s="4">
        <f t="shared" si="12"/>
        <v>3579.9628375733564</v>
      </c>
      <c r="Z47" s="4">
        <f t="shared" si="13"/>
        <v>5935.2015465031964</v>
      </c>
      <c r="AA47" s="3"/>
      <c r="AE47" s="3"/>
      <c r="AF47" s="3"/>
      <c r="AG47" s="7"/>
      <c r="AH47" s="7"/>
      <c r="AI47" s="7"/>
      <c r="AJ47" s="7"/>
      <c r="AK47" s="7"/>
      <c r="AL47" s="3"/>
      <c r="AM47" s="9"/>
      <c r="AN47" s="7"/>
      <c r="AO47" s="7"/>
      <c r="AP47" s="7"/>
      <c r="AQ47" s="7"/>
      <c r="AR47" s="9"/>
      <c r="AS47" s="9"/>
      <c r="AT47" s="9"/>
      <c r="AU47" s="3"/>
      <c r="AV47" s="3"/>
      <c r="AW47" s="3"/>
      <c r="AX47" s="3"/>
      <c r="AY47" s="3"/>
      <c r="AZ47" s="3"/>
    </row>
    <row r="48" spans="1:52" x14ac:dyDescent="0.3">
      <c r="A48">
        <f t="shared" si="14"/>
        <v>9</v>
      </c>
      <c r="B48" s="1" t="s">
        <v>47</v>
      </c>
      <c r="C48" s="1" t="s">
        <v>139</v>
      </c>
      <c r="D48" s="2">
        <v>42325</v>
      </c>
      <c r="E48" s="3">
        <v>50.300000000000004</v>
      </c>
      <c r="F48" s="4">
        <f t="shared" si="0"/>
        <v>7017.6173720472443</v>
      </c>
      <c r="G48" s="7">
        <v>8.85</v>
      </c>
      <c r="H48" s="7">
        <v>224.17</v>
      </c>
      <c r="I48" s="7">
        <f t="shared" si="1"/>
        <v>215.32</v>
      </c>
      <c r="J48" s="7">
        <v>201.34</v>
      </c>
      <c r="K48" s="5">
        <f t="shared" si="2"/>
        <v>6.4926620843395826</v>
      </c>
      <c r="L48" s="4">
        <f t="shared" si="3"/>
        <v>6561.9871897083049</v>
      </c>
      <c r="M48" s="2">
        <v>42339</v>
      </c>
      <c r="N48" s="7">
        <v>4.2</v>
      </c>
      <c r="O48" s="7">
        <v>0.94</v>
      </c>
      <c r="P48" s="7">
        <f t="shared" si="4"/>
        <v>0.65999999999999992</v>
      </c>
      <c r="Q48" s="7">
        <v>1</v>
      </c>
      <c r="R48" s="6">
        <f t="shared" si="5"/>
        <v>0.34644098031459353</v>
      </c>
      <c r="S48" s="6">
        <f t="shared" si="6"/>
        <v>0.52491057623423276</v>
      </c>
      <c r="T48" s="6">
        <f t="shared" si="7"/>
        <v>0.12864844345117366</v>
      </c>
      <c r="U48" s="4">
        <f t="shared" si="8"/>
        <v>2431.1902418447689</v>
      </c>
      <c r="V48" s="4">
        <f t="shared" si="9"/>
        <v>3683.6215785526811</v>
      </c>
      <c r="W48" s="4">
        <f t="shared" si="10"/>
        <v>6114.81182039745</v>
      </c>
      <c r="X48" s="4">
        <f t="shared" si="11"/>
        <v>2273.3412748143496</v>
      </c>
      <c r="Y48" s="4">
        <f t="shared" si="12"/>
        <v>3444.45647699144</v>
      </c>
      <c r="Z48" s="4">
        <f t="shared" si="13"/>
        <v>5717.7977518057896</v>
      </c>
      <c r="AA48" s="3"/>
      <c r="AE48" s="3"/>
      <c r="AF48" s="3"/>
      <c r="AG48" s="7"/>
      <c r="AH48" s="7"/>
      <c r="AI48" s="7"/>
      <c r="AJ48" s="7"/>
      <c r="AK48" s="7"/>
      <c r="AL48" s="3"/>
      <c r="AM48" s="9"/>
      <c r="AN48" s="7"/>
      <c r="AO48" s="7"/>
      <c r="AP48" s="7"/>
      <c r="AQ48" s="7"/>
      <c r="AR48" s="9"/>
      <c r="AS48" s="9"/>
      <c r="AT48" s="9"/>
      <c r="AU48" s="3"/>
      <c r="AV48" s="3"/>
      <c r="AW48" s="3"/>
      <c r="AX48" s="3"/>
      <c r="AY48" s="3"/>
      <c r="AZ48" s="3"/>
    </row>
    <row r="49" spans="1:52" x14ac:dyDescent="0.3">
      <c r="A49">
        <f t="shared" si="14"/>
        <v>10</v>
      </c>
      <c r="B49" s="1" t="s">
        <v>48</v>
      </c>
      <c r="C49" s="1" t="s">
        <v>139</v>
      </c>
      <c r="D49" s="2">
        <v>42325</v>
      </c>
      <c r="E49" s="3">
        <v>41.749999999999993</v>
      </c>
      <c r="F49" s="4">
        <f t="shared" si="0"/>
        <v>5824.7619340551173</v>
      </c>
      <c r="G49" s="7">
        <v>8.8699999999999992</v>
      </c>
      <c r="H49" s="7">
        <v>221.12</v>
      </c>
      <c r="I49" s="7">
        <f t="shared" si="1"/>
        <v>212.25</v>
      </c>
      <c r="J49" s="7">
        <v>199.51</v>
      </c>
      <c r="K49" s="5">
        <f t="shared" si="2"/>
        <v>6.0023557126030669</v>
      </c>
      <c r="L49" s="4">
        <f t="shared" si="3"/>
        <v>5475.1390033608313</v>
      </c>
      <c r="M49" s="2">
        <v>42339</v>
      </c>
      <c r="N49" s="7">
        <v>4.42</v>
      </c>
      <c r="O49" s="7">
        <v>1</v>
      </c>
      <c r="P49" s="7">
        <f t="shared" si="4"/>
        <v>0.72</v>
      </c>
      <c r="Q49" s="7">
        <v>1.1000000000000001</v>
      </c>
      <c r="R49" s="6">
        <f t="shared" si="5"/>
        <v>0.35912433993943887</v>
      </c>
      <c r="S49" s="6">
        <f t="shared" si="6"/>
        <v>0.54866218601858718</v>
      </c>
      <c r="T49" s="6">
        <f t="shared" si="7"/>
        <v>9.2213474041973997E-2</v>
      </c>
      <c r="U49" s="4">
        <f t="shared" si="8"/>
        <v>2091.8137848719134</v>
      </c>
      <c r="V49" s="4">
        <f t="shared" si="9"/>
        <v>3195.8266157765343</v>
      </c>
      <c r="W49" s="4">
        <f t="shared" si="10"/>
        <v>5287.6404006484481</v>
      </c>
      <c r="X49" s="4">
        <f t="shared" si="11"/>
        <v>1966.2556806586358</v>
      </c>
      <c r="Y49" s="4">
        <f t="shared" si="12"/>
        <v>3004.0017343395825</v>
      </c>
      <c r="Z49" s="4">
        <f t="shared" si="13"/>
        <v>4970.2574149982183</v>
      </c>
      <c r="AA49" s="3"/>
      <c r="AE49" s="3"/>
      <c r="AF49" s="3"/>
      <c r="AG49" s="7"/>
      <c r="AH49" s="7"/>
      <c r="AI49" s="7"/>
      <c r="AJ49" s="7"/>
      <c r="AK49" s="7"/>
      <c r="AL49" s="3"/>
      <c r="AM49" s="9"/>
      <c r="AN49" s="7"/>
      <c r="AO49" s="7"/>
      <c r="AP49" s="7"/>
      <c r="AQ49" s="7"/>
      <c r="AR49" s="9"/>
      <c r="AS49" s="9"/>
      <c r="AT49" s="9"/>
      <c r="AU49" s="3"/>
      <c r="AV49" s="3"/>
      <c r="AW49" s="3"/>
      <c r="AX49" s="3"/>
      <c r="AY49" s="3"/>
      <c r="AZ49" s="3"/>
    </row>
    <row r="50" spans="1:52" x14ac:dyDescent="0.3">
      <c r="A50">
        <f t="shared" si="14"/>
        <v>11</v>
      </c>
      <c r="B50" s="1" t="s">
        <v>49</v>
      </c>
      <c r="C50" s="1" t="s">
        <v>139</v>
      </c>
      <c r="D50" s="2">
        <v>42325</v>
      </c>
      <c r="E50" s="3">
        <v>47.800000000000004</v>
      </c>
      <c r="F50" s="4">
        <f t="shared" si="0"/>
        <v>6668.829232283465</v>
      </c>
      <c r="G50" s="7">
        <v>8.82</v>
      </c>
      <c r="H50" s="7">
        <v>226.33</v>
      </c>
      <c r="I50" s="7">
        <f t="shared" si="1"/>
        <v>217.51000000000002</v>
      </c>
      <c r="J50" s="7">
        <v>203.01</v>
      </c>
      <c r="K50" s="5">
        <f t="shared" si="2"/>
        <v>6.666360167348639</v>
      </c>
      <c r="L50" s="4">
        <f t="shared" si="3"/>
        <v>6224.2610567140182</v>
      </c>
      <c r="M50" s="2">
        <v>42339</v>
      </c>
      <c r="N50" s="7">
        <v>3.32</v>
      </c>
      <c r="O50" s="7">
        <v>0.84</v>
      </c>
      <c r="P50" s="7">
        <f t="shared" si="4"/>
        <v>0.55999999999999994</v>
      </c>
      <c r="Q50" s="7">
        <v>0.78</v>
      </c>
      <c r="R50" s="6">
        <f t="shared" si="5"/>
        <v>0.3718643600309986</v>
      </c>
      <c r="S50" s="6">
        <f t="shared" si="6"/>
        <v>0.51795393004317669</v>
      </c>
      <c r="T50" s="6">
        <f t="shared" si="7"/>
        <v>0.11018170992582477</v>
      </c>
      <c r="U50" s="4">
        <f t="shared" si="8"/>
        <v>2479.8999146191063</v>
      </c>
      <c r="V50" s="4">
        <f t="shared" si="9"/>
        <v>3454.1463096480416</v>
      </c>
      <c r="W50" s="4">
        <f t="shared" si="10"/>
        <v>5934.0462242671474</v>
      </c>
      <c r="X50" s="4">
        <f t="shared" si="11"/>
        <v>2314.5808545208256</v>
      </c>
      <c r="Y50" s="4">
        <f t="shared" si="12"/>
        <v>3223.8804759397217</v>
      </c>
      <c r="Z50" s="4">
        <f t="shared" si="13"/>
        <v>5538.4613304605473</v>
      </c>
      <c r="AA50" s="3"/>
      <c r="AB50" t="s">
        <v>145</v>
      </c>
      <c r="AC50" t="str">
        <f>C50</f>
        <v>Machine</v>
      </c>
      <c r="AD50" s="8">
        <f>D50</f>
        <v>42325</v>
      </c>
      <c r="AE50" s="3">
        <f>SUM(E50:E59)</f>
        <v>504.1</v>
      </c>
      <c r="AF50" s="3">
        <f>AE50*$A$29/($A$30*10)*$A$31</f>
        <v>7032.9640501968506</v>
      </c>
      <c r="AG50" s="7">
        <f>SUM(G50:G59)</f>
        <v>87.57</v>
      </c>
      <c r="AH50" s="7">
        <f>SUM(H50:H59)</f>
        <v>2694.77</v>
      </c>
      <c r="AI50" s="7">
        <f>AH50-AG50</f>
        <v>2607.1999999999998</v>
      </c>
      <c r="AJ50" s="7">
        <f>SUM(J50:J59)</f>
        <v>2441.7599999999998</v>
      </c>
      <c r="AK50" s="7">
        <f>(AI50-AJ50)/AI50*100</f>
        <v>6.3455047560601443</v>
      </c>
      <c r="AL50" s="3">
        <f>AF50*(1-AK50/100)</f>
        <v>6586.6869818996092</v>
      </c>
      <c r="AM50" s="11">
        <f>M50</f>
        <v>42339</v>
      </c>
      <c r="AN50" s="7">
        <f>SUM(N50:N59)</f>
        <v>36.140000000000008</v>
      </c>
      <c r="AO50" s="7">
        <f>SUM(O50:O59)</f>
        <v>8.6999999999999993</v>
      </c>
      <c r="AP50" s="7">
        <f>AO50-10*$A$32</f>
        <v>5.8999999999999986</v>
      </c>
      <c r="AQ50" s="7">
        <f>SUM(Q50:Q59)</f>
        <v>8.74</v>
      </c>
      <c r="AR50" s="9">
        <f>AP50/(AN50*$A$29)</f>
        <v>0.35991378193371004</v>
      </c>
      <c r="AS50" s="9">
        <f>AQ50/(AN50*$A$29)</f>
        <v>0.53316041594925878</v>
      </c>
      <c r="AT50" s="9">
        <f>1-AR50-AS50</f>
        <v>0.10692580211703118</v>
      </c>
      <c r="AU50" s="3">
        <f>AF50*AR50</f>
        <v>2531.2606895101712</v>
      </c>
      <c r="AV50" s="3">
        <f>AF50*AS50</f>
        <v>3749.6980383591367</v>
      </c>
      <c r="AW50" s="3">
        <f>AU50+AV50</f>
        <v>6280.9587278693079</v>
      </c>
      <c r="AX50" s="3">
        <f>AL50*AR50</f>
        <v>2370.6394220690227</v>
      </c>
      <c r="AY50" s="3">
        <f>AL50*AS50</f>
        <v>3511.7607709971635</v>
      </c>
      <c r="AZ50" s="3">
        <f>AX50+AY50</f>
        <v>5882.4001930661861</v>
      </c>
    </row>
    <row r="51" spans="1:52" x14ac:dyDescent="0.3">
      <c r="A51">
        <f t="shared" si="14"/>
        <v>12</v>
      </c>
      <c r="B51" s="1" t="s">
        <v>50</v>
      </c>
      <c r="C51" s="1" t="s">
        <v>139</v>
      </c>
      <c r="D51" s="2">
        <v>42325</v>
      </c>
      <c r="E51" s="3">
        <v>50.400000000000006</v>
      </c>
      <c r="F51" s="4">
        <f t="shared" si="0"/>
        <v>7031.5688976377951</v>
      </c>
      <c r="G51" s="7">
        <v>8.82</v>
      </c>
      <c r="H51" s="7">
        <v>310.91000000000003</v>
      </c>
      <c r="I51" s="7">
        <f t="shared" si="1"/>
        <v>302.09000000000003</v>
      </c>
      <c r="J51" s="7">
        <v>282.8</v>
      </c>
      <c r="K51" s="5">
        <f t="shared" si="2"/>
        <v>6.3855142507199893</v>
      </c>
      <c r="L51" s="4">
        <f t="shared" si="3"/>
        <v>6582.5670636299392</v>
      </c>
      <c r="M51" s="2">
        <v>42339</v>
      </c>
      <c r="N51" s="7">
        <v>3.24</v>
      </c>
      <c r="O51" s="7">
        <v>0.82</v>
      </c>
      <c r="P51" s="7">
        <f t="shared" si="4"/>
        <v>0.53999999999999992</v>
      </c>
      <c r="Q51" s="7">
        <v>0.78</v>
      </c>
      <c r="R51" s="6">
        <f t="shared" si="5"/>
        <v>0.3674374033639628</v>
      </c>
      <c r="S51" s="6">
        <f t="shared" si="6"/>
        <v>0.53074291597016865</v>
      </c>
      <c r="T51" s="6">
        <f t="shared" si="7"/>
        <v>0.10181968066586855</v>
      </c>
      <c r="U51" s="4">
        <f t="shared" si="8"/>
        <v>2583.6614173228336</v>
      </c>
      <c r="V51" s="4">
        <f t="shared" si="9"/>
        <v>3731.9553805774276</v>
      </c>
      <c r="W51" s="4">
        <f t="shared" si="10"/>
        <v>6315.6167979002612</v>
      </c>
      <c r="X51" s="4">
        <f t="shared" si="11"/>
        <v>2418.6813493293303</v>
      </c>
      <c r="Y51" s="4">
        <f t="shared" si="12"/>
        <v>3493.6508379201446</v>
      </c>
      <c r="Z51" s="4">
        <f t="shared" si="13"/>
        <v>5912.3321872494744</v>
      </c>
      <c r="AA51" s="3"/>
      <c r="AE51" s="3"/>
      <c r="AF51" s="3"/>
      <c r="AG51" s="7"/>
      <c r="AH51" s="7"/>
      <c r="AI51" s="7"/>
      <c r="AJ51" s="7"/>
      <c r="AK51" s="7"/>
      <c r="AL51" s="3"/>
      <c r="AM51" s="9"/>
      <c r="AN51" s="7"/>
      <c r="AO51" s="7"/>
      <c r="AP51" s="7"/>
      <c r="AQ51" s="7"/>
      <c r="AR51" s="9"/>
      <c r="AS51" s="9"/>
      <c r="AT51" s="9"/>
      <c r="AU51" s="3"/>
      <c r="AV51" s="3"/>
      <c r="AW51" s="3"/>
      <c r="AX51" s="3"/>
      <c r="AY51" s="3"/>
      <c r="AZ51" s="3"/>
    </row>
    <row r="52" spans="1:52" x14ac:dyDescent="0.3">
      <c r="A52">
        <f t="shared" si="14"/>
        <v>13</v>
      </c>
      <c r="B52" s="1" t="s">
        <v>51</v>
      </c>
      <c r="C52" s="1" t="s">
        <v>139</v>
      </c>
      <c r="D52" s="2">
        <v>42325</v>
      </c>
      <c r="E52" s="3">
        <v>51.8</v>
      </c>
      <c r="F52" s="4">
        <f t="shared" si="0"/>
        <v>7226.8902559055114</v>
      </c>
      <c r="G52" s="7">
        <v>8.8000000000000007</v>
      </c>
      <c r="H52" s="7">
        <v>255.48</v>
      </c>
      <c r="I52" s="7">
        <f t="shared" si="1"/>
        <v>246.67999999999998</v>
      </c>
      <c r="J52" s="7">
        <v>232.13</v>
      </c>
      <c r="K52" s="5">
        <f t="shared" si="2"/>
        <v>5.8983298200097227</v>
      </c>
      <c r="L52" s="4">
        <f t="shared" si="3"/>
        <v>6800.6244328820603</v>
      </c>
      <c r="M52" s="2">
        <v>42339</v>
      </c>
      <c r="N52" s="7">
        <v>3.16</v>
      </c>
      <c r="O52" s="7">
        <v>0.8</v>
      </c>
      <c r="P52" s="7">
        <f t="shared" si="4"/>
        <v>0.52</v>
      </c>
      <c r="Q52" s="7">
        <v>0.78</v>
      </c>
      <c r="R52" s="6">
        <f t="shared" si="5"/>
        <v>0.36278629699226722</v>
      </c>
      <c r="S52" s="6">
        <f t="shared" si="6"/>
        <v>0.5441794454884008</v>
      </c>
      <c r="T52" s="6">
        <f t="shared" si="7"/>
        <v>9.303425751933192E-2</v>
      </c>
      <c r="U52" s="4">
        <f t="shared" si="8"/>
        <v>2621.816754709459</v>
      </c>
      <c r="V52" s="4">
        <f t="shared" si="9"/>
        <v>3932.7251320641881</v>
      </c>
      <c r="W52" s="4">
        <f t="shared" si="10"/>
        <v>6554.5418867736471</v>
      </c>
      <c r="X52" s="4">
        <f t="shared" si="11"/>
        <v>2467.1733552404198</v>
      </c>
      <c r="Y52" s="4">
        <f t="shared" si="12"/>
        <v>3700.76003286063</v>
      </c>
      <c r="Z52" s="4">
        <f t="shared" si="13"/>
        <v>6167.9333881010498</v>
      </c>
      <c r="AA52" s="3"/>
      <c r="AE52" s="3"/>
      <c r="AF52" s="3"/>
      <c r="AG52" s="7"/>
      <c r="AH52" s="7"/>
      <c r="AI52" s="7"/>
      <c r="AJ52" s="7"/>
      <c r="AK52" s="7"/>
      <c r="AL52" s="3"/>
      <c r="AM52" s="9"/>
      <c r="AN52" s="7"/>
      <c r="AO52" s="7"/>
      <c r="AP52" s="7"/>
      <c r="AQ52" s="7"/>
      <c r="AR52" s="9"/>
      <c r="AS52" s="9"/>
      <c r="AT52" s="9"/>
      <c r="AU52" s="3"/>
      <c r="AV52" s="3"/>
      <c r="AW52" s="3"/>
      <c r="AX52" s="3"/>
      <c r="AY52" s="3"/>
      <c r="AZ52" s="3"/>
    </row>
    <row r="53" spans="1:52" x14ac:dyDescent="0.3">
      <c r="A53">
        <f t="shared" si="14"/>
        <v>14</v>
      </c>
      <c r="B53" s="1" t="s">
        <v>52</v>
      </c>
      <c r="C53" s="1" t="s">
        <v>139</v>
      </c>
      <c r="D53" s="2">
        <v>42325</v>
      </c>
      <c r="E53" s="3">
        <v>52.7</v>
      </c>
      <c r="F53" s="4">
        <f t="shared" si="0"/>
        <v>7352.4539862204729</v>
      </c>
      <c r="G53" s="7">
        <v>8.8000000000000007</v>
      </c>
      <c r="H53" s="7">
        <v>382.92</v>
      </c>
      <c r="I53" s="7">
        <f t="shared" si="1"/>
        <v>374.12</v>
      </c>
      <c r="J53" s="7">
        <v>350</v>
      </c>
      <c r="K53" s="5">
        <f t="shared" si="2"/>
        <v>6.4471292633379678</v>
      </c>
      <c r="L53" s="4">
        <f t="shared" si="3"/>
        <v>6878.4317737013935</v>
      </c>
      <c r="M53" s="2">
        <v>42339</v>
      </c>
      <c r="N53" s="7">
        <v>3.38</v>
      </c>
      <c r="O53" s="7">
        <v>0.8</v>
      </c>
      <c r="P53" s="7">
        <f t="shared" si="4"/>
        <v>0.52</v>
      </c>
      <c r="Q53" s="7">
        <v>0.8</v>
      </c>
      <c r="R53" s="6">
        <f t="shared" si="5"/>
        <v>0.33917298772058119</v>
      </c>
      <c r="S53" s="6">
        <f t="shared" si="6"/>
        <v>0.52180459649320188</v>
      </c>
      <c r="T53" s="6">
        <f t="shared" si="7"/>
        <v>0.13902241578621699</v>
      </c>
      <c r="U53" s="4">
        <f t="shared" si="8"/>
        <v>2493.7537855844948</v>
      </c>
      <c r="V53" s="4">
        <f t="shared" si="9"/>
        <v>3836.5442855146075</v>
      </c>
      <c r="W53" s="4">
        <f t="shared" si="10"/>
        <v>6330.2980710991023</v>
      </c>
      <c r="X53" s="4">
        <f t="shared" si="11"/>
        <v>2332.9782555184784</v>
      </c>
      <c r="Y53" s="4">
        <f t="shared" si="12"/>
        <v>3589.1973161822743</v>
      </c>
      <c r="Z53" s="4">
        <f t="shared" si="13"/>
        <v>5922.1755717007527</v>
      </c>
      <c r="AA53" s="3"/>
      <c r="AE53" s="3"/>
      <c r="AF53" s="3"/>
      <c r="AG53" s="7"/>
      <c r="AH53" s="7"/>
      <c r="AI53" s="7"/>
      <c r="AJ53" s="7"/>
      <c r="AK53" s="7"/>
      <c r="AL53" s="3"/>
      <c r="AM53" s="9"/>
      <c r="AN53" s="7"/>
      <c r="AO53" s="7"/>
      <c r="AP53" s="7"/>
      <c r="AQ53" s="7"/>
      <c r="AR53" s="9"/>
      <c r="AS53" s="9"/>
      <c r="AT53" s="9"/>
      <c r="AU53" s="3"/>
      <c r="AV53" s="3"/>
      <c r="AW53" s="3"/>
      <c r="AX53" s="3"/>
      <c r="AY53" s="3"/>
      <c r="AZ53" s="3"/>
    </row>
    <row r="54" spans="1:52" x14ac:dyDescent="0.3">
      <c r="A54">
        <f t="shared" si="14"/>
        <v>15</v>
      </c>
      <c r="B54" s="1" t="s">
        <v>53</v>
      </c>
      <c r="C54" s="1" t="s">
        <v>139</v>
      </c>
      <c r="D54" s="2">
        <v>42325</v>
      </c>
      <c r="E54" s="3">
        <v>50</v>
      </c>
      <c r="F54" s="4">
        <f t="shared" si="0"/>
        <v>6975.7627952755911</v>
      </c>
      <c r="G54" s="7">
        <v>8.74</v>
      </c>
      <c r="H54" s="7">
        <v>273.58</v>
      </c>
      <c r="I54" s="7">
        <f t="shared" si="1"/>
        <v>264.83999999999997</v>
      </c>
      <c r="J54" s="7">
        <v>247.31</v>
      </c>
      <c r="K54" s="5">
        <f t="shared" si="2"/>
        <v>6.6190907717867304</v>
      </c>
      <c r="L54" s="4">
        <f t="shared" si="3"/>
        <v>6514.0307238317728</v>
      </c>
      <c r="M54" s="2">
        <v>42339</v>
      </c>
      <c r="N54" s="7">
        <v>4.28</v>
      </c>
      <c r="O54" s="7">
        <v>1.02</v>
      </c>
      <c r="P54" s="7">
        <f t="shared" si="4"/>
        <v>0.74</v>
      </c>
      <c r="Q54" s="7">
        <v>1.06</v>
      </c>
      <c r="R54" s="6">
        <f t="shared" si="5"/>
        <v>0.38117338105981197</v>
      </c>
      <c r="S54" s="6">
        <f t="shared" si="6"/>
        <v>0.54600511341000102</v>
      </c>
      <c r="T54" s="6">
        <f t="shared" si="7"/>
        <v>7.282150553018707E-2</v>
      </c>
      <c r="U54" s="4">
        <f t="shared" si="8"/>
        <v>2658.9750901464422</v>
      </c>
      <c r="V54" s="4">
        <f t="shared" si="9"/>
        <v>3808.8021561557148</v>
      </c>
      <c r="W54" s="4">
        <f t="shared" si="10"/>
        <v>6467.7772463021574</v>
      </c>
      <c r="X54" s="4">
        <f t="shared" si="11"/>
        <v>2482.975115330451</v>
      </c>
      <c r="Y54" s="4">
        <f t="shared" si="12"/>
        <v>3556.694084121998</v>
      </c>
      <c r="Z54" s="4">
        <f t="shared" si="13"/>
        <v>6039.669199452449</v>
      </c>
      <c r="AA54" s="3"/>
      <c r="AE54" s="3"/>
      <c r="AF54" s="3"/>
      <c r="AG54" s="7"/>
      <c r="AH54" s="7"/>
      <c r="AI54" s="7"/>
      <c r="AJ54" s="7"/>
      <c r="AK54" s="7"/>
      <c r="AL54" s="3"/>
      <c r="AM54" s="9"/>
      <c r="AN54" s="7"/>
      <c r="AO54" s="7"/>
      <c r="AP54" s="7"/>
      <c r="AQ54" s="7"/>
      <c r="AR54" s="9"/>
      <c r="AS54" s="9"/>
      <c r="AT54" s="9"/>
      <c r="AU54" s="3"/>
      <c r="AV54" s="3"/>
      <c r="AW54" s="3"/>
      <c r="AX54" s="3"/>
      <c r="AY54" s="3"/>
      <c r="AZ54" s="3"/>
    </row>
    <row r="55" spans="1:52" x14ac:dyDescent="0.3">
      <c r="A55">
        <f t="shared" si="14"/>
        <v>16</v>
      </c>
      <c r="B55" s="1" t="s">
        <v>54</v>
      </c>
      <c r="C55" s="1" t="s">
        <v>139</v>
      </c>
      <c r="D55" s="2">
        <v>42325</v>
      </c>
      <c r="E55" s="3">
        <v>52</v>
      </c>
      <c r="F55" s="4">
        <f t="shared" si="0"/>
        <v>7254.7933070866147</v>
      </c>
      <c r="G55" s="7">
        <v>8.68</v>
      </c>
      <c r="H55" s="7">
        <v>243.32</v>
      </c>
      <c r="I55" s="7">
        <f t="shared" si="1"/>
        <v>234.64</v>
      </c>
      <c r="J55" s="7">
        <v>219.79</v>
      </c>
      <c r="K55" s="5">
        <f t="shared" si="2"/>
        <v>6.3288441868394125</v>
      </c>
      <c r="L55" s="4">
        <f t="shared" si="3"/>
        <v>6795.6487426038493</v>
      </c>
      <c r="M55" s="2">
        <v>42339</v>
      </c>
      <c r="N55" s="7">
        <v>3.74</v>
      </c>
      <c r="O55" s="7">
        <v>0.88</v>
      </c>
      <c r="P55" s="7">
        <f t="shared" si="4"/>
        <v>0.6</v>
      </c>
      <c r="Q55" s="7">
        <v>0.9</v>
      </c>
      <c r="R55" s="6">
        <f t="shared" si="5"/>
        <v>0.35368306206156852</v>
      </c>
      <c r="S55" s="6">
        <f t="shared" si="6"/>
        <v>0.53052459309235278</v>
      </c>
      <c r="T55" s="6">
        <f t="shared" si="7"/>
        <v>0.1157923448460787</v>
      </c>
      <c r="U55" s="4">
        <f t="shared" si="8"/>
        <v>2565.897511474167</v>
      </c>
      <c r="V55" s="4">
        <f t="shared" si="9"/>
        <v>3848.8462672112505</v>
      </c>
      <c r="W55" s="4">
        <f t="shared" si="10"/>
        <v>6414.7437786854171</v>
      </c>
      <c r="X55" s="4">
        <f t="shared" si="11"/>
        <v>2403.5058559789773</v>
      </c>
      <c r="Y55" s="4">
        <f t="shared" si="12"/>
        <v>3605.2587839684661</v>
      </c>
      <c r="Z55" s="4">
        <f t="shared" si="13"/>
        <v>6008.7646399474434</v>
      </c>
      <c r="AA55" s="3"/>
      <c r="AE55" s="3"/>
      <c r="AF55" s="3"/>
      <c r="AG55" s="7"/>
      <c r="AH55" s="7"/>
      <c r="AI55" s="7"/>
      <c r="AJ55" s="7"/>
      <c r="AK55" s="7"/>
      <c r="AL55" s="3"/>
      <c r="AM55" s="9"/>
      <c r="AN55" s="7"/>
      <c r="AO55" s="7"/>
      <c r="AP55" s="7"/>
      <c r="AQ55" s="7"/>
      <c r="AR55" s="9"/>
      <c r="AS55" s="9"/>
      <c r="AT55" s="9"/>
      <c r="AU55" s="3"/>
      <c r="AV55" s="3"/>
      <c r="AW55" s="3"/>
      <c r="AX55" s="3"/>
      <c r="AY55" s="3"/>
      <c r="AZ55" s="3"/>
    </row>
    <row r="56" spans="1:52" x14ac:dyDescent="0.3">
      <c r="A56">
        <f t="shared" si="14"/>
        <v>17</v>
      </c>
      <c r="B56" s="1" t="s">
        <v>55</v>
      </c>
      <c r="C56" s="1" t="s">
        <v>139</v>
      </c>
      <c r="D56" s="2">
        <v>42325</v>
      </c>
      <c r="E56" s="3">
        <v>54.1</v>
      </c>
      <c r="F56" s="4">
        <f t="shared" si="0"/>
        <v>7547.7753444881891</v>
      </c>
      <c r="G56" s="7">
        <v>8.7200000000000006</v>
      </c>
      <c r="H56" s="7">
        <v>278.08</v>
      </c>
      <c r="I56" s="7">
        <f t="shared" si="1"/>
        <v>269.35999999999996</v>
      </c>
      <c r="J56" s="7">
        <v>251.22</v>
      </c>
      <c r="K56" s="5">
        <f t="shared" si="2"/>
        <v>6.7344817344817205</v>
      </c>
      <c r="L56" s="4">
        <f t="shared" si="3"/>
        <v>7039.4717925539171</v>
      </c>
      <c r="M56" s="2">
        <v>42339</v>
      </c>
      <c r="N56" s="7">
        <v>3.74</v>
      </c>
      <c r="O56" s="7">
        <v>0.88</v>
      </c>
      <c r="P56" s="7">
        <f t="shared" si="4"/>
        <v>0.6</v>
      </c>
      <c r="Q56" s="7">
        <v>0.88</v>
      </c>
      <c r="R56" s="6">
        <f t="shared" si="5"/>
        <v>0.35368306206156852</v>
      </c>
      <c r="S56" s="6">
        <f t="shared" si="6"/>
        <v>0.51873515769030054</v>
      </c>
      <c r="T56" s="6">
        <f t="shared" si="7"/>
        <v>0.12758178024813094</v>
      </c>
      <c r="U56" s="4">
        <f t="shared" si="8"/>
        <v>2669.5202955913928</v>
      </c>
      <c r="V56" s="4">
        <f t="shared" si="9"/>
        <v>3915.2964335340434</v>
      </c>
      <c r="W56" s="4">
        <f t="shared" si="10"/>
        <v>6584.8167291254358</v>
      </c>
      <c r="X56" s="4">
        <f t="shared" si="11"/>
        <v>2489.7419388865083</v>
      </c>
      <c r="Y56" s="4">
        <f t="shared" si="12"/>
        <v>3651.6215103668787</v>
      </c>
      <c r="Z56" s="4">
        <f t="shared" si="13"/>
        <v>6141.3634492533874</v>
      </c>
      <c r="AA56" s="3"/>
      <c r="AE56" s="3"/>
      <c r="AF56" s="3"/>
      <c r="AG56" s="7"/>
      <c r="AH56" s="7"/>
      <c r="AI56" s="7"/>
      <c r="AJ56" s="7"/>
      <c r="AK56" s="7"/>
      <c r="AL56" s="3"/>
      <c r="AM56" s="9"/>
      <c r="AN56" s="7"/>
      <c r="AO56" s="7"/>
      <c r="AP56" s="7"/>
      <c r="AQ56" s="7"/>
      <c r="AR56" s="9"/>
      <c r="AS56" s="9"/>
      <c r="AT56" s="9"/>
      <c r="AU56" s="3"/>
      <c r="AV56" s="3"/>
      <c r="AW56" s="3"/>
      <c r="AX56" s="3"/>
      <c r="AY56" s="3"/>
      <c r="AZ56" s="3"/>
    </row>
    <row r="57" spans="1:52" x14ac:dyDescent="0.3">
      <c r="A57">
        <f t="shared" si="14"/>
        <v>18</v>
      </c>
      <c r="B57" s="1" t="s">
        <v>56</v>
      </c>
      <c r="C57" s="1" t="s">
        <v>139</v>
      </c>
      <c r="D57" s="2">
        <v>42325</v>
      </c>
      <c r="E57" s="3">
        <v>52.1</v>
      </c>
      <c r="F57" s="4">
        <f t="shared" si="0"/>
        <v>7268.7448326771655</v>
      </c>
      <c r="G57" s="7">
        <v>8.6999999999999993</v>
      </c>
      <c r="H57" s="7">
        <v>229.97</v>
      </c>
      <c r="I57" s="7">
        <f t="shared" si="1"/>
        <v>221.27</v>
      </c>
      <c r="J57" s="7">
        <v>207.51</v>
      </c>
      <c r="K57" s="5">
        <f t="shared" si="2"/>
        <v>6.2186469019749708</v>
      </c>
      <c r="L57" s="4">
        <f t="shared" si="3"/>
        <v>6816.7272573274213</v>
      </c>
      <c r="M57" s="2">
        <v>42339</v>
      </c>
      <c r="N57" s="7">
        <v>4.0199999999999996</v>
      </c>
      <c r="O57" s="7">
        <v>0.94</v>
      </c>
      <c r="P57" s="7">
        <f t="shared" si="4"/>
        <v>0.65999999999999992</v>
      </c>
      <c r="Q57" s="7">
        <v>0.98</v>
      </c>
      <c r="R57" s="6">
        <f t="shared" si="5"/>
        <v>0.36195326301524705</v>
      </c>
      <c r="S57" s="6">
        <f t="shared" si="6"/>
        <v>0.53744575417415474</v>
      </c>
      <c r="T57" s="6">
        <f t="shared" si="7"/>
        <v>0.10060098281059815</v>
      </c>
      <c r="U57" s="4">
        <f t="shared" si="8"/>
        <v>2630.9459102127162</v>
      </c>
      <c r="V57" s="4">
        <f t="shared" si="9"/>
        <v>3906.5560484976695</v>
      </c>
      <c r="W57" s="4">
        <f t="shared" si="10"/>
        <v>6537.5019587103852</v>
      </c>
      <c r="X57" s="4">
        <f t="shared" si="11"/>
        <v>2467.3366738746358</v>
      </c>
      <c r="Y57" s="4">
        <f t="shared" si="12"/>
        <v>3663.6211218138533</v>
      </c>
      <c r="Z57" s="4">
        <f t="shared" si="13"/>
        <v>6130.9577956884896</v>
      </c>
      <c r="AA57" s="3"/>
      <c r="AE57" s="3"/>
      <c r="AF57" s="3"/>
      <c r="AG57" s="7"/>
      <c r="AH57" s="7"/>
      <c r="AI57" s="7"/>
      <c r="AJ57" s="7"/>
      <c r="AK57" s="7"/>
      <c r="AL57" s="3"/>
      <c r="AM57" s="9"/>
      <c r="AN57" s="7"/>
      <c r="AO57" s="7"/>
      <c r="AP57" s="7"/>
      <c r="AQ57" s="7"/>
      <c r="AR57" s="9"/>
      <c r="AS57" s="9"/>
      <c r="AT57" s="9"/>
      <c r="AU57" s="3"/>
      <c r="AV57" s="3"/>
      <c r="AW57" s="3"/>
      <c r="AX57" s="3"/>
      <c r="AY57" s="3"/>
      <c r="AZ57" s="3"/>
    </row>
    <row r="58" spans="1:52" x14ac:dyDescent="0.3">
      <c r="A58">
        <f t="shared" si="14"/>
        <v>19</v>
      </c>
      <c r="B58" s="1" t="s">
        <v>57</v>
      </c>
      <c r="C58" s="1" t="s">
        <v>139</v>
      </c>
      <c r="D58" s="2">
        <v>42325</v>
      </c>
      <c r="E58" s="3">
        <v>51.3</v>
      </c>
      <c r="F58" s="4">
        <f t="shared" si="0"/>
        <v>7157.1326279527548</v>
      </c>
      <c r="G58" s="7">
        <v>8.69</v>
      </c>
      <c r="H58" s="7">
        <v>253.65</v>
      </c>
      <c r="I58" s="7">
        <f t="shared" si="1"/>
        <v>244.96</v>
      </c>
      <c r="J58" s="7">
        <v>230.06</v>
      </c>
      <c r="K58" s="5">
        <f t="shared" si="2"/>
        <v>6.082625734813849</v>
      </c>
      <c r="L58" s="4">
        <f t="shared" si="3"/>
        <v>6721.7910368501416</v>
      </c>
      <c r="M58" s="2">
        <v>42339</v>
      </c>
      <c r="N58" s="7">
        <v>3.72</v>
      </c>
      <c r="O58" s="7">
        <v>0.88</v>
      </c>
      <c r="P58" s="7">
        <f t="shared" si="4"/>
        <v>0.6</v>
      </c>
      <c r="Q58" s="7">
        <v>0.9</v>
      </c>
      <c r="R58" s="6">
        <f t="shared" si="5"/>
        <v>0.35558458390060921</v>
      </c>
      <c r="S58" s="6">
        <f t="shared" si="6"/>
        <v>0.53337687585091387</v>
      </c>
      <c r="T58" s="6">
        <f t="shared" si="7"/>
        <v>0.11103854024847692</v>
      </c>
      <c r="U58" s="4">
        <f t="shared" si="8"/>
        <v>2544.966027432054</v>
      </c>
      <c r="V58" s="4">
        <f t="shared" si="9"/>
        <v>3817.4490411480815</v>
      </c>
      <c r="W58" s="4">
        <f t="shared" si="10"/>
        <v>6362.415068580136</v>
      </c>
      <c r="X58" s="4">
        <f t="shared" si="11"/>
        <v>2390.1652689052021</v>
      </c>
      <c r="Y58" s="4">
        <f t="shared" si="12"/>
        <v>3585.2479033578038</v>
      </c>
      <c r="Z58" s="4">
        <f t="shared" si="13"/>
        <v>5975.4131722630063</v>
      </c>
      <c r="AA58" s="3"/>
      <c r="AE58" s="3"/>
      <c r="AF58" s="3"/>
      <c r="AG58" s="7"/>
      <c r="AH58" s="7"/>
      <c r="AI58" s="7"/>
      <c r="AJ58" s="7"/>
      <c r="AK58" s="7"/>
      <c r="AL58" s="3"/>
      <c r="AM58" s="9"/>
      <c r="AN58" s="7"/>
      <c r="AO58" s="7"/>
      <c r="AP58" s="7"/>
      <c r="AQ58" s="7"/>
      <c r="AR58" s="9"/>
      <c r="AS58" s="9"/>
      <c r="AT58" s="9"/>
      <c r="AU58" s="3"/>
      <c r="AV58" s="3"/>
      <c r="AW58" s="3"/>
      <c r="AX58" s="3"/>
      <c r="AY58" s="3"/>
      <c r="AZ58" s="3"/>
    </row>
    <row r="59" spans="1:52" x14ac:dyDescent="0.3">
      <c r="A59">
        <f t="shared" si="14"/>
        <v>20</v>
      </c>
      <c r="B59" s="1" t="s">
        <v>58</v>
      </c>
      <c r="C59" s="1" t="s">
        <v>139</v>
      </c>
      <c r="D59" s="2">
        <v>42325</v>
      </c>
      <c r="E59" s="3">
        <v>41.900000000000006</v>
      </c>
      <c r="F59" s="4">
        <f t="shared" si="0"/>
        <v>5845.6892224409448</v>
      </c>
      <c r="G59" s="7">
        <v>8.8000000000000007</v>
      </c>
      <c r="H59" s="7">
        <v>240.53</v>
      </c>
      <c r="I59" s="7">
        <f t="shared" si="1"/>
        <v>231.73</v>
      </c>
      <c r="J59" s="7">
        <v>217.93</v>
      </c>
      <c r="K59" s="5">
        <f t="shared" si="2"/>
        <v>5.9552064903119941</v>
      </c>
      <c r="L59" s="4">
        <f t="shared" si="3"/>
        <v>5497.5663584626727</v>
      </c>
      <c r="M59" s="2">
        <v>42339</v>
      </c>
      <c r="N59" s="7">
        <v>3.54</v>
      </c>
      <c r="O59" s="7">
        <v>0.84</v>
      </c>
      <c r="P59" s="7">
        <f t="shared" si="4"/>
        <v>0.55999999999999994</v>
      </c>
      <c r="Q59" s="7">
        <v>0.88</v>
      </c>
      <c r="R59" s="6">
        <f t="shared" si="5"/>
        <v>0.34875414556579526</v>
      </c>
      <c r="S59" s="6">
        <f t="shared" si="6"/>
        <v>0.54804222874624975</v>
      </c>
      <c r="T59" s="6">
        <f t="shared" si="7"/>
        <v>0.10320362568795505</v>
      </c>
      <c r="U59" s="4">
        <f t="shared" si="8"/>
        <v>2038.7083500155697</v>
      </c>
      <c r="V59" s="4">
        <f t="shared" si="9"/>
        <v>3203.6845500244672</v>
      </c>
      <c r="W59" s="4">
        <f t="shared" si="10"/>
        <v>5242.3929000400367</v>
      </c>
      <c r="X59" s="4">
        <f t="shared" si="11"/>
        <v>1917.2990580369099</v>
      </c>
      <c r="Y59" s="4">
        <f t="shared" si="12"/>
        <v>3012.8985197722873</v>
      </c>
      <c r="Z59" s="4">
        <f t="shared" si="13"/>
        <v>4930.1975778091974</v>
      </c>
      <c r="AA59" s="3"/>
      <c r="AE59" s="3"/>
      <c r="AF59" s="3"/>
      <c r="AG59" s="7"/>
      <c r="AH59" s="7"/>
      <c r="AI59" s="7"/>
      <c r="AJ59" s="7"/>
      <c r="AK59" s="7"/>
      <c r="AL59" s="3"/>
      <c r="AM59" s="9"/>
      <c r="AN59" s="7"/>
      <c r="AO59" s="7"/>
      <c r="AP59" s="7"/>
      <c r="AQ59" s="7"/>
      <c r="AR59" s="9"/>
      <c r="AS59" s="9"/>
      <c r="AT59" s="9"/>
      <c r="AU59" s="3"/>
      <c r="AV59" s="3"/>
      <c r="AW59" s="3"/>
      <c r="AX59" s="3"/>
      <c r="AY59" s="3"/>
      <c r="AZ59" s="3"/>
    </row>
    <row r="60" spans="1:52" x14ac:dyDescent="0.3">
      <c r="A60">
        <f t="shared" si="14"/>
        <v>21</v>
      </c>
      <c r="B60" s="1" t="s">
        <v>59</v>
      </c>
      <c r="C60" s="1" t="s">
        <v>139</v>
      </c>
      <c r="D60" s="2">
        <v>42325</v>
      </c>
      <c r="E60" s="3">
        <v>46.499999999999993</v>
      </c>
      <c r="F60" s="4">
        <f t="shared" si="0"/>
        <v>6487.4593996062977</v>
      </c>
      <c r="G60" s="7">
        <v>8.85</v>
      </c>
      <c r="H60" s="7">
        <v>210.14</v>
      </c>
      <c r="I60" s="7">
        <f t="shared" si="1"/>
        <v>201.29</v>
      </c>
      <c r="J60" s="7">
        <v>188.54</v>
      </c>
      <c r="K60" s="5">
        <f t="shared" si="2"/>
        <v>6.3341447662576389</v>
      </c>
      <c r="L60" s="4">
        <f t="shared" si="3"/>
        <v>6076.5343295830462</v>
      </c>
      <c r="M60" s="2">
        <v>42339</v>
      </c>
      <c r="N60" s="7">
        <v>3.4</v>
      </c>
      <c r="O60" s="7">
        <v>0.82</v>
      </c>
      <c r="P60" s="7">
        <f t="shared" si="4"/>
        <v>0.53999999999999992</v>
      </c>
      <c r="Q60" s="7">
        <v>0.78</v>
      </c>
      <c r="R60" s="6">
        <f t="shared" si="5"/>
        <v>0.35014623144095286</v>
      </c>
      <c r="S60" s="6">
        <f t="shared" si="6"/>
        <v>0.5057667787480431</v>
      </c>
      <c r="T60" s="6">
        <f t="shared" si="7"/>
        <v>0.14408698981100398</v>
      </c>
      <c r="U60" s="4">
        <f t="shared" si="8"/>
        <v>2271.5594603983318</v>
      </c>
      <c r="V60" s="4">
        <f t="shared" si="9"/>
        <v>3281.141442797591</v>
      </c>
      <c r="W60" s="4">
        <f t="shared" si="10"/>
        <v>5552.7009031959224</v>
      </c>
      <c r="X60" s="4">
        <f t="shared" si="11"/>
        <v>2127.6755957250807</v>
      </c>
      <c r="Y60" s="4">
        <f t="shared" si="12"/>
        <v>3073.3091938251168</v>
      </c>
      <c r="Z60" s="4">
        <f t="shared" si="13"/>
        <v>5200.9847895501971</v>
      </c>
      <c r="AA60" s="3"/>
      <c r="AB60" t="s">
        <v>29</v>
      </c>
      <c r="AC60" t="str">
        <f>C60</f>
        <v>Machine</v>
      </c>
      <c r="AD60" s="8">
        <f>D60</f>
        <v>42325</v>
      </c>
      <c r="AE60" s="3">
        <f>SUM(E60:E69)</f>
        <v>489.09999999999997</v>
      </c>
      <c r="AF60" s="3">
        <f>AE60*$A$29/($A$30*10)*$A$31</f>
        <v>6823.6911663385827</v>
      </c>
      <c r="AG60" s="7">
        <f>SUM(G60:G69)</f>
        <v>88.639999999999986</v>
      </c>
      <c r="AH60" s="7">
        <f>SUM(H60:H69)</f>
        <v>2611.44</v>
      </c>
      <c r="AI60" s="7">
        <f>AH60-AG60</f>
        <v>2522.8000000000002</v>
      </c>
      <c r="AJ60" s="7">
        <f>SUM(J60:J69)</f>
        <v>2373.63</v>
      </c>
      <c r="AK60" s="7">
        <f>(AI60-AJ60)/AI60*100</f>
        <v>5.9128745837957855</v>
      </c>
      <c r="AL60" s="3">
        <f>AF60*(1-AK60/100)</f>
        <v>6420.2148656874297</v>
      </c>
      <c r="AM60" s="11">
        <f>M60</f>
        <v>42339</v>
      </c>
      <c r="AN60" s="7">
        <f>SUM(N60:N69)</f>
        <v>30.3</v>
      </c>
      <c r="AO60" s="7">
        <f>SUM(O60:O69)</f>
        <v>7.6800000000000006</v>
      </c>
      <c r="AP60" s="7">
        <f>AO60-10*$A$32</f>
        <v>4.8800000000000008</v>
      </c>
      <c r="AQ60" s="7">
        <f>SUM(Q60:Q69)</f>
        <v>7.26</v>
      </c>
      <c r="AR60" s="9">
        <f>AP60/(AN60*$A$29)</f>
        <v>0.35506822344874045</v>
      </c>
      <c r="AS60" s="9">
        <f>AQ60/(AN60*$A$29)</f>
        <v>0.52823674226185557</v>
      </c>
      <c r="AT60" s="9">
        <f>1-AR60-AS60</f>
        <v>0.11669503428940398</v>
      </c>
      <c r="AU60" s="3">
        <f>AF60*AR60</f>
        <v>2422.8758997947043</v>
      </c>
      <c r="AV60" s="3">
        <f>AF60*AS60</f>
        <v>3604.5243919076947</v>
      </c>
      <c r="AW60" s="3">
        <f>AU60+AV60</f>
        <v>6027.400291702399</v>
      </c>
      <c r="AX60" s="3">
        <f>AL60*AR60</f>
        <v>2279.6142865188294</v>
      </c>
      <c r="AY60" s="3">
        <f>AL60*AS60</f>
        <v>3391.3933852718646</v>
      </c>
      <c r="AZ60" s="3">
        <f>AX60+AY60</f>
        <v>5671.0076717906941</v>
      </c>
    </row>
    <row r="61" spans="1:52" x14ac:dyDescent="0.3">
      <c r="A61">
        <f t="shared" si="14"/>
        <v>22</v>
      </c>
      <c r="B61" s="1" t="s">
        <v>60</v>
      </c>
      <c r="C61" s="1" t="s">
        <v>139</v>
      </c>
      <c r="D61" s="2">
        <v>42325</v>
      </c>
      <c r="E61" s="3">
        <v>50.6</v>
      </c>
      <c r="F61" s="4">
        <f t="shared" si="0"/>
        <v>7059.4719488188975</v>
      </c>
      <c r="G61" s="7">
        <v>8.8000000000000007</v>
      </c>
      <c r="H61" s="7">
        <v>212.31</v>
      </c>
      <c r="I61" s="7">
        <f t="shared" si="1"/>
        <v>203.51</v>
      </c>
      <c r="J61" s="7">
        <v>191.24</v>
      </c>
      <c r="K61" s="5">
        <f t="shared" si="2"/>
        <v>6.0291877549014705</v>
      </c>
      <c r="L61" s="4">
        <f t="shared" si="3"/>
        <v>6633.8431305200047</v>
      </c>
      <c r="M61" s="2">
        <v>42339</v>
      </c>
      <c r="N61" s="7">
        <v>3.18</v>
      </c>
      <c r="O61" s="7">
        <v>0.8</v>
      </c>
      <c r="P61" s="7">
        <f t="shared" si="4"/>
        <v>0.52</v>
      </c>
      <c r="Q61" s="7">
        <v>0.76</v>
      </c>
      <c r="R61" s="6">
        <f t="shared" si="5"/>
        <v>0.36050462216841644</v>
      </c>
      <c r="S61" s="6">
        <f t="shared" si="6"/>
        <v>0.5268913708615317</v>
      </c>
      <c r="T61" s="6">
        <f t="shared" si="7"/>
        <v>0.1126040069700518</v>
      </c>
      <c r="U61" s="4">
        <f t="shared" si="8"/>
        <v>2544.9722676174911</v>
      </c>
      <c r="V61" s="4">
        <f t="shared" si="9"/>
        <v>3719.5748526717175</v>
      </c>
      <c r="W61" s="4">
        <f t="shared" si="10"/>
        <v>6264.5471202892086</v>
      </c>
      <c r="X61" s="4">
        <f t="shared" si="11"/>
        <v>2391.5311112926593</v>
      </c>
      <c r="Y61" s="4">
        <f t="shared" si="12"/>
        <v>3495.3147011200404</v>
      </c>
      <c r="Z61" s="4">
        <f t="shared" si="13"/>
        <v>5886.8458124126992</v>
      </c>
      <c r="AA61" s="3"/>
      <c r="AE61" s="3"/>
      <c r="AF61" s="3"/>
      <c r="AG61" s="7"/>
      <c r="AH61" s="7"/>
      <c r="AI61" s="7"/>
      <c r="AJ61" s="7"/>
      <c r="AK61" s="7"/>
      <c r="AL61" s="3"/>
      <c r="AM61" s="9"/>
      <c r="AN61" s="7"/>
      <c r="AO61" s="7"/>
      <c r="AP61" s="7"/>
      <c r="AQ61" s="7"/>
      <c r="AR61" s="9"/>
      <c r="AS61" s="9"/>
      <c r="AT61" s="9"/>
      <c r="AU61" s="3"/>
      <c r="AV61" s="3"/>
      <c r="AW61" s="3"/>
      <c r="AX61" s="3"/>
      <c r="AY61" s="3"/>
      <c r="AZ61" s="3"/>
    </row>
    <row r="62" spans="1:52" x14ac:dyDescent="0.3">
      <c r="A62">
        <f t="shared" si="14"/>
        <v>23</v>
      </c>
      <c r="B62" s="1" t="s">
        <v>61</v>
      </c>
      <c r="C62" s="1" t="s">
        <v>139</v>
      </c>
      <c r="D62" s="2">
        <v>42325</v>
      </c>
      <c r="E62" s="3">
        <v>53.3</v>
      </c>
      <c r="F62" s="4">
        <f t="shared" si="0"/>
        <v>7436.1631397637793</v>
      </c>
      <c r="G62" s="7">
        <v>8.76</v>
      </c>
      <c r="H62" s="7">
        <v>282.79000000000002</v>
      </c>
      <c r="I62" s="7">
        <f t="shared" si="1"/>
        <v>274.03000000000003</v>
      </c>
      <c r="J62" s="7">
        <v>256.27999999999997</v>
      </c>
      <c r="K62" s="5">
        <f t="shared" si="2"/>
        <v>6.4773929861694182</v>
      </c>
      <c r="L62" s="4">
        <f t="shared" si="3"/>
        <v>6954.4936301086045</v>
      </c>
      <c r="M62" s="2">
        <v>42339</v>
      </c>
      <c r="N62" s="7">
        <v>2.6</v>
      </c>
      <c r="O62" s="7">
        <v>0.7</v>
      </c>
      <c r="P62" s="7">
        <f t="shared" si="4"/>
        <v>0.41999999999999993</v>
      </c>
      <c r="Q62" s="7">
        <v>0.62</v>
      </c>
      <c r="R62" s="6">
        <f t="shared" si="5"/>
        <v>0.35613163710661017</v>
      </c>
      <c r="S62" s="6">
        <f t="shared" si="6"/>
        <v>0.52571813096690079</v>
      </c>
      <c r="T62" s="6">
        <f t="shared" si="7"/>
        <v>0.1181502319264891</v>
      </c>
      <c r="U62" s="4">
        <f t="shared" si="8"/>
        <v>2648.252952755905</v>
      </c>
      <c r="V62" s="4">
        <f t="shared" si="9"/>
        <v>3909.3257874015749</v>
      </c>
      <c r="W62" s="4">
        <f t="shared" si="10"/>
        <v>6557.5787401574798</v>
      </c>
      <c r="X62" s="4">
        <f t="shared" si="11"/>
        <v>2476.7152017380695</v>
      </c>
      <c r="Y62" s="4">
        <f t="shared" si="12"/>
        <v>3656.1033930419126</v>
      </c>
      <c r="Z62" s="4">
        <f t="shared" si="13"/>
        <v>6132.818594779982</v>
      </c>
      <c r="AA62" s="3"/>
      <c r="AE62" s="3"/>
      <c r="AF62" s="3"/>
      <c r="AG62" s="7"/>
      <c r="AH62" s="7"/>
      <c r="AI62" s="7"/>
      <c r="AJ62" s="7"/>
      <c r="AK62" s="7"/>
      <c r="AL62" s="3"/>
      <c r="AM62" s="9"/>
      <c r="AN62" s="7"/>
      <c r="AO62" s="7"/>
      <c r="AP62" s="7"/>
      <c r="AQ62" s="7"/>
      <c r="AR62" s="9"/>
      <c r="AS62" s="9"/>
      <c r="AT62" s="9"/>
      <c r="AU62" s="3"/>
      <c r="AV62" s="3"/>
      <c r="AW62" s="3"/>
      <c r="AX62" s="3"/>
      <c r="AY62" s="3"/>
      <c r="AZ62" s="3"/>
    </row>
    <row r="63" spans="1:52" x14ac:dyDescent="0.3">
      <c r="A63">
        <f t="shared" si="14"/>
        <v>24</v>
      </c>
      <c r="B63" s="1" t="s">
        <v>62</v>
      </c>
      <c r="C63" s="1" t="s">
        <v>139</v>
      </c>
      <c r="D63" s="2">
        <v>42325</v>
      </c>
      <c r="E63" s="3">
        <v>52.5</v>
      </c>
      <c r="F63" s="4">
        <f t="shared" si="0"/>
        <v>7324.5509350393686</v>
      </c>
      <c r="G63" s="7">
        <v>8.86</v>
      </c>
      <c r="H63" s="7">
        <v>247.49</v>
      </c>
      <c r="I63" s="7">
        <f t="shared" si="1"/>
        <v>238.63</v>
      </c>
      <c r="J63" s="7">
        <v>224.19</v>
      </c>
      <c r="K63" s="5">
        <f t="shared" si="2"/>
        <v>6.0512089846205415</v>
      </c>
      <c r="L63" s="4">
        <f t="shared" si="3"/>
        <v>6881.3270507751586</v>
      </c>
      <c r="M63" s="2">
        <v>42339</v>
      </c>
      <c r="N63" s="7">
        <v>3.6</v>
      </c>
      <c r="O63" s="7">
        <v>0.84</v>
      </c>
      <c r="P63" s="7">
        <f t="shared" si="4"/>
        <v>0.55999999999999994</v>
      </c>
      <c r="Q63" s="7">
        <v>0.86</v>
      </c>
      <c r="R63" s="6">
        <f t="shared" si="5"/>
        <v>0.34294157647303203</v>
      </c>
      <c r="S63" s="6">
        <f t="shared" si="6"/>
        <v>0.52666027815501348</v>
      </c>
      <c r="T63" s="6">
        <f t="shared" si="7"/>
        <v>0.13039814537195449</v>
      </c>
      <c r="U63" s="4">
        <f t="shared" si="8"/>
        <v>2511.8930446194217</v>
      </c>
      <c r="V63" s="4">
        <f t="shared" si="9"/>
        <v>3857.5500328083981</v>
      </c>
      <c r="W63" s="4">
        <f t="shared" si="10"/>
        <v>6369.4430774278198</v>
      </c>
      <c r="X63" s="4">
        <f t="shared" si="11"/>
        <v>2359.8931470193529</v>
      </c>
      <c r="Y63" s="4">
        <f t="shared" si="12"/>
        <v>3624.1216186368638</v>
      </c>
      <c r="Z63" s="4">
        <f t="shared" si="13"/>
        <v>5984.0147656562167</v>
      </c>
      <c r="AE63" s="3"/>
      <c r="AF63" s="3"/>
      <c r="AG63" s="7"/>
      <c r="AH63" s="7"/>
      <c r="AI63" s="7"/>
      <c r="AJ63" s="7"/>
      <c r="AK63" s="7"/>
      <c r="AL63" s="3"/>
      <c r="AM63" s="9"/>
      <c r="AN63" s="7"/>
      <c r="AO63" s="7"/>
      <c r="AP63" s="7"/>
      <c r="AQ63" s="7"/>
      <c r="AR63" s="9"/>
      <c r="AS63" s="9"/>
      <c r="AT63" s="9"/>
      <c r="AU63" s="3"/>
      <c r="AV63" s="3"/>
      <c r="AW63" s="3"/>
      <c r="AX63" s="3"/>
      <c r="AY63" s="3"/>
      <c r="AZ63" s="3"/>
    </row>
    <row r="64" spans="1:52" x14ac:dyDescent="0.3">
      <c r="A64">
        <f t="shared" si="14"/>
        <v>25</v>
      </c>
      <c r="B64" s="1" t="s">
        <v>63</v>
      </c>
      <c r="C64" s="1" t="s">
        <v>139</v>
      </c>
      <c r="D64" s="2">
        <v>42325</v>
      </c>
      <c r="E64" s="3">
        <v>46.6</v>
      </c>
      <c r="F64" s="4">
        <f t="shared" si="0"/>
        <v>6501.4109251968503</v>
      </c>
      <c r="G64" s="7">
        <v>8.8699999999999992</v>
      </c>
      <c r="H64" s="7">
        <v>318.94</v>
      </c>
      <c r="I64" s="7">
        <f t="shared" si="1"/>
        <v>310.07</v>
      </c>
      <c r="J64" s="7">
        <v>291.35000000000002</v>
      </c>
      <c r="K64" s="5">
        <f t="shared" si="2"/>
        <v>6.0373464056503279</v>
      </c>
      <c r="L64" s="4">
        <f t="shared" si="3"/>
        <v>6108.8982263879207</v>
      </c>
      <c r="M64" s="2">
        <v>42339</v>
      </c>
      <c r="N64" s="7">
        <v>2.48</v>
      </c>
      <c r="O64" s="7">
        <v>0.68</v>
      </c>
      <c r="P64" s="7">
        <f t="shared" si="4"/>
        <v>0.4</v>
      </c>
      <c r="Q64" s="7">
        <v>0.6</v>
      </c>
      <c r="R64" s="6">
        <f t="shared" si="5"/>
        <v>0.35558458390060932</v>
      </c>
      <c r="S64" s="6">
        <f t="shared" si="6"/>
        <v>0.53337687585091387</v>
      </c>
      <c r="T64" s="6">
        <f t="shared" si="7"/>
        <v>0.11103854024847681</v>
      </c>
      <c r="U64" s="4">
        <f t="shared" si="8"/>
        <v>2311.8014986029975</v>
      </c>
      <c r="V64" s="4">
        <f t="shared" si="9"/>
        <v>3467.7022479044954</v>
      </c>
      <c r="W64" s="4">
        <f t="shared" si="10"/>
        <v>5779.5037465074929</v>
      </c>
      <c r="X64" s="4">
        <f t="shared" si="11"/>
        <v>2172.2300339213189</v>
      </c>
      <c r="Y64" s="4">
        <f t="shared" si="12"/>
        <v>3258.3450508819778</v>
      </c>
      <c r="Z64" s="4">
        <f t="shared" si="13"/>
        <v>5430.5750848032967</v>
      </c>
      <c r="AE64" s="3"/>
      <c r="AF64" s="3"/>
      <c r="AG64" s="7"/>
      <c r="AH64" s="7"/>
      <c r="AI64" s="7"/>
      <c r="AJ64" s="7"/>
      <c r="AK64" s="7"/>
      <c r="AL64" s="3"/>
      <c r="AM64" s="9"/>
      <c r="AN64" s="7"/>
      <c r="AO64" s="7"/>
      <c r="AP64" s="7"/>
      <c r="AQ64" s="7"/>
      <c r="AR64" s="9"/>
      <c r="AS64" s="9"/>
      <c r="AT64" s="9"/>
      <c r="AU64" s="3"/>
      <c r="AV64" s="3"/>
      <c r="AW64" s="3"/>
      <c r="AX64" s="3"/>
      <c r="AY64" s="3"/>
      <c r="AZ64" s="3"/>
    </row>
    <row r="65" spans="1:52" x14ac:dyDescent="0.3">
      <c r="A65">
        <f t="shared" si="14"/>
        <v>26</v>
      </c>
      <c r="B65" s="1" t="s">
        <v>64</v>
      </c>
      <c r="C65" s="1" t="s">
        <v>139</v>
      </c>
      <c r="D65" s="2">
        <v>42325</v>
      </c>
      <c r="E65" s="3">
        <v>45.9</v>
      </c>
      <c r="F65" s="4">
        <f t="shared" si="0"/>
        <v>6403.7502460629912</v>
      </c>
      <c r="G65" s="7">
        <v>8.8800000000000008</v>
      </c>
      <c r="H65" s="7">
        <v>228.27</v>
      </c>
      <c r="I65" s="7">
        <f t="shared" si="1"/>
        <v>219.39000000000001</v>
      </c>
      <c r="J65" s="7">
        <v>206.69</v>
      </c>
      <c r="K65" s="5">
        <f t="shared" si="2"/>
        <v>5.7887779752951438</v>
      </c>
      <c r="L65" s="4">
        <f t="shared" si="3"/>
        <v>6033.0513622259878</v>
      </c>
      <c r="M65" s="2">
        <v>42339</v>
      </c>
      <c r="N65" s="7">
        <v>2.88</v>
      </c>
      <c r="O65" s="7">
        <v>0.74</v>
      </c>
      <c r="P65" s="7">
        <f t="shared" si="4"/>
        <v>0.45999999999999996</v>
      </c>
      <c r="Q65" s="7">
        <v>0.7</v>
      </c>
      <c r="R65" s="6">
        <f t="shared" si="5"/>
        <v>0.35212751155713112</v>
      </c>
      <c r="S65" s="6">
        <f t="shared" si="6"/>
        <v>0.53584621323911263</v>
      </c>
      <c r="T65" s="6">
        <f t="shared" si="7"/>
        <v>0.11202627520375619</v>
      </c>
      <c r="U65" s="4">
        <f t="shared" si="8"/>
        <v>2254.9366387795271</v>
      </c>
      <c r="V65" s="4">
        <f t="shared" si="9"/>
        <v>3431.4253198818897</v>
      </c>
      <c r="W65" s="4">
        <f t="shared" si="10"/>
        <v>5686.3619586614168</v>
      </c>
      <c r="X65" s="4">
        <f t="shared" si="11"/>
        <v>2124.403363276997</v>
      </c>
      <c r="Y65" s="4">
        <f t="shared" si="12"/>
        <v>3232.7877267258655</v>
      </c>
      <c r="Z65" s="4">
        <f t="shared" si="13"/>
        <v>5357.1910900028624</v>
      </c>
      <c r="AE65" s="3"/>
      <c r="AF65" s="3"/>
      <c r="AG65" s="7"/>
      <c r="AH65" s="7"/>
      <c r="AI65" s="7"/>
      <c r="AJ65" s="7"/>
      <c r="AK65" s="7"/>
      <c r="AL65" s="3"/>
      <c r="AM65" s="9"/>
      <c r="AN65" s="7"/>
      <c r="AO65" s="7"/>
      <c r="AP65" s="7"/>
      <c r="AQ65" s="7"/>
      <c r="AR65" s="9"/>
      <c r="AS65" s="9"/>
      <c r="AT65" s="9"/>
      <c r="AU65" s="3"/>
      <c r="AV65" s="3"/>
      <c r="AW65" s="3"/>
      <c r="AX65" s="3"/>
      <c r="AY65" s="3"/>
      <c r="AZ65" s="3"/>
    </row>
    <row r="66" spans="1:52" x14ac:dyDescent="0.3">
      <c r="A66">
        <f t="shared" si="14"/>
        <v>27</v>
      </c>
      <c r="B66" s="1" t="s">
        <v>65</v>
      </c>
      <c r="C66" s="1" t="s">
        <v>139</v>
      </c>
      <c r="D66" s="2">
        <v>42325</v>
      </c>
      <c r="E66" s="3">
        <v>51.699999999999996</v>
      </c>
      <c r="F66" s="4">
        <f t="shared" si="0"/>
        <v>7212.9387303149597</v>
      </c>
      <c r="G66" s="7">
        <v>8.91</v>
      </c>
      <c r="H66" s="7">
        <v>300.25</v>
      </c>
      <c r="I66" s="7">
        <f t="shared" si="1"/>
        <v>291.33999999999997</v>
      </c>
      <c r="J66" s="7">
        <v>273.95</v>
      </c>
      <c r="K66" s="5">
        <f t="shared" si="2"/>
        <v>5.9689709617628841</v>
      </c>
      <c r="L66" s="4">
        <f t="shared" si="3"/>
        <v>6782.4005120127113</v>
      </c>
      <c r="M66" s="2">
        <v>42339</v>
      </c>
      <c r="N66" s="7">
        <v>3.12</v>
      </c>
      <c r="O66" s="7">
        <v>0.78</v>
      </c>
      <c r="P66" s="7">
        <f t="shared" si="4"/>
        <v>0.5</v>
      </c>
      <c r="Q66" s="7">
        <v>0.76</v>
      </c>
      <c r="R66" s="6">
        <f t="shared" si="5"/>
        <v>0.35330519554227202</v>
      </c>
      <c r="S66" s="6">
        <f t="shared" si="6"/>
        <v>0.53702389722425348</v>
      </c>
      <c r="T66" s="6">
        <f t="shared" si="7"/>
        <v>0.1096709072334745</v>
      </c>
      <c r="U66" s="4">
        <f t="shared" si="8"/>
        <v>2548.3687285483543</v>
      </c>
      <c r="V66" s="4">
        <f t="shared" si="9"/>
        <v>3873.5204673934982</v>
      </c>
      <c r="W66" s="4">
        <f t="shared" si="10"/>
        <v>6421.8891959418524</v>
      </c>
      <c r="X66" s="4">
        <f t="shared" si="11"/>
        <v>2396.2573391426567</v>
      </c>
      <c r="Y66" s="4">
        <f t="shared" si="12"/>
        <v>3642.3111554968386</v>
      </c>
      <c r="Z66" s="4">
        <f t="shared" si="13"/>
        <v>6038.5684946394958</v>
      </c>
      <c r="AE66" s="3"/>
      <c r="AF66" s="3"/>
      <c r="AG66" s="7"/>
      <c r="AH66" s="7"/>
      <c r="AI66" s="7"/>
      <c r="AJ66" s="7"/>
      <c r="AK66" s="7"/>
      <c r="AL66" s="3"/>
      <c r="AM66" s="9"/>
      <c r="AN66" s="7"/>
      <c r="AO66" s="7"/>
      <c r="AP66" s="7"/>
      <c r="AQ66" s="7"/>
      <c r="AR66" s="9"/>
      <c r="AS66" s="9"/>
      <c r="AT66" s="9"/>
      <c r="AU66" s="3"/>
      <c r="AV66" s="3"/>
      <c r="AW66" s="3"/>
      <c r="AX66" s="3"/>
      <c r="AY66" s="3"/>
      <c r="AZ66" s="3"/>
    </row>
    <row r="67" spans="1:52" x14ac:dyDescent="0.3">
      <c r="A67">
        <f t="shared" si="14"/>
        <v>28</v>
      </c>
      <c r="B67" s="1" t="s">
        <v>66</v>
      </c>
      <c r="C67" s="1" t="s">
        <v>139</v>
      </c>
      <c r="D67" s="2">
        <v>42325</v>
      </c>
      <c r="E67" s="3">
        <v>50.999999999999993</v>
      </c>
      <c r="F67" s="4">
        <f t="shared" si="0"/>
        <v>7115.2780511811025</v>
      </c>
      <c r="G67" s="7">
        <v>8.93</v>
      </c>
      <c r="H67" s="7">
        <v>196.38</v>
      </c>
      <c r="I67" s="7">
        <f t="shared" si="1"/>
        <v>187.45</v>
      </c>
      <c r="J67" s="7">
        <v>176.97</v>
      </c>
      <c r="K67" s="5">
        <f t="shared" si="2"/>
        <v>5.5908242197919389</v>
      </c>
      <c r="L67" s="4">
        <f t="shared" si="3"/>
        <v>6717.4753625901294</v>
      </c>
      <c r="M67" s="2">
        <v>42339</v>
      </c>
      <c r="N67" s="7">
        <v>2.9</v>
      </c>
      <c r="O67" s="7">
        <v>0.78</v>
      </c>
      <c r="P67" s="7">
        <f t="shared" si="4"/>
        <v>0.5</v>
      </c>
      <c r="Q67" s="7">
        <v>0.72</v>
      </c>
      <c r="R67" s="6">
        <f t="shared" si="5"/>
        <v>0.38010765865237545</v>
      </c>
      <c r="S67" s="6">
        <f t="shared" si="6"/>
        <v>0.54735502845942063</v>
      </c>
      <c r="T67" s="6">
        <f t="shared" si="7"/>
        <v>7.2537312888203864E-2</v>
      </c>
      <c r="U67" s="4">
        <f t="shared" si="8"/>
        <v>2704.5716806950859</v>
      </c>
      <c r="V67" s="4">
        <f t="shared" si="9"/>
        <v>3894.5832202009233</v>
      </c>
      <c r="W67" s="4">
        <f t="shared" si="10"/>
        <v>6599.1549008960092</v>
      </c>
      <c r="X67" s="4">
        <f t="shared" si="11"/>
        <v>2553.363832129151</v>
      </c>
      <c r="Y67" s="4">
        <f t="shared" si="12"/>
        <v>3676.8439182659772</v>
      </c>
      <c r="Z67" s="4">
        <f t="shared" si="13"/>
        <v>6230.2077503951277</v>
      </c>
      <c r="AE67" s="3"/>
      <c r="AF67" s="3"/>
      <c r="AG67" s="7"/>
      <c r="AH67" s="7"/>
      <c r="AI67" s="7"/>
      <c r="AJ67" s="7"/>
      <c r="AK67" s="7"/>
      <c r="AL67" s="3"/>
      <c r="AM67" s="9"/>
      <c r="AN67" s="7"/>
      <c r="AO67" s="7"/>
      <c r="AP67" s="7"/>
      <c r="AQ67" s="7"/>
      <c r="AR67" s="9"/>
      <c r="AS67" s="9"/>
      <c r="AT67" s="9"/>
      <c r="AU67" s="3"/>
      <c r="AV67" s="3"/>
      <c r="AW67" s="3"/>
      <c r="AX67" s="3"/>
      <c r="AY67" s="3"/>
      <c r="AZ67" s="3"/>
    </row>
    <row r="68" spans="1:52" x14ac:dyDescent="0.3">
      <c r="A68">
        <f t="shared" si="14"/>
        <v>29</v>
      </c>
      <c r="B68" s="1" t="s">
        <v>67</v>
      </c>
      <c r="C68" s="1" t="s">
        <v>139</v>
      </c>
      <c r="D68" s="2">
        <v>42325</v>
      </c>
      <c r="E68" s="3">
        <v>48.999999999999993</v>
      </c>
      <c r="F68" s="4">
        <f t="shared" si="0"/>
        <v>6836.247539370077</v>
      </c>
      <c r="G68" s="7">
        <v>8.89</v>
      </c>
      <c r="H68" s="7">
        <v>279.56</v>
      </c>
      <c r="I68" s="7">
        <f t="shared" si="1"/>
        <v>270.67</v>
      </c>
      <c r="J68" s="7">
        <v>255.83</v>
      </c>
      <c r="K68" s="5">
        <f t="shared" si="2"/>
        <v>5.4826910998633034</v>
      </c>
      <c r="L68" s="4">
        <f t="shared" si="3"/>
        <v>6461.4372039644095</v>
      </c>
      <c r="M68" s="2">
        <v>42339</v>
      </c>
      <c r="N68" s="7">
        <v>3.1</v>
      </c>
      <c r="O68" s="7">
        <v>0.76</v>
      </c>
      <c r="P68" s="7">
        <f t="shared" si="4"/>
        <v>0.48</v>
      </c>
      <c r="Q68" s="7">
        <v>0.74</v>
      </c>
      <c r="R68" s="6">
        <f t="shared" si="5"/>
        <v>0.34136120054458491</v>
      </c>
      <c r="S68" s="6">
        <f t="shared" si="6"/>
        <v>0.52626518417290169</v>
      </c>
      <c r="T68" s="6">
        <f t="shared" si="7"/>
        <v>0.13237361528251335</v>
      </c>
      <c r="U68" s="4">
        <f t="shared" si="8"/>
        <v>2333.6296672593339</v>
      </c>
      <c r="V68" s="4">
        <f t="shared" si="9"/>
        <v>3597.6790703581396</v>
      </c>
      <c r="W68" s="4">
        <f t="shared" si="10"/>
        <v>5931.3087376174735</v>
      </c>
      <c r="X68" s="4">
        <f t="shared" si="11"/>
        <v>2205.6839611887367</v>
      </c>
      <c r="Y68" s="4">
        <f t="shared" si="12"/>
        <v>3400.429440165969</v>
      </c>
      <c r="Z68" s="4">
        <f t="shared" si="13"/>
        <v>5606.1134013547053</v>
      </c>
      <c r="AE68" s="3"/>
      <c r="AF68" s="3"/>
      <c r="AG68" s="7"/>
      <c r="AH68" s="7"/>
      <c r="AI68" s="7"/>
      <c r="AJ68" s="7"/>
      <c r="AK68" s="7"/>
      <c r="AL68" s="3"/>
      <c r="AM68" s="9"/>
      <c r="AN68" s="7"/>
      <c r="AO68" s="7"/>
      <c r="AP68" s="7"/>
      <c r="AQ68" s="7"/>
      <c r="AR68" s="9"/>
      <c r="AS68" s="9"/>
      <c r="AT68" s="9"/>
      <c r="AU68" s="3"/>
      <c r="AV68" s="3"/>
      <c r="AW68" s="3"/>
      <c r="AX68" s="3"/>
      <c r="AY68" s="3"/>
      <c r="AZ68" s="3"/>
    </row>
    <row r="69" spans="1:52" x14ac:dyDescent="0.3">
      <c r="A69">
        <f t="shared" si="14"/>
        <v>30</v>
      </c>
      <c r="B69" s="1" t="s">
        <v>68</v>
      </c>
      <c r="C69" s="1" t="s">
        <v>139</v>
      </c>
      <c r="D69" s="2">
        <v>42325</v>
      </c>
      <c r="E69" s="3">
        <v>42</v>
      </c>
      <c r="F69" s="4">
        <f t="shared" si="0"/>
        <v>5859.6407480314956</v>
      </c>
      <c r="G69" s="7">
        <v>8.89</v>
      </c>
      <c r="H69" s="7">
        <v>335.31</v>
      </c>
      <c r="I69" s="7">
        <f t="shared" si="1"/>
        <v>326.42</v>
      </c>
      <c r="J69" s="7">
        <v>308.58999999999997</v>
      </c>
      <c r="K69" s="5">
        <f t="shared" si="2"/>
        <v>5.4622878500092034</v>
      </c>
      <c r="L69" s="4">
        <f t="shared" si="3"/>
        <v>5539.5703033975824</v>
      </c>
      <c r="M69" s="2">
        <v>42339</v>
      </c>
      <c r="N69" s="7">
        <v>3.04</v>
      </c>
      <c r="O69" s="7">
        <v>0.78</v>
      </c>
      <c r="P69" s="7">
        <f t="shared" si="4"/>
        <v>0.5</v>
      </c>
      <c r="Q69" s="7">
        <v>0.72</v>
      </c>
      <c r="R69" s="6">
        <f t="shared" si="5"/>
        <v>0.36260270068812128</v>
      </c>
      <c r="S69" s="6">
        <f t="shared" si="6"/>
        <v>0.52214788899089459</v>
      </c>
      <c r="T69" s="6">
        <f t="shared" si="7"/>
        <v>0.11524941032098412</v>
      </c>
      <c r="U69" s="4">
        <f t="shared" si="8"/>
        <v>2124.7215602983833</v>
      </c>
      <c r="V69" s="4">
        <f t="shared" si="9"/>
        <v>3059.5990468296718</v>
      </c>
      <c r="W69" s="4">
        <f t="shared" si="10"/>
        <v>5184.3206071280547</v>
      </c>
      <c r="X69" s="4">
        <f t="shared" si="11"/>
        <v>2008.6631526636788</v>
      </c>
      <c r="Y69" s="4">
        <f t="shared" si="12"/>
        <v>2892.4749398356971</v>
      </c>
      <c r="Z69" s="4">
        <f t="shared" si="13"/>
        <v>4901.1380924993755</v>
      </c>
      <c r="AE69" s="3"/>
      <c r="AF69" s="3"/>
      <c r="AG69" s="7"/>
      <c r="AH69" s="7"/>
      <c r="AI69" s="7"/>
      <c r="AJ69" s="7"/>
      <c r="AK69" s="7"/>
      <c r="AL69" s="3"/>
      <c r="AM69" s="9"/>
      <c r="AN69" s="7"/>
      <c r="AO69" s="7"/>
      <c r="AP69" s="7"/>
      <c r="AQ69" s="7"/>
      <c r="AR69" s="9"/>
      <c r="AS69" s="9"/>
      <c r="AT69" s="9"/>
      <c r="AU69" s="3"/>
      <c r="AV69" s="3"/>
      <c r="AW69" s="3"/>
      <c r="AX69" s="3"/>
      <c r="AY69" s="3"/>
      <c r="AZ69" s="3"/>
    </row>
    <row r="70" spans="1:52" x14ac:dyDescent="0.3">
      <c r="A70">
        <f t="shared" si="14"/>
        <v>31</v>
      </c>
      <c r="B70" s="1" t="s">
        <v>69</v>
      </c>
      <c r="C70" s="1" t="s">
        <v>139</v>
      </c>
      <c r="D70" s="2">
        <v>42325</v>
      </c>
      <c r="E70" s="3">
        <v>46</v>
      </c>
      <c r="F70" s="4">
        <f t="shared" si="0"/>
        <v>6417.7017716535438</v>
      </c>
      <c r="G70" s="7">
        <v>8.92</v>
      </c>
      <c r="H70" s="7">
        <v>203.1</v>
      </c>
      <c r="I70" s="7">
        <f t="shared" si="1"/>
        <v>194.18</v>
      </c>
      <c r="J70" s="7">
        <v>181.78</v>
      </c>
      <c r="K70" s="5">
        <f t="shared" si="2"/>
        <v>6.3858275826552706</v>
      </c>
      <c r="L70" s="4">
        <f t="shared" si="3"/>
        <v>6007.878401746736</v>
      </c>
      <c r="M70" s="2">
        <v>42339</v>
      </c>
      <c r="N70" s="7">
        <v>3.34</v>
      </c>
      <c r="O70" s="7">
        <v>0.8</v>
      </c>
      <c r="P70" s="7">
        <f t="shared" si="4"/>
        <v>0.52</v>
      </c>
      <c r="Q70" s="7">
        <v>0.78</v>
      </c>
      <c r="R70" s="6">
        <f t="shared" si="5"/>
        <v>0.34323493966933066</v>
      </c>
      <c r="S70" s="6">
        <f t="shared" si="6"/>
        <v>0.51485240950399591</v>
      </c>
      <c r="T70" s="6">
        <f t="shared" si="7"/>
        <v>0.14191265082667348</v>
      </c>
      <c r="U70" s="4">
        <f t="shared" si="8"/>
        <v>2202.7794804092605</v>
      </c>
      <c r="V70" s="4">
        <f t="shared" si="9"/>
        <v>3304.1692206138905</v>
      </c>
      <c r="W70" s="4">
        <f t="shared" si="10"/>
        <v>5506.9487010231514</v>
      </c>
      <c r="X70" s="4">
        <f t="shared" si="11"/>
        <v>2062.1137807642158</v>
      </c>
      <c r="Y70" s="4">
        <f t="shared" si="12"/>
        <v>3093.170671146323</v>
      </c>
      <c r="Z70" s="4">
        <f t="shared" si="13"/>
        <v>5155.2844519105383</v>
      </c>
      <c r="AB70" t="s">
        <v>30</v>
      </c>
      <c r="AC70" t="str">
        <f>C70</f>
        <v>Machine</v>
      </c>
      <c r="AD70" s="8">
        <f>D70</f>
        <v>42325</v>
      </c>
      <c r="AE70" s="3">
        <f>SUM(E70:E79)</f>
        <v>472.79999999999995</v>
      </c>
      <c r="AF70" s="3">
        <f>AE70*$A$29/($A$30*10)*$A$31</f>
        <v>6596.2812992125973</v>
      </c>
      <c r="AG70" s="7">
        <f>SUM(G70:G79)</f>
        <v>88.45</v>
      </c>
      <c r="AH70" s="7">
        <f>SUM(H70:H79)</f>
        <v>2555.2000000000003</v>
      </c>
      <c r="AI70" s="7">
        <f>AH70-AG70</f>
        <v>2466.7500000000005</v>
      </c>
      <c r="AJ70" s="7">
        <f>SUM(J70:J79)</f>
        <v>2316.92</v>
      </c>
      <c r="AK70" s="7">
        <f>(AI70-AJ70)/AI70*100</f>
        <v>6.0739839870274794</v>
      </c>
      <c r="AL70" s="3">
        <f>AF70*(1-AK70/100)</f>
        <v>6195.6242293591358</v>
      </c>
      <c r="AM70" s="11">
        <f>M70</f>
        <v>42339</v>
      </c>
      <c r="AN70" s="7">
        <f>SUM(N70:N79)</f>
        <v>32.839999999999996</v>
      </c>
      <c r="AO70" s="7">
        <f>SUM(O70:O79)</f>
        <v>8.06</v>
      </c>
      <c r="AP70" s="7">
        <f>AO70-10*$A$32</f>
        <v>5.26</v>
      </c>
      <c r="AQ70" s="7">
        <f>SUM(Q70:Q79)</f>
        <v>7.9800000000000013</v>
      </c>
      <c r="AR70" s="9">
        <f>AP70/(AN70*$A$29)</f>
        <v>0.35311584805623236</v>
      </c>
      <c r="AS70" s="9">
        <f>AQ70/(AN70*$A$29)</f>
        <v>0.53571567822979749</v>
      </c>
      <c r="AT70" s="9">
        <f>1-AR70-AS70</f>
        <v>0.1111684737139701</v>
      </c>
      <c r="AU70" s="3">
        <f>AF70*AR70</f>
        <v>2329.2514649889226</v>
      </c>
      <c r="AV70" s="3">
        <f>AF70*AS70</f>
        <v>3533.7313100022061</v>
      </c>
      <c r="AW70" s="3">
        <f>AU70+AV70</f>
        <v>5862.9827749911292</v>
      </c>
      <c r="AX70" s="3">
        <f>AL70*AR70</f>
        <v>2187.7731039878922</v>
      </c>
      <c r="AY70" s="3">
        <f>AL70*AS70</f>
        <v>3319.0930360880957</v>
      </c>
      <c r="AZ70" s="3">
        <f>AX70+AY70</f>
        <v>5506.8661400759884</v>
      </c>
    </row>
    <row r="71" spans="1:52" x14ac:dyDescent="0.3">
      <c r="A71">
        <f t="shared" si="14"/>
        <v>32</v>
      </c>
      <c r="B71" s="1" t="s">
        <v>70</v>
      </c>
      <c r="C71" s="1" t="s">
        <v>139</v>
      </c>
      <c r="D71" s="2">
        <v>42325</v>
      </c>
      <c r="E71" s="3">
        <v>49.9</v>
      </c>
      <c r="F71" s="4">
        <f t="shared" si="0"/>
        <v>6961.8112696850394</v>
      </c>
      <c r="G71" s="7">
        <v>8.9</v>
      </c>
      <c r="H71" s="7">
        <v>294.08</v>
      </c>
      <c r="I71" s="7">
        <f t="shared" si="1"/>
        <v>285.18</v>
      </c>
      <c r="J71" s="7">
        <v>268.52999999999997</v>
      </c>
      <c r="K71" s="5">
        <f t="shared" si="2"/>
        <v>5.8384178413633618</v>
      </c>
      <c r="L71" s="4">
        <f t="shared" si="3"/>
        <v>6555.3516384337026</v>
      </c>
      <c r="M71" s="2">
        <v>42339</v>
      </c>
      <c r="N71" s="7">
        <v>2.76</v>
      </c>
      <c r="O71" s="7">
        <v>0.72</v>
      </c>
      <c r="P71" s="7">
        <f t="shared" si="4"/>
        <v>0.43999999999999995</v>
      </c>
      <c r="Q71" s="7">
        <v>0.68</v>
      </c>
      <c r="R71" s="6">
        <f t="shared" si="5"/>
        <v>0.35146186408726887</v>
      </c>
      <c r="S71" s="6">
        <f t="shared" si="6"/>
        <v>0.54316833540759746</v>
      </c>
      <c r="T71" s="6">
        <f t="shared" si="7"/>
        <v>0.10536980050513367</v>
      </c>
      <c r="U71" s="4">
        <f t="shared" si="8"/>
        <v>2446.81116626726</v>
      </c>
      <c r="V71" s="4">
        <f t="shared" si="9"/>
        <v>3781.4354387766753</v>
      </c>
      <c r="W71" s="4">
        <f t="shared" si="10"/>
        <v>6228.2466050439352</v>
      </c>
      <c r="X71" s="4">
        <f t="shared" si="11"/>
        <v>2303.9561065914413</v>
      </c>
      <c r="Y71" s="4">
        <f t="shared" si="12"/>
        <v>3560.6594374595011</v>
      </c>
      <c r="Z71" s="4">
        <f t="shared" si="13"/>
        <v>5864.6155440509428</v>
      </c>
      <c r="AE71" s="3"/>
      <c r="AF71" s="3"/>
      <c r="AG71" s="7"/>
      <c r="AH71" s="7"/>
      <c r="AI71" s="7"/>
      <c r="AJ71" s="7"/>
      <c r="AK71" s="7"/>
      <c r="AL71" s="3"/>
      <c r="AM71" s="9"/>
      <c r="AN71" s="7"/>
      <c r="AO71" s="7"/>
      <c r="AP71" s="7"/>
      <c r="AQ71" s="7"/>
      <c r="AR71" s="9"/>
      <c r="AS71" s="9"/>
      <c r="AT71" s="9"/>
      <c r="AU71" s="3"/>
      <c r="AV71" s="3"/>
      <c r="AW71" s="3"/>
      <c r="AX71" s="3"/>
      <c r="AY71" s="3"/>
      <c r="AZ71" s="3"/>
    </row>
    <row r="72" spans="1:52" x14ac:dyDescent="0.3">
      <c r="A72">
        <f t="shared" si="14"/>
        <v>33</v>
      </c>
      <c r="B72" s="1" t="s">
        <v>71</v>
      </c>
      <c r="C72" s="1" t="s">
        <v>139</v>
      </c>
      <c r="D72" s="2">
        <v>42325</v>
      </c>
      <c r="E72" s="3">
        <v>50.6</v>
      </c>
      <c r="F72" s="4">
        <f t="shared" si="0"/>
        <v>7059.4719488188975</v>
      </c>
      <c r="G72" s="7">
        <v>8.85</v>
      </c>
      <c r="H72" s="7">
        <v>263.73</v>
      </c>
      <c r="I72" s="7">
        <f t="shared" si="1"/>
        <v>254.88000000000002</v>
      </c>
      <c r="J72" s="7">
        <v>239.02</v>
      </c>
      <c r="K72" s="5">
        <f t="shared" si="2"/>
        <v>6.222536095417456</v>
      </c>
      <c r="L72" s="4">
        <f t="shared" si="3"/>
        <v>6620.1937586577715</v>
      </c>
      <c r="M72" s="2">
        <v>42339</v>
      </c>
      <c r="N72" s="7">
        <v>3.44</v>
      </c>
      <c r="O72" s="7">
        <v>0.84</v>
      </c>
      <c r="P72" s="7">
        <f t="shared" si="4"/>
        <v>0.55999999999999994</v>
      </c>
      <c r="Q72" s="7">
        <v>0.86</v>
      </c>
      <c r="R72" s="6">
        <f t="shared" si="5"/>
        <v>0.35889234747177767</v>
      </c>
      <c r="S72" s="6">
        <f t="shared" si="6"/>
        <v>0.55115610504594437</v>
      </c>
      <c r="T72" s="6">
        <f t="shared" si="7"/>
        <v>8.995154748227796E-2</v>
      </c>
      <c r="U72" s="4">
        <f t="shared" si="8"/>
        <v>2533.5904596227792</v>
      </c>
      <c r="V72" s="4">
        <f t="shared" si="9"/>
        <v>3890.8710629921261</v>
      </c>
      <c r="W72" s="4">
        <f t="shared" si="10"/>
        <v>6424.4615226149053</v>
      </c>
      <c r="X72" s="4">
        <f t="shared" si="11"/>
        <v>2375.9368787626986</v>
      </c>
      <c r="Y72" s="4">
        <f t="shared" si="12"/>
        <v>3648.760206671288</v>
      </c>
      <c r="Z72" s="4">
        <f t="shared" si="13"/>
        <v>6024.697085433987</v>
      </c>
      <c r="AE72" s="3"/>
      <c r="AF72" s="3"/>
      <c r="AG72" s="7"/>
      <c r="AH72" s="7"/>
      <c r="AI72" s="7"/>
      <c r="AJ72" s="7"/>
      <c r="AK72" s="7"/>
      <c r="AL72" s="3"/>
      <c r="AM72" s="9"/>
      <c r="AN72" s="7"/>
      <c r="AO72" s="7"/>
      <c r="AP72" s="7"/>
      <c r="AQ72" s="7"/>
      <c r="AR72" s="9"/>
      <c r="AS72" s="9"/>
      <c r="AT72" s="9"/>
      <c r="AU72" s="3"/>
      <c r="AV72" s="3"/>
      <c r="AW72" s="3"/>
      <c r="AX72" s="3"/>
      <c r="AY72" s="3"/>
      <c r="AZ72" s="3"/>
    </row>
    <row r="73" spans="1:52" x14ac:dyDescent="0.3">
      <c r="A73">
        <f t="shared" si="14"/>
        <v>34</v>
      </c>
      <c r="B73" s="1" t="s">
        <v>72</v>
      </c>
      <c r="C73" s="1" t="s">
        <v>139</v>
      </c>
      <c r="D73" s="2">
        <v>42325</v>
      </c>
      <c r="E73" s="3">
        <v>50.699999999999996</v>
      </c>
      <c r="F73" s="4">
        <f t="shared" si="0"/>
        <v>7073.4234744094483</v>
      </c>
      <c r="G73" s="7">
        <v>8.91</v>
      </c>
      <c r="H73" s="7">
        <v>224.21</v>
      </c>
      <c r="I73" s="7">
        <f t="shared" si="1"/>
        <v>215.3</v>
      </c>
      <c r="J73" s="7">
        <v>201.8</v>
      </c>
      <c r="K73" s="5">
        <f t="shared" si="2"/>
        <v>6.2703204830469108</v>
      </c>
      <c r="L73" s="4">
        <f t="shared" si="3"/>
        <v>6629.8971534409047</v>
      </c>
      <c r="M73" s="2">
        <v>42339</v>
      </c>
      <c r="N73" s="7">
        <v>2.8</v>
      </c>
      <c r="O73" s="7">
        <v>0.7</v>
      </c>
      <c r="P73" s="7">
        <f t="shared" si="4"/>
        <v>0.41999999999999993</v>
      </c>
      <c r="Q73" s="7">
        <v>0.68</v>
      </c>
      <c r="R73" s="6">
        <f t="shared" si="5"/>
        <v>0.33069366302756659</v>
      </c>
      <c r="S73" s="6">
        <f t="shared" si="6"/>
        <v>0.53540878775891743</v>
      </c>
      <c r="T73" s="6">
        <f t="shared" si="7"/>
        <v>0.13389754921351604</v>
      </c>
      <c r="U73" s="4">
        <f t="shared" si="8"/>
        <v>2339.1363188976375</v>
      </c>
      <c r="V73" s="4">
        <f t="shared" si="9"/>
        <v>3787.1730877390328</v>
      </c>
      <c r="W73" s="4">
        <f t="shared" si="10"/>
        <v>6126.3094066366702</v>
      </c>
      <c r="X73" s="4">
        <f t="shared" si="11"/>
        <v>2192.4649751674096</v>
      </c>
      <c r="Y73" s="4">
        <f t="shared" si="12"/>
        <v>3549.7051978900922</v>
      </c>
      <c r="Z73" s="4">
        <f t="shared" si="13"/>
        <v>5742.1701730575023</v>
      </c>
      <c r="AE73" s="3"/>
      <c r="AF73" s="3"/>
      <c r="AG73" s="7"/>
      <c r="AH73" s="7"/>
      <c r="AI73" s="7"/>
      <c r="AJ73" s="7"/>
      <c r="AK73" s="7"/>
      <c r="AL73" s="3"/>
      <c r="AM73" s="9"/>
      <c r="AN73" s="7"/>
      <c r="AO73" s="7"/>
      <c r="AP73" s="7"/>
      <c r="AQ73" s="7"/>
      <c r="AR73" s="9"/>
      <c r="AS73" s="9"/>
      <c r="AT73" s="9"/>
      <c r="AU73" s="3"/>
      <c r="AV73" s="3"/>
      <c r="AW73" s="3"/>
      <c r="AX73" s="3"/>
      <c r="AY73" s="3"/>
      <c r="AZ73" s="3"/>
    </row>
    <row r="74" spans="1:52" x14ac:dyDescent="0.3">
      <c r="A74">
        <f t="shared" si="14"/>
        <v>35</v>
      </c>
      <c r="B74" s="1" t="s">
        <v>73</v>
      </c>
      <c r="C74" s="1" t="s">
        <v>139</v>
      </c>
      <c r="D74" s="2">
        <v>42325</v>
      </c>
      <c r="E74" s="3">
        <v>46.9</v>
      </c>
      <c r="F74" s="4">
        <f t="shared" si="0"/>
        <v>6543.2655019685035</v>
      </c>
      <c r="G74" s="7">
        <v>8.8699999999999992</v>
      </c>
      <c r="H74" s="7">
        <v>215.03</v>
      </c>
      <c r="I74" s="7">
        <f t="shared" si="1"/>
        <v>206.16</v>
      </c>
      <c r="J74" s="7">
        <v>195.3</v>
      </c>
      <c r="K74" s="5">
        <f t="shared" si="2"/>
        <v>5.2677532013969666</v>
      </c>
      <c r="L74" s="4">
        <f t="shared" si="3"/>
        <v>6198.5824240126549</v>
      </c>
      <c r="M74" s="2">
        <v>42339</v>
      </c>
      <c r="N74" s="7">
        <v>3.02</v>
      </c>
      <c r="O74" s="7">
        <v>0.78</v>
      </c>
      <c r="P74" s="7">
        <f t="shared" si="4"/>
        <v>0.5</v>
      </c>
      <c r="Q74" s="7">
        <v>0.74</v>
      </c>
      <c r="R74" s="6">
        <f t="shared" si="5"/>
        <v>0.36500404307678436</v>
      </c>
      <c r="S74" s="6">
        <f t="shared" si="6"/>
        <v>0.54020598375364082</v>
      </c>
      <c r="T74" s="6">
        <f t="shared" si="7"/>
        <v>9.4789973169574826E-2</v>
      </c>
      <c r="U74" s="4">
        <f t="shared" si="8"/>
        <v>2388.3183631433485</v>
      </c>
      <c r="V74" s="4">
        <f t="shared" si="9"/>
        <v>3534.7111774521559</v>
      </c>
      <c r="W74" s="4">
        <f t="shared" si="10"/>
        <v>5923.0295405955039</v>
      </c>
      <c r="X74" s="4">
        <f t="shared" si="11"/>
        <v>2262.5076461093136</v>
      </c>
      <c r="Y74" s="4">
        <f t="shared" si="12"/>
        <v>3348.5113162417838</v>
      </c>
      <c r="Z74" s="4">
        <f t="shared" si="13"/>
        <v>5611.0189623510978</v>
      </c>
      <c r="AE74" s="3"/>
      <c r="AF74" s="3"/>
      <c r="AG74" s="7"/>
      <c r="AH74" s="7"/>
      <c r="AI74" s="7"/>
      <c r="AJ74" s="7"/>
      <c r="AK74" s="7"/>
      <c r="AL74" s="3"/>
      <c r="AM74" s="9"/>
      <c r="AN74" s="7"/>
      <c r="AO74" s="7"/>
      <c r="AP74" s="7"/>
      <c r="AQ74" s="7"/>
      <c r="AR74" s="9"/>
      <c r="AS74" s="9"/>
      <c r="AT74" s="9"/>
      <c r="AU74" s="3"/>
      <c r="AV74" s="3"/>
      <c r="AW74" s="3"/>
      <c r="AX74" s="3"/>
      <c r="AY74" s="3"/>
      <c r="AZ74" s="3"/>
    </row>
    <row r="75" spans="1:52" x14ac:dyDescent="0.3">
      <c r="A75">
        <f t="shared" si="14"/>
        <v>36</v>
      </c>
      <c r="B75" s="1" t="s">
        <v>74</v>
      </c>
      <c r="C75" s="1" t="s">
        <v>139</v>
      </c>
      <c r="D75" s="2">
        <v>42325</v>
      </c>
      <c r="E75" s="3">
        <v>49.9</v>
      </c>
      <c r="F75" s="4">
        <f t="shared" si="0"/>
        <v>6961.8112696850394</v>
      </c>
      <c r="G75" s="7">
        <v>8.85</v>
      </c>
      <c r="H75" s="7">
        <v>282.26</v>
      </c>
      <c r="I75" s="7">
        <f t="shared" si="1"/>
        <v>273.40999999999997</v>
      </c>
      <c r="J75" s="7">
        <v>257.23</v>
      </c>
      <c r="K75" s="5">
        <f t="shared" si="2"/>
        <v>5.9178523097179889</v>
      </c>
      <c r="L75" s="4">
        <f t="shared" si="3"/>
        <v>6549.8215606637759</v>
      </c>
      <c r="M75" s="2">
        <v>42339</v>
      </c>
      <c r="N75" s="7">
        <v>3.58</v>
      </c>
      <c r="O75" s="7">
        <v>0.88</v>
      </c>
      <c r="P75" s="7">
        <f t="shared" si="4"/>
        <v>0.6</v>
      </c>
      <c r="Q75" s="7">
        <v>0.86</v>
      </c>
      <c r="R75" s="6">
        <f t="shared" si="5"/>
        <v>0.36949012628778394</v>
      </c>
      <c r="S75" s="6">
        <f t="shared" si="6"/>
        <v>0.52960251434582362</v>
      </c>
      <c r="T75" s="6">
        <f t="shared" si="7"/>
        <v>0.1009073593663925</v>
      </c>
      <c r="U75" s="4">
        <f t="shared" si="8"/>
        <v>2572.3205252276425</v>
      </c>
      <c r="V75" s="4">
        <f t="shared" si="9"/>
        <v>3686.9927528262874</v>
      </c>
      <c r="W75" s="4">
        <f t="shared" si="10"/>
        <v>6259.3132780539299</v>
      </c>
      <c r="X75" s="4">
        <f t="shared" si="11"/>
        <v>2420.0943956121087</v>
      </c>
      <c r="Y75" s="4">
        <f t="shared" si="12"/>
        <v>3468.8019670440221</v>
      </c>
      <c r="Z75" s="4">
        <f t="shared" si="13"/>
        <v>5888.8963626561308</v>
      </c>
      <c r="AE75" s="3"/>
      <c r="AF75" s="3"/>
      <c r="AG75" s="7"/>
      <c r="AH75" s="7"/>
      <c r="AI75" s="7"/>
      <c r="AJ75" s="7"/>
      <c r="AK75" s="7"/>
      <c r="AL75" s="3"/>
      <c r="AM75" s="9"/>
      <c r="AN75" s="7"/>
      <c r="AO75" s="7"/>
      <c r="AP75" s="7"/>
      <c r="AQ75" s="7"/>
      <c r="AR75" s="9"/>
      <c r="AS75" s="9"/>
      <c r="AT75" s="9"/>
      <c r="AU75" s="3"/>
      <c r="AV75" s="3"/>
      <c r="AW75" s="3"/>
      <c r="AX75" s="3"/>
      <c r="AY75" s="3"/>
      <c r="AZ75" s="3"/>
    </row>
    <row r="76" spans="1:52" x14ac:dyDescent="0.3">
      <c r="A76">
        <f t="shared" si="14"/>
        <v>37</v>
      </c>
      <c r="B76" s="1" t="s">
        <v>75</v>
      </c>
      <c r="C76" s="1" t="s">
        <v>139</v>
      </c>
      <c r="D76" s="2">
        <v>42325</v>
      </c>
      <c r="E76" s="3">
        <v>51.4</v>
      </c>
      <c r="F76" s="4">
        <f t="shared" si="0"/>
        <v>7171.0841535433065</v>
      </c>
      <c r="G76" s="7">
        <v>8.76</v>
      </c>
      <c r="H76" s="7">
        <v>257.35000000000002</v>
      </c>
      <c r="I76" s="7">
        <f t="shared" si="1"/>
        <v>248.59000000000003</v>
      </c>
      <c r="J76" s="7">
        <v>232.86</v>
      </c>
      <c r="K76" s="5">
        <f t="shared" si="2"/>
        <v>6.3276881612293403</v>
      </c>
      <c r="L76" s="4">
        <f t="shared" si="3"/>
        <v>6717.3203105277535</v>
      </c>
      <c r="M76" s="2">
        <v>42339</v>
      </c>
      <c r="N76" s="7">
        <v>2.98</v>
      </c>
      <c r="O76" s="7">
        <v>0.76</v>
      </c>
      <c r="P76" s="7">
        <f t="shared" si="4"/>
        <v>0.48</v>
      </c>
      <c r="Q76" s="7">
        <v>0.72</v>
      </c>
      <c r="R76" s="6">
        <f t="shared" si="5"/>
        <v>0.35510728915711853</v>
      </c>
      <c r="S76" s="6">
        <f t="shared" si="6"/>
        <v>0.5326609337356778</v>
      </c>
      <c r="T76" s="6">
        <f t="shared" si="7"/>
        <v>0.11223177710720367</v>
      </c>
      <c r="U76" s="4">
        <f t="shared" si="8"/>
        <v>2546.5042540823333</v>
      </c>
      <c r="V76" s="4">
        <f t="shared" si="9"/>
        <v>3819.7563811235004</v>
      </c>
      <c r="W76" s="4">
        <f t="shared" si="10"/>
        <v>6366.2606352058338</v>
      </c>
      <c r="X76" s="4">
        <f t="shared" si="11"/>
        <v>2385.3694058715641</v>
      </c>
      <c r="Y76" s="4">
        <f t="shared" si="12"/>
        <v>3578.0541088073464</v>
      </c>
      <c r="Z76" s="4">
        <f t="shared" si="13"/>
        <v>5963.4235146789106</v>
      </c>
      <c r="AE76" s="3"/>
      <c r="AF76" s="3"/>
      <c r="AG76" s="7"/>
      <c r="AH76" s="7"/>
      <c r="AI76" s="7"/>
      <c r="AJ76" s="7"/>
      <c r="AK76" s="7"/>
      <c r="AL76" s="3"/>
      <c r="AM76" s="9"/>
      <c r="AN76" s="7"/>
      <c r="AO76" s="7"/>
      <c r="AP76" s="7"/>
      <c r="AQ76" s="7"/>
      <c r="AR76" s="9"/>
      <c r="AS76" s="9"/>
      <c r="AT76" s="9"/>
      <c r="AU76" s="3"/>
      <c r="AV76" s="3"/>
      <c r="AW76" s="3"/>
      <c r="AX76" s="3"/>
      <c r="AY76" s="3"/>
      <c r="AZ76" s="3"/>
    </row>
    <row r="77" spans="1:52" x14ac:dyDescent="0.3">
      <c r="A77">
        <f t="shared" si="14"/>
        <v>38</v>
      </c>
      <c r="B77" s="1" t="s">
        <v>76</v>
      </c>
      <c r="C77" s="1" t="s">
        <v>139</v>
      </c>
      <c r="D77" s="2">
        <v>42325</v>
      </c>
      <c r="E77" s="3">
        <v>50.4</v>
      </c>
      <c r="F77" s="4">
        <f t="shared" si="0"/>
        <v>7031.5688976377951</v>
      </c>
      <c r="G77" s="7">
        <v>8.75</v>
      </c>
      <c r="H77" s="7">
        <v>257.14999999999998</v>
      </c>
      <c r="I77" s="7">
        <f t="shared" si="1"/>
        <v>248.39999999999998</v>
      </c>
      <c r="J77" s="7">
        <v>231.67</v>
      </c>
      <c r="K77" s="5">
        <f t="shared" si="2"/>
        <v>6.7351046698872752</v>
      </c>
      <c r="L77" s="4">
        <f t="shared" si="3"/>
        <v>6557.9853724466511</v>
      </c>
      <c r="M77" s="2">
        <v>42339</v>
      </c>
      <c r="N77" s="7">
        <v>3.54</v>
      </c>
      <c r="O77" s="7">
        <v>0.86</v>
      </c>
      <c r="P77" s="7">
        <f t="shared" si="4"/>
        <v>0.57999999999999996</v>
      </c>
      <c r="Q77" s="7">
        <v>0.86</v>
      </c>
      <c r="R77" s="6">
        <f t="shared" si="5"/>
        <v>0.36120965076457368</v>
      </c>
      <c r="S77" s="6">
        <f t="shared" si="6"/>
        <v>0.53558672354747128</v>
      </c>
      <c r="T77" s="6">
        <f t="shared" si="7"/>
        <v>0.10320362568795505</v>
      </c>
      <c r="U77" s="4">
        <f t="shared" si="8"/>
        <v>2539.8705458427862</v>
      </c>
      <c r="V77" s="4">
        <f t="shared" si="9"/>
        <v>3766.0149472841313</v>
      </c>
      <c r="W77" s="4">
        <f t="shared" si="10"/>
        <v>6305.8854931269179</v>
      </c>
      <c r="X77" s="4">
        <f t="shared" si="11"/>
        <v>2368.8076061006373</v>
      </c>
      <c r="Y77" s="4">
        <f t="shared" si="12"/>
        <v>3512.3698987009452</v>
      </c>
      <c r="Z77" s="4">
        <f t="shared" si="13"/>
        <v>5881.1775048015825</v>
      </c>
      <c r="AE77" s="3"/>
      <c r="AF77" s="3"/>
      <c r="AG77" s="7"/>
      <c r="AH77" s="7"/>
      <c r="AI77" s="7"/>
      <c r="AJ77" s="7"/>
      <c r="AK77" s="7"/>
      <c r="AL77" s="3"/>
      <c r="AM77" s="9"/>
      <c r="AN77" s="7"/>
      <c r="AO77" s="7"/>
      <c r="AP77" s="7"/>
      <c r="AQ77" s="7"/>
      <c r="AR77" s="9"/>
      <c r="AS77" s="9"/>
      <c r="AT77" s="9"/>
      <c r="AU77" s="3"/>
      <c r="AV77" s="3"/>
      <c r="AW77" s="3"/>
      <c r="AX77" s="3"/>
      <c r="AY77" s="3"/>
      <c r="AZ77" s="3"/>
    </row>
    <row r="78" spans="1:52" x14ac:dyDescent="0.3">
      <c r="A78">
        <f t="shared" si="14"/>
        <v>39</v>
      </c>
      <c r="B78" s="1" t="s">
        <v>77</v>
      </c>
      <c r="C78" s="1" t="s">
        <v>139</v>
      </c>
      <c r="D78" s="2">
        <v>42325</v>
      </c>
      <c r="E78" s="3">
        <v>40.999999999999993</v>
      </c>
      <c r="F78" s="4">
        <f t="shared" si="0"/>
        <v>5720.1254921259833</v>
      </c>
      <c r="G78" s="7">
        <v>8.7799999999999994</v>
      </c>
      <c r="H78" s="7">
        <v>280.08</v>
      </c>
      <c r="I78" s="7">
        <f t="shared" si="1"/>
        <v>271.3</v>
      </c>
      <c r="J78" s="7">
        <v>255.38</v>
      </c>
      <c r="K78" s="5">
        <f t="shared" si="2"/>
        <v>5.8680427570954725</v>
      </c>
      <c r="L78" s="4">
        <f t="shared" si="3"/>
        <v>5384.4660824885132</v>
      </c>
      <c r="M78" s="2">
        <v>42339</v>
      </c>
      <c r="N78" s="7">
        <v>3.94</v>
      </c>
      <c r="O78" s="7">
        <v>0.9</v>
      </c>
      <c r="P78" s="7">
        <f t="shared" si="4"/>
        <v>0.62</v>
      </c>
      <c r="Q78" s="7">
        <v>0.94</v>
      </c>
      <c r="R78" s="6">
        <f t="shared" si="5"/>
        <v>0.34692059403907155</v>
      </c>
      <c r="S78" s="6">
        <f t="shared" si="6"/>
        <v>0.52597638451085038</v>
      </c>
      <c r="T78" s="6">
        <f t="shared" si="7"/>
        <v>0.12710302145007801</v>
      </c>
      <c r="U78" s="4">
        <f t="shared" si="8"/>
        <v>1984.4293337063825</v>
      </c>
      <c r="V78" s="4">
        <f t="shared" si="9"/>
        <v>3008.6509252967735</v>
      </c>
      <c r="W78" s="4">
        <f t="shared" si="10"/>
        <v>4993.0802590031562</v>
      </c>
      <c r="X78" s="4">
        <f t="shared" si="11"/>
        <v>1867.9821719201475</v>
      </c>
      <c r="Y78" s="4">
        <f t="shared" si="12"/>
        <v>2832.1020025886105</v>
      </c>
      <c r="Z78" s="4">
        <f t="shared" si="13"/>
        <v>4700.0841745087582</v>
      </c>
      <c r="AE78" s="3"/>
      <c r="AF78" s="3"/>
      <c r="AG78" s="7"/>
      <c r="AH78" s="7"/>
      <c r="AI78" s="7"/>
      <c r="AJ78" s="7"/>
      <c r="AK78" s="7"/>
      <c r="AL78" s="3"/>
      <c r="AM78" s="9"/>
      <c r="AN78" s="7"/>
      <c r="AO78" s="7"/>
      <c r="AP78" s="7"/>
      <c r="AQ78" s="7"/>
      <c r="AR78" s="9"/>
      <c r="AS78" s="9"/>
      <c r="AT78" s="9"/>
      <c r="AU78" s="3"/>
      <c r="AV78" s="3"/>
      <c r="AW78" s="3"/>
      <c r="AX78" s="3"/>
      <c r="AY78" s="3"/>
      <c r="AZ78" s="3"/>
    </row>
    <row r="79" spans="1:52" x14ac:dyDescent="0.3">
      <c r="A79">
        <f t="shared" si="14"/>
        <v>40</v>
      </c>
      <c r="B79" s="1" t="s">
        <v>78</v>
      </c>
      <c r="C79" s="1" t="s">
        <v>139</v>
      </c>
      <c r="D79" s="2">
        <v>42325</v>
      </c>
      <c r="E79" s="3">
        <v>35.999999999999993</v>
      </c>
      <c r="F79" s="4">
        <f t="shared" si="0"/>
        <v>5022.5492125984247</v>
      </c>
      <c r="G79" s="7">
        <v>8.86</v>
      </c>
      <c r="H79" s="7">
        <v>278.20999999999998</v>
      </c>
      <c r="I79" s="7">
        <f t="shared" si="1"/>
        <v>269.34999999999997</v>
      </c>
      <c r="J79" s="7">
        <v>253.35</v>
      </c>
      <c r="K79" s="5">
        <f t="shared" si="2"/>
        <v>5.9402264711342028</v>
      </c>
      <c r="L79" s="4">
        <f t="shared" si="3"/>
        <v>4724.1984147459107</v>
      </c>
      <c r="M79" s="2">
        <v>42339</v>
      </c>
      <c r="N79" s="7">
        <v>3.44</v>
      </c>
      <c r="O79" s="7">
        <v>0.82</v>
      </c>
      <c r="P79" s="7">
        <f t="shared" si="4"/>
        <v>0.53999999999999992</v>
      </c>
      <c r="Q79" s="7">
        <v>0.86</v>
      </c>
      <c r="R79" s="6">
        <f t="shared" si="5"/>
        <v>0.34607476363349987</v>
      </c>
      <c r="S79" s="6">
        <f t="shared" si="6"/>
        <v>0.55115610504594437</v>
      </c>
      <c r="T79" s="6">
        <f t="shared" si="7"/>
        <v>0.10276913132055576</v>
      </c>
      <c r="U79" s="4">
        <f t="shared" si="8"/>
        <v>1738.1775315876207</v>
      </c>
      <c r="V79" s="4">
        <f t="shared" si="9"/>
        <v>2768.2086614173227</v>
      </c>
      <c r="W79" s="4">
        <f t="shared" si="10"/>
        <v>4506.3861930049434</v>
      </c>
      <c r="X79" s="4">
        <f t="shared" si="11"/>
        <v>1634.9258497409458</v>
      </c>
      <c r="Y79" s="4">
        <f t="shared" si="12"/>
        <v>2603.7707977355808</v>
      </c>
      <c r="Z79" s="4">
        <f t="shared" si="13"/>
        <v>4238.6966474765268</v>
      </c>
      <c r="AE79" s="3"/>
      <c r="AF79" s="3"/>
      <c r="AG79" s="7"/>
      <c r="AH79" s="7"/>
      <c r="AI79" s="7"/>
      <c r="AJ79" s="7"/>
      <c r="AK79" s="7"/>
      <c r="AL79" s="3"/>
      <c r="AM79" s="9"/>
      <c r="AN79" s="7"/>
      <c r="AO79" s="7"/>
      <c r="AP79" s="7"/>
      <c r="AQ79" s="7"/>
      <c r="AR79" s="9"/>
      <c r="AS79" s="9"/>
      <c r="AT79" s="9"/>
      <c r="AU79" s="3"/>
      <c r="AV79" s="3"/>
      <c r="AW79" s="3"/>
      <c r="AX79" s="3"/>
      <c r="AY79" s="3"/>
      <c r="AZ79" s="3"/>
    </row>
    <row r="80" spans="1:52" x14ac:dyDescent="0.3">
      <c r="A80">
        <f t="shared" si="14"/>
        <v>41</v>
      </c>
      <c r="B80" s="1" t="s">
        <v>79</v>
      </c>
      <c r="C80" s="1" t="s">
        <v>139</v>
      </c>
      <c r="D80" s="2">
        <v>42325</v>
      </c>
      <c r="E80" s="3">
        <v>29.999999999999996</v>
      </c>
      <c r="F80" s="4">
        <f t="shared" si="0"/>
        <v>4185.4576771653537</v>
      </c>
      <c r="G80" s="7">
        <v>8.7799999999999994</v>
      </c>
      <c r="H80" s="7">
        <v>197.16</v>
      </c>
      <c r="I80" s="7">
        <f t="shared" si="1"/>
        <v>188.38</v>
      </c>
      <c r="J80" s="7">
        <v>177.86</v>
      </c>
      <c r="K80" s="5">
        <f t="shared" si="2"/>
        <v>5.5844569487206615</v>
      </c>
      <c r="L80" s="4">
        <f t="shared" si="3"/>
        <v>3951.7225950771308</v>
      </c>
      <c r="M80" s="2">
        <v>42339</v>
      </c>
      <c r="N80" s="7">
        <v>2.82</v>
      </c>
      <c r="O80" s="7">
        <v>0.74</v>
      </c>
      <c r="P80" s="7">
        <f t="shared" si="4"/>
        <v>0.45999999999999996</v>
      </c>
      <c r="Q80" s="7">
        <v>0.72</v>
      </c>
      <c r="R80" s="6">
        <f t="shared" si="5"/>
        <v>0.35961958627111262</v>
      </c>
      <c r="S80" s="6">
        <f t="shared" si="6"/>
        <v>0.56288283068521983</v>
      </c>
      <c r="T80" s="6">
        <f t="shared" si="7"/>
        <v>7.7497583043667495E-2</v>
      </c>
      <c r="U80" s="4">
        <f t="shared" si="8"/>
        <v>1505.1725582174565</v>
      </c>
      <c r="V80" s="4">
        <f t="shared" si="9"/>
        <v>2355.9222650360193</v>
      </c>
      <c r="W80" s="4">
        <f t="shared" si="10"/>
        <v>3861.0948232534756</v>
      </c>
      <c r="X80" s="4">
        <f t="shared" si="11"/>
        <v>1421.1168446998454</v>
      </c>
      <c r="Y80" s="4">
        <f t="shared" si="12"/>
        <v>2224.356800399758</v>
      </c>
      <c r="Z80" s="4">
        <f t="shared" si="13"/>
        <v>3645.4736450996033</v>
      </c>
      <c r="AB80" t="s">
        <v>31</v>
      </c>
      <c r="AC80" t="str">
        <f>C80</f>
        <v>Machine</v>
      </c>
      <c r="AD80" s="8">
        <f>D80</f>
        <v>42325</v>
      </c>
      <c r="AE80" s="3">
        <f>SUM(E80:E89)</f>
        <v>285.7</v>
      </c>
      <c r="AF80" s="3">
        <f>AE80*$A$29/($A$30*10)*$A$31</f>
        <v>3985.9508612204718</v>
      </c>
      <c r="AG80" s="7">
        <f>SUM(G80:G89)</f>
        <v>86.71</v>
      </c>
      <c r="AH80" s="7">
        <f>SUM(H80:H89)</f>
        <v>2228.58</v>
      </c>
      <c r="AI80" s="7">
        <f>AH80-AG80</f>
        <v>2141.87</v>
      </c>
      <c r="AJ80" s="7">
        <f>SUM(J80:J89)</f>
        <v>2023.1900000000003</v>
      </c>
      <c r="AK80" s="7">
        <f>(AI80-AJ80)/AI80*100</f>
        <v>5.5409525321331179</v>
      </c>
      <c r="AL80" s="3">
        <f>AF80*(1-AK80/100)</f>
        <v>3765.0912160460944</v>
      </c>
      <c r="AM80" s="11">
        <f>M80</f>
        <v>42339</v>
      </c>
      <c r="AN80" s="7">
        <f>SUM(N80:N89)</f>
        <v>34.26</v>
      </c>
      <c r="AO80" s="7">
        <f>SUM(O80:O89)</f>
        <v>8.34</v>
      </c>
      <c r="AP80" s="7">
        <f>AO80-10*$A$32</f>
        <v>5.5399999999999991</v>
      </c>
      <c r="AQ80" s="7">
        <f>SUM(Q80:Q89)</f>
        <v>8.4599999999999991</v>
      </c>
      <c r="AR80" s="9">
        <f>AP80/(AN80*$A$29)</f>
        <v>0.35649793601337204</v>
      </c>
      <c r="AS80" s="9">
        <f>AQ80/(AN80*$A$29)</f>
        <v>0.54439937521175585</v>
      </c>
      <c r="AT80" s="9">
        <f>1-AR80-AS80</f>
        <v>9.9102688774872161E-2</v>
      </c>
      <c r="AU80" s="3">
        <f>AF80*AR80</f>
        <v>1420.983255075821</v>
      </c>
      <c r="AV80" s="3">
        <f>AF80*AS80</f>
        <v>2169.949158473185</v>
      </c>
      <c r="AW80" s="3">
        <f>AU80+AV80</f>
        <v>3590.932413549006</v>
      </c>
      <c r="AX80" s="3">
        <f>AL80*AR80</f>
        <v>1342.2472474225096</v>
      </c>
      <c r="AY80" s="3">
        <f>AL80*AS80</f>
        <v>2049.7133056307639</v>
      </c>
      <c r="AZ80" s="3">
        <f>AX80+AY80</f>
        <v>3391.9605530532735</v>
      </c>
    </row>
    <row r="81" spans="1:52" x14ac:dyDescent="0.3">
      <c r="A81">
        <f t="shared" si="14"/>
        <v>42</v>
      </c>
      <c r="B81" s="1" t="s">
        <v>80</v>
      </c>
      <c r="C81" s="1" t="s">
        <v>139</v>
      </c>
      <c r="D81" s="2">
        <v>42325</v>
      </c>
      <c r="E81" s="3">
        <v>26.3</v>
      </c>
      <c r="F81" s="4">
        <f t="shared" si="0"/>
        <v>3669.251230314961</v>
      </c>
      <c r="G81" s="7">
        <v>8.76</v>
      </c>
      <c r="H81" s="7">
        <v>242.81</v>
      </c>
      <c r="I81" s="7">
        <f t="shared" si="1"/>
        <v>234.05</v>
      </c>
      <c r="J81" s="7">
        <v>220.78</v>
      </c>
      <c r="K81" s="5">
        <f t="shared" si="2"/>
        <v>5.6697286904507624</v>
      </c>
      <c r="L81" s="4">
        <f t="shared" si="3"/>
        <v>3461.2146405850763</v>
      </c>
      <c r="M81" s="2">
        <v>42339</v>
      </c>
      <c r="N81" s="7">
        <v>3.46</v>
      </c>
      <c r="O81" s="7">
        <v>0.84</v>
      </c>
      <c r="P81" s="7">
        <f t="shared" si="4"/>
        <v>0.55999999999999994</v>
      </c>
      <c r="Q81" s="7">
        <v>0.84</v>
      </c>
      <c r="R81" s="6">
        <f t="shared" si="5"/>
        <v>0.35681782523205646</v>
      </c>
      <c r="S81" s="6">
        <f t="shared" si="6"/>
        <v>0.53522673784808472</v>
      </c>
      <c r="T81" s="6">
        <f t="shared" si="7"/>
        <v>0.10795543691985887</v>
      </c>
      <c r="U81" s="4">
        <f t="shared" si="8"/>
        <v>1309.2542442310319</v>
      </c>
      <c r="V81" s="4">
        <f t="shared" si="9"/>
        <v>1963.881366346548</v>
      </c>
      <c r="W81" s="4">
        <f t="shared" si="10"/>
        <v>3273.1356105775799</v>
      </c>
      <c r="X81" s="4">
        <f t="shared" si="11"/>
        <v>1235.023080714921</v>
      </c>
      <c r="Y81" s="4">
        <f t="shared" si="12"/>
        <v>1852.5346210723815</v>
      </c>
      <c r="Z81" s="4">
        <f t="shared" si="13"/>
        <v>3087.5577017873024</v>
      </c>
      <c r="AE81" s="3"/>
      <c r="AF81" s="3"/>
      <c r="AG81" s="7"/>
      <c r="AH81" s="7"/>
      <c r="AI81" s="7"/>
      <c r="AJ81" s="7"/>
      <c r="AK81" s="7"/>
      <c r="AL81" s="3"/>
      <c r="AM81" s="9"/>
      <c r="AN81" s="7"/>
      <c r="AO81" s="7"/>
      <c r="AP81" s="7"/>
      <c r="AQ81" s="7"/>
      <c r="AR81" s="9"/>
      <c r="AS81" s="9"/>
      <c r="AT81" s="9"/>
      <c r="AU81" s="3"/>
      <c r="AV81" s="3"/>
      <c r="AW81" s="3"/>
      <c r="AX81" s="3"/>
      <c r="AY81" s="3"/>
      <c r="AZ81" s="3"/>
    </row>
    <row r="82" spans="1:52" x14ac:dyDescent="0.3">
      <c r="A82">
        <f t="shared" si="14"/>
        <v>43</v>
      </c>
      <c r="B82" s="1" t="s">
        <v>81</v>
      </c>
      <c r="C82" s="1" t="s">
        <v>139</v>
      </c>
      <c r="D82" s="2">
        <v>42325</v>
      </c>
      <c r="E82" s="3">
        <v>34.1</v>
      </c>
      <c r="F82" s="4">
        <f t="shared" si="0"/>
        <v>4757.4702263779527</v>
      </c>
      <c r="G82" s="7">
        <v>8.81</v>
      </c>
      <c r="H82" s="7">
        <v>273.06</v>
      </c>
      <c r="I82" s="7">
        <f t="shared" si="1"/>
        <v>264.25</v>
      </c>
      <c r="J82" s="7">
        <v>248.98</v>
      </c>
      <c r="K82" s="5">
        <f t="shared" si="2"/>
        <v>5.7786187322611209</v>
      </c>
      <c r="L82" s="4">
        <f t="shared" si="3"/>
        <v>4482.5541606947309</v>
      </c>
      <c r="M82" s="2">
        <v>42339</v>
      </c>
      <c r="N82" s="7">
        <v>4.0199999999999996</v>
      </c>
      <c r="O82" s="7">
        <v>0.94</v>
      </c>
      <c r="P82" s="7">
        <f t="shared" si="4"/>
        <v>0.65999999999999992</v>
      </c>
      <c r="Q82" s="7">
        <v>1.02</v>
      </c>
      <c r="R82" s="6">
        <f t="shared" si="5"/>
        <v>0.36195326301524705</v>
      </c>
      <c r="S82" s="6">
        <f t="shared" si="6"/>
        <v>0.55938231556901818</v>
      </c>
      <c r="T82" s="6">
        <f t="shared" si="7"/>
        <v>7.8664421415734709E-2</v>
      </c>
      <c r="U82" s="4">
        <f t="shared" si="8"/>
        <v>1721.9818721353861</v>
      </c>
      <c r="V82" s="4">
        <f t="shared" si="9"/>
        <v>2661.2447114819602</v>
      </c>
      <c r="W82" s="4">
        <f t="shared" si="10"/>
        <v>4383.2265836173465</v>
      </c>
      <c r="X82" s="4">
        <f t="shared" si="11"/>
        <v>1622.47510510603</v>
      </c>
      <c r="Y82" s="4">
        <f t="shared" si="12"/>
        <v>2507.4615260729552</v>
      </c>
      <c r="Z82" s="4">
        <f t="shared" si="13"/>
        <v>4129.9366311789854</v>
      </c>
      <c r="AE82" s="3"/>
      <c r="AF82" s="3"/>
      <c r="AG82" s="7"/>
      <c r="AH82" s="7"/>
      <c r="AI82" s="7"/>
      <c r="AJ82" s="7"/>
      <c r="AK82" s="7"/>
      <c r="AL82" s="3"/>
      <c r="AM82" s="9"/>
      <c r="AN82" s="7"/>
      <c r="AO82" s="7"/>
      <c r="AP82" s="7"/>
      <c r="AQ82" s="7"/>
      <c r="AR82" s="9"/>
      <c r="AS82" s="9"/>
      <c r="AT82" s="9"/>
      <c r="AU82" s="3"/>
      <c r="AV82" s="3"/>
      <c r="AW82" s="3"/>
      <c r="AX82" s="3"/>
      <c r="AY82" s="3"/>
      <c r="AZ82" s="3"/>
    </row>
    <row r="83" spans="1:52" x14ac:dyDescent="0.3">
      <c r="A83">
        <f t="shared" si="14"/>
        <v>44</v>
      </c>
      <c r="B83" s="1" t="s">
        <v>82</v>
      </c>
      <c r="C83" s="1" t="s">
        <v>139</v>
      </c>
      <c r="D83" s="2">
        <v>42325</v>
      </c>
      <c r="E83" s="3">
        <v>32.800000000000004</v>
      </c>
      <c r="F83" s="4">
        <f t="shared" si="0"/>
        <v>4576.1003937007881</v>
      </c>
      <c r="G83" s="7">
        <v>8.7899999999999991</v>
      </c>
      <c r="H83" s="7">
        <v>232.65</v>
      </c>
      <c r="I83" s="7">
        <f t="shared" si="1"/>
        <v>223.86</v>
      </c>
      <c r="J83" s="7">
        <v>211.83</v>
      </c>
      <c r="K83" s="5">
        <f t="shared" si="2"/>
        <v>5.3738943982846425</v>
      </c>
      <c r="L83" s="4">
        <f t="shared" si="3"/>
        <v>4330.1855909838205</v>
      </c>
      <c r="M83" s="2">
        <v>42339</v>
      </c>
      <c r="N83" s="7">
        <v>3.56</v>
      </c>
      <c r="O83" s="7">
        <v>0.86</v>
      </c>
      <c r="P83" s="7">
        <f t="shared" si="4"/>
        <v>0.57999999999999996</v>
      </c>
      <c r="Q83" s="7">
        <v>0.9</v>
      </c>
      <c r="R83" s="6">
        <f t="shared" si="5"/>
        <v>0.35918038306364913</v>
      </c>
      <c r="S83" s="6">
        <f t="shared" si="6"/>
        <v>0.55734887027117974</v>
      </c>
      <c r="T83" s="6">
        <f t="shared" si="7"/>
        <v>8.347074666517118E-2</v>
      </c>
      <c r="U83" s="4">
        <f t="shared" si="8"/>
        <v>1643.6454923471647</v>
      </c>
      <c r="V83" s="4">
        <f t="shared" si="9"/>
        <v>2550.4843846766353</v>
      </c>
      <c r="W83" s="4">
        <f t="shared" si="10"/>
        <v>4194.1298770238</v>
      </c>
      <c r="X83" s="4">
        <f t="shared" si="11"/>
        <v>1555.3177193062625</v>
      </c>
      <c r="Y83" s="4">
        <f t="shared" si="12"/>
        <v>2413.424047199373</v>
      </c>
      <c r="Z83" s="4">
        <f t="shared" si="13"/>
        <v>3968.7417665056355</v>
      </c>
      <c r="AE83" s="3"/>
      <c r="AF83" s="3"/>
      <c r="AG83" s="7"/>
      <c r="AH83" s="7"/>
      <c r="AI83" s="7"/>
      <c r="AJ83" s="7"/>
      <c r="AK83" s="7"/>
      <c r="AL83" s="3"/>
      <c r="AM83" s="9"/>
      <c r="AN83" s="7"/>
      <c r="AO83" s="7"/>
      <c r="AP83" s="7"/>
      <c r="AQ83" s="7"/>
      <c r="AR83" s="9"/>
      <c r="AS83" s="9"/>
      <c r="AT83" s="9"/>
      <c r="AU83" s="3"/>
      <c r="AV83" s="3"/>
      <c r="AW83" s="3"/>
      <c r="AX83" s="3"/>
      <c r="AY83" s="3"/>
      <c r="AZ83" s="3"/>
    </row>
    <row r="84" spans="1:52" x14ac:dyDescent="0.3">
      <c r="A84">
        <f t="shared" si="14"/>
        <v>45</v>
      </c>
      <c r="B84" s="1" t="s">
        <v>83</v>
      </c>
      <c r="C84" s="1" t="s">
        <v>139</v>
      </c>
      <c r="D84" s="2">
        <v>42325</v>
      </c>
      <c r="E84" s="3">
        <v>26.7</v>
      </c>
      <c r="F84" s="4">
        <f t="shared" si="0"/>
        <v>3725.057332677165</v>
      </c>
      <c r="G84" s="7">
        <v>8.73</v>
      </c>
      <c r="H84" s="7">
        <v>200.43</v>
      </c>
      <c r="I84" s="7">
        <f t="shared" si="1"/>
        <v>191.70000000000002</v>
      </c>
      <c r="J84" s="7">
        <v>181.45</v>
      </c>
      <c r="K84" s="5">
        <f t="shared" si="2"/>
        <v>5.3468961919666294</v>
      </c>
      <c r="L84" s="4">
        <f t="shared" si="3"/>
        <v>3525.8823840076757</v>
      </c>
      <c r="M84" s="2">
        <v>42339</v>
      </c>
      <c r="N84" s="7">
        <v>3.44</v>
      </c>
      <c r="O84" s="7">
        <v>0.82</v>
      </c>
      <c r="P84" s="7">
        <f t="shared" si="4"/>
        <v>0.53999999999999992</v>
      </c>
      <c r="Q84" s="7">
        <v>0.82</v>
      </c>
      <c r="R84" s="6">
        <f t="shared" si="5"/>
        <v>0.34607476363349987</v>
      </c>
      <c r="S84" s="6">
        <f t="shared" si="6"/>
        <v>0.52552093736938876</v>
      </c>
      <c r="T84" s="6">
        <f t="shared" si="7"/>
        <v>0.12840429899711137</v>
      </c>
      <c r="U84" s="4">
        <f t="shared" si="8"/>
        <v>1289.1483359274853</v>
      </c>
      <c r="V84" s="4">
        <f t="shared" si="9"/>
        <v>1957.5956212232188</v>
      </c>
      <c r="W84" s="4">
        <f t="shared" si="10"/>
        <v>3246.7439571507039</v>
      </c>
      <c r="X84" s="4">
        <f t="shared" si="11"/>
        <v>1220.2189126449773</v>
      </c>
      <c r="Y84" s="4">
        <f t="shared" si="12"/>
        <v>1852.9250154979288</v>
      </c>
      <c r="Z84" s="4">
        <f t="shared" si="13"/>
        <v>3073.1439281429061</v>
      </c>
      <c r="AE84" s="3"/>
      <c r="AF84" s="3"/>
      <c r="AG84" s="7"/>
      <c r="AH84" s="7"/>
      <c r="AI84" s="7"/>
      <c r="AJ84" s="7"/>
      <c r="AK84" s="7"/>
      <c r="AL84" s="3"/>
      <c r="AM84" s="9"/>
      <c r="AN84" s="7"/>
      <c r="AO84" s="7"/>
      <c r="AP84" s="7"/>
      <c r="AQ84" s="7"/>
      <c r="AR84" s="9"/>
      <c r="AS84" s="9"/>
      <c r="AT84" s="9"/>
      <c r="AU84" s="3"/>
      <c r="AV84" s="3"/>
      <c r="AW84" s="3"/>
      <c r="AX84" s="3"/>
      <c r="AY84" s="3"/>
      <c r="AZ84" s="3"/>
    </row>
    <row r="85" spans="1:52" x14ac:dyDescent="0.3">
      <c r="A85">
        <f t="shared" si="14"/>
        <v>46</v>
      </c>
      <c r="B85" s="1" t="s">
        <v>84</v>
      </c>
      <c r="C85" s="1" t="s">
        <v>139</v>
      </c>
      <c r="D85" s="2">
        <v>42325</v>
      </c>
      <c r="E85" s="3">
        <v>27.2</v>
      </c>
      <c r="F85" s="4">
        <f t="shared" si="0"/>
        <v>3794.8149606299207</v>
      </c>
      <c r="G85" s="7">
        <v>8.77</v>
      </c>
      <c r="H85" s="7">
        <v>167.28</v>
      </c>
      <c r="I85" s="7">
        <f t="shared" si="1"/>
        <v>158.51</v>
      </c>
      <c r="J85" s="7">
        <v>149.63</v>
      </c>
      <c r="K85" s="5">
        <f t="shared" si="2"/>
        <v>5.6021702100813799</v>
      </c>
      <c r="L85" s="4">
        <f t="shared" si="3"/>
        <v>3582.2229673777997</v>
      </c>
      <c r="M85" s="2">
        <v>42339</v>
      </c>
      <c r="N85" s="7">
        <v>2.92</v>
      </c>
      <c r="O85" s="7">
        <v>0.76</v>
      </c>
      <c r="P85" s="7">
        <f t="shared" si="4"/>
        <v>0.48</v>
      </c>
      <c r="Q85" s="7">
        <v>0.72</v>
      </c>
      <c r="R85" s="6">
        <f t="shared" si="5"/>
        <v>0.36240401427678531</v>
      </c>
      <c r="S85" s="6">
        <f t="shared" si="6"/>
        <v>0.543606021415178</v>
      </c>
      <c r="T85" s="6">
        <f t="shared" si="7"/>
        <v>9.3989964308036744E-2</v>
      </c>
      <c r="U85" s="4">
        <f t="shared" si="8"/>
        <v>1375.2561751698843</v>
      </c>
      <c r="V85" s="4">
        <f t="shared" si="9"/>
        <v>2062.8842627548265</v>
      </c>
      <c r="W85" s="4">
        <f t="shared" si="10"/>
        <v>3438.1404379247106</v>
      </c>
      <c r="X85" s="4">
        <f t="shared" si="11"/>
        <v>1298.2119834122125</v>
      </c>
      <c r="Y85" s="4">
        <f t="shared" si="12"/>
        <v>1947.3179751183186</v>
      </c>
      <c r="Z85" s="4">
        <f t="shared" si="13"/>
        <v>3245.5299585305311</v>
      </c>
      <c r="AE85" s="3"/>
      <c r="AF85" s="3"/>
      <c r="AG85" s="7"/>
      <c r="AH85" s="7"/>
      <c r="AI85" s="7"/>
      <c r="AJ85" s="7"/>
      <c r="AK85" s="7"/>
      <c r="AL85" s="3"/>
      <c r="AM85" s="9"/>
      <c r="AN85" s="7"/>
      <c r="AO85" s="7"/>
      <c r="AP85" s="7"/>
      <c r="AQ85" s="7"/>
      <c r="AR85" s="9"/>
      <c r="AS85" s="9"/>
      <c r="AT85" s="9"/>
      <c r="AU85" s="3"/>
      <c r="AV85" s="3"/>
      <c r="AW85" s="3"/>
      <c r="AX85" s="3"/>
      <c r="AY85" s="3"/>
      <c r="AZ85" s="3"/>
    </row>
    <row r="86" spans="1:52" x14ac:dyDescent="0.3">
      <c r="A86">
        <f t="shared" si="14"/>
        <v>47</v>
      </c>
      <c r="B86" s="1" t="s">
        <v>85</v>
      </c>
      <c r="C86" s="1" t="s">
        <v>139</v>
      </c>
      <c r="D86" s="2">
        <v>42325</v>
      </c>
      <c r="E86" s="3">
        <v>29.900000000000002</v>
      </c>
      <c r="F86" s="4">
        <f t="shared" si="0"/>
        <v>4171.506151574803</v>
      </c>
      <c r="G86" s="7">
        <v>8.77</v>
      </c>
      <c r="H86" s="7">
        <v>205.61</v>
      </c>
      <c r="I86" s="7">
        <f t="shared" si="1"/>
        <v>196.84</v>
      </c>
      <c r="J86" s="7">
        <v>186.12</v>
      </c>
      <c r="K86" s="5">
        <f t="shared" si="2"/>
        <v>5.4460475513107083</v>
      </c>
      <c r="L86" s="4">
        <f t="shared" si="3"/>
        <v>3944.3239429541877</v>
      </c>
      <c r="M86" s="2">
        <v>42339</v>
      </c>
      <c r="N86" s="7">
        <v>3.9</v>
      </c>
      <c r="O86" s="7">
        <v>0.92</v>
      </c>
      <c r="P86" s="7">
        <f t="shared" si="4"/>
        <v>0.64</v>
      </c>
      <c r="Q86" s="7">
        <v>0.96</v>
      </c>
      <c r="R86" s="6">
        <f t="shared" si="5"/>
        <v>0.36178452023528657</v>
      </c>
      <c r="S86" s="6">
        <f t="shared" si="6"/>
        <v>0.54267678035292988</v>
      </c>
      <c r="T86" s="6">
        <f t="shared" si="7"/>
        <v>9.5538699411783612E-2</v>
      </c>
      <c r="U86" s="4">
        <f t="shared" si="8"/>
        <v>1509.1863517060367</v>
      </c>
      <c r="V86" s="4">
        <f t="shared" si="9"/>
        <v>2263.7795275590552</v>
      </c>
      <c r="W86" s="4">
        <f t="shared" si="10"/>
        <v>3772.9658792650916</v>
      </c>
      <c r="X86" s="4">
        <f t="shared" si="11"/>
        <v>1426.9953453542346</v>
      </c>
      <c r="Y86" s="4">
        <f t="shared" si="12"/>
        <v>2140.4930180313522</v>
      </c>
      <c r="Z86" s="4">
        <f t="shared" si="13"/>
        <v>3567.488363385587</v>
      </c>
      <c r="AE86" s="3"/>
      <c r="AF86" s="3"/>
      <c r="AG86" s="7"/>
      <c r="AH86" s="7"/>
      <c r="AI86" s="7"/>
      <c r="AJ86" s="7"/>
      <c r="AK86" s="7"/>
      <c r="AL86" s="3"/>
      <c r="AM86" s="9"/>
      <c r="AN86" s="7"/>
      <c r="AO86" s="7"/>
      <c r="AP86" s="7"/>
      <c r="AQ86" s="7"/>
      <c r="AR86" s="9"/>
      <c r="AS86" s="9"/>
      <c r="AT86" s="9"/>
      <c r="AU86" s="3"/>
      <c r="AV86" s="3"/>
      <c r="AW86" s="3"/>
      <c r="AX86" s="3"/>
      <c r="AY86" s="3"/>
      <c r="AZ86" s="3"/>
    </row>
    <row r="87" spans="1:52" x14ac:dyDescent="0.3">
      <c r="A87">
        <f t="shared" si="14"/>
        <v>48</v>
      </c>
      <c r="B87" s="1" t="s">
        <v>86</v>
      </c>
      <c r="C87" s="1" t="s">
        <v>139</v>
      </c>
      <c r="D87" s="2">
        <v>42325</v>
      </c>
      <c r="E87" s="3">
        <v>30.7</v>
      </c>
      <c r="F87" s="4">
        <f t="shared" si="0"/>
        <v>4283.1183562992128</v>
      </c>
      <c r="G87" s="7">
        <v>8.7200000000000006</v>
      </c>
      <c r="H87" s="7">
        <v>252.83</v>
      </c>
      <c r="I87" s="7">
        <f t="shared" si="1"/>
        <v>244.11</v>
      </c>
      <c r="J87" s="7">
        <v>231.42</v>
      </c>
      <c r="K87" s="5">
        <f t="shared" si="2"/>
        <v>5.1984760968415982</v>
      </c>
      <c r="L87" s="4">
        <f t="shared" si="3"/>
        <v>4060.4614723475634</v>
      </c>
      <c r="M87" s="2">
        <v>42339</v>
      </c>
      <c r="N87" s="7">
        <v>2.86</v>
      </c>
      <c r="O87" s="7">
        <v>0.74</v>
      </c>
      <c r="P87" s="7">
        <f t="shared" si="4"/>
        <v>0.45999999999999996</v>
      </c>
      <c r="Q87" s="7">
        <v>0.7</v>
      </c>
      <c r="R87" s="6">
        <f t="shared" si="5"/>
        <v>0.35458994170788033</v>
      </c>
      <c r="S87" s="6">
        <f t="shared" si="6"/>
        <v>0.53959338955547009</v>
      </c>
      <c r="T87" s="6">
        <f t="shared" si="7"/>
        <v>0.10581666873664952</v>
      </c>
      <c r="U87" s="4">
        <f t="shared" si="8"/>
        <v>1518.75068828809</v>
      </c>
      <c r="V87" s="4">
        <f t="shared" si="9"/>
        <v>2311.1423517427461</v>
      </c>
      <c r="W87" s="4">
        <f t="shared" si="10"/>
        <v>3829.8930400308363</v>
      </c>
      <c r="X87" s="4">
        <f t="shared" si="11"/>
        <v>1439.7987967868164</v>
      </c>
      <c r="Y87" s="4">
        <f t="shared" si="12"/>
        <v>2190.9981690234163</v>
      </c>
      <c r="Z87" s="4">
        <f t="shared" si="13"/>
        <v>3630.7969658102329</v>
      </c>
      <c r="AE87" s="3"/>
      <c r="AF87" s="3"/>
      <c r="AG87" s="7"/>
      <c r="AH87" s="7"/>
      <c r="AI87" s="7"/>
      <c r="AJ87" s="7"/>
      <c r="AK87" s="7"/>
      <c r="AL87" s="3"/>
      <c r="AM87" s="9"/>
      <c r="AN87" s="7"/>
      <c r="AO87" s="7"/>
      <c r="AP87" s="7"/>
      <c r="AQ87" s="7"/>
      <c r="AR87" s="9"/>
      <c r="AS87" s="9"/>
      <c r="AT87" s="9"/>
      <c r="AU87" s="3"/>
      <c r="AV87" s="3"/>
      <c r="AW87" s="3"/>
      <c r="AX87" s="3"/>
      <c r="AY87" s="3"/>
      <c r="AZ87" s="3"/>
    </row>
    <row r="88" spans="1:52" x14ac:dyDescent="0.3">
      <c r="A88">
        <f t="shared" si="14"/>
        <v>49</v>
      </c>
      <c r="B88" s="1" t="s">
        <v>87</v>
      </c>
      <c r="C88" s="1" t="s">
        <v>139</v>
      </c>
      <c r="D88" s="2">
        <v>42325</v>
      </c>
      <c r="E88" s="3">
        <v>26.2</v>
      </c>
      <c r="F88" s="4">
        <f t="shared" si="0"/>
        <v>3655.2997047244089</v>
      </c>
      <c r="G88" s="7">
        <v>7.8</v>
      </c>
      <c r="H88" s="7">
        <v>232.46</v>
      </c>
      <c r="I88" s="7">
        <f t="shared" si="1"/>
        <v>224.66</v>
      </c>
      <c r="J88" s="7">
        <v>211.9</v>
      </c>
      <c r="K88" s="5">
        <f t="shared" si="2"/>
        <v>5.6796937594587336</v>
      </c>
      <c r="L88" s="4">
        <f t="shared" si="3"/>
        <v>3447.6898755056632</v>
      </c>
      <c r="M88" s="2">
        <v>42339</v>
      </c>
      <c r="N88" s="7">
        <v>3.86</v>
      </c>
      <c r="O88" s="7">
        <v>0.9</v>
      </c>
      <c r="P88" s="7">
        <f t="shared" si="4"/>
        <v>0.62</v>
      </c>
      <c r="Q88" s="7">
        <v>0.96</v>
      </c>
      <c r="R88" s="6">
        <f t="shared" si="5"/>
        <v>0.3541106581642337</v>
      </c>
      <c r="S88" s="6">
        <f t="shared" si="6"/>
        <v>0.54830037393171671</v>
      </c>
      <c r="T88" s="6">
        <f t="shared" si="7"/>
        <v>9.7588967904049584E-2</v>
      </c>
      <c r="U88" s="4">
        <f t="shared" si="8"/>
        <v>1294.3805842274896</v>
      </c>
      <c r="V88" s="4">
        <f t="shared" si="9"/>
        <v>2004.2021949328871</v>
      </c>
      <c r="W88" s="4">
        <f t="shared" si="10"/>
        <v>3298.582779160377</v>
      </c>
      <c r="X88" s="4">
        <f t="shared" si="11"/>
        <v>1220.8637309614753</v>
      </c>
      <c r="Y88" s="4">
        <f t="shared" si="12"/>
        <v>1890.3696479403488</v>
      </c>
      <c r="Z88" s="4">
        <f t="shared" si="13"/>
        <v>3111.2333789018239</v>
      </c>
      <c r="AE88" s="3"/>
      <c r="AF88" s="3"/>
      <c r="AG88" s="7"/>
      <c r="AH88" s="7"/>
      <c r="AI88" s="7"/>
      <c r="AJ88" s="7"/>
      <c r="AK88" s="7"/>
      <c r="AL88" s="3"/>
      <c r="AM88" s="9"/>
      <c r="AN88" s="7"/>
      <c r="AO88" s="7"/>
      <c r="AP88" s="7"/>
      <c r="AQ88" s="7"/>
      <c r="AR88" s="9"/>
      <c r="AS88" s="9"/>
      <c r="AT88" s="9"/>
      <c r="AU88" s="3"/>
      <c r="AV88" s="3"/>
      <c r="AW88" s="3"/>
      <c r="AX88" s="3"/>
      <c r="AY88" s="3"/>
      <c r="AZ88" s="3"/>
    </row>
    <row r="89" spans="1:52" x14ac:dyDescent="0.3">
      <c r="A89">
        <f t="shared" si="14"/>
        <v>50</v>
      </c>
      <c r="B89" s="1" t="s">
        <v>88</v>
      </c>
      <c r="C89" s="1" t="s">
        <v>139</v>
      </c>
      <c r="D89" s="2">
        <v>42325</v>
      </c>
      <c r="E89" s="3">
        <v>21.8</v>
      </c>
      <c r="F89" s="4">
        <f t="shared" si="0"/>
        <v>3041.4325787401576</v>
      </c>
      <c r="G89" s="7">
        <v>8.7799999999999994</v>
      </c>
      <c r="H89" s="7">
        <v>224.29</v>
      </c>
      <c r="I89" s="7">
        <f t="shared" si="1"/>
        <v>215.51</v>
      </c>
      <c r="J89" s="7">
        <v>203.22</v>
      </c>
      <c r="K89" s="5">
        <f t="shared" si="2"/>
        <v>5.7027516124541755</v>
      </c>
      <c r="L89" s="4">
        <f t="shared" si="3"/>
        <v>2867.9872333143467</v>
      </c>
      <c r="M89" s="2">
        <v>42339</v>
      </c>
      <c r="N89" s="7">
        <v>3.42</v>
      </c>
      <c r="O89" s="7">
        <v>0.82</v>
      </c>
      <c r="P89" s="7">
        <f t="shared" si="4"/>
        <v>0.53999999999999992</v>
      </c>
      <c r="Q89" s="7">
        <v>0.82</v>
      </c>
      <c r="R89" s="6">
        <f t="shared" si="5"/>
        <v>0.3480985926605964</v>
      </c>
      <c r="S89" s="6">
        <f t="shared" si="6"/>
        <v>0.52859415922535014</v>
      </c>
      <c r="T89" s="6">
        <f t="shared" si="7"/>
        <v>0.12330724811405347</v>
      </c>
      <c r="U89" s="4">
        <f t="shared" si="8"/>
        <v>1058.7184003315374</v>
      </c>
      <c r="V89" s="4">
        <f t="shared" si="9"/>
        <v>1607.6834967997422</v>
      </c>
      <c r="W89" s="4">
        <f t="shared" si="10"/>
        <v>2666.4018971312798</v>
      </c>
      <c r="X89" s="4">
        <f t="shared" si="11"/>
        <v>998.34231968528161</v>
      </c>
      <c r="Y89" s="4">
        <f t="shared" si="12"/>
        <v>1516.0013002628352</v>
      </c>
      <c r="Z89" s="4">
        <f t="shared" si="13"/>
        <v>2514.3436199481166</v>
      </c>
      <c r="AE89" s="3"/>
      <c r="AF89" s="3"/>
      <c r="AG89" s="7"/>
      <c r="AH89" s="7"/>
      <c r="AI89" s="7"/>
      <c r="AJ89" s="7"/>
      <c r="AK89" s="7"/>
      <c r="AL89" s="3"/>
      <c r="AM89" s="9"/>
      <c r="AN89" s="7"/>
      <c r="AO89" s="7"/>
      <c r="AP89" s="7"/>
      <c r="AQ89" s="7"/>
      <c r="AR89" s="9"/>
      <c r="AS89" s="9"/>
      <c r="AT89" s="9"/>
      <c r="AU89" s="3"/>
      <c r="AV89" s="3"/>
      <c r="AW89" s="3"/>
      <c r="AX89" s="3"/>
      <c r="AY89" s="3"/>
      <c r="AZ89" s="3"/>
    </row>
    <row r="90" spans="1:52" x14ac:dyDescent="0.3">
      <c r="A90">
        <f t="shared" si="14"/>
        <v>51</v>
      </c>
      <c r="B90" s="1" t="s">
        <v>89</v>
      </c>
      <c r="C90" s="1" t="s">
        <v>139</v>
      </c>
      <c r="D90" s="2">
        <v>42325</v>
      </c>
      <c r="E90" s="3">
        <v>48.800000000000004</v>
      </c>
      <c r="F90" s="4">
        <f t="shared" si="0"/>
        <v>6808.3444881889764</v>
      </c>
      <c r="G90" s="7">
        <v>8.8699999999999992</v>
      </c>
      <c r="H90" s="7">
        <v>198.79</v>
      </c>
      <c r="I90" s="7">
        <f t="shared" si="1"/>
        <v>189.92</v>
      </c>
      <c r="J90" s="7">
        <v>179.11</v>
      </c>
      <c r="K90" s="5">
        <f t="shared" si="2"/>
        <v>5.6918702611625811</v>
      </c>
      <c r="L90" s="4">
        <f t="shared" si="3"/>
        <v>6420.8223529882462</v>
      </c>
      <c r="M90" s="2">
        <v>42339</v>
      </c>
      <c r="N90" s="7">
        <v>2.84</v>
      </c>
      <c r="O90" s="7">
        <v>0.72</v>
      </c>
      <c r="P90" s="7">
        <f t="shared" si="4"/>
        <v>0.43999999999999995</v>
      </c>
      <c r="Q90" s="7">
        <v>0.7</v>
      </c>
      <c r="R90" s="6">
        <f t="shared" si="5"/>
        <v>0.34156152988762745</v>
      </c>
      <c r="S90" s="6">
        <f t="shared" si="6"/>
        <v>0.54339334300304376</v>
      </c>
      <c r="T90" s="6">
        <f t="shared" si="7"/>
        <v>0.11504512710932879</v>
      </c>
      <c r="U90" s="4">
        <f t="shared" si="8"/>
        <v>2325.4685593878226</v>
      </c>
      <c r="V90" s="4">
        <f t="shared" si="9"/>
        <v>3699.6090717533548</v>
      </c>
      <c r="W90" s="4">
        <f t="shared" si="10"/>
        <v>6025.0776311411773</v>
      </c>
      <c r="X90" s="4">
        <f t="shared" si="11"/>
        <v>2193.105906023341</v>
      </c>
      <c r="Y90" s="4">
        <f t="shared" si="12"/>
        <v>3489.0321232189526</v>
      </c>
      <c r="Z90" s="4">
        <f t="shared" si="13"/>
        <v>5682.1380292422937</v>
      </c>
      <c r="AB90" t="s">
        <v>32</v>
      </c>
      <c r="AC90" t="str">
        <f>C90</f>
        <v>Machine</v>
      </c>
      <c r="AD90" s="8">
        <f>D90</f>
        <v>42325</v>
      </c>
      <c r="AE90" s="3">
        <f>SUM(E90:E99)</f>
        <v>494.9</v>
      </c>
      <c r="AF90" s="3">
        <f>AE90*$A$29/($A$30*10)*$A$31</f>
        <v>6904.610014763779</v>
      </c>
      <c r="AG90" s="7">
        <f>SUM(G90:G99)</f>
        <v>87.950000000000017</v>
      </c>
      <c r="AH90" s="7">
        <f>SUM(H90:H99)</f>
        <v>2265.1999999999998</v>
      </c>
      <c r="AI90" s="7">
        <f>AH90-AG90</f>
        <v>2177.25</v>
      </c>
      <c r="AJ90" s="7">
        <f>SUM(J90:J99)</f>
        <v>2049.3000000000002</v>
      </c>
      <c r="AK90" s="7">
        <f>(AI90-AJ90)/AI90*100</f>
        <v>5.8766792972786686</v>
      </c>
      <c r="AL90" s="3">
        <f>AF90*(1-AK90/100)</f>
        <v>6498.8482274683265</v>
      </c>
      <c r="AM90" s="11">
        <f>M90</f>
        <v>42339</v>
      </c>
      <c r="AN90" s="7">
        <f>SUM(N90:N99)</f>
        <v>32.6</v>
      </c>
      <c r="AO90" s="7">
        <f>SUM(O90:O99)</f>
        <v>8</v>
      </c>
      <c r="AP90" s="7">
        <f>AO90-10*$A$32</f>
        <v>5.1999999999999993</v>
      </c>
      <c r="AQ90" s="7">
        <f>SUM(Q90:Q99)</f>
        <v>7.8</v>
      </c>
      <c r="AR90" s="9">
        <f>AP90/(AN90*$A$29)</f>
        <v>0.35165788297409944</v>
      </c>
      <c r="AS90" s="9">
        <f>AQ90/(AN90*$A$29)</f>
        <v>0.52748682446114925</v>
      </c>
      <c r="AT90" s="9">
        <f>1-AR90-AS90</f>
        <v>0.12085529256475125</v>
      </c>
      <c r="AU90" s="3">
        <f>AF90*AR90</f>
        <v>2428.0605405535962</v>
      </c>
      <c r="AV90" s="3">
        <f>AF90*AS90</f>
        <v>3642.0908108303947</v>
      </c>
      <c r="AW90" s="3">
        <f>AU90+AV90</f>
        <v>6070.1513513839909</v>
      </c>
      <c r="AX90" s="3">
        <f>AL90*AR90</f>
        <v>2285.3712094414905</v>
      </c>
      <c r="AY90" s="3">
        <f>AL90*AS90</f>
        <v>3428.0568141622362</v>
      </c>
      <c r="AZ90" s="3">
        <f>AX90+AY90</f>
        <v>5713.4280236037266</v>
      </c>
    </row>
    <row r="91" spans="1:52" x14ac:dyDescent="0.3">
      <c r="A91">
        <f t="shared" si="14"/>
        <v>52</v>
      </c>
      <c r="B91" s="1" t="s">
        <v>90</v>
      </c>
      <c r="C91" s="1" t="s">
        <v>139</v>
      </c>
      <c r="D91" s="2">
        <v>42325</v>
      </c>
      <c r="E91" s="3">
        <v>50.9</v>
      </c>
      <c r="F91" s="4">
        <f t="shared" si="0"/>
        <v>7101.3265255905499</v>
      </c>
      <c r="G91" s="7">
        <v>8.81</v>
      </c>
      <c r="H91" s="7">
        <v>203.77</v>
      </c>
      <c r="I91" s="7">
        <f t="shared" si="1"/>
        <v>194.96</v>
      </c>
      <c r="J91" s="7">
        <v>184.59</v>
      </c>
      <c r="K91" s="5">
        <f t="shared" si="2"/>
        <v>5.3190398030365227</v>
      </c>
      <c r="L91" s="4">
        <f t="shared" si="3"/>
        <v>6723.6041411507986</v>
      </c>
      <c r="M91" s="2">
        <v>42339</v>
      </c>
      <c r="N91" s="7">
        <v>3.6</v>
      </c>
      <c r="O91" s="7">
        <v>0.86</v>
      </c>
      <c r="P91" s="7">
        <f t="shared" si="4"/>
        <v>0.57999999999999996</v>
      </c>
      <c r="Q91" s="7">
        <v>0.86</v>
      </c>
      <c r="R91" s="6">
        <f t="shared" si="5"/>
        <v>0.35518948991849747</v>
      </c>
      <c r="S91" s="6">
        <f t="shared" si="6"/>
        <v>0.52666027815501348</v>
      </c>
      <c r="T91" s="6">
        <f t="shared" si="7"/>
        <v>0.11815023192648899</v>
      </c>
      <c r="U91" s="4">
        <f t="shared" si="8"/>
        <v>2522.3165463692035</v>
      </c>
      <c r="V91" s="4">
        <f t="shared" si="9"/>
        <v>3739.9866032370946</v>
      </c>
      <c r="W91" s="4">
        <f t="shared" si="10"/>
        <v>6262.3031496062977</v>
      </c>
      <c r="X91" s="4">
        <f t="shared" si="11"/>
        <v>2388.1535253092493</v>
      </c>
      <c r="Y91" s="4">
        <f t="shared" si="12"/>
        <v>3541.05522718268</v>
      </c>
      <c r="Z91" s="4">
        <f t="shared" si="13"/>
        <v>5929.2087524919298</v>
      </c>
      <c r="AE91" s="3"/>
      <c r="AF91" s="3"/>
      <c r="AG91" s="7"/>
      <c r="AH91" s="7"/>
      <c r="AI91" s="7"/>
      <c r="AJ91" s="7"/>
      <c r="AK91" s="7"/>
      <c r="AL91" s="3"/>
      <c r="AM91" s="9"/>
      <c r="AN91" s="7"/>
      <c r="AO91" s="7"/>
      <c r="AP91" s="7"/>
      <c r="AQ91" s="7"/>
      <c r="AR91" s="9"/>
      <c r="AS91" s="9"/>
      <c r="AT91" s="9"/>
      <c r="AU91" s="3"/>
      <c r="AV91" s="3"/>
      <c r="AW91" s="3"/>
      <c r="AX91" s="3"/>
      <c r="AY91" s="3"/>
      <c r="AZ91" s="3"/>
    </row>
    <row r="92" spans="1:52" x14ac:dyDescent="0.3">
      <c r="A92">
        <f t="shared" si="14"/>
        <v>53</v>
      </c>
      <c r="B92" s="1" t="s">
        <v>91</v>
      </c>
      <c r="C92" s="1" t="s">
        <v>139</v>
      </c>
      <c r="D92" s="2">
        <v>42325</v>
      </c>
      <c r="E92" s="3">
        <v>52.300000000000004</v>
      </c>
      <c r="F92" s="4">
        <f t="shared" si="0"/>
        <v>7296.647883858268</v>
      </c>
      <c r="G92" s="7">
        <v>8.84</v>
      </c>
      <c r="H92" s="7">
        <v>207.89</v>
      </c>
      <c r="I92" s="7">
        <f t="shared" si="1"/>
        <v>199.04999999999998</v>
      </c>
      <c r="J92" s="7">
        <v>187.82</v>
      </c>
      <c r="K92" s="5">
        <f t="shared" si="2"/>
        <v>5.6417985430796236</v>
      </c>
      <c r="L92" s="4">
        <f t="shared" si="3"/>
        <v>6884.985709853102</v>
      </c>
      <c r="M92" s="2">
        <v>42339</v>
      </c>
      <c r="N92" s="7">
        <v>2.72</v>
      </c>
      <c r="O92" s="7">
        <v>0.72</v>
      </c>
      <c r="P92" s="7">
        <f t="shared" si="4"/>
        <v>0.43999999999999995</v>
      </c>
      <c r="Q92" s="7">
        <v>0.66</v>
      </c>
      <c r="R92" s="6">
        <f t="shared" si="5"/>
        <v>0.35663042091208158</v>
      </c>
      <c r="S92" s="6">
        <f t="shared" si="6"/>
        <v>0.53494563136812245</v>
      </c>
      <c r="T92" s="6">
        <f t="shared" si="7"/>
        <v>0.10842394771979591</v>
      </c>
      <c r="U92" s="4">
        <f t="shared" si="8"/>
        <v>2602.2066060676234</v>
      </c>
      <c r="V92" s="4">
        <f t="shared" si="9"/>
        <v>3903.309909101436</v>
      </c>
      <c r="W92" s="4">
        <f t="shared" si="10"/>
        <v>6505.5165151690599</v>
      </c>
      <c r="X92" s="4">
        <f t="shared" si="11"/>
        <v>2455.3953516785787</v>
      </c>
      <c r="Y92" s="4">
        <f t="shared" si="12"/>
        <v>3683.0930275178684</v>
      </c>
      <c r="Z92" s="4">
        <f t="shared" si="13"/>
        <v>6138.4883791964476</v>
      </c>
      <c r="AE92" s="3"/>
      <c r="AF92" s="3"/>
      <c r="AG92" s="7"/>
      <c r="AH92" s="7"/>
      <c r="AI92" s="7"/>
      <c r="AJ92" s="7"/>
      <c r="AK92" s="7"/>
      <c r="AL92" s="3"/>
      <c r="AM92" s="9"/>
      <c r="AN92" s="7"/>
      <c r="AO92" s="7"/>
      <c r="AP92" s="7"/>
      <c r="AQ92" s="7"/>
      <c r="AR92" s="9"/>
      <c r="AS92" s="9"/>
      <c r="AT92" s="9"/>
      <c r="AU92" s="3"/>
      <c r="AV92" s="3"/>
      <c r="AW92" s="3"/>
      <c r="AX92" s="3"/>
      <c r="AY92" s="3"/>
      <c r="AZ92" s="3"/>
    </row>
    <row r="93" spans="1:52" x14ac:dyDescent="0.3">
      <c r="A93">
        <f t="shared" si="14"/>
        <v>54</v>
      </c>
      <c r="B93" s="1" t="s">
        <v>92</v>
      </c>
      <c r="C93" s="1" t="s">
        <v>139</v>
      </c>
      <c r="D93" s="2">
        <v>42325</v>
      </c>
      <c r="E93" s="3">
        <v>53.9</v>
      </c>
      <c r="F93" s="4">
        <f t="shared" si="0"/>
        <v>7519.8722933070858</v>
      </c>
      <c r="G93" s="7">
        <v>8.81</v>
      </c>
      <c r="H93" s="7">
        <v>252.39</v>
      </c>
      <c r="I93" s="7">
        <f t="shared" si="1"/>
        <v>243.57999999999998</v>
      </c>
      <c r="J93" s="7">
        <v>228.11</v>
      </c>
      <c r="K93" s="5">
        <f t="shared" si="2"/>
        <v>6.35109614910911</v>
      </c>
      <c r="L93" s="4">
        <f t="shared" si="3"/>
        <v>7042.2779736689363</v>
      </c>
      <c r="M93" s="2">
        <v>42339</v>
      </c>
      <c r="N93" s="7">
        <v>3.6</v>
      </c>
      <c r="O93" s="7">
        <v>0.84</v>
      </c>
      <c r="P93" s="7">
        <f t="shared" si="4"/>
        <v>0.55999999999999994</v>
      </c>
      <c r="Q93" s="7">
        <v>0.86</v>
      </c>
      <c r="R93" s="6">
        <f t="shared" si="5"/>
        <v>0.34294157647303203</v>
      </c>
      <c r="S93" s="6">
        <f t="shared" si="6"/>
        <v>0.52666027815501348</v>
      </c>
      <c r="T93" s="6">
        <f t="shared" si="7"/>
        <v>0.13039814537195449</v>
      </c>
      <c r="U93" s="4">
        <f t="shared" si="8"/>
        <v>2578.8768591426069</v>
      </c>
      <c r="V93" s="4">
        <f t="shared" si="9"/>
        <v>3960.4180336832887</v>
      </c>
      <c r="W93" s="4">
        <f t="shared" si="10"/>
        <v>6539.2948928258957</v>
      </c>
      <c r="X93" s="4">
        <f t="shared" si="11"/>
        <v>2415.0899102513345</v>
      </c>
      <c r="Y93" s="4">
        <f t="shared" si="12"/>
        <v>3708.8880764574069</v>
      </c>
      <c r="Z93" s="4">
        <f t="shared" si="13"/>
        <v>6123.9779867087418</v>
      </c>
      <c r="AE93" s="3"/>
      <c r="AF93" s="3"/>
      <c r="AG93" s="7"/>
      <c r="AH93" s="7"/>
      <c r="AI93" s="7"/>
      <c r="AJ93" s="7"/>
      <c r="AK93" s="7"/>
      <c r="AL93" s="3"/>
      <c r="AM93" s="9"/>
      <c r="AN93" s="7"/>
      <c r="AO93" s="7"/>
      <c r="AP93" s="7"/>
      <c r="AQ93" s="7"/>
      <c r="AR93" s="9"/>
      <c r="AS93" s="9"/>
      <c r="AT93" s="9"/>
      <c r="AU93" s="3"/>
      <c r="AV93" s="3"/>
      <c r="AW93" s="3"/>
      <c r="AX93" s="3"/>
      <c r="AY93" s="3"/>
      <c r="AZ93" s="3"/>
    </row>
    <row r="94" spans="1:52" x14ac:dyDescent="0.3">
      <c r="A94">
        <f t="shared" si="14"/>
        <v>55</v>
      </c>
      <c r="B94" s="1" t="s">
        <v>93</v>
      </c>
      <c r="C94" s="1" t="s">
        <v>139</v>
      </c>
      <c r="D94" s="2">
        <v>42325</v>
      </c>
      <c r="E94" s="3">
        <v>50.3</v>
      </c>
      <c r="F94" s="4">
        <f t="shared" si="0"/>
        <v>7017.6173720472434</v>
      </c>
      <c r="G94" s="7">
        <v>8.84</v>
      </c>
      <c r="H94" s="7">
        <v>233.71</v>
      </c>
      <c r="I94" s="7">
        <f t="shared" si="1"/>
        <v>224.87</v>
      </c>
      <c r="J94" s="7">
        <v>209.83</v>
      </c>
      <c r="K94" s="5">
        <f t="shared" si="2"/>
        <v>6.6883088006403666</v>
      </c>
      <c r="L94" s="4">
        <f t="shared" si="3"/>
        <v>6548.2574517573403</v>
      </c>
      <c r="M94" s="2">
        <v>42339</v>
      </c>
      <c r="N94" s="7">
        <v>3.22</v>
      </c>
      <c r="O94" s="7">
        <v>0.76</v>
      </c>
      <c r="P94" s="7">
        <f t="shared" si="4"/>
        <v>0.48</v>
      </c>
      <c r="Q94" s="7">
        <v>0.76</v>
      </c>
      <c r="R94" s="6">
        <f t="shared" si="5"/>
        <v>0.32863966512056308</v>
      </c>
      <c r="S94" s="6">
        <f t="shared" si="6"/>
        <v>0.52034613644089156</v>
      </c>
      <c r="T94" s="6">
        <f t="shared" si="7"/>
        <v>0.15101419843854536</v>
      </c>
      <c r="U94" s="4">
        <f t="shared" si="8"/>
        <v>2306.2674230938519</v>
      </c>
      <c r="V94" s="4">
        <f t="shared" si="9"/>
        <v>3651.5900865652657</v>
      </c>
      <c r="W94" s="4">
        <f t="shared" si="10"/>
        <v>5957.8575096591176</v>
      </c>
      <c r="X94" s="4">
        <f t="shared" si="11"/>
        <v>2152.0171360687641</v>
      </c>
      <c r="Y94" s="4">
        <f t="shared" si="12"/>
        <v>3407.3604654422097</v>
      </c>
      <c r="Z94" s="4">
        <f t="shared" si="13"/>
        <v>5559.3776015109743</v>
      </c>
      <c r="AE94" s="3"/>
      <c r="AF94" s="3"/>
      <c r="AG94" s="7"/>
      <c r="AH94" s="7"/>
      <c r="AI94" s="7"/>
      <c r="AJ94" s="7"/>
      <c r="AK94" s="7"/>
      <c r="AL94" s="3"/>
      <c r="AM94" s="9"/>
      <c r="AN94" s="7"/>
      <c r="AO94" s="7"/>
      <c r="AP94" s="7"/>
      <c r="AQ94" s="7"/>
      <c r="AR94" s="9"/>
      <c r="AS94" s="9"/>
      <c r="AT94" s="9"/>
      <c r="AU94" s="3"/>
      <c r="AV94" s="3"/>
      <c r="AW94" s="3"/>
      <c r="AX94" s="3"/>
      <c r="AY94" s="3"/>
      <c r="AZ94" s="3"/>
    </row>
    <row r="95" spans="1:52" x14ac:dyDescent="0.3">
      <c r="A95">
        <f t="shared" si="14"/>
        <v>56</v>
      </c>
      <c r="B95" s="1" t="s">
        <v>94</v>
      </c>
      <c r="C95" s="1" t="s">
        <v>139</v>
      </c>
      <c r="D95" s="2">
        <v>42325</v>
      </c>
      <c r="E95" s="3">
        <v>51.4</v>
      </c>
      <c r="F95" s="4">
        <f t="shared" si="0"/>
        <v>7171.0841535433065</v>
      </c>
      <c r="G95" s="7">
        <v>8.82</v>
      </c>
      <c r="H95" s="7">
        <v>181.29</v>
      </c>
      <c r="I95" s="7">
        <f t="shared" si="1"/>
        <v>172.47</v>
      </c>
      <c r="J95" s="7">
        <v>162.91999999999999</v>
      </c>
      <c r="K95" s="5">
        <f t="shared" si="2"/>
        <v>5.537194874470929</v>
      </c>
      <c r="L95" s="4">
        <f t="shared" si="3"/>
        <v>6774.0072493493099</v>
      </c>
      <c r="M95" s="2">
        <v>42339</v>
      </c>
      <c r="N95" s="7">
        <v>2.78</v>
      </c>
      <c r="O95" s="7">
        <v>0.74</v>
      </c>
      <c r="P95" s="7">
        <f t="shared" si="4"/>
        <v>0.45999999999999996</v>
      </c>
      <c r="Q95" s="7">
        <v>0.64</v>
      </c>
      <c r="R95" s="6">
        <f t="shared" si="5"/>
        <v>0.36479396880738768</v>
      </c>
      <c r="S95" s="6">
        <f t="shared" si="6"/>
        <v>0.50753943486245245</v>
      </c>
      <c r="T95" s="6">
        <f t="shared" si="7"/>
        <v>0.12766659633015986</v>
      </c>
      <c r="U95" s="4">
        <f t="shared" si="8"/>
        <v>2615.9682490228292</v>
      </c>
      <c r="V95" s="4">
        <f t="shared" si="9"/>
        <v>3639.6079986404579</v>
      </c>
      <c r="W95" s="4">
        <f t="shared" si="10"/>
        <v>6255.5762476632872</v>
      </c>
      <c r="X95" s="4">
        <f t="shared" si="11"/>
        <v>2471.1169892201501</v>
      </c>
      <c r="Y95" s="4">
        <f t="shared" si="12"/>
        <v>3438.0758110889046</v>
      </c>
      <c r="Z95" s="4">
        <f t="shared" si="13"/>
        <v>5909.1928003090543</v>
      </c>
      <c r="AE95" s="3"/>
      <c r="AF95" s="3"/>
      <c r="AG95" s="7"/>
      <c r="AH95" s="7"/>
      <c r="AI95" s="7"/>
      <c r="AJ95" s="7"/>
      <c r="AK95" s="7"/>
      <c r="AL95" s="3"/>
      <c r="AM95" s="9"/>
      <c r="AN95" s="7"/>
      <c r="AO95" s="7"/>
      <c r="AP95" s="7"/>
      <c r="AQ95" s="7"/>
      <c r="AR95" s="9"/>
      <c r="AS95" s="9"/>
      <c r="AT95" s="9"/>
      <c r="AU95" s="3"/>
      <c r="AV95" s="3"/>
      <c r="AW95" s="3"/>
      <c r="AX95" s="3"/>
      <c r="AY95" s="3"/>
      <c r="AZ95" s="3"/>
    </row>
    <row r="96" spans="1:52" x14ac:dyDescent="0.3">
      <c r="A96">
        <f t="shared" si="14"/>
        <v>57</v>
      </c>
      <c r="B96" s="1" t="s">
        <v>95</v>
      </c>
      <c r="C96" s="1" t="s">
        <v>139</v>
      </c>
      <c r="D96" s="2">
        <v>42325</v>
      </c>
      <c r="E96" s="3">
        <v>50.699999999999996</v>
      </c>
      <c r="F96" s="4">
        <f t="shared" si="0"/>
        <v>7073.4234744094483</v>
      </c>
      <c r="G96" s="7">
        <v>8.7799999999999994</v>
      </c>
      <c r="H96" s="7">
        <v>247.28</v>
      </c>
      <c r="I96" s="7">
        <f t="shared" si="1"/>
        <v>238.5</v>
      </c>
      <c r="J96" s="7">
        <v>223.49</v>
      </c>
      <c r="K96" s="5">
        <f t="shared" si="2"/>
        <v>6.2935010482180251</v>
      </c>
      <c r="L96" s="4">
        <f t="shared" si="3"/>
        <v>6628.2574939025899</v>
      </c>
      <c r="M96" s="2">
        <v>42339</v>
      </c>
      <c r="N96" s="7">
        <v>3.44</v>
      </c>
      <c r="O96" s="7">
        <v>0.84</v>
      </c>
      <c r="P96" s="7">
        <f t="shared" si="4"/>
        <v>0.55999999999999994</v>
      </c>
      <c r="Q96" s="7">
        <v>0.84</v>
      </c>
      <c r="R96" s="6">
        <f t="shared" si="5"/>
        <v>0.35889234747177767</v>
      </c>
      <c r="S96" s="6">
        <f t="shared" si="6"/>
        <v>0.53833852120766656</v>
      </c>
      <c r="T96" s="6">
        <f t="shared" si="7"/>
        <v>0.10276913132055576</v>
      </c>
      <c r="U96" s="4">
        <f t="shared" si="8"/>
        <v>2538.5975553927847</v>
      </c>
      <c r="V96" s="4">
        <f t="shared" si="9"/>
        <v>3807.8963330891775</v>
      </c>
      <c r="W96" s="4">
        <f t="shared" si="10"/>
        <v>6346.4938884819621</v>
      </c>
      <c r="X96" s="4">
        <f t="shared" si="11"/>
        <v>2378.8308916341025</v>
      </c>
      <c r="Y96" s="4">
        <f t="shared" si="12"/>
        <v>3568.2463374511544</v>
      </c>
      <c r="Z96" s="4">
        <f t="shared" si="13"/>
        <v>5947.0772290852565</v>
      </c>
      <c r="AE96" s="3"/>
      <c r="AF96" s="3"/>
      <c r="AG96" s="7"/>
      <c r="AH96" s="7"/>
      <c r="AI96" s="7"/>
      <c r="AJ96" s="7"/>
      <c r="AK96" s="7"/>
      <c r="AL96" s="3"/>
      <c r="AM96" s="9"/>
      <c r="AN96" s="7"/>
      <c r="AO96" s="7"/>
      <c r="AP96" s="7"/>
      <c r="AQ96" s="7"/>
      <c r="AR96" s="9"/>
      <c r="AS96" s="9"/>
      <c r="AT96" s="9"/>
      <c r="AU96" s="3"/>
      <c r="AV96" s="3"/>
      <c r="AW96" s="3"/>
      <c r="AX96" s="3"/>
      <c r="AY96" s="3"/>
      <c r="AZ96" s="3"/>
    </row>
    <row r="97" spans="1:52" x14ac:dyDescent="0.3">
      <c r="A97">
        <f t="shared" si="14"/>
        <v>58</v>
      </c>
      <c r="B97" s="1" t="s">
        <v>96</v>
      </c>
      <c r="C97" s="1" t="s">
        <v>139</v>
      </c>
      <c r="D97" s="2">
        <v>42325</v>
      </c>
      <c r="E97" s="3">
        <v>47.6</v>
      </c>
      <c r="F97" s="4">
        <f t="shared" si="0"/>
        <v>6640.9261811023625</v>
      </c>
      <c r="G97" s="7">
        <v>8.76</v>
      </c>
      <c r="H97" s="7">
        <v>279.97000000000003</v>
      </c>
      <c r="I97" s="7">
        <f t="shared" si="1"/>
        <v>271.21000000000004</v>
      </c>
      <c r="J97" s="7">
        <v>255.79</v>
      </c>
      <c r="K97" s="5">
        <f t="shared" si="2"/>
        <v>5.6856310608016081</v>
      </c>
      <c r="L97" s="4">
        <f t="shared" si="3"/>
        <v>6263.3476194247005</v>
      </c>
      <c r="M97" s="2">
        <v>42339</v>
      </c>
      <c r="N97" s="7">
        <v>3.86</v>
      </c>
      <c r="O97" s="7">
        <v>0.9</v>
      </c>
      <c r="P97" s="7">
        <f t="shared" si="4"/>
        <v>0.62</v>
      </c>
      <c r="Q97" s="7">
        <v>0.94</v>
      </c>
      <c r="R97" s="6">
        <f t="shared" si="5"/>
        <v>0.3541106581642337</v>
      </c>
      <c r="S97" s="6">
        <f t="shared" si="6"/>
        <v>0.53687744947480598</v>
      </c>
      <c r="T97" s="6">
        <f t="shared" si="7"/>
        <v>0.10901189236096032</v>
      </c>
      <c r="U97" s="4">
        <f t="shared" si="8"/>
        <v>2351.6227408102486</v>
      </c>
      <c r="V97" s="4">
        <f t="shared" si="9"/>
        <v>3565.3635102607</v>
      </c>
      <c r="W97" s="4">
        <f t="shared" si="10"/>
        <v>5916.9862510709481</v>
      </c>
      <c r="X97" s="4">
        <f t="shared" si="11"/>
        <v>2217.918147825867</v>
      </c>
      <c r="Y97" s="4">
        <f t="shared" si="12"/>
        <v>3362.6500950908307</v>
      </c>
      <c r="Z97" s="4">
        <f t="shared" si="13"/>
        <v>5580.5682429166973</v>
      </c>
      <c r="AE97" s="3"/>
      <c r="AF97" s="3"/>
      <c r="AG97" s="7"/>
      <c r="AH97" s="7"/>
      <c r="AI97" s="7"/>
      <c r="AJ97" s="7"/>
      <c r="AK97" s="7"/>
      <c r="AL97" s="3"/>
      <c r="AM97" s="9"/>
      <c r="AN97" s="7"/>
      <c r="AO97" s="7"/>
      <c r="AP97" s="7"/>
      <c r="AQ97" s="7"/>
      <c r="AR97" s="9"/>
      <c r="AS97" s="9"/>
      <c r="AT97" s="9"/>
      <c r="AU97" s="3"/>
      <c r="AV97" s="3"/>
      <c r="AW97" s="3"/>
      <c r="AX97" s="3"/>
      <c r="AY97" s="3"/>
      <c r="AZ97" s="3"/>
    </row>
    <row r="98" spans="1:52" x14ac:dyDescent="0.3">
      <c r="A98">
        <f t="shared" si="14"/>
        <v>59</v>
      </c>
      <c r="B98" s="1" t="s">
        <v>97</v>
      </c>
      <c r="C98" s="1" t="s">
        <v>139</v>
      </c>
      <c r="D98" s="2">
        <v>42325</v>
      </c>
      <c r="E98" s="3">
        <v>48.999999999999993</v>
      </c>
      <c r="F98" s="4">
        <f t="shared" si="0"/>
        <v>6836.247539370077</v>
      </c>
      <c r="G98" s="7">
        <v>8.7100000000000009</v>
      </c>
      <c r="H98" s="7">
        <v>204.39</v>
      </c>
      <c r="I98" s="7">
        <f t="shared" si="1"/>
        <v>195.67999999999998</v>
      </c>
      <c r="J98" s="7">
        <v>184.43</v>
      </c>
      <c r="K98" s="5">
        <f t="shared" si="2"/>
        <v>5.7491823385118419</v>
      </c>
      <c r="L98" s="4">
        <f t="shared" si="3"/>
        <v>6443.2192032196626</v>
      </c>
      <c r="M98" s="2">
        <v>42339</v>
      </c>
      <c r="N98" s="7">
        <v>2.84</v>
      </c>
      <c r="O98" s="7">
        <v>0.74</v>
      </c>
      <c r="P98" s="7">
        <f t="shared" si="4"/>
        <v>0.45999999999999996</v>
      </c>
      <c r="Q98" s="7">
        <v>0.66</v>
      </c>
      <c r="R98" s="6">
        <f t="shared" si="5"/>
        <v>0.35708705397342871</v>
      </c>
      <c r="S98" s="6">
        <f t="shared" si="6"/>
        <v>0.51234229483144123</v>
      </c>
      <c r="T98" s="6">
        <f t="shared" si="7"/>
        <v>0.13057065119513001</v>
      </c>
      <c r="U98" s="4">
        <f t="shared" si="8"/>
        <v>2441.135494066762</v>
      </c>
      <c r="V98" s="4">
        <f t="shared" si="9"/>
        <v>3502.4987523566588</v>
      </c>
      <c r="W98" s="4">
        <f t="shared" si="10"/>
        <v>5943.6342464234203</v>
      </c>
      <c r="X98" s="4">
        <f t="shared" si="11"/>
        <v>2300.7901633827319</v>
      </c>
      <c r="Y98" s="4">
        <f t="shared" si="12"/>
        <v>3301.133712679572</v>
      </c>
      <c r="Z98" s="4">
        <f t="shared" si="13"/>
        <v>5601.9238760623039</v>
      </c>
      <c r="AE98" s="3"/>
      <c r="AF98" s="3"/>
      <c r="AG98" s="7"/>
      <c r="AH98" s="7"/>
      <c r="AI98" s="7"/>
      <c r="AJ98" s="7"/>
      <c r="AK98" s="7"/>
      <c r="AL98" s="3"/>
      <c r="AM98" s="9"/>
      <c r="AN98" s="7"/>
      <c r="AO98" s="7"/>
      <c r="AP98" s="7"/>
      <c r="AQ98" s="7"/>
      <c r="AR98" s="9"/>
      <c r="AS98" s="9"/>
      <c r="AT98" s="9"/>
      <c r="AU98" s="3"/>
      <c r="AV98" s="3"/>
      <c r="AW98" s="3"/>
      <c r="AX98" s="3"/>
      <c r="AY98" s="3"/>
      <c r="AZ98" s="3"/>
    </row>
    <row r="99" spans="1:52" x14ac:dyDescent="0.3">
      <c r="A99">
        <f t="shared" si="14"/>
        <v>60</v>
      </c>
      <c r="B99" s="1" t="s">
        <v>98</v>
      </c>
      <c r="C99" s="1" t="s">
        <v>139</v>
      </c>
      <c r="D99" s="2">
        <v>42325</v>
      </c>
      <c r="E99" s="3">
        <v>39.999999999999993</v>
      </c>
      <c r="F99" s="4">
        <f t="shared" si="0"/>
        <v>5580.6102362204711</v>
      </c>
      <c r="G99" s="7">
        <v>8.7100000000000009</v>
      </c>
      <c r="H99" s="7">
        <v>255.72</v>
      </c>
      <c r="I99" s="7">
        <f t="shared" si="1"/>
        <v>247.01</v>
      </c>
      <c r="J99" s="7">
        <v>233.21</v>
      </c>
      <c r="K99" s="5">
        <f t="shared" si="2"/>
        <v>5.5868183474353197</v>
      </c>
      <c r="L99" s="4">
        <f t="shared" si="3"/>
        <v>5268.8316796444524</v>
      </c>
      <c r="M99" s="2">
        <v>42339</v>
      </c>
      <c r="N99" s="7">
        <v>3.7</v>
      </c>
      <c r="O99" s="7">
        <v>0.88</v>
      </c>
      <c r="P99" s="7">
        <f t="shared" si="4"/>
        <v>0.6</v>
      </c>
      <c r="Q99" s="7">
        <v>0.88</v>
      </c>
      <c r="R99" s="6">
        <f t="shared" si="5"/>
        <v>0.35750666273250442</v>
      </c>
      <c r="S99" s="6">
        <f t="shared" si="6"/>
        <v>0.52434310534100648</v>
      </c>
      <c r="T99" s="6">
        <f t="shared" si="7"/>
        <v>0.1181502319264891</v>
      </c>
      <c r="U99" s="4">
        <f t="shared" si="8"/>
        <v>1995.1053415620338</v>
      </c>
      <c r="V99" s="4">
        <f t="shared" si="9"/>
        <v>2926.1545009576494</v>
      </c>
      <c r="W99" s="4">
        <f t="shared" si="10"/>
        <v>4921.2598425196829</v>
      </c>
      <c r="X99" s="4">
        <f t="shared" si="11"/>
        <v>1883.6424302889841</v>
      </c>
      <c r="Y99" s="4">
        <f t="shared" si="12"/>
        <v>2762.6755644238433</v>
      </c>
      <c r="Z99" s="4">
        <f t="shared" si="13"/>
        <v>4646.3179947128274</v>
      </c>
      <c r="AE99" s="3"/>
      <c r="AF99" s="3"/>
      <c r="AG99" s="7"/>
      <c r="AH99" s="7"/>
      <c r="AI99" s="7"/>
      <c r="AJ99" s="7"/>
      <c r="AK99" s="7"/>
      <c r="AL99" s="3"/>
      <c r="AM99" s="9"/>
      <c r="AN99" s="7"/>
      <c r="AO99" s="7"/>
      <c r="AP99" s="7"/>
      <c r="AQ99" s="7"/>
      <c r="AR99" s="9"/>
      <c r="AS99" s="9"/>
      <c r="AT99" s="9"/>
      <c r="AU99" s="3"/>
      <c r="AV99" s="3"/>
      <c r="AW99" s="3"/>
      <c r="AX99" s="3"/>
      <c r="AY99" s="3"/>
      <c r="AZ99" s="3"/>
    </row>
    <row r="100" spans="1:52" x14ac:dyDescent="0.3">
      <c r="A100">
        <f t="shared" si="14"/>
        <v>61</v>
      </c>
      <c r="B100" s="1" t="s">
        <v>99</v>
      </c>
      <c r="C100" s="1" t="s">
        <v>139</v>
      </c>
      <c r="D100" s="2">
        <v>42325</v>
      </c>
      <c r="E100" s="3">
        <v>47.4</v>
      </c>
      <c r="F100" s="4">
        <f t="shared" si="0"/>
        <v>6613.0231299212592</v>
      </c>
      <c r="G100" s="7">
        <v>8.77</v>
      </c>
      <c r="H100" s="7">
        <v>237.78</v>
      </c>
      <c r="I100" s="7">
        <f t="shared" si="1"/>
        <v>229.01</v>
      </c>
      <c r="J100" s="7">
        <v>216.59</v>
      </c>
      <c r="K100" s="5">
        <f t="shared" si="2"/>
        <v>5.4233439587790873</v>
      </c>
      <c r="L100" s="4">
        <f t="shared" si="3"/>
        <v>6254.3761395120109</v>
      </c>
      <c r="M100" s="2">
        <v>42339</v>
      </c>
      <c r="N100" s="7">
        <v>3.54</v>
      </c>
      <c r="O100" s="7">
        <v>0.86</v>
      </c>
      <c r="P100" s="7">
        <f t="shared" si="4"/>
        <v>0.57999999999999996</v>
      </c>
      <c r="Q100" s="7">
        <v>0.88</v>
      </c>
      <c r="R100" s="6">
        <f t="shared" si="5"/>
        <v>0.36120965076457368</v>
      </c>
      <c r="S100" s="6">
        <f t="shared" si="6"/>
        <v>0.54804222874624975</v>
      </c>
      <c r="T100" s="6">
        <f t="shared" si="7"/>
        <v>9.0748120489176576E-2</v>
      </c>
      <c r="U100" s="4">
        <f t="shared" si="8"/>
        <v>2388.6877752569058</v>
      </c>
      <c r="V100" s="4">
        <f t="shared" si="9"/>
        <v>3624.2159348725472</v>
      </c>
      <c r="W100" s="4">
        <f t="shared" si="10"/>
        <v>6012.9037101294525</v>
      </c>
      <c r="X100" s="4">
        <f t="shared" si="11"/>
        <v>2259.1410211034158</v>
      </c>
      <c r="Y100" s="4">
        <f t="shared" si="12"/>
        <v>3427.6622389155277</v>
      </c>
      <c r="Z100" s="4">
        <f t="shared" si="13"/>
        <v>5686.8032600189435</v>
      </c>
      <c r="AB100" t="s">
        <v>33</v>
      </c>
      <c r="AC100" t="str">
        <f>C100</f>
        <v>Machine</v>
      </c>
      <c r="AD100" s="8">
        <f>D100</f>
        <v>42325</v>
      </c>
      <c r="AE100" s="3">
        <f>SUM(E100:E109)</f>
        <v>462.9</v>
      </c>
      <c r="AF100" s="3">
        <f>AE100*$A$29/($A$30*10)*$A$31</f>
        <v>6458.1611958661415</v>
      </c>
      <c r="AG100" s="7">
        <f>SUM(G100:G109)</f>
        <v>87.649999999999977</v>
      </c>
      <c r="AH100" s="7">
        <f>SUM(H100:H109)</f>
        <v>2363.9</v>
      </c>
      <c r="AI100" s="7">
        <f>AH100-AG100</f>
        <v>2276.25</v>
      </c>
      <c r="AJ100" s="7">
        <f>SUM(J100:J109)</f>
        <v>2155.4500000000003</v>
      </c>
      <c r="AK100" s="7">
        <f>(AI100-AJ100)/AI100*100</f>
        <v>5.3069741900054801</v>
      </c>
      <c r="AL100" s="3">
        <f>AF100*(1-AK100/100)</f>
        <v>6115.4282480525762</v>
      </c>
      <c r="AM100" s="11">
        <f>M100</f>
        <v>42339</v>
      </c>
      <c r="AN100" s="7">
        <f>SUM(N100:N109)</f>
        <v>32.479999999999997</v>
      </c>
      <c r="AO100" s="7">
        <f>SUM(O100:O109)</f>
        <v>8.1000000000000014</v>
      </c>
      <c r="AP100" s="7">
        <f>AO100-10*$A$32</f>
        <v>5.3000000000000007</v>
      </c>
      <c r="AQ100" s="7">
        <f>SUM(Q100:Q109)</f>
        <v>7.98</v>
      </c>
      <c r="AR100" s="9">
        <f>AP100/(AN100*$A$29)</f>
        <v>0.35974474836742687</v>
      </c>
      <c r="AS100" s="9">
        <f>AQ100/(AN100*$A$29)</f>
        <v>0.54165341357963515</v>
      </c>
      <c r="AT100" s="9">
        <f>1-AR100-AS100</f>
        <v>9.8601838052937985E-2</v>
      </c>
      <c r="AU100" s="3">
        <f>AF100*AR100</f>
        <v>2323.2895743231456</v>
      </c>
      <c r="AV100" s="3">
        <f>AF100*AS100</f>
        <v>3498.0850571884343</v>
      </c>
      <c r="AW100" s="3">
        <f>AU100+AV100</f>
        <v>5821.3746315115804</v>
      </c>
      <c r="AX100" s="3">
        <f>AL100*AR100</f>
        <v>2199.993196254728</v>
      </c>
      <c r="AY100" s="3">
        <f>AL100*AS100</f>
        <v>3312.4425860590059</v>
      </c>
      <c r="AZ100" s="3">
        <f>AX100+AY100</f>
        <v>5512.4357823137343</v>
      </c>
    </row>
    <row r="101" spans="1:52" x14ac:dyDescent="0.3">
      <c r="A101">
        <f t="shared" si="14"/>
        <v>62</v>
      </c>
      <c r="B101" s="1" t="s">
        <v>100</v>
      </c>
      <c r="C101" s="1" t="s">
        <v>139</v>
      </c>
      <c r="D101" s="2">
        <v>42325</v>
      </c>
      <c r="E101" s="3">
        <v>48.699999999999996</v>
      </c>
      <c r="F101" s="4">
        <f t="shared" si="0"/>
        <v>6794.3929625984247</v>
      </c>
      <c r="G101" s="7">
        <v>8.77</v>
      </c>
      <c r="H101" s="7">
        <v>242.54</v>
      </c>
      <c r="I101" s="7">
        <f t="shared" si="1"/>
        <v>233.76999999999998</v>
      </c>
      <c r="J101" s="7">
        <v>221.04</v>
      </c>
      <c r="K101" s="5">
        <f t="shared" si="2"/>
        <v>5.4455233776789109</v>
      </c>
      <c r="L101" s="4">
        <f t="shared" si="3"/>
        <v>6424.4027054487569</v>
      </c>
      <c r="M101" s="2">
        <v>42339</v>
      </c>
      <c r="N101" s="7">
        <v>3.06</v>
      </c>
      <c r="O101" s="7">
        <v>0.78</v>
      </c>
      <c r="P101" s="7">
        <f t="shared" si="4"/>
        <v>0.5</v>
      </c>
      <c r="Q101" s="7">
        <v>0.76</v>
      </c>
      <c r="R101" s="6">
        <f t="shared" si="5"/>
        <v>0.36023274839604208</v>
      </c>
      <c r="S101" s="6">
        <f t="shared" si="6"/>
        <v>0.54755377756198398</v>
      </c>
      <c r="T101" s="6">
        <f t="shared" si="7"/>
        <v>9.2213474041973886E-2</v>
      </c>
      <c r="U101" s="4">
        <f t="shared" si="8"/>
        <v>2447.5628505995574</v>
      </c>
      <c r="V101" s="4">
        <f t="shared" si="9"/>
        <v>3720.295532911327</v>
      </c>
      <c r="W101" s="4">
        <f t="shared" si="10"/>
        <v>6167.8583835108839</v>
      </c>
      <c r="X101" s="4">
        <f t="shared" si="11"/>
        <v>2314.2802433867741</v>
      </c>
      <c r="Y101" s="4">
        <f t="shared" si="12"/>
        <v>3517.7059699478968</v>
      </c>
      <c r="Z101" s="4">
        <f t="shared" si="13"/>
        <v>5831.9862133346705</v>
      </c>
      <c r="AE101" s="3"/>
      <c r="AF101" s="3"/>
      <c r="AG101" s="7"/>
      <c r="AH101" s="7"/>
      <c r="AI101" s="7"/>
      <c r="AJ101" s="7"/>
      <c r="AK101" s="7"/>
      <c r="AL101" s="3"/>
      <c r="AM101" s="9"/>
      <c r="AN101" s="7"/>
      <c r="AO101" s="7"/>
      <c r="AP101" s="7"/>
      <c r="AQ101" s="7"/>
      <c r="AR101" s="9"/>
      <c r="AS101" s="9"/>
      <c r="AT101" s="9"/>
      <c r="AU101" s="3"/>
      <c r="AV101" s="3"/>
      <c r="AW101" s="3"/>
      <c r="AX101" s="3"/>
      <c r="AY101" s="3"/>
      <c r="AZ101" s="3"/>
    </row>
    <row r="102" spans="1:52" x14ac:dyDescent="0.3">
      <c r="A102">
        <f t="shared" si="14"/>
        <v>63</v>
      </c>
      <c r="B102" s="1" t="s">
        <v>101</v>
      </c>
      <c r="C102" s="1" t="s">
        <v>139</v>
      </c>
      <c r="D102" s="2">
        <v>42325</v>
      </c>
      <c r="E102" s="3">
        <v>49.199999999999996</v>
      </c>
      <c r="F102" s="4">
        <f t="shared" si="0"/>
        <v>6864.1505905511804</v>
      </c>
      <c r="G102" s="7">
        <v>8.8000000000000007</v>
      </c>
      <c r="H102" s="7">
        <v>204.84</v>
      </c>
      <c r="I102" s="7">
        <f t="shared" si="1"/>
        <v>196.04</v>
      </c>
      <c r="J102" s="7">
        <v>184.53</v>
      </c>
      <c r="K102" s="5">
        <f t="shared" si="2"/>
        <v>5.8712507651499646</v>
      </c>
      <c r="L102" s="4">
        <f t="shared" si="3"/>
        <v>6461.1390964823986</v>
      </c>
      <c r="M102" s="2">
        <v>42339</v>
      </c>
      <c r="N102" s="7">
        <v>3.18</v>
      </c>
      <c r="O102" s="7">
        <v>0.76</v>
      </c>
      <c r="P102" s="7">
        <f t="shared" si="4"/>
        <v>0.48</v>
      </c>
      <c r="Q102" s="7">
        <v>0.76</v>
      </c>
      <c r="R102" s="6">
        <f t="shared" si="5"/>
        <v>0.33277349738623052</v>
      </c>
      <c r="S102" s="6">
        <f t="shared" si="6"/>
        <v>0.5268913708615317</v>
      </c>
      <c r="T102" s="6">
        <f t="shared" si="7"/>
        <v>0.14033513175223777</v>
      </c>
      <c r="U102" s="4">
        <f t="shared" si="8"/>
        <v>2284.2073986034761</v>
      </c>
      <c r="V102" s="4">
        <f t="shared" si="9"/>
        <v>3616.6617144555039</v>
      </c>
      <c r="W102" s="4">
        <f t="shared" si="10"/>
        <v>5900.8691130589796</v>
      </c>
      <c r="X102" s="4">
        <f t="shared" si="11"/>
        <v>2150.0958542353574</v>
      </c>
      <c r="Y102" s="4">
        <f t="shared" si="12"/>
        <v>3404.3184358726494</v>
      </c>
      <c r="Z102" s="4">
        <f t="shared" si="13"/>
        <v>5554.4142901080068</v>
      </c>
      <c r="AE102" s="3"/>
      <c r="AF102" s="3"/>
      <c r="AG102" s="7"/>
      <c r="AH102" s="7"/>
      <c r="AI102" s="7"/>
      <c r="AJ102" s="7"/>
      <c r="AK102" s="7"/>
      <c r="AL102" s="3"/>
      <c r="AM102" s="9"/>
      <c r="AN102" s="7"/>
      <c r="AO102" s="7"/>
      <c r="AP102" s="7"/>
      <c r="AQ102" s="7"/>
      <c r="AR102" s="9"/>
      <c r="AS102" s="9"/>
      <c r="AT102" s="9"/>
      <c r="AU102" s="3"/>
      <c r="AV102" s="3"/>
      <c r="AW102" s="3"/>
      <c r="AX102" s="3"/>
      <c r="AY102" s="3"/>
      <c r="AZ102" s="3"/>
    </row>
    <row r="103" spans="1:52" x14ac:dyDescent="0.3">
      <c r="A103">
        <f t="shared" si="14"/>
        <v>64</v>
      </c>
      <c r="B103" s="1" t="s">
        <v>102</v>
      </c>
      <c r="C103" s="1" t="s">
        <v>139</v>
      </c>
      <c r="D103" s="2">
        <v>42325</v>
      </c>
      <c r="E103" s="3">
        <v>45.9</v>
      </c>
      <c r="F103" s="4">
        <f t="shared" si="0"/>
        <v>6403.7502460629912</v>
      </c>
      <c r="G103" s="7">
        <v>8.7100000000000009</v>
      </c>
      <c r="H103" s="7">
        <v>270.74</v>
      </c>
      <c r="I103" s="7">
        <f t="shared" si="1"/>
        <v>262.03000000000003</v>
      </c>
      <c r="J103" s="7">
        <v>247.82</v>
      </c>
      <c r="K103" s="5">
        <f t="shared" si="2"/>
        <v>5.4230431629966169</v>
      </c>
      <c r="L103" s="4">
        <f t="shared" si="3"/>
        <v>6056.4721061684932</v>
      </c>
      <c r="M103" s="2">
        <v>42339</v>
      </c>
      <c r="N103" s="7">
        <v>3.62</v>
      </c>
      <c r="O103" s="7">
        <v>0.88</v>
      </c>
      <c r="P103" s="7">
        <f t="shared" si="4"/>
        <v>0.6</v>
      </c>
      <c r="Q103" s="7">
        <v>0.9</v>
      </c>
      <c r="R103" s="6">
        <f t="shared" si="5"/>
        <v>0.36540736246139954</v>
      </c>
      <c r="S103" s="6">
        <f t="shared" si="6"/>
        <v>0.5481110436920994</v>
      </c>
      <c r="T103" s="6">
        <f t="shared" si="7"/>
        <v>8.6481593846501004E-2</v>
      </c>
      <c r="U103" s="4">
        <f t="shared" si="8"/>
        <v>2339.977487275416</v>
      </c>
      <c r="V103" s="4">
        <f t="shared" si="9"/>
        <v>3509.9662309131245</v>
      </c>
      <c r="W103" s="4">
        <f t="shared" si="10"/>
        <v>5849.9437181885405</v>
      </c>
      <c r="X103" s="4">
        <f t="shared" si="11"/>
        <v>2213.0794981360664</v>
      </c>
      <c r="Y103" s="4">
        <f t="shared" si="12"/>
        <v>3319.6192472041002</v>
      </c>
      <c r="Z103" s="4">
        <f t="shared" si="13"/>
        <v>5532.6987453401671</v>
      </c>
      <c r="AE103" s="3"/>
      <c r="AF103" s="3"/>
      <c r="AG103" s="7"/>
      <c r="AH103" s="7"/>
      <c r="AI103" s="7"/>
      <c r="AJ103" s="7"/>
      <c r="AK103" s="7"/>
      <c r="AL103" s="3"/>
      <c r="AM103" s="9"/>
      <c r="AN103" s="7"/>
      <c r="AO103" s="7"/>
      <c r="AP103" s="7"/>
      <c r="AQ103" s="7"/>
      <c r="AR103" s="9"/>
      <c r="AS103" s="9"/>
      <c r="AT103" s="9"/>
      <c r="AU103" s="3"/>
      <c r="AV103" s="3"/>
      <c r="AW103" s="3"/>
      <c r="AX103" s="3"/>
      <c r="AY103" s="3"/>
      <c r="AZ103" s="3"/>
    </row>
    <row r="104" spans="1:52" x14ac:dyDescent="0.3">
      <c r="A104">
        <f t="shared" si="14"/>
        <v>65</v>
      </c>
      <c r="B104" s="1" t="s">
        <v>103</v>
      </c>
      <c r="C104" s="1" t="s">
        <v>139</v>
      </c>
      <c r="D104" s="2">
        <v>42325</v>
      </c>
      <c r="E104" s="3">
        <v>47.6</v>
      </c>
      <c r="F104" s="4">
        <f t="shared" si="0"/>
        <v>6640.9261811023625</v>
      </c>
      <c r="G104" s="7">
        <v>8.68</v>
      </c>
      <c r="H104" s="7">
        <v>256.99</v>
      </c>
      <c r="I104" s="7">
        <f t="shared" si="1"/>
        <v>248.31</v>
      </c>
      <c r="J104" s="7">
        <v>234.91</v>
      </c>
      <c r="K104" s="5">
        <f t="shared" si="2"/>
        <v>5.396480206193873</v>
      </c>
      <c r="L104" s="4">
        <f t="shared" si="3"/>
        <v>6282.5499142312265</v>
      </c>
      <c r="M104" s="2">
        <v>42339</v>
      </c>
      <c r="N104" s="7">
        <v>3.32</v>
      </c>
      <c r="O104" s="7">
        <v>0.82</v>
      </c>
      <c r="P104" s="7">
        <f t="shared" si="4"/>
        <v>0.53999999999999992</v>
      </c>
      <c r="Q104" s="7">
        <v>0.82</v>
      </c>
      <c r="R104" s="6">
        <f t="shared" si="5"/>
        <v>0.35858349002989148</v>
      </c>
      <c r="S104" s="6">
        <f t="shared" si="6"/>
        <v>0.54451567004539081</v>
      </c>
      <c r="T104" s="6">
        <f t="shared" si="7"/>
        <v>9.6900839924717763E-2</v>
      </c>
      <c r="U104" s="4">
        <f t="shared" si="8"/>
        <v>2381.3264870505645</v>
      </c>
      <c r="V104" s="4">
        <f t="shared" si="9"/>
        <v>3616.0883692249313</v>
      </c>
      <c r="W104" s="4">
        <f t="shared" si="10"/>
        <v>5997.4148562754963</v>
      </c>
      <c r="X104" s="4">
        <f t="shared" si="11"/>
        <v>2252.8186745320286</v>
      </c>
      <c r="Y104" s="4">
        <f t="shared" si="12"/>
        <v>3420.946876141229</v>
      </c>
      <c r="Z104" s="4">
        <f t="shared" si="13"/>
        <v>5673.7655506732572</v>
      </c>
      <c r="AE104" s="3"/>
      <c r="AF104" s="3"/>
      <c r="AG104" s="7"/>
      <c r="AH104" s="7"/>
      <c r="AI104" s="7"/>
      <c r="AJ104" s="7"/>
      <c r="AK104" s="7"/>
      <c r="AL104" s="3"/>
      <c r="AM104" s="9"/>
      <c r="AN104" s="7"/>
      <c r="AO104" s="7"/>
      <c r="AP104" s="7"/>
      <c r="AQ104" s="7"/>
      <c r="AR104" s="9"/>
      <c r="AS104" s="9"/>
      <c r="AT104" s="9"/>
      <c r="AU104" s="3"/>
      <c r="AV104" s="3"/>
      <c r="AW104" s="3"/>
      <c r="AX104" s="3"/>
      <c r="AY104" s="3"/>
      <c r="AZ104" s="3"/>
    </row>
    <row r="105" spans="1:52" x14ac:dyDescent="0.3">
      <c r="A105">
        <f t="shared" si="14"/>
        <v>66</v>
      </c>
      <c r="B105" s="1" t="s">
        <v>104</v>
      </c>
      <c r="C105" s="1" t="s">
        <v>139</v>
      </c>
      <c r="D105" s="2">
        <v>42325</v>
      </c>
      <c r="E105" s="3">
        <v>50.3</v>
      </c>
      <c r="F105" s="4">
        <f t="shared" ref="F105:F139" si="15">E105*$A$29/$A$30*$A$31</f>
        <v>7017.6173720472434</v>
      </c>
      <c r="G105" s="7">
        <v>8.73</v>
      </c>
      <c r="H105" s="7">
        <v>201.63</v>
      </c>
      <c r="I105" s="7">
        <f t="shared" ref="I105:I139" si="16">H105-G105</f>
        <v>192.9</v>
      </c>
      <c r="J105" s="7">
        <v>183.44</v>
      </c>
      <c r="K105" s="5">
        <f t="shared" ref="K105:K139" si="17">(I105-J105)/I105*100</f>
        <v>4.904095386210475</v>
      </c>
      <c r="L105" s="4">
        <f t="shared" ref="L105:L139" si="18">F105*(1-K105/100)</f>
        <v>6673.4667222827702</v>
      </c>
      <c r="M105" s="2">
        <v>42339</v>
      </c>
      <c r="N105" s="7">
        <v>3.2</v>
      </c>
      <c r="O105" s="7">
        <v>0.78</v>
      </c>
      <c r="P105" s="7">
        <f t="shared" ref="P105:P139" si="19">O105-$A$32</f>
        <v>0.5</v>
      </c>
      <c r="Q105" s="7">
        <v>0.76</v>
      </c>
      <c r="R105" s="6">
        <f t="shared" ref="R105:R139" si="20">P105/(N105*$A$29)</f>
        <v>0.3444725656537152</v>
      </c>
      <c r="S105" s="6">
        <f t="shared" ref="S105:S139" si="21">Q105/(N105*$A$29)</f>
        <v>0.52359829979364714</v>
      </c>
      <c r="T105" s="6">
        <f t="shared" ref="T105:T139" si="22">1-R105-S105</f>
        <v>0.13192913455263766</v>
      </c>
      <c r="U105" s="4">
        <f t="shared" ref="U105:U139" si="23">F105*R105</f>
        <v>2417.3766609251966</v>
      </c>
      <c r="V105" s="4">
        <f t="shared" ref="V105:V139" si="24">F105*S105</f>
        <v>3674.4125246062986</v>
      </c>
      <c r="W105" s="4">
        <f t="shared" ref="W105:W139" si="25">U105+V105</f>
        <v>6091.7891855314956</v>
      </c>
      <c r="X105" s="4">
        <f t="shared" ref="X105:X139" si="26">L105*R105</f>
        <v>2298.826203629435</v>
      </c>
      <c r="Y105" s="4">
        <f t="shared" ref="Y105:Y139" si="27">L105*S105</f>
        <v>3494.2158295167415</v>
      </c>
      <c r="Z105" s="4">
        <f t="shared" ref="Z105:Z139" si="28">X105+Y105</f>
        <v>5793.0420331461764</v>
      </c>
      <c r="AE105" s="3"/>
      <c r="AF105" s="3"/>
      <c r="AG105" s="7"/>
      <c r="AH105" s="7"/>
      <c r="AI105" s="7"/>
      <c r="AJ105" s="7"/>
      <c r="AK105" s="7"/>
      <c r="AL105" s="3"/>
      <c r="AM105" s="9"/>
      <c r="AN105" s="7"/>
      <c r="AO105" s="7"/>
      <c r="AP105" s="7"/>
      <c r="AQ105" s="7"/>
      <c r="AR105" s="9"/>
      <c r="AS105" s="9"/>
      <c r="AT105" s="9"/>
      <c r="AU105" s="3"/>
      <c r="AV105" s="3"/>
      <c r="AW105" s="3"/>
      <c r="AX105" s="3"/>
      <c r="AY105" s="3"/>
      <c r="AZ105" s="3"/>
    </row>
    <row r="106" spans="1:52" x14ac:dyDescent="0.3">
      <c r="A106">
        <f t="shared" ref="A106:A139" si="29">A105+1</f>
        <v>67</v>
      </c>
      <c r="B106" s="1" t="s">
        <v>105</v>
      </c>
      <c r="C106" s="1" t="s">
        <v>139</v>
      </c>
      <c r="D106" s="2">
        <v>42325</v>
      </c>
      <c r="E106" s="3">
        <v>44.499999999999993</v>
      </c>
      <c r="F106" s="4">
        <f t="shared" si="15"/>
        <v>6208.4288877952749</v>
      </c>
      <c r="G106" s="7">
        <v>8.75</v>
      </c>
      <c r="H106" s="7">
        <v>199.01</v>
      </c>
      <c r="I106" s="7">
        <f t="shared" si="16"/>
        <v>190.26</v>
      </c>
      <c r="J106" s="7">
        <v>180.53</v>
      </c>
      <c r="K106" s="5">
        <f t="shared" si="17"/>
        <v>5.1140544518027911</v>
      </c>
      <c r="L106" s="4">
        <f t="shared" si="18"/>
        <v>5890.9264538719699</v>
      </c>
      <c r="M106" s="2">
        <v>42339</v>
      </c>
      <c r="N106" s="7">
        <v>3.36</v>
      </c>
      <c r="O106" s="7">
        <v>0.86</v>
      </c>
      <c r="P106" s="7">
        <f t="shared" si="19"/>
        <v>0.57999999999999996</v>
      </c>
      <c r="Q106" s="7">
        <v>0.86</v>
      </c>
      <c r="R106" s="6">
        <f t="shared" si="20"/>
        <v>0.38056016776981877</v>
      </c>
      <c r="S106" s="6">
        <f t="shared" si="21"/>
        <v>0.56427886945180028</v>
      </c>
      <c r="T106" s="6">
        <f t="shared" si="22"/>
        <v>5.5160962778381006E-2</v>
      </c>
      <c r="U106" s="4">
        <f t="shared" si="23"/>
        <v>2362.6807391263592</v>
      </c>
      <c r="V106" s="4">
        <f t="shared" si="24"/>
        <v>3503.2852338770153</v>
      </c>
      <c r="W106" s="4">
        <f t="shared" si="25"/>
        <v>5865.9659730033745</v>
      </c>
      <c r="X106" s="4">
        <f t="shared" si="26"/>
        <v>2241.8519596051806</v>
      </c>
      <c r="Y106" s="4">
        <f t="shared" si="27"/>
        <v>3324.1253194145779</v>
      </c>
      <c r="Z106" s="4">
        <f t="shared" si="28"/>
        <v>5565.9772790197585</v>
      </c>
      <c r="AE106" s="3"/>
      <c r="AF106" s="3"/>
      <c r="AG106" s="7"/>
      <c r="AH106" s="7"/>
      <c r="AI106" s="7"/>
      <c r="AJ106" s="7"/>
      <c r="AK106" s="7"/>
      <c r="AL106" s="3"/>
      <c r="AM106" s="9"/>
      <c r="AN106" s="7"/>
      <c r="AO106" s="7"/>
      <c r="AP106" s="7"/>
      <c r="AQ106" s="7"/>
      <c r="AR106" s="9"/>
      <c r="AS106" s="9"/>
      <c r="AT106" s="9"/>
      <c r="AU106" s="3"/>
      <c r="AV106" s="3"/>
      <c r="AW106" s="3"/>
      <c r="AX106" s="3"/>
      <c r="AY106" s="3"/>
      <c r="AZ106" s="3"/>
    </row>
    <row r="107" spans="1:52" x14ac:dyDescent="0.3">
      <c r="A107">
        <f t="shared" si="29"/>
        <v>68</v>
      </c>
      <c r="B107" s="1" t="s">
        <v>106</v>
      </c>
      <c r="C107" s="1" t="s">
        <v>139</v>
      </c>
      <c r="D107" s="2">
        <v>42325</v>
      </c>
      <c r="E107" s="3">
        <v>49</v>
      </c>
      <c r="F107" s="4">
        <f t="shared" si="15"/>
        <v>6836.2475393700779</v>
      </c>
      <c r="G107" s="7">
        <v>8.83</v>
      </c>
      <c r="H107" s="7">
        <v>277.92</v>
      </c>
      <c r="I107" s="7">
        <f t="shared" si="16"/>
        <v>269.09000000000003</v>
      </c>
      <c r="J107" s="7">
        <v>254.63</v>
      </c>
      <c r="K107" s="5">
        <f t="shared" si="17"/>
        <v>5.3736668029284012</v>
      </c>
      <c r="L107" s="4">
        <f t="shared" si="18"/>
        <v>6468.8903747809381</v>
      </c>
      <c r="M107" s="2">
        <v>42339</v>
      </c>
      <c r="N107" s="7">
        <v>3.16</v>
      </c>
      <c r="O107" s="7">
        <v>0.8</v>
      </c>
      <c r="P107" s="7">
        <f t="shared" si="19"/>
        <v>0.52</v>
      </c>
      <c r="Q107" s="7">
        <v>0.74</v>
      </c>
      <c r="R107" s="6">
        <f t="shared" si="20"/>
        <v>0.36278629699226722</v>
      </c>
      <c r="S107" s="6">
        <f t="shared" si="21"/>
        <v>0.51627280725822633</v>
      </c>
      <c r="T107" s="6">
        <f t="shared" si="22"/>
        <v>0.12094089574950639</v>
      </c>
      <c r="U107" s="4">
        <f t="shared" si="23"/>
        <v>2480.096930130569</v>
      </c>
      <c r="V107" s="4">
        <f t="shared" si="24"/>
        <v>3529.3687082627321</v>
      </c>
      <c r="W107" s="4">
        <f t="shared" si="25"/>
        <v>6009.4656383933016</v>
      </c>
      <c r="X107" s="4">
        <f t="shared" si="26"/>
        <v>2346.8247847156963</v>
      </c>
      <c r="Y107" s="4">
        <f t="shared" si="27"/>
        <v>3339.7121936338749</v>
      </c>
      <c r="Z107" s="4">
        <f t="shared" si="28"/>
        <v>5686.5369783495717</v>
      </c>
      <c r="AE107" s="3"/>
      <c r="AF107" s="3"/>
      <c r="AG107" s="7"/>
      <c r="AH107" s="7"/>
      <c r="AI107" s="7"/>
      <c r="AJ107" s="7"/>
      <c r="AK107" s="7"/>
      <c r="AL107" s="3"/>
      <c r="AM107" s="9"/>
      <c r="AN107" s="7"/>
      <c r="AO107" s="7"/>
      <c r="AP107" s="7"/>
      <c r="AQ107" s="7"/>
      <c r="AR107" s="9"/>
      <c r="AS107" s="9"/>
      <c r="AT107" s="9"/>
      <c r="AU107" s="3"/>
      <c r="AV107" s="3"/>
      <c r="AW107" s="3"/>
      <c r="AX107" s="3"/>
      <c r="AY107" s="3"/>
      <c r="AZ107" s="3"/>
    </row>
    <row r="108" spans="1:52" x14ac:dyDescent="0.3">
      <c r="A108">
        <f t="shared" si="29"/>
        <v>69</v>
      </c>
      <c r="B108" s="1" t="s">
        <v>107</v>
      </c>
      <c r="C108" s="1" t="s">
        <v>139</v>
      </c>
      <c r="D108" s="2">
        <v>42325</v>
      </c>
      <c r="E108" s="3">
        <v>44.699999999999996</v>
      </c>
      <c r="F108" s="4">
        <f t="shared" si="15"/>
        <v>6236.3319389763774</v>
      </c>
      <c r="G108" s="7">
        <v>8.7899999999999991</v>
      </c>
      <c r="H108" s="7">
        <v>236.34</v>
      </c>
      <c r="I108" s="7">
        <f t="shared" si="16"/>
        <v>227.55</v>
      </c>
      <c r="J108" s="7">
        <v>216.27</v>
      </c>
      <c r="K108" s="5">
        <f t="shared" si="17"/>
        <v>4.9571522742254448</v>
      </c>
      <c r="L108" s="4">
        <f t="shared" si="18"/>
        <v>5927.1874684351624</v>
      </c>
      <c r="M108" s="2">
        <v>42339</v>
      </c>
      <c r="N108" s="7">
        <v>2.66</v>
      </c>
      <c r="O108" s="7">
        <v>0.72</v>
      </c>
      <c r="P108" s="7">
        <f t="shared" si="19"/>
        <v>0.43999999999999995</v>
      </c>
      <c r="Q108" s="7">
        <v>0.68</v>
      </c>
      <c r="R108" s="6">
        <f t="shared" si="20"/>
        <v>0.3646747161206248</v>
      </c>
      <c r="S108" s="6">
        <f t="shared" si="21"/>
        <v>0.56358819764096568</v>
      </c>
      <c r="T108" s="6">
        <f t="shared" si="22"/>
        <v>7.1737086238409575E-2</v>
      </c>
      <c r="U108" s="4">
        <f t="shared" si="23"/>
        <v>2274.2325794801959</v>
      </c>
      <c r="V108" s="4">
        <f t="shared" si="24"/>
        <v>3514.7230773784854</v>
      </c>
      <c r="W108" s="4">
        <f t="shared" si="25"/>
        <v>5788.9556568586813</v>
      </c>
      <c r="X108" s="4">
        <f t="shared" si="26"/>
        <v>2161.4954074453176</v>
      </c>
      <c r="Y108" s="4">
        <f t="shared" si="27"/>
        <v>3340.4929024154912</v>
      </c>
      <c r="Z108" s="4">
        <f t="shared" si="28"/>
        <v>5501.9883098608088</v>
      </c>
      <c r="AE108" s="3"/>
      <c r="AF108" s="3"/>
      <c r="AG108" s="7"/>
      <c r="AH108" s="7"/>
      <c r="AI108" s="7"/>
      <c r="AJ108" s="7"/>
      <c r="AK108" s="7"/>
      <c r="AL108" s="3"/>
      <c r="AM108" s="9"/>
      <c r="AN108" s="7"/>
      <c r="AO108" s="7"/>
      <c r="AP108" s="7"/>
      <c r="AQ108" s="7"/>
      <c r="AR108" s="9"/>
      <c r="AS108" s="9"/>
      <c r="AT108" s="9"/>
      <c r="AU108" s="3"/>
      <c r="AV108" s="3"/>
      <c r="AW108" s="3"/>
      <c r="AX108" s="3"/>
      <c r="AY108" s="3"/>
      <c r="AZ108" s="3"/>
    </row>
    <row r="109" spans="1:52" x14ac:dyDescent="0.3">
      <c r="A109">
        <f t="shared" si="29"/>
        <v>70</v>
      </c>
      <c r="B109" s="1" t="s">
        <v>108</v>
      </c>
      <c r="C109" s="1" t="s">
        <v>139</v>
      </c>
      <c r="D109" s="2">
        <v>42325</v>
      </c>
      <c r="E109" s="3">
        <v>35.6</v>
      </c>
      <c r="F109" s="4">
        <f t="shared" si="15"/>
        <v>4966.7431102362207</v>
      </c>
      <c r="G109" s="7">
        <v>8.82</v>
      </c>
      <c r="H109" s="7">
        <v>236.11</v>
      </c>
      <c r="I109" s="7">
        <f t="shared" si="16"/>
        <v>227.29000000000002</v>
      </c>
      <c r="J109" s="7">
        <v>215.69</v>
      </c>
      <c r="K109" s="5">
        <f t="shared" si="17"/>
        <v>5.103612125478473</v>
      </c>
      <c r="L109" s="4">
        <f t="shared" si="18"/>
        <v>4713.2598066208384</v>
      </c>
      <c r="M109" s="2">
        <v>42339</v>
      </c>
      <c r="N109" s="7">
        <v>3.38</v>
      </c>
      <c r="O109" s="7">
        <v>0.84</v>
      </c>
      <c r="P109" s="7">
        <f t="shared" si="19"/>
        <v>0.55999999999999994</v>
      </c>
      <c r="Q109" s="7">
        <v>0.82</v>
      </c>
      <c r="R109" s="6">
        <f t="shared" si="20"/>
        <v>0.36526321754524121</v>
      </c>
      <c r="S109" s="6">
        <f t="shared" si="21"/>
        <v>0.53484971140553184</v>
      </c>
      <c r="T109" s="6">
        <f t="shared" si="22"/>
        <v>9.9887071049226894E-2</v>
      </c>
      <c r="U109" s="4">
        <f t="shared" si="23"/>
        <v>1814.1685691655407</v>
      </c>
      <c r="V109" s="4">
        <f t="shared" si="24"/>
        <v>2656.461119135256</v>
      </c>
      <c r="W109" s="4">
        <f t="shared" si="25"/>
        <v>4470.6296883007963</v>
      </c>
      <c r="X109" s="4">
        <f t="shared" si="26"/>
        <v>1721.5804420929887</v>
      </c>
      <c r="Y109" s="4">
        <f t="shared" si="27"/>
        <v>2520.8856473504484</v>
      </c>
      <c r="Z109" s="4">
        <f t="shared" si="28"/>
        <v>4242.4660894434373</v>
      </c>
      <c r="AE109" s="3"/>
      <c r="AF109" s="3"/>
      <c r="AG109" s="7"/>
      <c r="AH109" s="7"/>
      <c r="AI109" s="7"/>
      <c r="AJ109" s="7"/>
      <c r="AK109" s="7"/>
      <c r="AL109" s="3"/>
      <c r="AM109" s="9"/>
      <c r="AN109" s="7"/>
      <c r="AO109" s="7"/>
      <c r="AP109" s="7"/>
      <c r="AQ109" s="7"/>
      <c r="AR109" s="9"/>
      <c r="AS109" s="9"/>
      <c r="AT109" s="9"/>
      <c r="AU109" s="3"/>
      <c r="AV109" s="3"/>
      <c r="AW109" s="3"/>
      <c r="AX109" s="3"/>
      <c r="AY109" s="3"/>
      <c r="AZ109" s="3"/>
    </row>
    <row r="110" spans="1:52" x14ac:dyDescent="0.3">
      <c r="A110">
        <f t="shared" si="29"/>
        <v>71</v>
      </c>
      <c r="B110" s="1" t="s">
        <v>109</v>
      </c>
      <c r="C110" s="1" t="s">
        <v>139</v>
      </c>
      <c r="D110" s="2">
        <v>42325</v>
      </c>
      <c r="E110" s="3">
        <v>40</v>
      </c>
      <c r="F110" s="4">
        <f t="shared" si="15"/>
        <v>5580.610236220472</v>
      </c>
      <c r="G110" s="7">
        <v>8.75</v>
      </c>
      <c r="H110" s="7">
        <v>216.92</v>
      </c>
      <c r="I110" s="7">
        <f t="shared" si="16"/>
        <v>208.17</v>
      </c>
      <c r="J110" s="7">
        <v>196.72</v>
      </c>
      <c r="K110" s="5">
        <f t="shared" si="17"/>
        <v>5.5003122447999182</v>
      </c>
      <c r="L110" s="4">
        <f t="shared" si="18"/>
        <v>5273.6592480630798</v>
      </c>
      <c r="M110" s="2">
        <v>42339</v>
      </c>
      <c r="N110" s="7">
        <v>2.56</v>
      </c>
      <c r="O110" s="7">
        <v>0.7</v>
      </c>
      <c r="P110" s="7">
        <f t="shared" si="19"/>
        <v>0.41999999999999993</v>
      </c>
      <c r="Q110" s="7">
        <v>0.66</v>
      </c>
      <c r="R110" s="6">
        <f t="shared" si="20"/>
        <v>0.36169619393640096</v>
      </c>
      <c r="S110" s="6">
        <f t="shared" si="21"/>
        <v>0.56837973332863023</v>
      </c>
      <c r="T110" s="6">
        <f t="shared" si="22"/>
        <v>6.9924072734968812E-2</v>
      </c>
      <c r="U110" s="4">
        <f t="shared" si="23"/>
        <v>2018.4854822834641</v>
      </c>
      <c r="V110" s="4">
        <f t="shared" si="24"/>
        <v>3171.9057578740162</v>
      </c>
      <c r="W110" s="4">
        <f t="shared" si="25"/>
        <v>5190.3912401574798</v>
      </c>
      <c r="X110" s="4">
        <f t="shared" si="26"/>
        <v>1907.4624781419182</v>
      </c>
      <c r="Y110" s="4">
        <f t="shared" si="27"/>
        <v>2997.4410370801579</v>
      </c>
      <c r="Z110" s="4">
        <f t="shared" si="28"/>
        <v>4904.9035152220758</v>
      </c>
      <c r="AB110" t="s">
        <v>146</v>
      </c>
      <c r="AC110" t="str">
        <f>C110</f>
        <v>Machine</v>
      </c>
      <c r="AD110" s="8">
        <f>D110</f>
        <v>42325</v>
      </c>
      <c r="AE110" s="3">
        <f>SUM(E110:E119)</f>
        <v>433.90000000000009</v>
      </c>
      <c r="AF110" s="3">
        <f>AE110*$A$29/($A$30*10)*$A$31</f>
        <v>6053.5669537401582</v>
      </c>
      <c r="AG110" s="7">
        <f>SUM(G110:G119)</f>
        <v>87.88</v>
      </c>
      <c r="AH110" s="7">
        <f>SUM(H110:H119)</f>
        <v>2176.8200000000002</v>
      </c>
      <c r="AI110" s="7">
        <f>AH110-AG110</f>
        <v>2088.94</v>
      </c>
      <c r="AJ110" s="7">
        <f>SUM(J110:J119)</f>
        <v>1976.5100000000002</v>
      </c>
      <c r="AK110" s="7">
        <f>(AI110-AJ110)/AI110*100</f>
        <v>5.3821555430026633</v>
      </c>
      <c r="AL110" s="3">
        <f>AF110*(1-AK110/100)</f>
        <v>5727.7545643900548</v>
      </c>
      <c r="AM110" s="11">
        <f>M110</f>
        <v>42339</v>
      </c>
      <c r="AN110" s="7">
        <f>SUM(N110:N119)</f>
        <v>30.78</v>
      </c>
      <c r="AO110" s="7">
        <f>SUM(O110:O119)</f>
        <v>7.839999999999999</v>
      </c>
      <c r="AP110" s="7">
        <f>AO110-10*$A$32</f>
        <v>5.0399999999999991</v>
      </c>
      <c r="AQ110" s="7">
        <f>SUM(Q110:Q119)</f>
        <v>7.6400000000000006</v>
      </c>
      <c r="AR110" s="9">
        <f>AP110/(AN110*$A$29)</f>
        <v>0.36099113312950737</v>
      </c>
      <c r="AS110" s="9">
        <f>AQ110/(AN110*$A$29)</f>
        <v>0.54721671768044378</v>
      </c>
      <c r="AT110" s="9">
        <f>1-AR110-AS110</f>
        <v>9.1792149190048855E-2</v>
      </c>
      <c r="AU110" s="3">
        <f>AF110*AR110</f>
        <v>2185.2839941059997</v>
      </c>
      <c r="AV110" s="3">
        <f>AF110*AS110</f>
        <v>3312.613038684492</v>
      </c>
      <c r="AW110" s="3">
        <f>AU110+AV110</f>
        <v>5497.8970327904917</v>
      </c>
      <c r="AX110" s="3">
        <f>AL110*AR110</f>
        <v>2067.6686104868736</v>
      </c>
      <c r="AY110" s="3">
        <f>AL110*AS110</f>
        <v>3134.3230524047058</v>
      </c>
      <c r="AZ110" s="3">
        <f>AX110+AY110</f>
        <v>5201.9916628915798</v>
      </c>
    </row>
    <row r="111" spans="1:52" x14ac:dyDescent="0.3">
      <c r="A111">
        <f t="shared" si="29"/>
        <v>72</v>
      </c>
      <c r="B111" s="1" t="s">
        <v>110</v>
      </c>
      <c r="C111" s="1" t="s">
        <v>139</v>
      </c>
      <c r="D111" s="2">
        <v>42325</v>
      </c>
      <c r="E111" s="3">
        <v>47.400000000000006</v>
      </c>
      <c r="F111" s="4">
        <f t="shared" si="15"/>
        <v>6613.0231299212601</v>
      </c>
      <c r="G111" s="7">
        <v>8.8000000000000007</v>
      </c>
      <c r="H111" s="7">
        <v>202.23</v>
      </c>
      <c r="I111" s="7">
        <f t="shared" si="16"/>
        <v>193.42999999999998</v>
      </c>
      <c r="J111" s="7">
        <v>182.33</v>
      </c>
      <c r="K111" s="5">
        <f t="shared" si="17"/>
        <v>5.7385100553171515</v>
      </c>
      <c r="L111" s="4">
        <f t="shared" si="18"/>
        <v>6233.5341326502794</v>
      </c>
      <c r="M111" s="2">
        <v>42339</v>
      </c>
      <c r="N111" s="7">
        <v>2.78</v>
      </c>
      <c r="O111" s="7">
        <v>0.74</v>
      </c>
      <c r="P111" s="7">
        <f t="shared" si="19"/>
        <v>0.45999999999999996</v>
      </c>
      <c r="Q111" s="7">
        <v>0.68</v>
      </c>
      <c r="R111" s="6">
        <f t="shared" si="20"/>
        <v>0.36479396880738768</v>
      </c>
      <c r="S111" s="6">
        <f t="shared" si="21"/>
        <v>0.53926064954135577</v>
      </c>
      <c r="T111" s="6">
        <f t="shared" si="22"/>
        <v>9.5945381651256545E-2</v>
      </c>
      <c r="U111" s="4">
        <f t="shared" si="23"/>
        <v>2412.3909533790293</v>
      </c>
      <c r="V111" s="4">
        <f t="shared" si="24"/>
        <v>3566.1431484733484</v>
      </c>
      <c r="W111" s="4">
        <f t="shared" si="25"/>
        <v>5978.5341018523777</v>
      </c>
      <c r="X111" s="4">
        <f t="shared" si="26"/>
        <v>2273.9556559458124</v>
      </c>
      <c r="Y111" s="4">
        <f t="shared" si="27"/>
        <v>3361.4996653112016</v>
      </c>
      <c r="Z111" s="4">
        <f t="shared" si="28"/>
        <v>5635.4553212570136</v>
      </c>
      <c r="AE111" s="3"/>
      <c r="AF111" s="3"/>
      <c r="AG111" s="7"/>
      <c r="AH111" s="7"/>
      <c r="AI111" s="7"/>
      <c r="AJ111" s="7"/>
      <c r="AK111" s="7"/>
      <c r="AL111" s="3"/>
      <c r="AM111" s="9"/>
      <c r="AN111" s="7"/>
      <c r="AO111" s="7"/>
      <c r="AP111" s="7"/>
      <c r="AQ111" s="7"/>
      <c r="AR111" s="9"/>
      <c r="AS111" s="9"/>
      <c r="AT111" s="9"/>
      <c r="AU111" s="3"/>
      <c r="AV111" s="3"/>
      <c r="AW111" s="3"/>
      <c r="AX111" s="3"/>
      <c r="AY111" s="3"/>
      <c r="AZ111" s="3"/>
    </row>
    <row r="112" spans="1:52" x14ac:dyDescent="0.3">
      <c r="A112">
        <f t="shared" si="29"/>
        <v>73</v>
      </c>
      <c r="B112" s="1" t="s">
        <v>111</v>
      </c>
      <c r="C112" s="1" t="s">
        <v>139</v>
      </c>
      <c r="D112" s="2">
        <v>42325</v>
      </c>
      <c r="E112" s="3">
        <v>48.600000000000009</v>
      </c>
      <c r="F112" s="4">
        <f t="shared" si="15"/>
        <v>6780.4414370078748</v>
      </c>
      <c r="G112" s="7">
        <v>8.81</v>
      </c>
      <c r="H112" s="7">
        <v>258.33</v>
      </c>
      <c r="I112" s="7">
        <f t="shared" si="16"/>
        <v>249.51999999999998</v>
      </c>
      <c r="J112" s="7">
        <v>235.28</v>
      </c>
      <c r="K112" s="5">
        <f t="shared" si="17"/>
        <v>5.7069573581275979</v>
      </c>
      <c r="L112" s="4">
        <f t="shared" si="18"/>
        <v>6393.4845355050211</v>
      </c>
      <c r="M112" s="2">
        <v>42339</v>
      </c>
      <c r="N112" s="7">
        <v>3.44</v>
      </c>
      <c r="O112" s="7">
        <v>0.82</v>
      </c>
      <c r="P112" s="7">
        <f t="shared" si="19"/>
        <v>0.53999999999999992</v>
      </c>
      <c r="Q112" s="7">
        <v>0.84</v>
      </c>
      <c r="R112" s="6">
        <f t="shared" si="20"/>
        <v>0.34607476363349987</v>
      </c>
      <c r="S112" s="6">
        <f t="shared" si="21"/>
        <v>0.53833852120766656</v>
      </c>
      <c r="T112" s="6">
        <f t="shared" si="22"/>
        <v>0.11558671515883356</v>
      </c>
      <c r="U112" s="4">
        <f t="shared" si="23"/>
        <v>2346.5396676432883</v>
      </c>
      <c r="V112" s="4">
        <f t="shared" si="24"/>
        <v>3650.1728163340049</v>
      </c>
      <c r="W112" s="4">
        <f t="shared" si="25"/>
        <v>5996.7124839772932</v>
      </c>
      <c r="X112" s="4">
        <f t="shared" si="26"/>
        <v>2212.6236494193367</v>
      </c>
      <c r="Y112" s="4">
        <f t="shared" si="27"/>
        <v>3441.8590102078579</v>
      </c>
      <c r="Z112" s="4">
        <f t="shared" si="28"/>
        <v>5654.4826596271942</v>
      </c>
      <c r="AE112" s="3"/>
      <c r="AF112" s="3"/>
      <c r="AG112" s="7"/>
      <c r="AH112" s="7"/>
      <c r="AI112" s="7"/>
      <c r="AJ112" s="7"/>
      <c r="AK112" s="7"/>
      <c r="AL112" s="3"/>
      <c r="AM112" s="9"/>
      <c r="AN112" s="7"/>
      <c r="AO112" s="7"/>
      <c r="AP112" s="7"/>
      <c r="AQ112" s="7"/>
      <c r="AR112" s="9"/>
      <c r="AS112" s="9"/>
      <c r="AT112" s="9"/>
      <c r="AU112" s="3"/>
      <c r="AV112" s="3"/>
      <c r="AW112" s="3"/>
      <c r="AX112" s="3"/>
      <c r="AY112" s="3"/>
      <c r="AZ112" s="3"/>
    </row>
    <row r="113" spans="1:52" x14ac:dyDescent="0.3">
      <c r="A113">
        <f t="shared" si="29"/>
        <v>74</v>
      </c>
      <c r="B113" s="1" t="s">
        <v>112</v>
      </c>
      <c r="C113" s="1" t="s">
        <v>139</v>
      </c>
      <c r="D113" s="2">
        <v>42325</v>
      </c>
      <c r="E113" s="3">
        <v>53.900000000000006</v>
      </c>
      <c r="F113" s="4">
        <f t="shared" si="15"/>
        <v>7519.8722933070876</v>
      </c>
      <c r="G113" s="7">
        <v>8.82</v>
      </c>
      <c r="H113" s="7">
        <v>218.05</v>
      </c>
      <c r="I113" s="7">
        <f t="shared" si="16"/>
        <v>209.23000000000002</v>
      </c>
      <c r="J113" s="7">
        <v>198.01</v>
      </c>
      <c r="K113" s="5">
        <f t="shared" si="17"/>
        <v>5.362519715146024</v>
      </c>
      <c r="L113" s="4">
        <f t="shared" si="18"/>
        <v>7116.6176590246923</v>
      </c>
      <c r="M113" s="2">
        <v>42339</v>
      </c>
      <c r="N113" s="7">
        <v>3.2</v>
      </c>
      <c r="O113" s="7">
        <v>0.82</v>
      </c>
      <c r="P113" s="7">
        <f t="shared" si="19"/>
        <v>0.53999999999999992</v>
      </c>
      <c r="Q113" s="7">
        <v>0.8</v>
      </c>
      <c r="R113" s="6">
        <f t="shared" si="20"/>
        <v>0.37203037090601238</v>
      </c>
      <c r="S113" s="6">
        <f t="shared" si="21"/>
        <v>0.55115610504594437</v>
      </c>
      <c r="T113" s="6">
        <f t="shared" si="22"/>
        <v>7.6813524048043202E-2</v>
      </c>
      <c r="U113" s="4">
        <f t="shared" si="23"/>
        <v>2797.6208784448818</v>
      </c>
      <c r="V113" s="4">
        <f t="shared" si="24"/>
        <v>4144.6235236220473</v>
      </c>
      <c r="W113" s="4">
        <f t="shared" si="25"/>
        <v>6942.2444020669291</v>
      </c>
      <c r="X113" s="4">
        <f t="shared" si="26"/>
        <v>2647.5979072832338</v>
      </c>
      <c r="Y113" s="4">
        <f t="shared" si="27"/>
        <v>3922.3672700492361</v>
      </c>
      <c r="Z113" s="4">
        <f t="shared" si="28"/>
        <v>6569.9651773324695</v>
      </c>
      <c r="AE113" s="3"/>
      <c r="AF113" s="3"/>
      <c r="AG113" s="7"/>
      <c r="AH113" s="7"/>
      <c r="AI113" s="7"/>
      <c r="AJ113" s="7"/>
      <c r="AK113" s="7"/>
      <c r="AL113" s="3"/>
      <c r="AM113" s="9"/>
      <c r="AN113" s="7"/>
      <c r="AO113" s="7"/>
      <c r="AP113" s="7"/>
      <c r="AQ113" s="7"/>
      <c r="AR113" s="9"/>
      <c r="AS113" s="9"/>
      <c r="AT113" s="9"/>
      <c r="AU113" s="3"/>
      <c r="AV113" s="3"/>
      <c r="AW113" s="3"/>
      <c r="AX113" s="3"/>
      <c r="AY113" s="3"/>
      <c r="AZ113" s="3"/>
    </row>
    <row r="114" spans="1:52" x14ac:dyDescent="0.3">
      <c r="A114">
        <f t="shared" si="29"/>
        <v>75</v>
      </c>
      <c r="B114" s="1" t="s">
        <v>113</v>
      </c>
      <c r="C114" s="1" t="s">
        <v>139</v>
      </c>
      <c r="D114" s="2">
        <v>42325</v>
      </c>
      <c r="E114" s="3">
        <v>37.300000000000004</v>
      </c>
      <c r="F114" s="4">
        <f t="shared" si="15"/>
        <v>5203.9190452755911</v>
      </c>
      <c r="G114" s="7">
        <v>8.7799999999999994</v>
      </c>
      <c r="H114" s="7">
        <v>201.41</v>
      </c>
      <c r="I114" s="7">
        <f t="shared" si="16"/>
        <v>192.63</v>
      </c>
      <c r="J114" s="7">
        <v>183.17</v>
      </c>
      <c r="K114" s="5">
        <f t="shared" si="17"/>
        <v>4.9109692155946671</v>
      </c>
      <c r="L114" s="4">
        <f t="shared" si="18"/>
        <v>4948.3561829576392</v>
      </c>
      <c r="M114" s="2">
        <v>42339</v>
      </c>
      <c r="N114" s="7">
        <v>2.92</v>
      </c>
      <c r="O114" s="7">
        <v>0.74</v>
      </c>
      <c r="P114" s="7">
        <f t="shared" si="19"/>
        <v>0.45999999999999996</v>
      </c>
      <c r="Q114" s="7">
        <v>0.72</v>
      </c>
      <c r="R114" s="6">
        <f t="shared" si="20"/>
        <v>0.34730384701525258</v>
      </c>
      <c r="S114" s="6">
        <f t="shared" si="21"/>
        <v>0.543606021415178</v>
      </c>
      <c r="T114" s="6">
        <f t="shared" si="22"/>
        <v>0.10909013156956948</v>
      </c>
      <c r="U114" s="4">
        <f t="shared" si="23"/>
        <v>1807.3411039801531</v>
      </c>
      <c r="V114" s="4">
        <f t="shared" si="24"/>
        <v>2828.8817279689356</v>
      </c>
      <c r="W114" s="4">
        <f t="shared" si="25"/>
        <v>4636.2228319490887</v>
      </c>
      <c r="X114" s="4">
        <f t="shared" si="26"/>
        <v>1718.5831387428991</v>
      </c>
      <c r="Y114" s="4">
        <f t="shared" si="27"/>
        <v>2689.956217162799</v>
      </c>
      <c r="Z114" s="4">
        <f t="shared" si="28"/>
        <v>4408.5393559056984</v>
      </c>
      <c r="AE114" s="3"/>
      <c r="AF114" s="3"/>
      <c r="AG114" s="7"/>
      <c r="AH114" s="7"/>
      <c r="AI114" s="7"/>
      <c r="AJ114" s="7"/>
      <c r="AK114" s="7"/>
      <c r="AL114" s="3"/>
      <c r="AM114" s="9"/>
      <c r="AN114" s="7"/>
      <c r="AO114" s="7"/>
      <c r="AP114" s="7"/>
      <c r="AQ114" s="7"/>
      <c r="AR114" s="9"/>
      <c r="AS114" s="9"/>
      <c r="AT114" s="9"/>
      <c r="AU114" s="3"/>
      <c r="AV114" s="3"/>
      <c r="AW114" s="3"/>
      <c r="AX114" s="3"/>
      <c r="AY114" s="3"/>
      <c r="AZ114" s="3"/>
    </row>
    <row r="115" spans="1:52" x14ac:dyDescent="0.3">
      <c r="A115">
        <f t="shared" si="29"/>
        <v>76</v>
      </c>
      <c r="B115" s="1" t="s">
        <v>114</v>
      </c>
      <c r="C115" s="1" t="s">
        <v>139</v>
      </c>
      <c r="D115" s="2">
        <v>42325</v>
      </c>
      <c r="E115" s="3">
        <v>47.5</v>
      </c>
      <c r="F115" s="4">
        <f t="shared" si="15"/>
        <v>6626.9746555118099</v>
      </c>
      <c r="G115" s="7">
        <v>8.82</v>
      </c>
      <c r="H115" s="7">
        <v>214.65</v>
      </c>
      <c r="I115" s="7">
        <f t="shared" si="16"/>
        <v>205.83</v>
      </c>
      <c r="J115" s="7">
        <v>193.71</v>
      </c>
      <c r="K115" s="5">
        <f t="shared" si="17"/>
        <v>5.8883544672788242</v>
      </c>
      <c r="L115" s="4">
        <f t="shared" si="18"/>
        <v>6236.7548973385447</v>
      </c>
      <c r="M115" s="2">
        <v>42339</v>
      </c>
      <c r="N115" s="7">
        <v>3.38</v>
      </c>
      <c r="O115" s="7">
        <v>0.84</v>
      </c>
      <c r="P115" s="7">
        <f t="shared" si="19"/>
        <v>0.55999999999999994</v>
      </c>
      <c r="Q115" s="7">
        <v>0.84</v>
      </c>
      <c r="R115" s="6">
        <f t="shared" si="20"/>
        <v>0.36526321754524121</v>
      </c>
      <c r="S115" s="6">
        <f t="shared" si="21"/>
        <v>0.5478948263178619</v>
      </c>
      <c r="T115" s="6">
        <f t="shared" si="22"/>
        <v>8.6841956136896825E-2</v>
      </c>
      <c r="U115" s="4">
        <f t="shared" si="23"/>
        <v>2420.5900852630102</v>
      </c>
      <c r="V115" s="4">
        <f t="shared" si="24"/>
        <v>3630.8851278945158</v>
      </c>
      <c r="W115" s="4">
        <f t="shared" si="25"/>
        <v>6051.475213157526</v>
      </c>
      <c r="X115" s="4">
        <f t="shared" si="26"/>
        <v>2278.0571608429173</v>
      </c>
      <c r="Y115" s="4">
        <f t="shared" si="27"/>
        <v>3417.0857412643768</v>
      </c>
      <c r="Z115" s="4">
        <f t="shared" si="28"/>
        <v>5695.1429021072945</v>
      </c>
      <c r="AE115" s="3"/>
      <c r="AF115" s="3"/>
      <c r="AG115" s="7"/>
      <c r="AH115" s="7"/>
      <c r="AI115" s="7"/>
      <c r="AJ115" s="7"/>
      <c r="AK115" s="7"/>
      <c r="AL115" s="3"/>
      <c r="AM115" s="9"/>
      <c r="AN115" s="7"/>
      <c r="AO115" s="7"/>
      <c r="AP115" s="7"/>
      <c r="AQ115" s="7"/>
      <c r="AR115" s="9"/>
      <c r="AS115" s="9"/>
      <c r="AT115" s="9"/>
      <c r="AU115" s="3"/>
      <c r="AV115" s="3"/>
      <c r="AW115" s="3"/>
      <c r="AX115" s="3"/>
      <c r="AY115" s="3"/>
      <c r="AZ115" s="3"/>
    </row>
    <row r="116" spans="1:52" x14ac:dyDescent="0.3">
      <c r="A116">
        <f t="shared" si="29"/>
        <v>77</v>
      </c>
      <c r="B116" s="1" t="s">
        <v>115</v>
      </c>
      <c r="C116" s="1" t="s">
        <v>139</v>
      </c>
      <c r="D116" s="2">
        <v>42325</v>
      </c>
      <c r="E116" s="3">
        <v>48.7</v>
      </c>
      <c r="F116" s="4">
        <f t="shared" si="15"/>
        <v>6794.3929625984256</v>
      </c>
      <c r="G116" s="7">
        <v>8.7799999999999994</v>
      </c>
      <c r="H116" s="7">
        <v>211.56</v>
      </c>
      <c r="I116" s="7">
        <f t="shared" si="16"/>
        <v>202.78</v>
      </c>
      <c r="J116" s="7">
        <v>191.73</v>
      </c>
      <c r="K116" s="5">
        <f t="shared" si="17"/>
        <v>5.4492553506263004</v>
      </c>
      <c r="L116" s="4">
        <f t="shared" si="18"/>
        <v>6424.1491405414536</v>
      </c>
      <c r="M116" s="2">
        <v>42339</v>
      </c>
      <c r="N116" s="7">
        <v>2.94</v>
      </c>
      <c r="O116" s="7">
        <v>0.76</v>
      </c>
      <c r="P116" s="7">
        <f t="shared" si="19"/>
        <v>0.48</v>
      </c>
      <c r="Q116" s="7">
        <v>0.72</v>
      </c>
      <c r="R116" s="6">
        <f t="shared" si="20"/>
        <v>0.35993868084633102</v>
      </c>
      <c r="S116" s="6">
        <f t="shared" si="21"/>
        <v>0.53990802126949644</v>
      </c>
      <c r="T116" s="6">
        <f t="shared" si="22"/>
        <v>0.1001532978841726</v>
      </c>
      <c r="U116" s="4">
        <f t="shared" si="23"/>
        <v>2445.5648401092722</v>
      </c>
      <c r="V116" s="4">
        <f t="shared" si="24"/>
        <v>3668.3472601639078</v>
      </c>
      <c r="W116" s="4">
        <f t="shared" si="25"/>
        <v>6113.9121002731799</v>
      </c>
      <c r="X116" s="4">
        <f t="shared" si="26"/>
        <v>2312.2997672065821</v>
      </c>
      <c r="Y116" s="4">
        <f t="shared" si="27"/>
        <v>3468.4496508098723</v>
      </c>
      <c r="Z116" s="4">
        <f t="shared" si="28"/>
        <v>5780.749418016454</v>
      </c>
      <c r="AE116" s="3"/>
      <c r="AF116" s="3"/>
      <c r="AG116" s="7"/>
      <c r="AH116" s="7"/>
      <c r="AI116" s="7"/>
      <c r="AJ116" s="7"/>
      <c r="AK116" s="7"/>
      <c r="AL116" s="3"/>
      <c r="AM116" s="9"/>
      <c r="AN116" s="7"/>
      <c r="AO116" s="7"/>
      <c r="AP116" s="7"/>
      <c r="AQ116" s="7"/>
      <c r="AR116" s="9"/>
      <c r="AS116" s="9"/>
      <c r="AT116" s="9"/>
      <c r="AU116" s="3"/>
      <c r="AV116" s="3"/>
      <c r="AW116" s="3"/>
      <c r="AX116" s="3"/>
      <c r="AY116" s="3"/>
      <c r="AZ116" s="3"/>
    </row>
    <row r="117" spans="1:52" x14ac:dyDescent="0.3">
      <c r="A117">
        <f t="shared" si="29"/>
        <v>78</v>
      </c>
      <c r="B117" s="1" t="s">
        <v>116</v>
      </c>
      <c r="C117" s="1" t="s">
        <v>139</v>
      </c>
      <c r="D117" s="2">
        <v>42325</v>
      </c>
      <c r="E117" s="3">
        <v>40.6</v>
      </c>
      <c r="F117" s="4">
        <f t="shared" si="15"/>
        <v>5664.3193897637802</v>
      </c>
      <c r="G117" s="7">
        <v>8.75</v>
      </c>
      <c r="H117" s="7">
        <v>261.2</v>
      </c>
      <c r="I117" s="7">
        <f t="shared" si="16"/>
        <v>252.45</v>
      </c>
      <c r="J117" s="7">
        <v>239.68</v>
      </c>
      <c r="K117" s="5">
        <f t="shared" si="17"/>
        <v>5.058427411368581</v>
      </c>
      <c r="L117" s="4">
        <f t="shared" si="18"/>
        <v>5377.7939050845034</v>
      </c>
      <c r="M117" s="2">
        <v>42339</v>
      </c>
      <c r="N117" s="7">
        <v>3.56</v>
      </c>
      <c r="O117" s="7">
        <v>0.88</v>
      </c>
      <c r="P117" s="7">
        <f t="shared" si="19"/>
        <v>0.6</v>
      </c>
      <c r="Q117" s="7">
        <v>0.9</v>
      </c>
      <c r="R117" s="6">
        <f t="shared" si="20"/>
        <v>0.37156591351411983</v>
      </c>
      <c r="S117" s="6">
        <f t="shared" si="21"/>
        <v>0.55734887027117974</v>
      </c>
      <c r="T117" s="6">
        <f t="shared" si="22"/>
        <v>7.1085216214700431E-2</v>
      </c>
      <c r="U117" s="4">
        <f t="shared" si="23"/>
        <v>2104.6680084933209</v>
      </c>
      <c r="V117" s="4">
        <f t="shared" si="24"/>
        <v>3157.0020127399812</v>
      </c>
      <c r="W117" s="4">
        <f t="shared" si="25"/>
        <v>5261.6700212333017</v>
      </c>
      <c r="X117" s="4">
        <f t="shared" si="26"/>
        <v>1998.2049050333894</v>
      </c>
      <c r="Y117" s="4">
        <f t="shared" si="27"/>
        <v>2997.3073575500839</v>
      </c>
      <c r="Z117" s="4">
        <f t="shared" si="28"/>
        <v>4995.5122625834738</v>
      </c>
      <c r="AE117" s="3"/>
      <c r="AF117" s="3"/>
      <c r="AG117" s="7"/>
      <c r="AH117" s="7"/>
      <c r="AI117" s="7"/>
      <c r="AJ117" s="7"/>
      <c r="AK117" s="7"/>
      <c r="AL117" s="3"/>
      <c r="AM117" s="9"/>
      <c r="AN117" s="7"/>
      <c r="AO117" s="7"/>
      <c r="AP117" s="7"/>
      <c r="AQ117" s="7"/>
      <c r="AR117" s="9"/>
      <c r="AS117" s="9"/>
      <c r="AT117" s="9"/>
      <c r="AU117" s="3"/>
      <c r="AV117" s="3"/>
      <c r="AW117" s="3"/>
      <c r="AX117" s="3"/>
      <c r="AY117" s="3"/>
      <c r="AZ117" s="3"/>
    </row>
    <row r="118" spans="1:52" x14ac:dyDescent="0.3">
      <c r="A118">
        <f t="shared" si="29"/>
        <v>79</v>
      </c>
      <c r="B118" s="1" t="s">
        <v>117</v>
      </c>
      <c r="C118" s="1" t="s">
        <v>139</v>
      </c>
      <c r="D118" s="2">
        <v>42325</v>
      </c>
      <c r="E118" s="3">
        <v>44.6</v>
      </c>
      <c r="F118" s="4">
        <f t="shared" si="15"/>
        <v>6222.3804133858275</v>
      </c>
      <c r="G118" s="7">
        <v>8.77</v>
      </c>
      <c r="H118" s="7">
        <v>198.25</v>
      </c>
      <c r="I118" s="7">
        <f t="shared" si="16"/>
        <v>189.48</v>
      </c>
      <c r="J118" s="7">
        <v>180.18</v>
      </c>
      <c r="K118" s="5">
        <f t="shared" si="17"/>
        <v>4.9081697276757357</v>
      </c>
      <c r="L118" s="4">
        <f t="shared" si="18"/>
        <v>5916.9754215951998</v>
      </c>
      <c r="M118" s="2">
        <v>42339</v>
      </c>
      <c r="N118" s="7">
        <v>2.48</v>
      </c>
      <c r="O118" s="7">
        <v>0.68</v>
      </c>
      <c r="P118" s="7">
        <f t="shared" si="19"/>
        <v>0.4</v>
      </c>
      <c r="Q118" s="7">
        <v>0.62</v>
      </c>
      <c r="R118" s="6">
        <f t="shared" si="20"/>
        <v>0.35558458390060932</v>
      </c>
      <c r="S118" s="6">
        <f t="shared" si="21"/>
        <v>0.55115610504594437</v>
      </c>
      <c r="T118" s="6">
        <f t="shared" si="22"/>
        <v>9.3259311053446314E-2</v>
      </c>
      <c r="U118" s="4">
        <f t="shared" si="23"/>
        <v>2212.5825501651011</v>
      </c>
      <c r="V118" s="4">
        <f t="shared" si="24"/>
        <v>3429.5029527559059</v>
      </c>
      <c r="W118" s="4">
        <f t="shared" si="25"/>
        <v>5642.085502921007</v>
      </c>
      <c r="X118" s="4">
        <f t="shared" si="26"/>
        <v>2103.9852432380617</v>
      </c>
      <c r="Y118" s="4">
        <f t="shared" si="27"/>
        <v>3261.1771270189947</v>
      </c>
      <c r="Z118" s="4">
        <f t="shared" si="28"/>
        <v>5365.162370257056</v>
      </c>
      <c r="AE118" s="3"/>
      <c r="AF118" s="3"/>
      <c r="AG118" s="7"/>
      <c r="AH118" s="7"/>
      <c r="AI118" s="7"/>
      <c r="AJ118" s="7"/>
      <c r="AK118" s="7"/>
      <c r="AL118" s="3"/>
      <c r="AM118" s="9"/>
      <c r="AN118" s="7"/>
      <c r="AO118" s="7"/>
      <c r="AP118" s="7"/>
      <c r="AQ118" s="7"/>
      <c r="AR118" s="9"/>
      <c r="AS118" s="9"/>
      <c r="AT118" s="9"/>
      <c r="AU118" s="3"/>
      <c r="AV118" s="3"/>
      <c r="AW118" s="3"/>
      <c r="AX118" s="3"/>
      <c r="AY118" s="3"/>
      <c r="AZ118" s="3"/>
    </row>
    <row r="119" spans="1:52" x14ac:dyDescent="0.3">
      <c r="A119">
        <f t="shared" si="29"/>
        <v>80</v>
      </c>
      <c r="B119" s="1" t="s">
        <v>118</v>
      </c>
      <c r="C119" s="1" t="s">
        <v>139</v>
      </c>
      <c r="D119" s="2">
        <v>42325</v>
      </c>
      <c r="E119" s="3">
        <v>25.3</v>
      </c>
      <c r="F119" s="4">
        <f t="shared" si="15"/>
        <v>3529.7359744094488</v>
      </c>
      <c r="G119" s="7">
        <v>8.8000000000000007</v>
      </c>
      <c r="H119" s="7">
        <v>194.22</v>
      </c>
      <c r="I119" s="7">
        <f t="shared" si="16"/>
        <v>185.42</v>
      </c>
      <c r="J119" s="7">
        <v>175.7</v>
      </c>
      <c r="K119" s="5">
        <f t="shared" si="17"/>
        <v>5.2421529500593245</v>
      </c>
      <c r="L119" s="4">
        <f t="shared" si="18"/>
        <v>3344.7018158976389</v>
      </c>
      <c r="M119" s="2">
        <v>42339</v>
      </c>
      <c r="N119" s="7">
        <v>3.52</v>
      </c>
      <c r="O119" s="7">
        <v>0.86</v>
      </c>
      <c r="P119" s="7">
        <f t="shared" si="19"/>
        <v>0.57999999999999996</v>
      </c>
      <c r="Q119" s="7">
        <v>0.86</v>
      </c>
      <c r="R119" s="6">
        <f t="shared" si="20"/>
        <v>0.36326197832573603</v>
      </c>
      <c r="S119" s="6">
        <f t="shared" si="21"/>
        <v>0.53862982993126385</v>
      </c>
      <c r="T119" s="6">
        <f t="shared" si="22"/>
        <v>9.8108191743000117E-2</v>
      </c>
      <c r="U119" s="4">
        <f t="shared" si="23"/>
        <v>1282.2188730314958</v>
      </c>
      <c r="V119" s="4">
        <f t="shared" si="24"/>
        <v>1901.2210875984254</v>
      </c>
      <c r="W119" s="4">
        <f t="shared" si="25"/>
        <v>3183.4399606299212</v>
      </c>
      <c r="X119" s="4">
        <f t="shared" si="26"/>
        <v>1215.002998552658</v>
      </c>
      <c r="Y119" s="4">
        <f t="shared" si="27"/>
        <v>1801.5561702677346</v>
      </c>
      <c r="Z119" s="4">
        <f t="shared" si="28"/>
        <v>3016.5591688203926</v>
      </c>
      <c r="AE119" s="3"/>
      <c r="AF119" s="3"/>
      <c r="AG119" s="7"/>
      <c r="AH119" s="7"/>
      <c r="AI119" s="7"/>
      <c r="AJ119" s="7"/>
      <c r="AK119" s="7"/>
      <c r="AL119" s="3"/>
      <c r="AM119" s="9"/>
      <c r="AN119" s="7"/>
      <c r="AO119" s="7"/>
      <c r="AP119" s="7"/>
      <c r="AQ119" s="7"/>
      <c r="AR119" s="9"/>
      <c r="AS119" s="9"/>
      <c r="AT119" s="9"/>
      <c r="AU119" s="3"/>
      <c r="AV119" s="3"/>
      <c r="AW119" s="3"/>
      <c r="AX119" s="3"/>
      <c r="AY119" s="3"/>
      <c r="AZ119" s="3"/>
    </row>
    <row r="120" spans="1:52" x14ac:dyDescent="0.3">
      <c r="A120">
        <f t="shared" si="29"/>
        <v>81</v>
      </c>
      <c r="B120" s="1" t="s">
        <v>119</v>
      </c>
      <c r="C120" s="1" t="s">
        <v>139</v>
      </c>
      <c r="D120" s="2">
        <v>42325</v>
      </c>
      <c r="E120" s="3">
        <v>38.699999999999996</v>
      </c>
      <c r="F120" s="4">
        <f t="shared" si="15"/>
        <v>5399.2404035433074</v>
      </c>
      <c r="G120" s="7">
        <v>8.77</v>
      </c>
      <c r="H120" s="7">
        <v>233.42</v>
      </c>
      <c r="I120" s="7">
        <f t="shared" si="16"/>
        <v>224.64999999999998</v>
      </c>
      <c r="J120" s="7">
        <v>213.55</v>
      </c>
      <c r="K120" s="5">
        <f t="shared" si="17"/>
        <v>4.941019363454247</v>
      </c>
      <c r="L120" s="4">
        <f t="shared" si="18"/>
        <v>5132.4628897247876</v>
      </c>
      <c r="M120" s="2">
        <v>42339</v>
      </c>
      <c r="N120" s="7">
        <v>2.98</v>
      </c>
      <c r="O120" s="7">
        <v>0.76</v>
      </c>
      <c r="P120" s="7">
        <f t="shared" si="19"/>
        <v>0.48</v>
      </c>
      <c r="Q120" s="7">
        <v>0.74</v>
      </c>
      <c r="R120" s="6">
        <f t="shared" si="20"/>
        <v>0.35510728915711853</v>
      </c>
      <c r="S120" s="6">
        <f t="shared" si="21"/>
        <v>0.54745707078389105</v>
      </c>
      <c r="T120" s="6">
        <f t="shared" si="22"/>
        <v>9.7435640058990414E-2</v>
      </c>
      <c r="U120" s="4">
        <f t="shared" si="23"/>
        <v>1917.3096232098505</v>
      </c>
      <c r="V120" s="4">
        <f t="shared" si="24"/>
        <v>2955.8523357818531</v>
      </c>
      <c r="W120" s="4">
        <f t="shared" si="25"/>
        <v>4873.1619589917036</v>
      </c>
      <c r="X120" s="4">
        <f t="shared" si="26"/>
        <v>1822.5749834696803</v>
      </c>
      <c r="Y120" s="4">
        <f t="shared" si="27"/>
        <v>2809.8030995157569</v>
      </c>
      <c r="Z120" s="4">
        <f t="shared" si="28"/>
        <v>4632.3780829854368</v>
      </c>
      <c r="AB120" t="s">
        <v>147</v>
      </c>
      <c r="AC120" t="str">
        <f>C120</f>
        <v>Machine</v>
      </c>
      <c r="AD120" s="8">
        <f>D120</f>
        <v>42325</v>
      </c>
      <c r="AE120" s="3">
        <f>SUM(E120:E129)</f>
        <v>429.3</v>
      </c>
      <c r="AF120" s="3">
        <f>AE120*$A$29/($A$30*10)*$A$31</f>
        <v>5989.389936023621</v>
      </c>
      <c r="AG120" s="7">
        <f>SUM(G120:G129)</f>
        <v>87.46</v>
      </c>
      <c r="AH120" s="7">
        <f>SUM(H120:H129)</f>
        <v>2283.69</v>
      </c>
      <c r="AI120" s="7">
        <f>AH120-AG120</f>
        <v>2196.23</v>
      </c>
      <c r="AJ120" s="7">
        <f>SUM(J120:J129)</f>
        <v>2088.29</v>
      </c>
      <c r="AK120" s="7">
        <f>(AI120-AJ120)/AI120*100</f>
        <v>4.9147857920163212</v>
      </c>
      <c r="AL120" s="3">
        <f>AF120*(1-AK120/100)</f>
        <v>5695.0242504194766</v>
      </c>
      <c r="AM120" s="11">
        <f>M120</f>
        <v>42339</v>
      </c>
      <c r="AN120" s="7">
        <f>SUM(N120:N129)</f>
        <v>30.380000000000003</v>
      </c>
      <c r="AO120" s="7">
        <f>SUM(O120:O129)</f>
        <v>7.6999999999999993</v>
      </c>
      <c r="AP120" s="7">
        <f>AO120-10*$A$32</f>
        <v>4.8999999999999986</v>
      </c>
      <c r="AQ120" s="7">
        <f>SUM(Q120:Q129)</f>
        <v>7.58</v>
      </c>
      <c r="AR120" s="9">
        <f>AP120/(AN120*$A$29)</f>
        <v>0.35558458390060915</v>
      </c>
      <c r="AS120" s="9">
        <f>AQ120/(AN120*$A$29)</f>
        <v>0.5500675808095139</v>
      </c>
      <c r="AT120" s="9">
        <f>1-AR120-AS120</f>
        <v>9.4347835289877002E-2</v>
      </c>
      <c r="AU120" s="3">
        <f>AF120*AR120</f>
        <v>2129.7347282194555</v>
      </c>
      <c r="AV120" s="3">
        <f>AF120*AS120</f>
        <v>3294.5692326333624</v>
      </c>
      <c r="AW120" s="3">
        <f>AU120+AV120</f>
        <v>5424.3039608528179</v>
      </c>
      <c r="AX120" s="3">
        <f>AL120*AR120</f>
        <v>2025.0628283892881</v>
      </c>
      <c r="AY120" s="3">
        <f>AL120*AS120</f>
        <v>3132.6482120797568</v>
      </c>
      <c r="AZ120" s="3">
        <f>AX120+AY120</f>
        <v>5157.7110404690447</v>
      </c>
    </row>
    <row r="121" spans="1:52" x14ac:dyDescent="0.3">
      <c r="A121">
        <f t="shared" si="29"/>
        <v>82</v>
      </c>
      <c r="B121" s="1" t="s">
        <v>120</v>
      </c>
      <c r="C121" s="1" t="s">
        <v>139</v>
      </c>
      <c r="D121" s="2">
        <v>42325</v>
      </c>
      <c r="E121" s="3">
        <v>45.4</v>
      </c>
      <c r="F121" s="4">
        <f t="shared" si="15"/>
        <v>6333.9926181102355</v>
      </c>
      <c r="G121" s="7">
        <v>8.7799999999999994</v>
      </c>
      <c r="H121" s="7">
        <v>215.86</v>
      </c>
      <c r="I121" s="7">
        <f t="shared" si="16"/>
        <v>207.08</v>
      </c>
      <c r="J121" s="7">
        <v>196.5</v>
      </c>
      <c r="K121" s="5">
        <f t="shared" si="17"/>
        <v>5.1091365655785257</v>
      </c>
      <c r="L121" s="4">
        <f t="shared" si="18"/>
        <v>6010.3802851973214</v>
      </c>
      <c r="M121" s="2">
        <v>42339</v>
      </c>
      <c r="N121" s="7">
        <v>2.94</v>
      </c>
      <c r="O121" s="7">
        <v>0.74</v>
      </c>
      <c r="P121" s="7">
        <f t="shared" si="19"/>
        <v>0.45999999999999996</v>
      </c>
      <c r="Q121" s="7">
        <v>0.74</v>
      </c>
      <c r="R121" s="6">
        <f t="shared" si="20"/>
        <v>0.34494123581106717</v>
      </c>
      <c r="S121" s="6">
        <f t="shared" si="21"/>
        <v>0.55490546630476034</v>
      </c>
      <c r="T121" s="6">
        <f t="shared" si="22"/>
        <v>0.10015329788417249</v>
      </c>
      <c r="U121" s="4">
        <f t="shared" si="23"/>
        <v>2184.8552413091215</v>
      </c>
      <c r="V121" s="4">
        <f t="shared" si="24"/>
        <v>3514.76712732337</v>
      </c>
      <c r="W121" s="4">
        <f t="shared" si="25"/>
        <v>5699.622368632492</v>
      </c>
      <c r="X121" s="4">
        <f t="shared" si="26"/>
        <v>2073.2280032704384</v>
      </c>
      <c r="Y121" s="4">
        <f t="shared" si="27"/>
        <v>3335.1928748263581</v>
      </c>
      <c r="Z121" s="4">
        <f t="shared" si="28"/>
        <v>5408.4208780967965</v>
      </c>
      <c r="AE121" s="3"/>
      <c r="AF121" s="3"/>
      <c r="AG121" s="7"/>
      <c r="AH121" s="7"/>
      <c r="AI121" s="7"/>
      <c r="AJ121" s="7"/>
      <c r="AK121" s="7"/>
      <c r="AL121" s="3"/>
      <c r="AM121" s="9"/>
      <c r="AN121" s="7"/>
      <c r="AO121" s="7"/>
      <c r="AP121" s="7"/>
      <c r="AQ121" s="7"/>
      <c r="AR121" s="9"/>
      <c r="AS121" s="9"/>
      <c r="AT121" s="9"/>
      <c r="AU121" s="3"/>
      <c r="AV121" s="3"/>
      <c r="AW121" s="3"/>
      <c r="AX121" s="3"/>
      <c r="AY121" s="3"/>
      <c r="AZ121" s="3"/>
    </row>
    <row r="122" spans="1:52" x14ac:dyDescent="0.3">
      <c r="A122">
        <f t="shared" si="29"/>
        <v>83</v>
      </c>
      <c r="B122" s="1" t="s">
        <v>121</v>
      </c>
      <c r="C122" s="1" t="s">
        <v>139</v>
      </c>
      <c r="D122" s="2">
        <v>42325</v>
      </c>
      <c r="E122" s="3">
        <v>46.3</v>
      </c>
      <c r="F122" s="4">
        <f t="shared" si="15"/>
        <v>6459.5563484251961</v>
      </c>
      <c r="G122" s="7">
        <v>8.82</v>
      </c>
      <c r="H122" s="7">
        <v>219.51</v>
      </c>
      <c r="I122" s="7">
        <f t="shared" si="16"/>
        <v>210.69</v>
      </c>
      <c r="J122" s="7">
        <v>200.35</v>
      </c>
      <c r="K122" s="5">
        <f t="shared" si="17"/>
        <v>4.9076842754758188</v>
      </c>
      <c r="L122" s="4">
        <f t="shared" si="18"/>
        <v>6142.5417172480329</v>
      </c>
      <c r="M122" s="2">
        <v>42339</v>
      </c>
      <c r="N122" s="7">
        <v>3.12</v>
      </c>
      <c r="O122" s="7">
        <v>0.78</v>
      </c>
      <c r="P122" s="7">
        <f t="shared" si="19"/>
        <v>0.5</v>
      </c>
      <c r="Q122" s="7">
        <v>0.78</v>
      </c>
      <c r="R122" s="6">
        <f t="shared" si="20"/>
        <v>0.35330519554227202</v>
      </c>
      <c r="S122" s="6">
        <f t="shared" si="21"/>
        <v>0.55115610504594437</v>
      </c>
      <c r="T122" s="6">
        <f t="shared" si="22"/>
        <v>9.5538699411783612E-2</v>
      </c>
      <c r="U122" s="4">
        <f t="shared" si="23"/>
        <v>2282.1948187966887</v>
      </c>
      <c r="V122" s="4">
        <f t="shared" si="24"/>
        <v>3560.223917322834</v>
      </c>
      <c r="W122" s="4">
        <f t="shared" si="25"/>
        <v>5842.4187361195227</v>
      </c>
      <c r="X122" s="4">
        <f t="shared" si="26"/>
        <v>2170.1919025388797</v>
      </c>
      <c r="Y122" s="4">
        <f t="shared" si="27"/>
        <v>3385.4993679606523</v>
      </c>
      <c r="Z122" s="4">
        <f t="shared" si="28"/>
        <v>5555.691270499532</v>
      </c>
      <c r="AE122" s="3"/>
      <c r="AF122" s="3"/>
      <c r="AG122" s="7"/>
      <c r="AH122" s="7"/>
      <c r="AI122" s="7"/>
      <c r="AJ122" s="7"/>
      <c r="AK122" s="7"/>
      <c r="AL122" s="3"/>
      <c r="AM122" s="9"/>
      <c r="AN122" s="7"/>
      <c r="AO122" s="7"/>
      <c r="AP122" s="7"/>
      <c r="AQ122" s="7"/>
      <c r="AR122" s="9"/>
      <c r="AS122" s="9"/>
      <c r="AT122" s="9"/>
      <c r="AU122" s="3"/>
      <c r="AV122" s="3"/>
      <c r="AW122" s="3"/>
      <c r="AX122" s="3"/>
      <c r="AY122" s="3"/>
      <c r="AZ122" s="3"/>
    </row>
    <row r="123" spans="1:52" x14ac:dyDescent="0.3">
      <c r="A123">
        <f t="shared" si="29"/>
        <v>84</v>
      </c>
      <c r="B123" s="1" t="s">
        <v>122</v>
      </c>
      <c r="C123" s="1" t="s">
        <v>139</v>
      </c>
      <c r="D123" s="2">
        <v>42325</v>
      </c>
      <c r="E123" s="3">
        <v>47.6</v>
      </c>
      <c r="F123" s="4">
        <f t="shared" si="15"/>
        <v>6640.9261811023625</v>
      </c>
      <c r="G123" s="7">
        <v>8.74</v>
      </c>
      <c r="H123" s="7">
        <v>222.21</v>
      </c>
      <c r="I123" s="7">
        <f t="shared" si="16"/>
        <v>213.47</v>
      </c>
      <c r="J123" s="7">
        <v>202.91</v>
      </c>
      <c r="K123" s="5">
        <f t="shared" si="17"/>
        <v>4.9468309364313496</v>
      </c>
      <c r="L123" s="4">
        <f t="shared" si="18"/>
        <v>6312.4107903100221</v>
      </c>
      <c r="M123" s="2">
        <v>42339</v>
      </c>
      <c r="N123" s="7">
        <v>2.9</v>
      </c>
      <c r="O123" s="7">
        <v>0.76</v>
      </c>
      <c r="P123" s="7">
        <f t="shared" si="19"/>
        <v>0.48</v>
      </c>
      <c r="Q123" s="7">
        <v>0.74</v>
      </c>
      <c r="R123" s="6">
        <f t="shared" si="20"/>
        <v>0.3649033523062804</v>
      </c>
      <c r="S123" s="6">
        <f t="shared" si="21"/>
        <v>0.56255933480551568</v>
      </c>
      <c r="T123" s="6">
        <f t="shared" si="22"/>
        <v>7.2537312888203975E-2</v>
      </c>
      <c r="U123" s="4">
        <f t="shared" si="23"/>
        <v>2423.2962259027968</v>
      </c>
      <c r="V123" s="4">
        <f t="shared" si="24"/>
        <v>3735.9150149334787</v>
      </c>
      <c r="W123" s="4">
        <f t="shared" si="25"/>
        <v>6159.2112408362755</v>
      </c>
      <c r="X123" s="4">
        <f t="shared" si="26"/>
        <v>2303.419858518464</v>
      </c>
      <c r="Y123" s="4">
        <f t="shared" si="27"/>
        <v>3551.1056152159654</v>
      </c>
      <c r="Z123" s="4">
        <f t="shared" si="28"/>
        <v>5854.5254737344294</v>
      </c>
      <c r="AE123" s="3"/>
      <c r="AF123" s="3"/>
      <c r="AG123" s="7"/>
      <c r="AH123" s="7"/>
      <c r="AI123" s="7"/>
      <c r="AJ123" s="7"/>
      <c r="AK123" s="7"/>
      <c r="AL123" s="3"/>
      <c r="AM123" s="9"/>
      <c r="AN123" s="7"/>
      <c r="AO123" s="7"/>
      <c r="AP123" s="7"/>
      <c r="AQ123" s="7"/>
      <c r="AR123" s="9"/>
      <c r="AS123" s="9"/>
      <c r="AT123" s="9"/>
      <c r="AU123" s="3"/>
      <c r="AV123" s="3"/>
      <c r="AW123" s="3"/>
      <c r="AX123" s="3"/>
      <c r="AY123" s="3"/>
      <c r="AZ123" s="3"/>
    </row>
    <row r="124" spans="1:52" x14ac:dyDescent="0.3">
      <c r="A124">
        <f t="shared" si="29"/>
        <v>85</v>
      </c>
      <c r="B124" s="1" t="s">
        <v>123</v>
      </c>
      <c r="C124" s="1" t="s">
        <v>139</v>
      </c>
      <c r="D124" s="2">
        <v>42325</v>
      </c>
      <c r="E124" s="3">
        <v>47</v>
      </c>
      <c r="F124" s="4">
        <f t="shared" si="15"/>
        <v>6557.2170275590543</v>
      </c>
      <c r="G124" s="7">
        <v>8.7799999999999994</v>
      </c>
      <c r="H124" s="7">
        <v>193.26</v>
      </c>
      <c r="I124" s="7">
        <f t="shared" si="16"/>
        <v>184.48</v>
      </c>
      <c r="J124" s="7">
        <v>175.62</v>
      </c>
      <c r="K124" s="5">
        <f t="shared" si="17"/>
        <v>4.8026886383347716</v>
      </c>
      <c r="L124" s="4">
        <f t="shared" si="18"/>
        <v>6242.2943103855223</v>
      </c>
      <c r="M124" s="2">
        <v>42339</v>
      </c>
      <c r="N124" s="7">
        <v>2.92</v>
      </c>
      <c r="O124" s="7">
        <v>0.76</v>
      </c>
      <c r="P124" s="7">
        <f t="shared" si="19"/>
        <v>0.48</v>
      </c>
      <c r="Q124" s="7">
        <v>0.72</v>
      </c>
      <c r="R124" s="6">
        <f t="shared" si="20"/>
        <v>0.36240401427678531</v>
      </c>
      <c r="S124" s="6">
        <f t="shared" si="21"/>
        <v>0.543606021415178</v>
      </c>
      <c r="T124" s="6">
        <f t="shared" si="22"/>
        <v>9.3989964308036744E-2</v>
      </c>
      <c r="U124" s="4">
        <f t="shared" si="23"/>
        <v>2376.3617732714911</v>
      </c>
      <c r="V124" s="4">
        <f t="shared" si="24"/>
        <v>3564.5426599072371</v>
      </c>
      <c r="W124" s="4">
        <f t="shared" si="25"/>
        <v>5940.9044331787281</v>
      </c>
      <c r="X124" s="4">
        <f t="shared" si="26"/>
        <v>2262.2325163808505</v>
      </c>
      <c r="Y124" s="4">
        <f t="shared" si="27"/>
        <v>3393.348774571276</v>
      </c>
      <c r="Z124" s="4">
        <f t="shared" si="28"/>
        <v>5655.5812909521264</v>
      </c>
      <c r="AE124" s="3"/>
      <c r="AF124" s="3"/>
      <c r="AG124" s="7"/>
      <c r="AH124" s="7"/>
      <c r="AI124" s="7"/>
      <c r="AJ124" s="7"/>
      <c r="AK124" s="7"/>
      <c r="AL124" s="3"/>
      <c r="AM124" s="9"/>
      <c r="AN124" s="7"/>
      <c r="AO124" s="7"/>
      <c r="AP124" s="7"/>
      <c r="AQ124" s="7"/>
      <c r="AR124" s="9"/>
      <c r="AS124" s="9"/>
      <c r="AT124" s="9"/>
      <c r="AU124" s="3"/>
      <c r="AV124" s="3"/>
      <c r="AW124" s="3"/>
      <c r="AX124" s="3"/>
      <c r="AY124" s="3"/>
      <c r="AZ124" s="3"/>
    </row>
    <row r="125" spans="1:52" x14ac:dyDescent="0.3">
      <c r="A125">
        <f t="shared" si="29"/>
        <v>86</v>
      </c>
      <c r="B125" s="1" t="s">
        <v>124</v>
      </c>
      <c r="C125" s="1" t="s">
        <v>139</v>
      </c>
      <c r="D125" s="2">
        <v>42325</v>
      </c>
      <c r="E125" s="3">
        <v>46.699999999999996</v>
      </c>
      <c r="F125" s="4">
        <f t="shared" si="15"/>
        <v>6515.362450787401</v>
      </c>
      <c r="G125" s="7">
        <v>8.77</v>
      </c>
      <c r="H125" s="7">
        <v>273.98</v>
      </c>
      <c r="I125" s="7">
        <f t="shared" si="16"/>
        <v>265.21000000000004</v>
      </c>
      <c r="J125" s="7">
        <v>252.42</v>
      </c>
      <c r="K125" s="5">
        <f t="shared" si="17"/>
        <v>4.8225934165378552</v>
      </c>
      <c r="L125" s="4">
        <f t="shared" si="18"/>
        <v>6201.1530101721482</v>
      </c>
      <c r="M125" s="2">
        <v>42339</v>
      </c>
      <c r="N125" s="7">
        <v>3.3</v>
      </c>
      <c r="O125" s="7">
        <v>0.8</v>
      </c>
      <c r="P125" s="7">
        <f t="shared" si="19"/>
        <v>0.52</v>
      </c>
      <c r="Q125" s="7">
        <v>0.8</v>
      </c>
      <c r="R125" s="6">
        <f t="shared" si="20"/>
        <v>0.34739536318047409</v>
      </c>
      <c r="S125" s="6">
        <f t="shared" si="21"/>
        <v>0.53445440489303708</v>
      </c>
      <c r="T125" s="6">
        <f t="shared" si="22"/>
        <v>0.11815023192648888</v>
      </c>
      <c r="U125" s="4">
        <f t="shared" si="23"/>
        <v>2263.4067048437128</v>
      </c>
      <c r="V125" s="4">
        <f t="shared" si="24"/>
        <v>3482.1641612980202</v>
      </c>
      <c r="W125" s="4">
        <f t="shared" si="25"/>
        <v>5745.5708661417329</v>
      </c>
      <c r="X125" s="4">
        <f t="shared" si="26"/>
        <v>2154.2518021064434</v>
      </c>
      <c r="Y125" s="4">
        <f t="shared" si="27"/>
        <v>3314.2335417022209</v>
      </c>
      <c r="Z125" s="4">
        <f t="shared" si="28"/>
        <v>5468.4853438086648</v>
      </c>
      <c r="AE125" s="3"/>
      <c r="AF125" s="3"/>
      <c r="AG125" s="7"/>
      <c r="AH125" s="7"/>
      <c r="AI125" s="7"/>
      <c r="AJ125" s="7"/>
      <c r="AK125" s="7"/>
      <c r="AL125" s="3"/>
      <c r="AM125" s="9"/>
      <c r="AN125" s="7"/>
      <c r="AO125" s="7"/>
      <c r="AP125" s="7"/>
      <c r="AQ125" s="7"/>
      <c r="AR125" s="9"/>
      <c r="AS125" s="9"/>
      <c r="AT125" s="9"/>
      <c r="AU125" s="3"/>
      <c r="AV125" s="3"/>
      <c r="AW125" s="3"/>
      <c r="AX125" s="3"/>
      <c r="AY125" s="3"/>
      <c r="AZ125" s="3"/>
    </row>
    <row r="126" spans="1:52" x14ac:dyDescent="0.3">
      <c r="A126">
        <f t="shared" si="29"/>
        <v>87</v>
      </c>
      <c r="B126" s="1" t="s">
        <v>125</v>
      </c>
      <c r="C126" s="1" t="s">
        <v>139</v>
      </c>
      <c r="D126" s="2">
        <v>42325</v>
      </c>
      <c r="E126" s="3">
        <v>46.3</v>
      </c>
      <c r="F126" s="4">
        <f t="shared" si="15"/>
        <v>6459.5563484251961</v>
      </c>
      <c r="G126" s="7">
        <v>8.7100000000000009</v>
      </c>
      <c r="H126" s="7">
        <v>255.54</v>
      </c>
      <c r="I126" s="7">
        <f t="shared" si="16"/>
        <v>246.82999999999998</v>
      </c>
      <c r="J126" s="7">
        <v>233.78</v>
      </c>
      <c r="K126" s="5">
        <f t="shared" si="17"/>
        <v>5.2870396629258938</v>
      </c>
      <c r="L126" s="4">
        <f t="shared" si="18"/>
        <v>6118.0370422349079</v>
      </c>
      <c r="M126" s="2">
        <v>42339</v>
      </c>
      <c r="N126" s="7">
        <v>3.16</v>
      </c>
      <c r="O126" s="7">
        <v>0.78</v>
      </c>
      <c r="P126" s="7">
        <f t="shared" si="19"/>
        <v>0.5</v>
      </c>
      <c r="Q126" s="7">
        <v>0.78</v>
      </c>
      <c r="R126" s="6">
        <f t="shared" si="20"/>
        <v>0.34883297787717998</v>
      </c>
      <c r="S126" s="6">
        <f t="shared" si="21"/>
        <v>0.5441794454884008</v>
      </c>
      <c r="T126" s="6">
        <f t="shared" si="22"/>
        <v>0.10698757663441927</v>
      </c>
      <c r="U126" s="4">
        <f t="shared" si="23"/>
        <v>2253.306276786604</v>
      </c>
      <c r="V126" s="4">
        <f t="shared" si="24"/>
        <v>3515.1577917871023</v>
      </c>
      <c r="W126" s="4">
        <f t="shared" si="25"/>
        <v>5768.4640685737068</v>
      </c>
      <c r="X126" s="4">
        <f t="shared" si="26"/>
        <v>2134.1730802056973</v>
      </c>
      <c r="Y126" s="4">
        <f t="shared" si="27"/>
        <v>3329.310005120888</v>
      </c>
      <c r="Z126" s="4">
        <f t="shared" si="28"/>
        <v>5463.4830853265848</v>
      </c>
      <c r="AE126" s="3"/>
      <c r="AF126" s="3"/>
      <c r="AG126" s="7"/>
      <c r="AH126" s="7"/>
      <c r="AI126" s="7"/>
      <c r="AJ126" s="7"/>
      <c r="AK126" s="7"/>
      <c r="AL126" s="3"/>
      <c r="AM126" s="9"/>
      <c r="AN126" s="7"/>
      <c r="AO126" s="7"/>
      <c r="AP126" s="7"/>
      <c r="AQ126" s="7"/>
      <c r="AR126" s="9"/>
      <c r="AS126" s="9"/>
      <c r="AT126" s="9"/>
      <c r="AU126" s="3"/>
      <c r="AV126" s="3"/>
      <c r="AW126" s="3"/>
      <c r="AX126" s="3"/>
      <c r="AY126" s="3"/>
      <c r="AZ126" s="3"/>
    </row>
    <row r="127" spans="1:52" x14ac:dyDescent="0.3">
      <c r="A127">
        <f t="shared" si="29"/>
        <v>88</v>
      </c>
      <c r="B127" s="1" t="s">
        <v>126</v>
      </c>
      <c r="C127" s="1" t="s">
        <v>139</v>
      </c>
      <c r="D127" s="2">
        <v>42325</v>
      </c>
      <c r="E127" s="3">
        <v>46.699999999999996</v>
      </c>
      <c r="F127" s="4">
        <f t="shared" si="15"/>
        <v>6515.362450787401</v>
      </c>
      <c r="G127" s="7">
        <v>8.6999999999999993</v>
      </c>
      <c r="H127" s="7">
        <v>209.51</v>
      </c>
      <c r="I127" s="7">
        <f t="shared" si="16"/>
        <v>200.81</v>
      </c>
      <c r="J127" s="7">
        <v>190.65</v>
      </c>
      <c r="K127" s="5">
        <f t="shared" si="17"/>
        <v>5.0595089885961837</v>
      </c>
      <c r="L127" s="4">
        <f t="shared" si="18"/>
        <v>6185.717101950192</v>
      </c>
      <c r="M127" s="2">
        <v>42339</v>
      </c>
      <c r="N127" s="7">
        <v>3.18</v>
      </c>
      <c r="O127" s="7">
        <v>0.8</v>
      </c>
      <c r="P127" s="7">
        <f t="shared" si="19"/>
        <v>0.52</v>
      </c>
      <c r="Q127" s="7">
        <v>0.78</v>
      </c>
      <c r="R127" s="6">
        <f t="shared" si="20"/>
        <v>0.36050462216841644</v>
      </c>
      <c r="S127" s="6">
        <f t="shared" si="21"/>
        <v>0.54075693325262464</v>
      </c>
      <c r="T127" s="6">
        <f t="shared" si="22"/>
        <v>9.8738444578958862E-2</v>
      </c>
      <c r="U127" s="4">
        <f t="shared" si="23"/>
        <v>2348.8182786113998</v>
      </c>
      <c r="V127" s="4">
        <f t="shared" si="24"/>
        <v>3523.2274179170995</v>
      </c>
      <c r="W127" s="4">
        <f t="shared" si="25"/>
        <v>5872.0456965284993</v>
      </c>
      <c r="X127" s="4">
        <f t="shared" si="26"/>
        <v>2229.979606679266</v>
      </c>
      <c r="Y127" s="4">
        <f t="shared" si="27"/>
        <v>3344.9694100188985</v>
      </c>
      <c r="Z127" s="4">
        <f t="shared" si="28"/>
        <v>5574.949016698165</v>
      </c>
      <c r="AE127" s="3"/>
      <c r="AF127" s="3"/>
      <c r="AG127" s="7"/>
      <c r="AH127" s="7"/>
      <c r="AI127" s="7"/>
      <c r="AJ127" s="7"/>
      <c r="AK127" s="7"/>
      <c r="AL127" s="3"/>
      <c r="AM127" s="9"/>
      <c r="AN127" s="7"/>
      <c r="AO127" s="7"/>
      <c r="AP127" s="7"/>
      <c r="AQ127" s="7"/>
      <c r="AR127" s="9"/>
      <c r="AS127" s="9"/>
      <c r="AT127" s="9"/>
      <c r="AU127" s="3"/>
      <c r="AV127" s="3"/>
      <c r="AW127" s="3"/>
      <c r="AX127" s="3"/>
      <c r="AY127" s="3"/>
      <c r="AZ127" s="3"/>
    </row>
    <row r="128" spans="1:52" x14ac:dyDescent="0.3">
      <c r="A128">
        <f t="shared" si="29"/>
        <v>89</v>
      </c>
      <c r="B128" s="1" t="s">
        <v>127</v>
      </c>
      <c r="C128" s="1" t="s">
        <v>139</v>
      </c>
      <c r="D128" s="2">
        <v>42325</v>
      </c>
      <c r="E128" s="3">
        <v>35</v>
      </c>
      <c r="F128" s="4">
        <f t="shared" si="15"/>
        <v>4883.0339566929133</v>
      </c>
      <c r="G128" s="7">
        <v>8.66</v>
      </c>
      <c r="H128" s="7">
        <v>239.08</v>
      </c>
      <c r="I128" s="7">
        <f t="shared" si="16"/>
        <v>230.42000000000002</v>
      </c>
      <c r="J128" s="7">
        <v>219.58</v>
      </c>
      <c r="K128" s="5">
        <f t="shared" si="17"/>
        <v>4.7044527384775634</v>
      </c>
      <c r="L128" s="4">
        <f t="shared" si="18"/>
        <v>4653.3139319964848</v>
      </c>
      <c r="M128" s="2">
        <v>42339</v>
      </c>
      <c r="N128" s="7">
        <v>3.1</v>
      </c>
      <c r="O128" s="7">
        <v>0.8</v>
      </c>
      <c r="P128" s="7">
        <f t="shared" si="19"/>
        <v>0.52</v>
      </c>
      <c r="Q128" s="7">
        <v>0.78</v>
      </c>
      <c r="R128" s="6">
        <f t="shared" si="20"/>
        <v>0.36980796725663367</v>
      </c>
      <c r="S128" s="6">
        <f t="shared" si="21"/>
        <v>0.55471195088495051</v>
      </c>
      <c r="T128" s="6">
        <f t="shared" si="22"/>
        <v>7.5480081858415815E-2</v>
      </c>
      <c r="U128" s="4">
        <f t="shared" si="23"/>
        <v>1805.7848615697233</v>
      </c>
      <c r="V128" s="4">
        <f t="shared" si="24"/>
        <v>2708.677292354585</v>
      </c>
      <c r="W128" s="4">
        <f t="shared" si="25"/>
        <v>4514.462153924308</v>
      </c>
      <c r="X128" s="4">
        <f t="shared" si="26"/>
        <v>1720.8325661985934</v>
      </c>
      <c r="Y128" s="4">
        <f t="shared" si="27"/>
        <v>2581.24884929789</v>
      </c>
      <c r="Z128" s="4">
        <f t="shared" si="28"/>
        <v>4302.0814154964837</v>
      </c>
      <c r="AE128" s="3"/>
      <c r="AF128" s="3"/>
      <c r="AG128" s="7"/>
      <c r="AH128" s="7"/>
      <c r="AI128" s="7"/>
      <c r="AJ128" s="7"/>
      <c r="AK128" s="7"/>
      <c r="AL128" s="3"/>
      <c r="AM128" s="9"/>
      <c r="AN128" s="7"/>
      <c r="AO128" s="7"/>
      <c r="AP128" s="7"/>
      <c r="AQ128" s="7"/>
      <c r="AR128" s="9"/>
      <c r="AS128" s="9"/>
      <c r="AT128" s="9"/>
      <c r="AU128" s="3"/>
      <c r="AV128" s="3"/>
      <c r="AW128" s="3"/>
      <c r="AX128" s="3"/>
      <c r="AY128" s="3"/>
      <c r="AZ128" s="3"/>
    </row>
    <row r="129" spans="1:52" x14ac:dyDescent="0.3">
      <c r="A129">
        <f t="shared" si="29"/>
        <v>90</v>
      </c>
      <c r="B129" s="1" t="s">
        <v>128</v>
      </c>
      <c r="C129" s="1" t="s">
        <v>139</v>
      </c>
      <c r="D129" s="2">
        <v>42325</v>
      </c>
      <c r="E129" s="3">
        <v>29.6</v>
      </c>
      <c r="F129" s="4">
        <f t="shared" si="15"/>
        <v>4129.6515748031497</v>
      </c>
      <c r="G129" s="7">
        <v>8.73</v>
      </c>
      <c r="H129" s="7">
        <v>221.32</v>
      </c>
      <c r="I129" s="7">
        <f t="shared" si="16"/>
        <v>212.59</v>
      </c>
      <c r="J129" s="7">
        <v>202.93</v>
      </c>
      <c r="K129" s="5">
        <f t="shared" si="17"/>
        <v>4.5439578531445486</v>
      </c>
      <c r="L129" s="4">
        <f t="shared" si="18"/>
        <v>3942.0019477623741</v>
      </c>
      <c r="M129" s="2">
        <v>42339</v>
      </c>
      <c r="N129" s="7">
        <v>2.78</v>
      </c>
      <c r="O129" s="7">
        <v>0.72</v>
      </c>
      <c r="P129" s="7">
        <f t="shared" si="19"/>
        <v>0.43999999999999995</v>
      </c>
      <c r="Q129" s="7">
        <v>0.72</v>
      </c>
      <c r="R129" s="6">
        <f t="shared" si="20"/>
        <v>0.34893336146793602</v>
      </c>
      <c r="S129" s="6">
        <f t="shared" si="21"/>
        <v>0.57098186422025898</v>
      </c>
      <c r="T129" s="6">
        <f t="shared" si="22"/>
        <v>8.0084774311805051E-2</v>
      </c>
      <c r="U129" s="4">
        <f t="shared" si="23"/>
        <v>1440.9732056874186</v>
      </c>
      <c r="V129" s="4">
        <f t="shared" si="24"/>
        <v>2357.9561547612307</v>
      </c>
      <c r="W129" s="4">
        <f t="shared" si="25"/>
        <v>3798.9293604486493</v>
      </c>
      <c r="X129" s="4">
        <f t="shared" si="26"/>
        <v>1375.4959905458763</v>
      </c>
      <c r="Y129" s="4">
        <f t="shared" si="27"/>
        <v>2250.8116208932524</v>
      </c>
      <c r="Z129" s="4">
        <f t="shared" si="28"/>
        <v>3626.3076114391288</v>
      </c>
      <c r="AE129" s="3"/>
      <c r="AF129" s="3"/>
      <c r="AG129" s="7"/>
      <c r="AH129" s="7"/>
      <c r="AI129" s="7"/>
      <c r="AJ129" s="7"/>
      <c r="AK129" s="7"/>
      <c r="AL129" s="3"/>
      <c r="AM129" s="9"/>
      <c r="AN129" s="7"/>
      <c r="AO129" s="7"/>
      <c r="AP129" s="7"/>
      <c r="AQ129" s="7"/>
      <c r="AR129" s="9"/>
      <c r="AS129" s="9"/>
      <c r="AT129" s="9"/>
      <c r="AU129" s="3"/>
      <c r="AV129" s="3"/>
      <c r="AW129" s="3"/>
      <c r="AX129" s="3"/>
      <c r="AY129" s="3"/>
      <c r="AZ129" s="3"/>
    </row>
    <row r="130" spans="1:52" x14ac:dyDescent="0.3">
      <c r="A130">
        <f t="shared" si="29"/>
        <v>91</v>
      </c>
      <c r="B130" s="1" t="s">
        <v>129</v>
      </c>
      <c r="C130" s="1" t="s">
        <v>139</v>
      </c>
      <c r="D130" s="2">
        <v>42325</v>
      </c>
      <c r="E130" s="3">
        <v>19</v>
      </c>
      <c r="F130" s="4">
        <f t="shared" si="15"/>
        <v>2650.7898622047242</v>
      </c>
      <c r="G130" s="7">
        <v>8.76</v>
      </c>
      <c r="H130" s="7">
        <v>202.76</v>
      </c>
      <c r="I130" s="7">
        <f t="shared" si="16"/>
        <v>194</v>
      </c>
      <c r="J130" s="7">
        <v>183.75</v>
      </c>
      <c r="K130" s="5">
        <f t="shared" si="17"/>
        <v>5.2835051546391751</v>
      </c>
      <c r="L130" s="4">
        <f t="shared" si="18"/>
        <v>2510.7352431964846</v>
      </c>
      <c r="M130" s="2">
        <v>42339</v>
      </c>
      <c r="N130" s="7">
        <v>2.6</v>
      </c>
      <c r="O130" s="7">
        <v>0.7</v>
      </c>
      <c r="P130" s="7">
        <f t="shared" si="19"/>
        <v>0.41999999999999993</v>
      </c>
      <c r="Q130" s="7">
        <v>0.64</v>
      </c>
      <c r="R130" s="6">
        <f t="shared" si="20"/>
        <v>0.35613163710661017</v>
      </c>
      <c r="S130" s="6">
        <f t="shared" si="21"/>
        <v>0.54267678035292988</v>
      </c>
      <c r="T130" s="6">
        <f t="shared" si="22"/>
        <v>0.10119158254046001</v>
      </c>
      <c r="U130" s="4">
        <f t="shared" si="23"/>
        <v>944.03013325257405</v>
      </c>
      <c r="V130" s="4">
        <f t="shared" si="24"/>
        <v>1438.5221078134464</v>
      </c>
      <c r="W130" s="4">
        <f t="shared" si="25"/>
        <v>2382.5522410660205</v>
      </c>
      <c r="X130" s="4">
        <f t="shared" si="26"/>
        <v>894.1522525008271</v>
      </c>
      <c r="Y130" s="4">
        <f t="shared" si="27"/>
        <v>1362.5177180964986</v>
      </c>
      <c r="Z130" s="4">
        <f t="shared" si="28"/>
        <v>2256.6699705973256</v>
      </c>
      <c r="AB130" t="s">
        <v>34</v>
      </c>
      <c r="AC130" t="str">
        <f>C130</f>
        <v>Machine</v>
      </c>
      <c r="AD130" s="8">
        <f>D130</f>
        <v>42325</v>
      </c>
      <c r="AE130" s="3">
        <f>SUM(E130:E139)</f>
        <v>201.9</v>
      </c>
      <c r="AF130" s="3">
        <f>AE130*$A$29/($A$30*10)*$A$31</f>
        <v>2816.8130167322834</v>
      </c>
      <c r="AG130" s="7">
        <f>SUM(G130:G139)</f>
        <v>87.66</v>
      </c>
      <c r="AH130" s="7">
        <f>SUM(H130:H139)</f>
        <v>2366.4500000000003</v>
      </c>
      <c r="AI130" s="7">
        <f>AH130-AG130</f>
        <v>2278.7900000000004</v>
      </c>
      <c r="AJ130" s="7">
        <f>SUM(J130:J139)</f>
        <v>2162.4899999999998</v>
      </c>
      <c r="AK130" s="7">
        <f>(AI130-AJ130)/AI130*100</f>
        <v>5.1035856748537869</v>
      </c>
      <c r="AL130" s="3">
        <f>AF130*(1-AK130/100)</f>
        <v>2673.0545511229179</v>
      </c>
      <c r="AM130" s="11">
        <f>M130</f>
        <v>42339</v>
      </c>
      <c r="AN130" s="7">
        <f>SUM(N130:N139)</f>
        <v>29.779999999999998</v>
      </c>
      <c r="AO130" s="7">
        <f>SUM(O130:O139)</f>
        <v>7.54</v>
      </c>
      <c r="AP130" s="7">
        <f>AO130-10*$A$32</f>
        <v>4.74</v>
      </c>
      <c r="AQ130" s="7">
        <f>SUM(Q130:Q139)</f>
        <v>7.22</v>
      </c>
      <c r="AR130" s="9">
        <f>AP130/(AN130*$A$29)</f>
        <v>0.35090395405208552</v>
      </c>
      <c r="AS130" s="9">
        <f>AQ130/(AN130*$A$29)</f>
        <v>0.53449927178397838</v>
      </c>
      <c r="AT130" s="9">
        <f>1-AR130-AS130</f>
        <v>0.1145967741639361</v>
      </c>
      <c r="AU130" s="3">
        <f>AF130*AR130</f>
        <v>988.43082539674151</v>
      </c>
      <c r="AV130" s="3">
        <f>AF130*AS130</f>
        <v>1505.5845061950367</v>
      </c>
      <c r="AW130" s="3">
        <f>AU130+AV130</f>
        <v>2494.0153315917782</v>
      </c>
      <c r="AX130" s="3">
        <f>AL130*AR130</f>
        <v>937.98541138595454</v>
      </c>
      <c r="AY130" s="3">
        <f>AL130*AS130</f>
        <v>1428.7457110140488</v>
      </c>
      <c r="AZ130" s="3">
        <f>AX130+AY130</f>
        <v>2366.7311224000032</v>
      </c>
    </row>
    <row r="131" spans="1:52" x14ac:dyDescent="0.3">
      <c r="A131">
        <f t="shared" si="29"/>
        <v>92</v>
      </c>
      <c r="B131" s="1" t="s">
        <v>130</v>
      </c>
      <c r="C131" s="1" t="s">
        <v>139</v>
      </c>
      <c r="D131" s="2">
        <v>42325</v>
      </c>
      <c r="E131" s="3">
        <v>16.2</v>
      </c>
      <c r="F131" s="4">
        <f t="shared" si="15"/>
        <v>2260.1471456692911</v>
      </c>
      <c r="G131" s="7">
        <v>8.74</v>
      </c>
      <c r="H131" s="7">
        <v>212.14</v>
      </c>
      <c r="I131" s="7">
        <f t="shared" si="16"/>
        <v>203.39999999999998</v>
      </c>
      <c r="J131" s="7">
        <v>192.52</v>
      </c>
      <c r="K131" s="5">
        <f t="shared" si="17"/>
        <v>5.3490658800393156</v>
      </c>
      <c r="L131" s="4">
        <f t="shared" si="18"/>
        <v>2139.2503858616128</v>
      </c>
      <c r="M131" s="2">
        <v>42339</v>
      </c>
      <c r="N131" s="7">
        <v>2.68</v>
      </c>
      <c r="O131" s="7">
        <v>0.7</v>
      </c>
      <c r="P131" s="7">
        <f t="shared" si="19"/>
        <v>0.41999999999999993</v>
      </c>
      <c r="Q131" s="7">
        <v>0.64</v>
      </c>
      <c r="R131" s="6">
        <f t="shared" si="20"/>
        <v>0.34550084196909941</v>
      </c>
      <c r="S131" s="6">
        <f t="shared" si="21"/>
        <v>0.52647747347672302</v>
      </c>
      <c r="T131" s="6">
        <f t="shared" si="22"/>
        <v>0.12802168455417751</v>
      </c>
      <c r="U131" s="4">
        <f t="shared" si="23"/>
        <v>780.88274180279689</v>
      </c>
      <c r="V131" s="4">
        <f t="shared" si="24"/>
        <v>1189.9165589375955</v>
      </c>
      <c r="W131" s="4">
        <f t="shared" si="25"/>
        <v>1970.7993007403925</v>
      </c>
      <c r="X131" s="4">
        <f t="shared" si="26"/>
        <v>739.11280949790807</v>
      </c>
      <c r="Y131" s="4">
        <f t="shared" si="27"/>
        <v>1126.2671382825267</v>
      </c>
      <c r="Z131" s="4">
        <f t="shared" si="28"/>
        <v>1865.3799477804348</v>
      </c>
      <c r="AE131" s="3"/>
      <c r="AF131" s="3"/>
      <c r="AG131" s="7"/>
      <c r="AH131" s="7"/>
      <c r="AI131" s="7"/>
      <c r="AJ131" s="7"/>
      <c r="AK131" s="7"/>
      <c r="AL131" s="3"/>
      <c r="AM131" s="9"/>
      <c r="AN131" s="7"/>
      <c r="AO131" s="7"/>
      <c r="AP131" s="7"/>
      <c r="AQ131" s="7"/>
      <c r="AR131" s="9"/>
      <c r="AS131" s="9"/>
      <c r="AT131" s="9"/>
      <c r="AU131" s="3"/>
      <c r="AV131" s="3"/>
      <c r="AW131" s="3"/>
      <c r="AX131" s="3"/>
      <c r="AY131" s="3"/>
      <c r="AZ131" s="3"/>
    </row>
    <row r="132" spans="1:52" x14ac:dyDescent="0.3">
      <c r="A132">
        <f t="shared" si="29"/>
        <v>93</v>
      </c>
      <c r="B132" s="1" t="s">
        <v>131</v>
      </c>
      <c r="C132" s="1" t="s">
        <v>139</v>
      </c>
      <c r="D132" s="2">
        <v>42325</v>
      </c>
      <c r="E132" s="3">
        <v>27.2</v>
      </c>
      <c r="F132" s="4">
        <f t="shared" si="15"/>
        <v>3794.8149606299207</v>
      </c>
      <c r="G132" s="7">
        <v>8.77</v>
      </c>
      <c r="H132" s="7">
        <v>277.49</v>
      </c>
      <c r="I132" s="7">
        <f t="shared" si="16"/>
        <v>268.72000000000003</v>
      </c>
      <c r="J132" s="7">
        <v>255.21</v>
      </c>
      <c r="K132" s="5">
        <f t="shared" si="17"/>
        <v>5.0275379577255208</v>
      </c>
      <c r="L132" s="4">
        <f t="shared" si="18"/>
        <v>3604.0291980588045</v>
      </c>
      <c r="M132" s="2">
        <v>42339</v>
      </c>
      <c r="N132" s="7">
        <v>2.94</v>
      </c>
      <c r="O132" s="7">
        <v>0.7</v>
      </c>
      <c r="P132" s="7">
        <f t="shared" si="19"/>
        <v>0.41999999999999993</v>
      </c>
      <c r="Q132" s="7">
        <v>0.68</v>
      </c>
      <c r="R132" s="6">
        <f t="shared" si="20"/>
        <v>0.31494634574053959</v>
      </c>
      <c r="S132" s="6">
        <f t="shared" si="21"/>
        <v>0.50991313119896897</v>
      </c>
      <c r="T132" s="6">
        <f t="shared" si="22"/>
        <v>0.17514052306049144</v>
      </c>
      <c r="U132" s="4">
        <f t="shared" si="23"/>
        <v>1195.1631046119232</v>
      </c>
      <c r="V132" s="4">
        <f t="shared" si="24"/>
        <v>1935.025978895495</v>
      </c>
      <c r="W132" s="4">
        <f t="shared" si="25"/>
        <v>3130.1890835074182</v>
      </c>
      <c r="X132" s="4">
        <f t="shared" si="26"/>
        <v>1135.0758258708279</v>
      </c>
      <c r="Y132" s="4">
        <f t="shared" si="27"/>
        <v>1837.7418133146741</v>
      </c>
      <c r="Z132" s="4">
        <f t="shared" si="28"/>
        <v>2972.8176391855022</v>
      </c>
      <c r="AF132" s="3"/>
      <c r="AG132" s="7"/>
      <c r="AH132" s="7"/>
      <c r="AI132" s="7"/>
      <c r="AJ132" s="7"/>
      <c r="AK132" s="7"/>
      <c r="AL132" s="3"/>
      <c r="AM132" s="9"/>
      <c r="AN132" s="7"/>
      <c r="AO132" s="7"/>
      <c r="AP132" s="7"/>
      <c r="AQ132" s="7"/>
      <c r="AR132" s="9"/>
      <c r="AS132" s="9"/>
      <c r="AT132" s="9"/>
      <c r="AU132" s="3"/>
      <c r="AV132" s="3"/>
      <c r="AW132" s="3"/>
      <c r="AX132" s="3"/>
      <c r="AY132" s="3"/>
      <c r="AZ132" s="3"/>
    </row>
    <row r="133" spans="1:52" x14ac:dyDescent="0.3">
      <c r="A133">
        <f t="shared" si="29"/>
        <v>94</v>
      </c>
      <c r="B133" s="1" t="s">
        <v>132</v>
      </c>
      <c r="C133" s="1" t="s">
        <v>139</v>
      </c>
      <c r="D133" s="2">
        <v>42325</v>
      </c>
      <c r="E133" s="3">
        <v>28.5</v>
      </c>
      <c r="F133" s="4">
        <f t="shared" si="15"/>
        <v>3976.1847933070867</v>
      </c>
      <c r="G133" s="7">
        <v>8.7899999999999991</v>
      </c>
      <c r="H133" s="7">
        <v>256.12</v>
      </c>
      <c r="I133" s="7">
        <f t="shared" si="16"/>
        <v>247.33</v>
      </c>
      <c r="J133" s="7">
        <v>235.01</v>
      </c>
      <c r="K133" s="5">
        <f t="shared" si="17"/>
        <v>4.9811992075364984</v>
      </c>
      <c r="L133" s="4">
        <f t="shared" si="18"/>
        <v>3778.1231078926871</v>
      </c>
      <c r="M133" s="2">
        <v>42339</v>
      </c>
      <c r="N133" s="7">
        <v>2.86</v>
      </c>
      <c r="O133" s="7">
        <v>0.76</v>
      </c>
      <c r="P133" s="7">
        <f t="shared" si="19"/>
        <v>0.48</v>
      </c>
      <c r="Q133" s="7">
        <v>0.72</v>
      </c>
      <c r="R133" s="6">
        <f t="shared" si="20"/>
        <v>0.37000689569517947</v>
      </c>
      <c r="S133" s="6">
        <f t="shared" si="21"/>
        <v>0.55501034354276924</v>
      </c>
      <c r="T133" s="6">
        <f t="shared" si="22"/>
        <v>7.4982760762051348E-2</v>
      </c>
      <c r="U133" s="4">
        <f t="shared" si="23"/>
        <v>1471.2157920819341</v>
      </c>
      <c r="V133" s="4">
        <f t="shared" si="24"/>
        <v>2206.8236881229009</v>
      </c>
      <c r="W133" s="4">
        <f t="shared" si="25"/>
        <v>3678.0394802048349</v>
      </c>
      <c r="X133" s="4">
        <f t="shared" si="26"/>
        <v>1397.9316027055968</v>
      </c>
      <c r="Y133" s="4">
        <f t="shared" si="27"/>
        <v>2096.8974040583953</v>
      </c>
      <c r="Z133" s="4">
        <f t="shared" si="28"/>
        <v>3494.8290067639919</v>
      </c>
      <c r="AF133" s="3"/>
      <c r="AG133" s="7"/>
      <c r="AH133" s="7"/>
      <c r="AI133" s="7"/>
      <c r="AJ133" s="7"/>
      <c r="AK133" s="7"/>
      <c r="AL133" s="3"/>
      <c r="AM133" s="9"/>
      <c r="AN133" s="7"/>
      <c r="AO133" s="7"/>
      <c r="AP133" s="7"/>
      <c r="AQ133" s="7"/>
      <c r="AR133" s="9"/>
      <c r="AS133" s="9"/>
      <c r="AT133" s="9"/>
      <c r="AU133" s="3"/>
      <c r="AV133" s="3"/>
      <c r="AW133" s="3"/>
      <c r="AX133" s="3"/>
      <c r="AY133" s="3"/>
      <c r="AZ133" s="3"/>
    </row>
    <row r="134" spans="1:52" x14ac:dyDescent="0.3">
      <c r="A134">
        <f t="shared" si="29"/>
        <v>95</v>
      </c>
      <c r="B134" s="1" t="s">
        <v>133</v>
      </c>
      <c r="C134" s="1" t="s">
        <v>139</v>
      </c>
      <c r="D134" s="2">
        <v>42325</v>
      </c>
      <c r="E134" s="3">
        <v>25</v>
      </c>
      <c r="F134" s="4">
        <f t="shared" si="15"/>
        <v>3487.8813976377955</v>
      </c>
      <c r="G134" s="7">
        <v>8.74</v>
      </c>
      <c r="H134" s="7">
        <v>239.03</v>
      </c>
      <c r="I134" s="7">
        <f t="shared" si="16"/>
        <v>230.29</v>
      </c>
      <c r="J134" s="7">
        <v>218.83</v>
      </c>
      <c r="K134" s="5">
        <f t="shared" si="17"/>
        <v>4.9763341873290106</v>
      </c>
      <c r="L134" s="4">
        <f t="shared" si="18"/>
        <v>3314.3127632336568</v>
      </c>
      <c r="M134" s="2">
        <v>42339</v>
      </c>
      <c r="N134" s="7">
        <v>3.1</v>
      </c>
      <c r="O134" s="7">
        <v>0.78</v>
      </c>
      <c r="P134" s="7">
        <f t="shared" si="19"/>
        <v>0.5</v>
      </c>
      <c r="Q134" s="7">
        <v>0.74</v>
      </c>
      <c r="R134" s="6">
        <f t="shared" si="20"/>
        <v>0.35558458390060926</v>
      </c>
      <c r="S134" s="6">
        <f t="shared" si="21"/>
        <v>0.52626518417290169</v>
      </c>
      <c r="T134" s="6">
        <f t="shared" si="22"/>
        <v>0.11815023192648899</v>
      </c>
      <c r="U134" s="4">
        <f t="shared" si="23"/>
        <v>1240.2368554737111</v>
      </c>
      <c r="V134" s="4">
        <f t="shared" si="24"/>
        <v>1835.5505461010923</v>
      </c>
      <c r="W134" s="4">
        <f t="shared" si="25"/>
        <v>3075.7874015748034</v>
      </c>
      <c r="X134" s="4">
        <f t="shared" si="26"/>
        <v>1178.5185248309183</v>
      </c>
      <c r="Y134" s="4">
        <f t="shared" si="27"/>
        <v>1744.2074167497592</v>
      </c>
      <c r="Z134" s="4">
        <f t="shared" si="28"/>
        <v>2922.7259415806775</v>
      </c>
      <c r="AF134" s="3"/>
      <c r="AG134" s="7"/>
      <c r="AH134" s="7"/>
      <c r="AI134" s="7"/>
      <c r="AJ134" s="7"/>
      <c r="AK134" s="7"/>
      <c r="AL134" s="3"/>
      <c r="AM134" s="9"/>
      <c r="AN134" s="7"/>
      <c r="AO134" s="7"/>
      <c r="AP134" s="7"/>
      <c r="AQ134" s="7"/>
      <c r="AR134" s="9"/>
      <c r="AS134" s="9"/>
      <c r="AT134" s="9"/>
      <c r="AU134" s="3"/>
      <c r="AV134" s="3"/>
      <c r="AW134" s="3"/>
      <c r="AX134" s="3"/>
      <c r="AY134" s="3"/>
      <c r="AZ134" s="3"/>
    </row>
    <row r="135" spans="1:52" x14ac:dyDescent="0.3">
      <c r="A135">
        <f t="shared" si="29"/>
        <v>96</v>
      </c>
      <c r="B135" s="1" t="s">
        <v>134</v>
      </c>
      <c r="C135" s="1" t="s">
        <v>139</v>
      </c>
      <c r="D135" s="2">
        <v>42325</v>
      </c>
      <c r="E135" s="3">
        <v>19.299999999999997</v>
      </c>
      <c r="F135" s="4">
        <f t="shared" si="15"/>
        <v>2692.6444389763769</v>
      </c>
      <c r="G135" s="7">
        <v>8.75</v>
      </c>
      <c r="H135" s="7">
        <v>224.31</v>
      </c>
      <c r="I135" s="7">
        <f t="shared" si="16"/>
        <v>215.56</v>
      </c>
      <c r="J135" s="7">
        <v>204.52</v>
      </c>
      <c r="K135" s="5">
        <f t="shared" si="17"/>
        <v>5.1215438856930753</v>
      </c>
      <c r="L135" s="4">
        <f t="shared" si="18"/>
        <v>2554.7394723485277</v>
      </c>
      <c r="M135" s="2">
        <v>42339</v>
      </c>
      <c r="N135" s="7">
        <v>2.9</v>
      </c>
      <c r="O135" s="7">
        <v>0.74</v>
      </c>
      <c r="P135" s="7">
        <f t="shared" si="19"/>
        <v>0.45999999999999996</v>
      </c>
      <c r="Q135" s="7">
        <v>0.72</v>
      </c>
      <c r="R135" s="6">
        <f t="shared" si="20"/>
        <v>0.34969904596018536</v>
      </c>
      <c r="S135" s="6">
        <f t="shared" si="21"/>
        <v>0.54735502845942063</v>
      </c>
      <c r="T135" s="6">
        <f t="shared" si="22"/>
        <v>0.10294592558039395</v>
      </c>
      <c r="U135" s="4">
        <f t="shared" si="23"/>
        <v>941.6151914200376</v>
      </c>
      <c r="V135" s="4">
        <f t="shared" si="24"/>
        <v>1473.8324735270155</v>
      </c>
      <c r="W135" s="4">
        <f t="shared" si="25"/>
        <v>2415.447664947053</v>
      </c>
      <c r="X135" s="4">
        <f t="shared" si="26"/>
        <v>893.38995615710746</v>
      </c>
      <c r="Y135" s="4">
        <f t="shared" si="27"/>
        <v>1398.3494965937336</v>
      </c>
      <c r="Z135" s="4">
        <f t="shared" si="28"/>
        <v>2291.7394527508413</v>
      </c>
      <c r="AF135" s="3"/>
      <c r="AG135" s="7"/>
      <c r="AH135" s="7"/>
      <c r="AI135" s="7"/>
      <c r="AJ135" s="7"/>
      <c r="AK135" s="7"/>
      <c r="AL135" s="3"/>
      <c r="AM135" s="9"/>
      <c r="AN135" s="7"/>
      <c r="AO135" s="7"/>
      <c r="AP135" s="7"/>
      <c r="AQ135" s="7"/>
      <c r="AR135" s="9"/>
      <c r="AS135" s="9"/>
      <c r="AT135" s="9"/>
      <c r="AU135" s="3"/>
      <c r="AV135" s="3"/>
      <c r="AW135" s="3"/>
      <c r="AX135" s="3"/>
      <c r="AY135" s="3"/>
      <c r="AZ135" s="3"/>
    </row>
    <row r="136" spans="1:52" x14ac:dyDescent="0.3">
      <c r="A136">
        <f t="shared" si="29"/>
        <v>97</v>
      </c>
      <c r="B136" s="1" t="s">
        <v>135</v>
      </c>
      <c r="C136" s="1" t="s">
        <v>139</v>
      </c>
      <c r="D136" s="2">
        <v>42325</v>
      </c>
      <c r="E136" s="3">
        <v>16.399999999999999</v>
      </c>
      <c r="F136" s="4">
        <f t="shared" si="15"/>
        <v>2288.0501968503931</v>
      </c>
      <c r="G136" s="7">
        <v>8.77</v>
      </c>
      <c r="H136" s="7">
        <v>248.13</v>
      </c>
      <c r="I136" s="7">
        <f t="shared" si="16"/>
        <v>239.35999999999999</v>
      </c>
      <c r="J136" s="7">
        <v>226.34</v>
      </c>
      <c r="K136" s="5">
        <f t="shared" si="17"/>
        <v>5.4395053475935757</v>
      </c>
      <c r="L136" s="4">
        <f t="shared" si="18"/>
        <v>2163.5915840370908</v>
      </c>
      <c r="M136" s="2">
        <v>42339</v>
      </c>
      <c r="N136" s="7">
        <v>3</v>
      </c>
      <c r="O136" s="7">
        <v>0.74</v>
      </c>
      <c r="P136" s="7">
        <f t="shared" si="19"/>
        <v>0.45999999999999996</v>
      </c>
      <c r="Q136" s="7">
        <v>0.72</v>
      </c>
      <c r="R136" s="6">
        <f t="shared" si="20"/>
        <v>0.33804241109484584</v>
      </c>
      <c r="S136" s="6">
        <f t="shared" si="21"/>
        <v>0.52910986084410661</v>
      </c>
      <c r="T136" s="6">
        <f t="shared" si="22"/>
        <v>0.1328477280610475</v>
      </c>
      <c r="U136" s="4">
        <f t="shared" si="23"/>
        <v>773.4580052493435</v>
      </c>
      <c r="V136" s="4">
        <f t="shared" si="24"/>
        <v>1210.6299212598421</v>
      </c>
      <c r="W136" s="4">
        <f t="shared" si="25"/>
        <v>1984.0879265091858</v>
      </c>
      <c r="X136" s="4">
        <f t="shared" si="26"/>
        <v>731.38571569241492</v>
      </c>
      <c r="Y136" s="4">
        <f t="shared" si="27"/>
        <v>1144.7776419533452</v>
      </c>
      <c r="Z136" s="4">
        <f t="shared" si="28"/>
        <v>1876.1633576457602</v>
      </c>
      <c r="AF136" s="3"/>
      <c r="AG136" s="7"/>
      <c r="AH136" s="7"/>
      <c r="AI136" s="7"/>
      <c r="AJ136" s="7"/>
      <c r="AK136" s="7"/>
      <c r="AL136" s="3"/>
      <c r="AM136" s="9"/>
      <c r="AN136" s="7"/>
      <c r="AO136" s="7"/>
      <c r="AP136" s="7"/>
      <c r="AQ136" s="7"/>
      <c r="AR136" s="9"/>
      <c r="AS136" s="9"/>
      <c r="AT136" s="9"/>
      <c r="AU136" s="3"/>
      <c r="AV136" s="3"/>
      <c r="AW136" s="3"/>
      <c r="AX136" s="3"/>
      <c r="AY136" s="3"/>
      <c r="AZ136" s="3"/>
    </row>
    <row r="137" spans="1:52" x14ac:dyDescent="0.3">
      <c r="A137">
        <f t="shared" si="29"/>
        <v>98</v>
      </c>
      <c r="B137" s="1" t="s">
        <v>136</v>
      </c>
      <c r="C137" s="1" t="s">
        <v>139</v>
      </c>
      <c r="D137" s="2">
        <v>42325</v>
      </c>
      <c r="E137" s="3">
        <v>20.5</v>
      </c>
      <c r="F137" s="4">
        <f t="shared" si="15"/>
        <v>2860.0627460629926</v>
      </c>
      <c r="G137" s="7">
        <v>8.74</v>
      </c>
      <c r="H137" s="7">
        <v>251.79</v>
      </c>
      <c r="I137" s="7">
        <f t="shared" si="16"/>
        <v>243.04999999999998</v>
      </c>
      <c r="J137" s="7">
        <v>231.06</v>
      </c>
      <c r="K137" s="5">
        <f t="shared" si="17"/>
        <v>4.9331413289446537</v>
      </c>
      <c r="L137" s="4">
        <f t="shared" si="18"/>
        <v>2718.9718087032097</v>
      </c>
      <c r="M137" s="2">
        <v>42339</v>
      </c>
      <c r="N137" s="7">
        <v>3.2</v>
      </c>
      <c r="O137" s="7">
        <v>0.82</v>
      </c>
      <c r="P137" s="7">
        <f t="shared" si="19"/>
        <v>0.53999999999999992</v>
      </c>
      <c r="Q137" s="7">
        <v>0.8</v>
      </c>
      <c r="R137" s="6">
        <f t="shared" si="20"/>
        <v>0.37203037090601238</v>
      </c>
      <c r="S137" s="6">
        <f t="shared" si="21"/>
        <v>0.55115610504594437</v>
      </c>
      <c r="T137" s="6">
        <f t="shared" si="22"/>
        <v>7.6813524048043202E-2</v>
      </c>
      <c r="U137" s="4">
        <f t="shared" si="23"/>
        <v>1064.0302042322835</v>
      </c>
      <c r="V137" s="4">
        <f t="shared" si="24"/>
        <v>1576.3410433070869</v>
      </c>
      <c r="W137" s="4">
        <f t="shared" si="25"/>
        <v>2640.3712475393704</v>
      </c>
      <c r="X137" s="4">
        <f t="shared" si="26"/>
        <v>1011.5400904748465</v>
      </c>
      <c r="Y137" s="4">
        <f t="shared" si="27"/>
        <v>1498.5779118145877</v>
      </c>
      <c r="Z137" s="4">
        <f t="shared" si="28"/>
        <v>2510.1180022894341</v>
      </c>
      <c r="AF137" s="3"/>
      <c r="AG137" s="7"/>
      <c r="AH137" s="7"/>
      <c r="AI137" s="7"/>
      <c r="AJ137" s="7"/>
      <c r="AK137" s="7"/>
      <c r="AL137" s="3"/>
      <c r="AM137" s="9"/>
      <c r="AN137" s="7"/>
      <c r="AO137" s="7"/>
      <c r="AP137" s="7"/>
      <c r="AQ137" s="7"/>
      <c r="AR137" s="9"/>
      <c r="AS137" s="9"/>
      <c r="AT137" s="9"/>
      <c r="AU137" s="3"/>
      <c r="AV137" s="3"/>
      <c r="AW137" s="3"/>
      <c r="AX137" s="3"/>
      <c r="AY137" s="3"/>
      <c r="AZ137" s="3"/>
    </row>
    <row r="138" spans="1:52" x14ac:dyDescent="0.3">
      <c r="A138">
        <f t="shared" si="29"/>
        <v>99</v>
      </c>
      <c r="B138" s="1" t="s">
        <v>137</v>
      </c>
      <c r="C138" s="1" t="s">
        <v>139</v>
      </c>
      <c r="D138" s="2">
        <v>42325</v>
      </c>
      <c r="E138" s="3">
        <v>16.899999999999999</v>
      </c>
      <c r="F138" s="4">
        <f t="shared" si="15"/>
        <v>2357.8078248031493</v>
      </c>
      <c r="G138" s="7">
        <v>8.77</v>
      </c>
      <c r="H138" s="7">
        <v>185.32</v>
      </c>
      <c r="I138" s="7">
        <f t="shared" si="16"/>
        <v>176.54999999999998</v>
      </c>
      <c r="J138" s="7">
        <v>167.58</v>
      </c>
      <c r="K138" s="5">
        <f t="shared" si="17"/>
        <v>5.0807136788445035</v>
      </c>
      <c r="L138" s="4">
        <f t="shared" si="18"/>
        <v>2238.0143601275095</v>
      </c>
      <c r="M138" s="2">
        <v>42339</v>
      </c>
      <c r="N138" s="7">
        <v>3.18</v>
      </c>
      <c r="O138" s="7">
        <v>0.8</v>
      </c>
      <c r="P138" s="7">
        <f t="shared" si="19"/>
        <v>0.52</v>
      </c>
      <c r="Q138" s="7">
        <v>0.78</v>
      </c>
      <c r="R138" s="6">
        <f t="shared" si="20"/>
        <v>0.36050462216841644</v>
      </c>
      <c r="S138" s="6">
        <f t="shared" si="21"/>
        <v>0.54075693325262464</v>
      </c>
      <c r="T138" s="6">
        <f t="shared" si="22"/>
        <v>9.8738444578958862E-2</v>
      </c>
      <c r="U138" s="4">
        <f t="shared" si="23"/>
        <v>850.00061902639516</v>
      </c>
      <c r="V138" s="4">
        <f t="shared" si="24"/>
        <v>1275.0009285395927</v>
      </c>
      <c r="W138" s="4">
        <f t="shared" si="25"/>
        <v>2125.0015475659879</v>
      </c>
      <c r="X138" s="4">
        <f t="shared" si="26"/>
        <v>806.81452130525804</v>
      </c>
      <c r="Y138" s="4">
        <f t="shared" si="27"/>
        <v>1210.2217819578871</v>
      </c>
      <c r="Z138" s="4">
        <f t="shared" si="28"/>
        <v>2017.0363032631451</v>
      </c>
      <c r="AF138" s="3"/>
      <c r="AH138" s="7"/>
      <c r="AI138" s="7"/>
      <c r="AJ138" s="7"/>
      <c r="AK138" s="7"/>
      <c r="AL138" s="3"/>
      <c r="AM138" s="9"/>
      <c r="AN138" s="7"/>
      <c r="AO138" s="7"/>
      <c r="AP138" s="7"/>
      <c r="AQ138" s="7"/>
      <c r="AR138" s="9"/>
      <c r="AS138" s="9"/>
      <c r="AT138" s="9"/>
      <c r="AU138" s="3"/>
      <c r="AV138" s="3"/>
      <c r="AW138" s="3"/>
      <c r="AX138" s="3"/>
      <c r="AY138" s="3"/>
      <c r="AZ138" s="3"/>
    </row>
    <row r="139" spans="1:52" x14ac:dyDescent="0.3">
      <c r="A139">
        <f t="shared" si="29"/>
        <v>100</v>
      </c>
      <c r="B139" s="1" t="s">
        <v>138</v>
      </c>
      <c r="C139" s="1" t="s">
        <v>139</v>
      </c>
      <c r="D139" s="2">
        <v>42325</v>
      </c>
      <c r="E139" s="3">
        <v>12.9</v>
      </c>
      <c r="F139" s="4">
        <f t="shared" si="15"/>
        <v>1799.7468011811025</v>
      </c>
      <c r="G139" s="7">
        <v>8.83</v>
      </c>
      <c r="H139" s="7">
        <v>269.36</v>
      </c>
      <c r="I139" s="7">
        <f t="shared" si="16"/>
        <v>260.53000000000003</v>
      </c>
      <c r="J139" s="7">
        <v>247.67</v>
      </c>
      <c r="K139" s="5">
        <f t="shared" si="17"/>
        <v>4.9360918128430669</v>
      </c>
      <c r="L139" s="4">
        <f t="shared" si="18"/>
        <v>1710.9096466760971</v>
      </c>
      <c r="M139" s="2">
        <v>42339</v>
      </c>
      <c r="N139" s="7">
        <v>3.32</v>
      </c>
      <c r="O139" s="7">
        <v>0.8</v>
      </c>
      <c r="P139" s="7">
        <f t="shared" si="19"/>
        <v>0.52</v>
      </c>
      <c r="Q139" s="7">
        <v>0.78</v>
      </c>
      <c r="R139" s="6">
        <f t="shared" si="20"/>
        <v>0.34530262002878442</v>
      </c>
      <c r="S139" s="6">
        <f t="shared" si="21"/>
        <v>0.51795393004317669</v>
      </c>
      <c r="T139" s="6">
        <f t="shared" si="22"/>
        <v>0.13674344992803888</v>
      </c>
      <c r="U139" s="4">
        <f t="shared" si="23"/>
        <v>621.45728583625839</v>
      </c>
      <c r="V139" s="4">
        <f t="shared" si="24"/>
        <v>932.18592875438776</v>
      </c>
      <c r="W139" s="4">
        <f t="shared" si="25"/>
        <v>1553.643214590646</v>
      </c>
      <c r="X139" s="4">
        <f t="shared" si="26"/>
        <v>590.7815836297782</v>
      </c>
      <c r="Y139" s="4">
        <f t="shared" si="27"/>
        <v>886.1723754446673</v>
      </c>
      <c r="Z139" s="4">
        <f t="shared" si="28"/>
        <v>1476.9539590744455</v>
      </c>
      <c r="AF139" s="3"/>
      <c r="AH139" s="7"/>
      <c r="AI139" s="7"/>
      <c r="AJ139" s="7"/>
      <c r="AK139" s="7"/>
      <c r="AL139" s="3"/>
      <c r="AM139" s="9"/>
      <c r="AN139" s="7"/>
      <c r="AO139" s="7"/>
      <c r="AP139" s="7"/>
      <c r="AQ139" s="7"/>
      <c r="AR139" s="9"/>
      <c r="AS139" s="9"/>
      <c r="AT139" s="9"/>
      <c r="AU139" s="3"/>
      <c r="AV139" s="3"/>
      <c r="AW139" s="3"/>
      <c r="AX139" s="3"/>
      <c r="AY139" s="3"/>
      <c r="AZ13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ED-B270-4962-A7F2-21DE7C85D8A3}">
  <dimension ref="A1:Y18"/>
  <sheetViews>
    <sheetView workbookViewId="0"/>
  </sheetViews>
  <sheetFormatPr defaultRowHeight="14.4" x14ac:dyDescent="0.3"/>
  <cols>
    <col min="3" max="5" width="10.5546875" bestFit="1" customWidth="1"/>
    <col min="7" max="7" width="10.5546875" bestFit="1" customWidth="1"/>
    <col min="12" max="12" width="10.5546875" bestFit="1" customWidth="1"/>
    <col min="16" max="16" width="9.5546875" bestFit="1" customWidth="1"/>
  </cols>
  <sheetData>
    <row r="1" spans="1:25" x14ac:dyDescent="0.3">
      <c r="A1" s="1"/>
      <c r="B1" s="1" t="s">
        <v>0</v>
      </c>
      <c r="C1" s="1" t="s">
        <v>0</v>
      </c>
      <c r="D1" t="s">
        <v>0</v>
      </c>
      <c r="E1" s="1" t="s">
        <v>0</v>
      </c>
      <c r="F1" t="s">
        <v>149</v>
      </c>
      <c r="G1" t="s">
        <v>149</v>
      </c>
      <c r="H1" t="s">
        <v>149</v>
      </c>
      <c r="I1" t="s">
        <v>149</v>
      </c>
      <c r="J1" s="1" t="s">
        <v>149</v>
      </c>
      <c r="K1" s="1" t="s">
        <v>149</v>
      </c>
      <c r="L1" s="1" t="s">
        <v>7</v>
      </c>
      <c r="M1" t="s">
        <v>7</v>
      </c>
      <c r="N1" t="s">
        <v>7</v>
      </c>
      <c r="O1" t="s">
        <v>7</v>
      </c>
      <c r="P1" t="s">
        <v>7</v>
      </c>
      <c r="Q1" s="1" t="s">
        <v>7</v>
      </c>
      <c r="R1" s="1" t="s">
        <v>7</v>
      </c>
      <c r="S1" s="1" t="s">
        <v>7</v>
      </c>
      <c r="T1" s="1" t="s">
        <v>16</v>
      </c>
      <c r="U1" s="1" t="s">
        <v>16</v>
      </c>
      <c r="V1" s="1" t="s">
        <v>16</v>
      </c>
      <c r="W1" s="1" t="s">
        <v>16</v>
      </c>
      <c r="X1" s="1" t="s">
        <v>16</v>
      </c>
      <c r="Y1" s="1" t="s">
        <v>16</v>
      </c>
    </row>
    <row r="2" spans="1:25" x14ac:dyDescent="0.3">
      <c r="A2" s="1"/>
      <c r="B2" s="1"/>
      <c r="C2" s="1"/>
      <c r="E2" s="1"/>
      <c r="G2" t="s">
        <v>152</v>
      </c>
      <c r="H2" t="s">
        <v>153</v>
      </c>
      <c r="I2" t="s">
        <v>154</v>
      </c>
      <c r="J2" s="1"/>
      <c r="K2" s="1"/>
      <c r="L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1"/>
      <c r="B3" s="1"/>
      <c r="C3" s="1"/>
      <c r="D3" t="s">
        <v>1</v>
      </c>
      <c r="E3" s="1"/>
      <c r="F3" t="s">
        <v>150</v>
      </c>
      <c r="G3" t="s">
        <v>151</v>
      </c>
      <c r="H3" t="s">
        <v>8</v>
      </c>
      <c r="I3" t="s">
        <v>8</v>
      </c>
      <c r="J3" s="1"/>
      <c r="K3" s="1"/>
      <c r="L3" s="1" t="s">
        <v>24</v>
      </c>
      <c r="M3" t="s">
        <v>8</v>
      </c>
      <c r="N3" t="s">
        <v>10</v>
      </c>
      <c r="O3" t="s">
        <v>10</v>
      </c>
      <c r="P3" t="s">
        <v>11</v>
      </c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1" t="s">
        <v>20</v>
      </c>
      <c r="B4" s="1" t="s">
        <v>21</v>
      </c>
      <c r="C4" s="1" t="s">
        <v>2</v>
      </c>
      <c r="D4" t="s">
        <v>148</v>
      </c>
      <c r="E4" s="1" t="s">
        <v>3</v>
      </c>
      <c r="F4" t="s">
        <v>151</v>
      </c>
      <c r="G4" t="s">
        <v>141</v>
      </c>
      <c r="H4" t="s">
        <v>144</v>
      </c>
      <c r="I4" t="s">
        <v>144</v>
      </c>
      <c r="J4" s="1" t="s">
        <v>155</v>
      </c>
      <c r="K4" s="1" t="s">
        <v>156</v>
      </c>
      <c r="L4" s="1" t="s">
        <v>25</v>
      </c>
      <c r="M4" t="s">
        <v>158</v>
      </c>
      <c r="N4" t="s">
        <v>143</v>
      </c>
      <c r="O4" t="s">
        <v>158</v>
      </c>
      <c r="P4" t="s">
        <v>159</v>
      </c>
      <c r="Q4" s="1" t="s">
        <v>12</v>
      </c>
      <c r="R4" s="1" t="s">
        <v>13</v>
      </c>
      <c r="S4" s="1" t="s">
        <v>14</v>
      </c>
      <c r="T4" s="1" t="s">
        <v>17</v>
      </c>
      <c r="U4" s="1" t="s">
        <v>18</v>
      </c>
      <c r="V4" s="1" t="s">
        <v>19</v>
      </c>
      <c r="W4" s="1" t="s">
        <v>160</v>
      </c>
      <c r="X4" s="1" t="s">
        <v>161</v>
      </c>
      <c r="Y4" s="1" t="s">
        <v>162</v>
      </c>
    </row>
    <row r="5" spans="1:25" x14ac:dyDescent="0.3">
      <c r="A5" s="1"/>
      <c r="B5" s="1"/>
      <c r="C5" s="1"/>
      <c r="D5" t="s">
        <v>140</v>
      </c>
      <c r="E5" s="1" t="s">
        <v>4</v>
      </c>
      <c r="F5" t="s">
        <v>9</v>
      </c>
      <c r="G5" t="s">
        <v>9</v>
      </c>
      <c r="H5" t="s">
        <v>9</v>
      </c>
      <c r="I5" t="s">
        <v>9</v>
      </c>
      <c r="J5" s="1" t="s">
        <v>157</v>
      </c>
      <c r="K5" s="5" t="s">
        <v>4</v>
      </c>
      <c r="L5" s="5"/>
      <c r="M5" s="7" t="s">
        <v>140</v>
      </c>
      <c r="N5" s="7" t="s">
        <v>38</v>
      </c>
      <c r="O5" s="7" t="s">
        <v>38</v>
      </c>
      <c r="P5" t="s">
        <v>38</v>
      </c>
      <c r="Q5" s="1" t="s">
        <v>15</v>
      </c>
      <c r="R5" s="1" t="s">
        <v>15</v>
      </c>
      <c r="S5" s="1" t="s">
        <v>15</v>
      </c>
      <c r="T5" s="1" t="s">
        <v>4</v>
      </c>
      <c r="U5" s="1" t="s">
        <v>4</v>
      </c>
      <c r="V5" s="1" t="s">
        <v>4</v>
      </c>
      <c r="W5" s="1" t="s">
        <v>4</v>
      </c>
      <c r="X5" s="1" t="s">
        <v>4</v>
      </c>
      <c r="Y5" s="1" t="s">
        <v>4</v>
      </c>
    </row>
    <row r="6" spans="1:25" x14ac:dyDescent="0.3">
      <c r="A6" s="1" t="s">
        <v>20</v>
      </c>
      <c r="B6" s="1" t="s">
        <v>21</v>
      </c>
      <c r="C6" s="1" t="s">
        <v>2</v>
      </c>
      <c r="E6" s="1" t="s">
        <v>3</v>
      </c>
      <c r="J6" s="1" t="s">
        <v>155</v>
      </c>
      <c r="K6" s="1" t="s">
        <v>156</v>
      </c>
      <c r="L6" s="1" t="s">
        <v>25</v>
      </c>
      <c r="Q6" s="1" t="s">
        <v>12</v>
      </c>
      <c r="R6" s="1" t="s">
        <v>13</v>
      </c>
      <c r="S6" s="1" t="s">
        <v>14</v>
      </c>
      <c r="T6" s="1" t="s">
        <v>17</v>
      </c>
      <c r="U6" s="1" t="s">
        <v>18</v>
      </c>
      <c r="V6" s="1" t="s">
        <v>19</v>
      </c>
      <c r="W6" s="1" t="s">
        <v>160</v>
      </c>
      <c r="X6" s="1" t="s">
        <v>161</v>
      </c>
      <c r="Y6" s="1" t="s">
        <v>162</v>
      </c>
    </row>
    <row r="7" spans="1:25" x14ac:dyDescent="0.3">
      <c r="A7" s="1" t="s">
        <v>28</v>
      </c>
      <c r="B7" s="1" t="s">
        <v>139</v>
      </c>
      <c r="C7" s="10">
        <v>42325</v>
      </c>
      <c r="D7" s="3">
        <v>483.15000000000003</v>
      </c>
      <c r="E7" s="4">
        <v>6740.6795890748026</v>
      </c>
      <c r="F7" s="7">
        <v>88.19</v>
      </c>
      <c r="G7" s="7">
        <v>2434.25</v>
      </c>
      <c r="H7" s="7">
        <v>2346.06</v>
      </c>
      <c r="I7" s="7">
        <v>2188.89</v>
      </c>
      <c r="J7" s="5">
        <v>6.6993171530139923</v>
      </c>
      <c r="K7" s="4">
        <v>6289.1000851342014</v>
      </c>
      <c r="L7" s="10">
        <v>42339</v>
      </c>
      <c r="M7" s="7">
        <v>37.6</v>
      </c>
      <c r="N7" s="7">
        <v>8.9</v>
      </c>
      <c r="O7" s="7">
        <v>6.1</v>
      </c>
      <c r="P7" s="7">
        <v>9.1</v>
      </c>
      <c r="Q7" s="6">
        <v>0.35766513199790007</v>
      </c>
      <c r="R7" s="6">
        <v>0.53356601658703129</v>
      </c>
      <c r="S7" s="6">
        <v>0.10876885141506865</v>
      </c>
      <c r="T7" s="4">
        <v>2410.9060549819901</v>
      </c>
      <c r="U7" s="4">
        <v>3596.5975574321492</v>
      </c>
      <c r="V7" s="4">
        <v>6007.5036124141388</v>
      </c>
      <c r="W7" s="4">
        <v>2249.3918120975286</v>
      </c>
      <c r="X7" s="4">
        <v>3355.650080342215</v>
      </c>
      <c r="Y7" s="4">
        <v>5605.0418924397436</v>
      </c>
    </row>
    <row r="8" spans="1:25" x14ac:dyDescent="0.3">
      <c r="A8" s="1" t="s">
        <v>145</v>
      </c>
      <c r="B8" s="1" t="s">
        <v>139</v>
      </c>
      <c r="C8" s="10">
        <v>42325</v>
      </c>
      <c r="D8" s="3">
        <v>504.1</v>
      </c>
      <c r="E8" s="4">
        <v>7032.9640501968506</v>
      </c>
      <c r="F8" s="7">
        <v>87.57</v>
      </c>
      <c r="G8" s="7">
        <v>2694.77</v>
      </c>
      <c r="H8" s="7">
        <v>2607.1999999999998</v>
      </c>
      <c r="I8" s="7">
        <v>2441.7599999999998</v>
      </c>
      <c r="J8" s="5">
        <v>6.3455047560601443</v>
      </c>
      <c r="K8" s="4">
        <v>6586.6869818996092</v>
      </c>
      <c r="L8" s="10">
        <v>42339</v>
      </c>
      <c r="M8" s="7">
        <v>36.140000000000008</v>
      </c>
      <c r="N8" s="7">
        <v>8.6999999999999993</v>
      </c>
      <c r="O8" s="7">
        <v>5.8999999999999986</v>
      </c>
      <c r="P8" s="7">
        <v>8.74</v>
      </c>
      <c r="Q8" s="6">
        <v>0.35991378193371004</v>
      </c>
      <c r="R8" s="6">
        <v>0.53316041594925878</v>
      </c>
      <c r="S8" s="6">
        <v>0.10692580211703118</v>
      </c>
      <c r="T8" s="4">
        <v>2531.2606895101712</v>
      </c>
      <c r="U8" s="4">
        <v>3749.6980383591367</v>
      </c>
      <c r="V8" s="4">
        <v>6280.9587278693079</v>
      </c>
      <c r="W8" s="4">
        <v>2370.6394220690227</v>
      </c>
      <c r="X8" s="4">
        <v>3511.7607709971635</v>
      </c>
      <c r="Y8" s="4">
        <v>5882.4001930661861</v>
      </c>
    </row>
    <row r="9" spans="1:25" x14ac:dyDescent="0.3">
      <c r="A9" s="1" t="s">
        <v>29</v>
      </c>
      <c r="B9" s="1" t="s">
        <v>139</v>
      </c>
      <c r="C9" s="10">
        <v>42325</v>
      </c>
      <c r="D9" s="3">
        <v>489.09999999999997</v>
      </c>
      <c r="E9" s="4">
        <v>6823.6911663385827</v>
      </c>
      <c r="F9" s="7">
        <v>88.639999999999986</v>
      </c>
      <c r="G9" s="7">
        <v>2611.44</v>
      </c>
      <c r="H9" s="7">
        <v>2522.8000000000002</v>
      </c>
      <c r="I9" s="7">
        <v>2373.63</v>
      </c>
      <c r="J9" s="5">
        <v>5.9128745837957855</v>
      </c>
      <c r="K9" s="4">
        <v>6420.2148656874297</v>
      </c>
      <c r="L9" s="10">
        <v>42339</v>
      </c>
      <c r="M9" s="7">
        <v>30.3</v>
      </c>
      <c r="N9" s="7">
        <v>7.6800000000000006</v>
      </c>
      <c r="O9" s="7">
        <v>4.8800000000000008</v>
      </c>
      <c r="P9" s="7">
        <v>7.26</v>
      </c>
      <c r="Q9" s="6">
        <v>0.35506822344874045</v>
      </c>
      <c r="R9" s="6">
        <v>0.52823674226185557</v>
      </c>
      <c r="S9" s="6">
        <v>0.11669503428940398</v>
      </c>
      <c r="T9" s="4">
        <v>2422.8758997947043</v>
      </c>
      <c r="U9" s="4">
        <v>3604.5243919076947</v>
      </c>
      <c r="V9" s="4">
        <v>6027.400291702399</v>
      </c>
      <c r="W9" s="4">
        <v>2279.6142865188294</v>
      </c>
      <c r="X9" s="4">
        <v>3391.3933852718646</v>
      </c>
      <c r="Y9" s="4">
        <v>5671.0076717906941</v>
      </c>
    </row>
    <row r="10" spans="1:25" x14ac:dyDescent="0.3">
      <c r="A10" s="1" t="s">
        <v>30</v>
      </c>
      <c r="B10" s="1" t="s">
        <v>139</v>
      </c>
      <c r="C10" s="10">
        <v>42325</v>
      </c>
      <c r="D10" s="3">
        <v>472.79999999999995</v>
      </c>
      <c r="E10" s="4">
        <v>6596.2812992125973</v>
      </c>
      <c r="F10" s="7">
        <v>88.45</v>
      </c>
      <c r="G10" s="7">
        <v>2555.2000000000003</v>
      </c>
      <c r="H10" s="7">
        <v>2466.7500000000005</v>
      </c>
      <c r="I10" s="7">
        <v>2316.92</v>
      </c>
      <c r="J10" s="5">
        <v>6.0739839870274794</v>
      </c>
      <c r="K10" s="4">
        <v>6195.6242293591358</v>
      </c>
      <c r="L10" s="10">
        <v>42339</v>
      </c>
      <c r="M10" s="7">
        <v>32.839999999999996</v>
      </c>
      <c r="N10" s="7">
        <v>8.06</v>
      </c>
      <c r="O10" s="7">
        <v>5.26</v>
      </c>
      <c r="P10" s="7">
        <v>7.9800000000000013</v>
      </c>
      <c r="Q10" s="6">
        <v>0.35311584805623236</v>
      </c>
      <c r="R10" s="6">
        <v>0.53571567822979749</v>
      </c>
      <c r="S10" s="6">
        <v>0.1111684737139701</v>
      </c>
      <c r="T10" s="4">
        <v>2329.2514649889226</v>
      </c>
      <c r="U10" s="4">
        <v>3533.7313100022061</v>
      </c>
      <c r="V10" s="4">
        <v>5862.9827749911292</v>
      </c>
      <c r="W10" s="4">
        <v>2187.7731039878922</v>
      </c>
      <c r="X10" s="4">
        <v>3319.0930360880957</v>
      </c>
      <c r="Y10" s="4">
        <v>5506.8661400759884</v>
      </c>
    </row>
    <row r="11" spans="1:25" x14ac:dyDescent="0.3">
      <c r="A11" s="1" t="s">
        <v>31</v>
      </c>
      <c r="B11" s="1" t="s">
        <v>139</v>
      </c>
      <c r="C11" s="10">
        <v>42325</v>
      </c>
      <c r="D11" s="3">
        <v>285.7</v>
      </c>
      <c r="E11" s="4">
        <v>3985.9508612204718</v>
      </c>
      <c r="F11" s="7">
        <v>86.71</v>
      </c>
      <c r="G11" s="7">
        <v>2228.58</v>
      </c>
      <c r="H11" s="7">
        <v>2141.87</v>
      </c>
      <c r="I11" s="7">
        <v>2023.1900000000003</v>
      </c>
      <c r="J11" s="5">
        <v>5.5409525321331179</v>
      </c>
      <c r="K11" s="4">
        <v>3765.0912160460944</v>
      </c>
      <c r="L11" s="10">
        <v>42339</v>
      </c>
      <c r="M11" s="7">
        <v>34.26</v>
      </c>
      <c r="N11" s="7">
        <v>8.34</v>
      </c>
      <c r="O11" s="7">
        <v>5.5399999999999991</v>
      </c>
      <c r="P11" s="7">
        <v>8.4599999999999991</v>
      </c>
      <c r="Q11" s="6">
        <v>0.35649793601337204</v>
      </c>
      <c r="R11" s="6">
        <v>0.54439937521175585</v>
      </c>
      <c r="S11" s="6">
        <v>9.9102688774872161E-2</v>
      </c>
      <c r="T11" s="4">
        <v>1420.983255075821</v>
      </c>
      <c r="U11" s="4">
        <v>2169.949158473185</v>
      </c>
      <c r="V11" s="4">
        <v>3590.932413549006</v>
      </c>
      <c r="W11" s="4">
        <v>1342.2472474225096</v>
      </c>
      <c r="X11" s="4">
        <v>2049.7133056307639</v>
      </c>
      <c r="Y11" s="4">
        <v>3391.9605530532735</v>
      </c>
    </row>
    <row r="12" spans="1:25" x14ac:dyDescent="0.3">
      <c r="A12" s="1" t="s">
        <v>32</v>
      </c>
      <c r="B12" s="1" t="s">
        <v>139</v>
      </c>
      <c r="C12" s="10">
        <v>42325</v>
      </c>
      <c r="D12" s="3">
        <v>494.9</v>
      </c>
      <c r="E12" s="4">
        <v>6904.610014763779</v>
      </c>
      <c r="F12" s="7">
        <v>87.950000000000017</v>
      </c>
      <c r="G12" s="7">
        <v>2265.1999999999998</v>
      </c>
      <c r="H12" s="7">
        <v>2177.25</v>
      </c>
      <c r="I12" s="7">
        <v>2049.3000000000002</v>
      </c>
      <c r="J12" s="5">
        <v>5.8766792972786686</v>
      </c>
      <c r="K12" s="4">
        <v>6498.8482274683265</v>
      </c>
      <c r="L12" s="10">
        <v>42339</v>
      </c>
      <c r="M12" s="7">
        <v>32.6</v>
      </c>
      <c r="N12" s="7">
        <v>8</v>
      </c>
      <c r="O12" s="7">
        <v>5.1999999999999993</v>
      </c>
      <c r="P12" s="7">
        <v>7.8</v>
      </c>
      <c r="Q12" s="6">
        <v>0.35165788297409944</v>
      </c>
      <c r="R12" s="6">
        <v>0.52748682446114925</v>
      </c>
      <c r="S12" s="6">
        <v>0.12085529256475125</v>
      </c>
      <c r="T12" s="4">
        <v>2428.0605405535962</v>
      </c>
      <c r="U12" s="4">
        <v>3642.0908108303947</v>
      </c>
      <c r="V12" s="4">
        <v>6070.1513513839909</v>
      </c>
      <c r="W12" s="4">
        <v>2285.3712094414905</v>
      </c>
      <c r="X12" s="4">
        <v>3428.0568141622362</v>
      </c>
      <c r="Y12" s="4">
        <v>5713.4280236037266</v>
      </c>
    </row>
    <row r="13" spans="1:25" x14ac:dyDescent="0.3">
      <c r="A13" s="1" t="s">
        <v>33</v>
      </c>
      <c r="B13" s="1" t="s">
        <v>139</v>
      </c>
      <c r="C13" s="10">
        <v>42325</v>
      </c>
      <c r="D13" s="3">
        <v>462.9</v>
      </c>
      <c r="E13" s="4">
        <v>6458.1611958661415</v>
      </c>
      <c r="F13" s="7">
        <v>87.649999999999977</v>
      </c>
      <c r="G13" s="7">
        <v>2363.9</v>
      </c>
      <c r="H13" s="7">
        <v>2276.25</v>
      </c>
      <c r="I13" s="7">
        <v>2155.4500000000003</v>
      </c>
      <c r="J13" s="5">
        <v>5.3069741900054801</v>
      </c>
      <c r="K13" s="4">
        <v>6115.4282480525762</v>
      </c>
      <c r="L13" s="10">
        <v>42339</v>
      </c>
      <c r="M13" s="7">
        <v>32.479999999999997</v>
      </c>
      <c r="N13" s="7">
        <v>8.1000000000000014</v>
      </c>
      <c r="O13" s="7">
        <v>5.3000000000000007</v>
      </c>
      <c r="P13" s="7">
        <v>7.98</v>
      </c>
      <c r="Q13" s="6">
        <v>0.35974474836742687</v>
      </c>
      <c r="R13" s="6">
        <v>0.54165341357963515</v>
      </c>
      <c r="S13" s="6">
        <v>9.8601838052937985E-2</v>
      </c>
      <c r="T13" s="4">
        <v>2323.2895743231456</v>
      </c>
      <c r="U13" s="4">
        <v>3498.0850571884343</v>
      </c>
      <c r="V13" s="4">
        <v>5821.3746315115804</v>
      </c>
      <c r="W13" s="4">
        <v>2199.993196254728</v>
      </c>
      <c r="X13" s="4">
        <v>3312.4425860590059</v>
      </c>
      <c r="Y13" s="4">
        <v>5512.4357823137343</v>
      </c>
    </row>
    <row r="14" spans="1:25" x14ac:dyDescent="0.3">
      <c r="A14" s="1" t="s">
        <v>146</v>
      </c>
      <c r="B14" s="1" t="s">
        <v>139</v>
      </c>
      <c r="C14" s="10">
        <v>42325</v>
      </c>
      <c r="D14" s="3">
        <v>433.90000000000009</v>
      </c>
      <c r="E14" s="4">
        <v>6053.5669537401582</v>
      </c>
      <c r="F14" s="7">
        <v>87.88</v>
      </c>
      <c r="G14" s="7">
        <v>2176.8200000000002</v>
      </c>
      <c r="H14" s="7">
        <v>2088.94</v>
      </c>
      <c r="I14" s="7">
        <v>1976.5100000000002</v>
      </c>
      <c r="J14" s="5">
        <v>5.3821555430026633</v>
      </c>
      <c r="K14" s="4">
        <v>5727.7545643900548</v>
      </c>
      <c r="L14" s="10">
        <v>42339</v>
      </c>
      <c r="M14" s="7">
        <v>30.78</v>
      </c>
      <c r="N14" s="7">
        <v>7.839999999999999</v>
      </c>
      <c r="O14" s="7">
        <v>5.0399999999999991</v>
      </c>
      <c r="P14" s="7">
        <v>7.6400000000000006</v>
      </c>
      <c r="Q14" s="6">
        <v>0.36099113312950737</v>
      </c>
      <c r="R14" s="6">
        <v>0.54721671768044378</v>
      </c>
      <c r="S14" s="6">
        <v>9.1792149190048855E-2</v>
      </c>
      <c r="T14" s="4">
        <v>2185.2839941059997</v>
      </c>
      <c r="U14" s="4">
        <v>3312.613038684492</v>
      </c>
      <c r="V14" s="4">
        <v>5497.8970327904917</v>
      </c>
      <c r="W14" s="4">
        <v>2067.6686104868736</v>
      </c>
      <c r="X14" s="4">
        <v>3134.3230524047058</v>
      </c>
      <c r="Y14" s="4">
        <v>5201.9916628915798</v>
      </c>
    </row>
    <row r="15" spans="1:25" x14ac:dyDescent="0.3">
      <c r="A15" s="1" t="s">
        <v>147</v>
      </c>
      <c r="B15" s="1" t="s">
        <v>139</v>
      </c>
      <c r="C15" s="10">
        <v>42325</v>
      </c>
      <c r="D15" s="3">
        <v>429.3</v>
      </c>
      <c r="E15" s="4">
        <v>5989.389936023621</v>
      </c>
      <c r="F15" s="7">
        <v>87.46</v>
      </c>
      <c r="G15" s="7">
        <v>2283.69</v>
      </c>
      <c r="H15" s="7">
        <v>2196.23</v>
      </c>
      <c r="I15" s="7">
        <v>2088.29</v>
      </c>
      <c r="J15" s="5">
        <v>4.9147857920163212</v>
      </c>
      <c r="K15" s="4">
        <v>5695.0242504194766</v>
      </c>
      <c r="L15" s="10">
        <v>42339</v>
      </c>
      <c r="M15" s="7">
        <v>30.380000000000003</v>
      </c>
      <c r="N15" s="7">
        <v>7.6999999999999993</v>
      </c>
      <c r="O15" s="7">
        <v>4.8999999999999986</v>
      </c>
      <c r="P15" s="7">
        <v>7.58</v>
      </c>
      <c r="Q15" s="6">
        <v>0.35558458390060915</v>
      </c>
      <c r="R15" s="6">
        <v>0.5500675808095139</v>
      </c>
      <c r="S15" s="6">
        <v>9.4347835289877002E-2</v>
      </c>
      <c r="T15" s="4">
        <v>2129.7347282194555</v>
      </c>
      <c r="U15" s="4">
        <v>3294.5692326333624</v>
      </c>
      <c r="V15" s="4">
        <v>5424.3039608528179</v>
      </c>
      <c r="W15" s="4">
        <v>2025.0628283892881</v>
      </c>
      <c r="X15" s="4">
        <v>3132.6482120797568</v>
      </c>
      <c r="Y15" s="4">
        <v>5157.7110404690447</v>
      </c>
    </row>
    <row r="16" spans="1:25" x14ac:dyDescent="0.3">
      <c r="A16" s="1" t="s">
        <v>34</v>
      </c>
      <c r="B16" s="1" t="s">
        <v>139</v>
      </c>
      <c r="C16" s="10">
        <v>42325</v>
      </c>
      <c r="D16" s="3">
        <v>201.9</v>
      </c>
      <c r="E16" s="4">
        <v>2816.8130167322834</v>
      </c>
      <c r="F16" s="7">
        <v>87.66</v>
      </c>
      <c r="G16" s="7">
        <v>2366.4500000000003</v>
      </c>
      <c r="H16" s="7">
        <v>2278.7900000000004</v>
      </c>
      <c r="I16" s="7">
        <v>2162.4899999999998</v>
      </c>
      <c r="J16" s="5">
        <v>5.1035856748537869</v>
      </c>
      <c r="K16" s="4">
        <v>2673.0545511229179</v>
      </c>
      <c r="L16" s="10">
        <v>42339</v>
      </c>
      <c r="M16" s="7">
        <v>29.779999999999998</v>
      </c>
      <c r="N16" s="7">
        <v>7.54</v>
      </c>
      <c r="O16" s="7">
        <v>4.74</v>
      </c>
      <c r="P16" s="7">
        <v>7.22</v>
      </c>
      <c r="Q16" s="6">
        <v>0.35090395405208552</v>
      </c>
      <c r="R16" s="6">
        <v>0.53449927178397838</v>
      </c>
      <c r="S16" s="6">
        <v>0.1145967741639361</v>
      </c>
      <c r="T16" s="4">
        <v>988.43082539674151</v>
      </c>
      <c r="U16" s="4">
        <v>1505.5845061950367</v>
      </c>
      <c r="V16" s="4">
        <v>2494.0153315917782</v>
      </c>
      <c r="W16" s="4">
        <v>937.98541138595454</v>
      </c>
      <c r="X16" s="4">
        <v>1428.7457110140488</v>
      </c>
      <c r="Y16" s="4">
        <v>2366.7311224000032</v>
      </c>
    </row>
    <row r="18" spans="23:25" x14ac:dyDescent="0.3">
      <c r="W18" s="3"/>
      <c r="X18" s="3"/>
      <c r="Y1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C4B4-E64B-49E6-9128-1AC99716A457}">
  <dimension ref="A1:N105"/>
  <sheetViews>
    <sheetView workbookViewId="0"/>
  </sheetViews>
  <sheetFormatPr defaultRowHeight="14.4" x14ac:dyDescent="0.3"/>
  <sheetData>
    <row r="1" spans="1:14" x14ac:dyDescent="0.3">
      <c r="B1" t="s">
        <v>179</v>
      </c>
      <c r="C1" t="s">
        <v>179</v>
      </c>
    </row>
    <row r="2" spans="1:14" x14ac:dyDescent="0.3">
      <c r="B2" t="s">
        <v>180</v>
      </c>
      <c r="C2" t="s">
        <v>180</v>
      </c>
    </row>
    <row r="4" spans="1:14" x14ac:dyDescent="0.3">
      <c r="B4" s="12" t="s">
        <v>176</v>
      </c>
      <c r="C4" s="12" t="s">
        <v>177</v>
      </c>
    </row>
    <row r="5" spans="1:14" x14ac:dyDescent="0.3">
      <c r="A5" t="s">
        <v>27</v>
      </c>
      <c r="B5" s="12" t="s">
        <v>178</v>
      </c>
      <c r="C5" s="12" t="s">
        <v>178</v>
      </c>
      <c r="N5">
        <v>0</v>
      </c>
    </row>
    <row r="6" spans="1:14" x14ac:dyDescent="0.3">
      <c r="A6" t="s">
        <v>39</v>
      </c>
      <c r="B6" s="12">
        <v>2236.0498401313334</v>
      </c>
      <c r="C6" s="12">
        <v>3229.849769078593</v>
      </c>
      <c r="N6">
        <v>4500</v>
      </c>
    </row>
    <row r="7" spans="1:14" x14ac:dyDescent="0.3">
      <c r="A7" t="s">
        <v>40</v>
      </c>
      <c r="B7" s="12">
        <v>2367.0735530551187</v>
      </c>
      <c r="C7" s="12">
        <v>3514.7455787788131</v>
      </c>
    </row>
    <row r="8" spans="1:14" x14ac:dyDescent="0.3">
      <c r="A8" t="s">
        <v>41</v>
      </c>
      <c r="B8" s="12">
        <v>2282.1457275704515</v>
      </c>
      <c r="C8" s="12">
        <v>3335.4437556798907</v>
      </c>
    </row>
    <row r="9" spans="1:14" x14ac:dyDescent="0.3">
      <c r="A9" t="s">
        <v>42</v>
      </c>
      <c r="B9" s="12">
        <v>2167.6899134567107</v>
      </c>
      <c r="C9" s="12">
        <v>3311.7484788921965</v>
      </c>
    </row>
    <row r="10" spans="1:14" x14ac:dyDescent="0.3">
      <c r="A10" t="s">
        <v>43</v>
      </c>
      <c r="B10" s="12">
        <v>2266.1918258529918</v>
      </c>
      <c r="C10" s="12">
        <v>3399.2877387794879</v>
      </c>
    </row>
    <row r="11" spans="1:14" x14ac:dyDescent="0.3">
      <c r="A11" t="s">
        <v>44</v>
      </c>
      <c r="B11" s="12">
        <v>2405.5217215822945</v>
      </c>
      <c r="C11" s="12">
        <v>3515.7625161587375</v>
      </c>
    </row>
    <row r="12" spans="1:14" x14ac:dyDescent="0.3">
      <c r="A12" t="s">
        <v>45</v>
      </c>
      <c r="B12" s="12">
        <v>2180.9050591122996</v>
      </c>
      <c r="C12" s="12">
        <v>3207.2133222239704</v>
      </c>
    </row>
    <row r="13" spans="1:14" x14ac:dyDescent="0.3">
      <c r="A13" t="s">
        <v>46</v>
      </c>
      <c r="B13" s="12">
        <v>2355.391065852014</v>
      </c>
      <c r="C13" s="12">
        <v>3580.1944200950611</v>
      </c>
    </row>
    <row r="14" spans="1:14" x14ac:dyDescent="0.3">
      <c r="A14" t="s">
        <v>47</v>
      </c>
      <c r="B14" s="12">
        <v>2273.4883339121689</v>
      </c>
      <c r="C14" s="12">
        <v>3444.6792938063163</v>
      </c>
    </row>
    <row r="15" spans="1:14" x14ac:dyDescent="0.3">
      <c r="A15" t="s">
        <v>48</v>
      </c>
      <c r="B15" s="12">
        <v>1916.9289342769055</v>
      </c>
      <c r="C15" s="12">
        <v>2928.6414273674945</v>
      </c>
    </row>
    <row r="16" spans="1:14" x14ac:dyDescent="0.3">
      <c r="A16" t="s">
        <v>49</v>
      </c>
      <c r="B16" s="12">
        <v>2314.7305813462985</v>
      </c>
      <c r="C16" s="12">
        <v>3224.0890240180588</v>
      </c>
    </row>
    <row r="17" spans="1:14" x14ac:dyDescent="0.3">
      <c r="A17" t="s">
        <v>50</v>
      </c>
      <c r="B17" s="12">
        <v>2418.8378102624438</v>
      </c>
      <c r="C17" s="12">
        <v>3493.8768370457533</v>
      </c>
    </row>
    <row r="18" spans="1:14" x14ac:dyDescent="0.3">
      <c r="A18" t="s">
        <v>51</v>
      </c>
      <c r="B18" s="12">
        <v>2467.3329530499536</v>
      </c>
      <c r="C18" s="12">
        <v>3700.9994295749302</v>
      </c>
    </row>
    <row r="19" spans="1:14" x14ac:dyDescent="0.3">
      <c r="A19" t="s">
        <v>52</v>
      </c>
      <c r="B19" s="12">
        <v>2333.1291724447165</v>
      </c>
      <c r="C19" s="12">
        <v>3589.4294960687944</v>
      </c>
    </row>
    <row r="20" spans="1:14" x14ac:dyDescent="0.3">
      <c r="A20" t="s">
        <v>53</v>
      </c>
      <c r="B20" s="12">
        <v>2483.1357353325648</v>
      </c>
      <c r="C20" s="12">
        <v>3556.9241614223224</v>
      </c>
    </row>
    <row r="21" spans="1:14" x14ac:dyDescent="0.3">
      <c r="A21" t="s">
        <v>54</v>
      </c>
      <c r="B21" s="12">
        <v>2403.6613352317831</v>
      </c>
      <c r="C21" s="12">
        <v>3605.4920028476749</v>
      </c>
      <c r="N21">
        <v>0</v>
      </c>
    </row>
    <row r="22" spans="1:14" x14ac:dyDescent="0.3">
      <c r="A22" t="s">
        <v>55</v>
      </c>
      <c r="B22" s="12">
        <v>2489.9029966244684</v>
      </c>
      <c r="C22" s="12">
        <v>3651.8577283825539</v>
      </c>
      <c r="N22">
        <v>4500</v>
      </c>
    </row>
    <row r="23" spans="1:14" x14ac:dyDescent="0.3">
      <c r="A23" t="s">
        <v>56</v>
      </c>
      <c r="B23" s="12">
        <v>2467.496282249012</v>
      </c>
      <c r="C23" s="12">
        <v>3663.8581160667145</v>
      </c>
    </row>
    <row r="24" spans="1:14" x14ac:dyDescent="0.3">
      <c r="A24" t="s">
        <v>57</v>
      </c>
      <c r="B24" s="12">
        <v>2390.3198851750844</v>
      </c>
      <c r="C24" s="12">
        <v>3585.4798277626278</v>
      </c>
    </row>
    <row r="25" spans="1:14" x14ac:dyDescent="0.3">
      <c r="A25" t="s">
        <v>58</v>
      </c>
      <c r="B25" s="12">
        <v>1917.4230852882724</v>
      </c>
      <c r="C25" s="12">
        <v>3013.0934197387146</v>
      </c>
    </row>
    <row r="26" spans="1:14" x14ac:dyDescent="0.3">
      <c r="A26" t="s">
        <v>59</v>
      </c>
      <c r="B26" s="12">
        <v>2127.8132319247243</v>
      </c>
      <c r="C26" s="12">
        <v>3073.5080016690458</v>
      </c>
    </row>
    <row r="27" spans="1:14" x14ac:dyDescent="0.3">
      <c r="A27" t="s">
        <v>60</v>
      </c>
      <c r="B27" s="12">
        <v>2391.6858159168733</v>
      </c>
      <c r="C27" s="12">
        <v>3495.5408078785076</v>
      </c>
    </row>
    <row r="28" spans="1:14" x14ac:dyDescent="0.3">
      <c r="A28" t="s">
        <v>61</v>
      </c>
      <c r="B28" s="12">
        <v>2476.8754167955949</v>
      </c>
      <c r="C28" s="12">
        <v>3656.339900983975</v>
      </c>
    </row>
    <row r="29" spans="1:14" x14ac:dyDescent="0.3">
      <c r="A29" t="s">
        <v>62</v>
      </c>
      <c r="B29" s="12">
        <v>2360.04580503027</v>
      </c>
      <c r="C29" s="12">
        <v>3624.3560577250587</v>
      </c>
    </row>
    <row r="30" spans="1:14" x14ac:dyDescent="0.3">
      <c r="A30" t="s">
        <v>63</v>
      </c>
      <c r="B30" s="12">
        <v>2172.3705522819282</v>
      </c>
      <c r="C30" s="12">
        <v>3258.5558284228923</v>
      </c>
    </row>
    <row r="31" spans="1:14" x14ac:dyDescent="0.3">
      <c r="A31" t="s">
        <v>64</v>
      </c>
      <c r="B31" s="12">
        <v>2124.5407878007445</v>
      </c>
      <c r="C31" s="12">
        <v>3232.9968510011331</v>
      </c>
    </row>
    <row r="32" spans="1:14" x14ac:dyDescent="0.3">
      <c r="A32" t="s">
        <v>65</v>
      </c>
      <c r="B32" s="12">
        <v>2396.4123494995883</v>
      </c>
      <c r="C32" s="12">
        <v>3642.5467712393743</v>
      </c>
    </row>
    <row r="33" spans="1:3" x14ac:dyDescent="0.3">
      <c r="A33" t="s">
        <v>66</v>
      </c>
      <c r="B33" s="12">
        <v>2553.529005473652</v>
      </c>
      <c r="C33" s="12">
        <v>3677.0817678820595</v>
      </c>
    </row>
    <row r="34" spans="1:3" x14ac:dyDescent="0.3">
      <c r="A34" t="s">
        <v>67</v>
      </c>
      <c r="B34" s="12">
        <v>2205.8266436346144</v>
      </c>
      <c r="C34" s="12">
        <v>3400.6494089366979</v>
      </c>
    </row>
    <row r="35" spans="1:3" x14ac:dyDescent="0.3">
      <c r="A35" t="s">
        <v>68</v>
      </c>
      <c r="B35" s="12">
        <v>2008.7930901237182</v>
      </c>
      <c r="C35" s="12">
        <v>2892.6620497781541</v>
      </c>
    </row>
    <row r="36" spans="1:3" x14ac:dyDescent="0.3">
      <c r="A36" t="s">
        <v>69</v>
      </c>
      <c r="B36" s="12">
        <v>2062.2471758666393</v>
      </c>
      <c r="C36" s="12">
        <v>3093.3707637999591</v>
      </c>
    </row>
    <row r="37" spans="1:3" x14ac:dyDescent="0.3">
      <c r="A37" t="s">
        <v>70</v>
      </c>
      <c r="B37" s="12">
        <v>2304.105146117623</v>
      </c>
      <c r="C37" s="12">
        <v>3560.8897712726916</v>
      </c>
    </row>
    <row r="38" spans="1:3" x14ac:dyDescent="0.3">
      <c r="A38" t="s">
        <v>71</v>
      </c>
      <c r="B38" s="12">
        <v>2376.090574618986</v>
      </c>
      <c r="C38" s="12">
        <v>3648.9962395934426</v>
      </c>
    </row>
    <row r="39" spans="1:3" x14ac:dyDescent="0.3">
      <c r="A39" t="s">
        <v>72</v>
      </c>
      <c r="B39" s="12">
        <v>2192.6068024965571</v>
      </c>
      <c r="C39" s="12">
        <v>3549.9348230896644</v>
      </c>
    </row>
    <row r="40" spans="1:3" x14ac:dyDescent="0.3">
      <c r="A40" t="s">
        <v>73</v>
      </c>
      <c r="B40" s="12">
        <v>2262.6540043956516</v>
      </c>
      <c r="C40" s="12">
        <v>3348.7279265055645</v>
      </c>
    </row>
    <row r="41" spans="1:3" x14ac:dyDescent="0.3">
      <c r="A41" t="s">
        <v>74</v>
      </c>
      <c r="B41" s="12">
        <v>2420.2509479531045</v>
      </c>
      <c r="C41" s="12">
        <v>3469.0263587327836</v>
      </c>
    </row>
    <row r="42" spans="1:3" x14ac:dyDescent="0.3">
      <c r="A42" t="s">
        <v>75</v>
      </c>
      <c r="B42" s="12">
        <v>2385.5237119041326</v>
      </c>
      <c r="C42" s="12">
        <v>3578.2855678562</v>
      </c>
    </row>
    <row r="43" spans="1:3" x14ac:dyDescent="0.3">
      <c r="A43" t="s">
        <v>76</v>
      </c>
      <c r="B43" s="12">
        <v>2368.9608407747792</v>
      </c>
      <c r="C43" s="12">
        <v>3512.5971087350172</v>
      </c>
    </row>
    <row r="44" spans="1:3" x14ac:dyDescent="0.3">
      <c r="A44" t="s">
        <v>77</v>
      </c>
      <c r="B44" s="12">
        <v>1868.1030089348037</v>
      </c>
      <c r="C44" s="12">
        <v>2832.2852070947024</v>
      </c>
    </row>
    <row r="45" spans="1:3" x14ac:dyDescent="0.3">
      <c r="A45" t="s">
        <v>78</v>
      </c>
      <c r="B45" s="12">
        <v>1635.0316106854757</v>
      </c>
      <c r="C45" s="12">
        <v>2603.9392318324249</v>
      </c>
    </row>
    <row r="46" spans="1:3" x14ac:dyDescent="0.3">
      <c r="A46" t="s">
        <v>79</v>
      </c>
      <c r="B46" s="12">
        <v>1421.2087746548375</v>
      </c>
      <c r="C46" s="12">
        <v>2224.5006907640936</v>
      </c>
    </row>
    <row r="47" spans="1:3" x14ac:dyDescent="0.3">
      <c r="A47" t="s">
        <v>80</v>
      </c>
      <c r="B47" s="12">
        <v>1235.1029725384876</v>
      </c>
      <c r="C47" s="12">
        <v>1852.6544588077315</v>
      </c>
    </row>
    <row r="48" spans="1:3" x14ac:dyDescent="0.3">
      <c r="A48" t="s">
        <v>81</v>
      </c>
      <c r="B48" s="12">
        <v>1622.5800606302323</v>
      </c>
      <c r="C48" s="12">
        <v>2507.6237300649054</v>
      </c>
    </row>
    <row r="49" spans="1:3" x14ac:dyDescent="0.3">
      <c r="A49" t="s">
        <v>82</v>
      </c>
      <c r="B49" s="12">
        <v>1555.4183305181186</v>
      </c>
      <c r="C49" s="12">
        <v>2413.5801680453565</v>
      </c>
    </row>
    <row r="50" spans="1:3" x14ac:dyDescent="0.3">
      <c r="A50" t="s">
        <v>83</v>
      </c>
      <c r="B50" s="12">
        <v>1220.2978468087226</v>
      </c>
      <c r="C50" s="12">
        <v>1853.0448784873197</v>
      </c>
    </row>
    <row r="51" spans="1:3" x14ac:dyDescent="0.3">
      <c r="A51" t="s">
        <v>84</v>
      </c>
      <c r="B51" s="12">
        <v>1298.2959628328008</v>
      </c>
      <c r="C51" s="12">
        <v>1947.4439442492007</v>
      </c>
    </row>
    <row r="52" spans="1:3" x14ac:dyDescent="0.3">
      <c r="A52" t="s">
        <v>85</v>
      </c>
      <c r="B52" s="12">
        <v>1427.087655580774</v>
      </c>
      <c r="C52" s="12">
        <v>2140.6314833711608</v>
      </c>
    </row>
    <row r="53" spans="1:3" x14ac:dyDescent="0.3">
      <c r="A53" t="s">
        <v>86</v>
      </c>
      <c r="B53" s="12">
        <v>1439.8919352497653</v>
      </c>
      <c r="C53" s="12">
        <v>2191.1399014670342</v>
      </c>
    </row>
    <row r="54" spans="1:3" x14ac:dyDescent="0.3">
      <c r="A54" t="s">
        <v>87</v>
      </c>
      <c r="B54" s="12">
        <v>1220.9427068375674</v>
      </c>
      <c r="C54" s="12">
        <v>1890.4919331678464</v>
      </c>
    </row>
    <row r="55" spans="1:3" x14ac:dyDescent="0.3">
      <c r="A55" t="s">
        <v>88</v>
      </c>
      <c r="B55" s="12">
        <v>998.40690097911272</v>
      </c>
      <c r="C55" s="12">
        <v>1516.0993681534676</v>
      </c>
    </row>
    <row r="56" spans="1:3" x14ac:dyDescent="0.3">
      <c r="A56" t="s">
        <v>89</v>
      </c>
      <c r="B56" s="12">
        <v>2193.2477748133615</v>
      </c>
      <c r="C56" s="12">
        <v>3489.257823566712</v>
      </c>
    </row>
    <row r="57" spans="1:3" x14ac:dyDescent="0.3">
      <c r="A57" t="s">
        <v>90</v>
      </c>
      <c r="B57" s="12">
        <v>2388.3080114424029</v>
      </c>
      <c r="C57" s="12">
        <v>3541.2842928283912</v>
      </c>
    </row>
    <row r="58" spans="1:3" x14ac:dyDescent="0.3">
      <c r="A58" t="s">
        <v>91</v>
      </c>
      <c r="B58" s="12">
        <v>2455.5541875864142</v>
      </c>
      <c r="C58" s="12">
        <v>3683.3312813796229</v>
      </c>
    </row>
    <row r="59" spans="1:3" x14ac:dyDescent="0.3">
      <c r="A59" t="s">
        <v>92</v>
      </c>
      <c r="B59" s="12">
        <v>2415.2461388595452</v>
      </c>
      <c r="C59" s="12">
        <v>3709.1279989628729</v>
      </c>
    </row>
    <row r="60" spans="1:3" x14ac:dyDescent="0.3">
      <c r="A60" t="s">
        <v>93</v>
      </c>
      <c r="B60" s="12">
        <v>2152.1563468867907</v>
      </c>
      <c r="C60" s="12">
        <v>3407.5808825707522</v>
      </c>
    </row>
    <row r="61" spans="1:3" x14ac:dyDescent="0.3">
      <c r="A61" t="s">
        <v>94</v>
      </c>
      <c r="B61" s="12">
        <v>2471.2768421375558</v>
      </c>
      <c r="C61" s="12">
        <v>3438.2982151479046</v>
      </c>
    </row>
    <row r="62" spans="1:3" x14ac:dyDescent="0.3">
      <c r="A62" t="s">
        <v>95</v>
      </c>
      <c r="B62" s="12">
        <v>2378.9847746998184</v>
      </c>
      <c r="C62" s="12">
        <v>3568.4771620497277</v>
      </c>
    </row>
    <row r="63" spans="1:3" x14ac:dyDescent="0.3">
      <c r="A63" t="s">
        <v>96</v>
      </c>
      <c r="B63" s="12">
        <v>2218.0616216832541</v>
      </c>
      <c r="C63" s="12">
        <v>3362.867619971385</v>
      </c>
    </row>
    <row r="64" spans="1:3" x14ac:dyDescent="0.3">
      <c r="A64" t="s">
        <v>97</v>
      </c>
      <c r="B64" s="12">
        <v>2300.9389981087124</v>
      </c>
      <c r="C64" s="12">
        <v>3301.347258155979</v>
      </c>
    </row>
    <row r="65" spans="1:3" x14ac:dyDescent="0.3">
      <c r="A65" t="s">
        <v>98</v>
      </c>
      <c r="B65" s="12">
        <v>1883.7642803426825</v>
      </c>
      <c r="C65" s="12">
        <v>2762.8542778359347</v>
      </c>
    </row>
    <row r="66" spans="1:3" x14ac:dyDescent="0.3">
      <c r="A66" t="s">
        <v>99</v>
      </c>
      <c r="B66" s="12">
        <v>2259.2871616077423</v>
      </c>
      <c r="C66" s="12">
        <v>3427.8839693358855</v>
      </c>
    </row>
    <row r="67" spans="1:3" x14ac:dyDescent="0.3">
      <c r="A67" t="s">
        <v>100</v>
      </c>
      <c r="B67" s="12">
        <v>2314.4299507661553</v>
      </c>
      <c r="C67" s="12">
        <v>3517.9335251645557</v>
      </c>
    </row>
    <row r="68" spans="1:3" x14ac:dyDescent="0.3">
      <c r="A68" t="s">
        <v>101</v>
      </c>
      <c r="B68" s="12">
        <v>2150.2349407684924</v>
      </c>
      <c r="C68" s="12">
        <v>3404.5386562167796</v>
      </c>
    </row>
    <row r="69" spans="1:3" x14ac:dyDescent="0.3">
      <c r="A69" t="s">
        <v>102</v>
      </c>
      <c r="B69" s="12">
        <v>2213.2226589883339</v>
      </c>
      <c r="C69" s="12">
        <v>3319.8339884825014</v>
      </c>
    </row>
    <row r="70" spans="1:3" x14ac:dyDescent="0.3">
      <c r="A70" t="s">
        <v>103</v>
      </c>
      <c r="B70" s="12">
        <v>2252.9644060530704</v>
      </c>
      <c r="C70" s="12">
        <v>3421.1681721546629</v>
      </c>
    </row>
    <row r="71" spans="1:3" x14ac:dyDescent="0.3">
      <c r="A71" t="s">
        <v>104</v>
      </c>
      <c r="B71" s="12">
        <v>2298.9749113097523</v>
      </c>
      <c r="C71" s="12">
        <v>3494.4418651908231</v>
      </c>
    </row>
    <row r="72" spans="1:3" x14ac:dyDescent="0.3">
      <c r="A72" t="s">
        <v>105</v>
      </c>
      <c r="B72" s="12">
        <v>2241.9969817055894</v>
      </c>
      <c r="C72" s="12">
        <v>3324.3403521841501</v>
      </c>
    </row>
    <row r="73" spans="1:3" x14ac:dyDescent="0.3">
      <c r="A73" t="s">
        <v>106</v>
      </c>
      <c r="B73" s="12">
        <v>2346.9765973535091</v>
      </c>
      <c r="C73" s="12">
        <v>3339.9282346953778</v>
      </c>
    </row>
    <row r="74" spans="1:3" x14ac:dyDescent="0.3">
      <c r="A74" t="s">
        <v>107</v>
      </c>
      <c r="B74" s="12">
        <v>2161.635231398755</v>
      </c>
      <c r="C74" s="12">
        <v>3340.7089939798952</v>
      </c>
    </row>
    <row r="75" spans="1:3" x14ac:dyDescent="0.3">
      <c r="A75" t="s">
        <v>108</v>
      </c>
      <c r="B75" s="12">
        <v>1721.6918085954317</v>
      </c>
      <c r="C75" s="12">
        <v>2521.0487197290254</v>
      </c>
    </row>
    <row r="76" spans="1:3" x14ac:dyDescent="0.3">
      <c r="A76" t="s">
        <v>109</v>
      </c>
      <c r="B76" s="12">
        <v>1907.5858690794184</v>
      </c>
      <c r="C76" s="12">
        <v>2997.6349371248011</v>
      </c>
    </row>
    <row r="77" spans="1:3" x14ac:dyDescent="0.3">
      <c r="A77" t="s">
        <v>110</v>
      </c>
      <c r="B77" s="12">
        <v>2274.1027547870417</v>
      </c>
      <c r="C77" s="12">
        <v>3361.7171157721486</v>
      </c>
    </row>
    <row r="78" spans="1:3" x14ac:dyDescent="0.3">
      <c r="A78" t="s">
        <v>111</v>
      </c>
      <c r="B78" s="12">
        <v>2212.7667807834227</v>
      </c>
      <c r="C78" s="12">
        <v>3442.0816589964361</v>
      </c>
    </row>
    <row r="79" spans="1:3" x14ac:dyDescent="0.3">
      <c r="A79" t="s">
        <v>112</v>
      </c>
      <c r="B79" s="12">
        <v>2647.7691764912247</v>
      </c>
      <c r="C79" s="12">
        <v>3922.6210022092218</v>
      </c>
    </row>
    <row r="80" spans="1:3" x14ac:dyDescent="0.3">
      <c r="A80" t="s">
        <v>113</v>
      </c>
      <c r="B80" s="12">
        <v>1718.6943113542045</v>
      </c>
      <c r="C80" s="12">
        <v>2690.1302264674505</v>
      </c>
    </row>
    <row r="81" spans="1:3" x14ac:dyDescent="0.3">
      <c r="A81" t="s">
        <v>114</v>
      </c>
      <c r="B81" s="12">
        <v>2278.2045250044557</v>
      </c>
      <c r="C81" s="12">
        <v>3417.306787506684</v>
      </c>
    </row>
    <row r="82" spans="1:3" x14ac:dyDescent="0.3">
      <c r="A82" t="s">
        <v>115</v>
      </c>
      <c r="B82" s="12">
        <v>2312.4493464718776</v>
      </c>
      <c r="C82" s="12">
        <v>3468.6740197078157</v>
      </c>
    </row>
    <row r="83" spans="1:3" x14ac:dyDescent="0.3">
      <c r="A83" t="s">
        <v>116</v>
      </c>
      <c r="B83" s="12">
        <v>1998.3341659647967</v>
      </c>
      <c r="C83" s="12">
        <v>2997.5012489471951</v>
      </c>
    </row>
    <row r="84" spans="1:3" x14ac:dyDescent="0.3">
      <c r="A84" t="s">
        <v>117</v>
      </c>
      <c r="B84" s="12">
        <v>2104.1213469437039</v>
      </c>
      <c r="C84" s="12">
        <v>3261.3880877627421</v>
      </c>
    </row>
    <row r="85" spans="1:3" x14ac:dyDescent="0.3">
      <c r="A85" t="s">
        <v>118</v>
      </c>
      <c r="B85" s="12">
        <v>1215.0815953066051</v>
      </c>
      <c r="C85" s="12">
        <v>1801.6727102822074</v>
      </c>
    </row>
    <row r="86" spans="1:3" x14ac:dyDescent="0.3">
      <c r="A86" t="s">
        <v>119</v>
      </c>
      <c r="B86" s="12">
        <v>1822.6928831602124</v>
      </c>
      <c r="C86" s="12">
        <v>2809.9848615386618</v>
      </c>
    </row>
    <row r="87" spans="1:3" x14ac:dyDescent="0.3">
      <c r="A87" t="s">
        <v>120</v>
      </c>
      <c r="B87" s="12">
        <v>2073.3621173355423</v>
      </c>
      <c r="C87" s="12">
        <v>3335.4086235397858</v>
      </c>
    </row>
    <row r="88" spans="1:3" x14ac:dyDescent="0.3">
      <c r="A88" t="s">
        <v>121</v>
      </c>
      <c r="B88" s="12">
        <v>2170.3322890557729</v>
      </c>
      <c r="C88" s="12">
        <v>3385.7183709270053</v>
      </c>
    </row>
    <row r="89" spans="1:3" x14ac:dyDescent="0.3">
      <c r="A89" t="s">
        <v>122</v>
      </c>
      <c r="B89" s="12">
        <v>2303.5688633555478</v>
      </c>
      <c r="C89" s="12">
        <v>3551.3353310064699</v>
      </c>
    </row>
    <row r="90" spans="1:3" x14ac:dyDescent="0.3">
      <c r="A90" t="s">
        <v>123</v>
      </c>
      <c r="B90" s="12">
        <v>2262.3788568694526</v>
      </c>
      <c r="C90" s="12">
        <v>3393.5682853041785</v>
      </c>
    </row>
    <row r="91" spans="1:3" x14ac:dyDescent="0.3">
      <c r="A91" t="s">
        <v>124</v>
      </c>
      <c r="B91" s="12">
        <v>2154.3911574817239</v>
      </c>
      <c r="C91" s="12">
        <v>3314.4479345872678</v>
      </c>
    </row>
    <row r="92" spans="1:3" x14ac:dyDescent="0.3">
      <c r="A92" t="s">
        <v>125</v>
      </c>
      <c r="B92" s="12">
        <v>2134.3111367180395</v>
      </c>
      <c r="C92" s="12">
        <v>3329.5253732801416</v>
      </c>
    </row>
    <row r="93" spans="1:3" x14ac:dyDescent="0.3">
      <c r="A93" t="s">
        <v>126</v>
      </c>
      <c r="B93" s="12">
        <v>2230.1238607746554</v>
      </c>
      <c r="C93" s="12">
        <v>3345.1857911619836</v>
      </c>
    </row>
    <row r="94" spans="1:3" x14ac:dyDescent="0.3">
      <c r="A94" t="s">
        <v>127</v>
      </c>
      <c r="B94" s="12">
        <v>1720.9438843220464</v>
      </c>
      <c r="C94" s="12">
        <v>2581.4158264830703</v>
      </c>
    </row>
    <row r="95" spans="1:3" x14ac:dyDescent="0.3">
      <c r="A95" t="s">
        <v>128</v>
      </c>
      <c r="B95" s="12">
        <v>1375.5849693550256</v>
      </c>
      <c r="C95" s="12">
        <v>2250.9572225809511</v>
      </c>
    </row>
    <row r="96" spans="1:3" x14ac:dyDescent="0.3">
      <c r="A96" t="s">
        <v>129</v>
      </c>
      <c r="B96" s="12">
        <v>894.21009389271228</v>
      </c>
      <c r="C96" s="12">
        <v>1362.6058573603236</v>
      </c>
    </row>
    <row r="97" spans="1:3" x14ac:dyDescent="0.3">
      <c r="A97" t="s">
        <v>130</v>
      </c>
      <c r="B97" s="12">
        <v>739.16062161664036</v>
      </c>
      <c r="C97" s="12">
        <v>1126.3399948444046</v>
      </c>
    </row>
    <row r="98" spans="1:3" x14ac:dyDescent="0.3">
      <c r="A98" t="s">
        <v>131</v>
      </c>
      <c r="B98" s="12">
        <v>1135.1492522537287</v>
      </c>
      <c r="C98" s="12">
        <v>1837.8606941250848</v>
      </c>
    </row>
    <row r="99" spans="1:3" x14ac:dyDescent="0.3">
      <c r="A99" t="s">
        <v>132</v>
      </c>
      <c r="B99" s="12">
        <v>1398.0220328414428</v>
      </c>
      <c r="C99" s="12">
        <v>2097.0330492621638</v>
      </c>
    </row>
    <row r="100" spans="1:3" x14ac:dyDescent="0.3">
      <c r="A100" t="s">
        <v>133</v>
      </c>
      <c r="B100" s="12">
        <v>1178.5947614580118</v>
      </c>
      <c r="C100" s="12">
        <v>1744.3202469578575</v>
      </c>
    </row>
    <row r="101" spans="1:3" x14ac:dyDescent="0.3">
      <c r="A101" t="s">
        <v>134</v>
      </c>
      <c r="B101" s="12">
        <v>893.44774823716534</v>
      </c>
      <c r="C101" s="12">
        <v>1398.4399537625197</v>
      </c>
    </row>
    <row r="102" spans="1:3" x14ac:dyDescent="0.3">
      <c r="A102" t="s">
        <v>135</v>
      </c>
      <c r="B102" s="12">
        <v>731.43302795683326</v>
      </c>
      <c r="C102" s="12">
        <v>1144.8516959324347</v>
      </c>
    </row>
    <row r="103" spans="1:3" x14ac:dyDescent="0.3">
      <c r="A103" t="s">
        <v>136</v>
      </c>
      <c r="B103" s="12">
        <v>1011.6055255130256</v>
      </c>
      <c r="C103" s="12">
        <v>1498.6748526118899</v>
      </c>
    </row>
    <row r="104" spans="1:3" x14ac:dyDescent="0.3">
      <c r="A104" t="s">
        <v>137</v>
      </c>
      <c r="B104" s="12">
        <v>806.86671294798441</v>
      </c>
      <c r="C104" s="12">
        <v>1210.3000694219766</v>
      </c>
    </row>
    <row r="105" spans="1:3" x14ac:dyDescent="0.3">
      <c r="A105" t="s">
        <v>138</v>
      </c>
      <c r="B105" s="12">
        <v>590.81980042004147</v>
      </c>
      <c r="C105" s="12">
        <v>886.2297006300621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Scale</vt:lpstr>
      <vt:lpstr>Plot Scale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2023-09-06T13:49:24Z</dcterms:created>
  <dcterms:modified xsi:type="dcterms:W3CDTF">2023-10-05T15:15:34Z</dcterms:modified>
</cp:coreProperties>
</file>