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5_F013B4_CO_ISOS\"/>
    </mc:Choice>
  </mc:AlternateContent>
  <xr:revisionPtr revIDLastSave="0" documentId="13_ncr:1_{CA2F9433-9432-4AC3-A1FD-F418C4CC0FCE}" xr6:coauthVersionLast="47" xr6:coauthVersionMax="47" xr10:uidLastSave="{00000000-0000-0000-0000-000000000000}"/>
  <bookViews>
    <workbookView xWindow="-1500" yWindow="-26085" windowWidth="17850" windowHeight="25560" activeTab="2" xr2:uid="{1B5B077E-B83A-412F-928C-8DF408C01A59}"/>
  </bookViews>
  <sheets>
    <sheet name="Irrigation" sheetId="1" r:id="rId1"/>
    <sheet name="Other" sheetId="2" r:id="rId2"/>
    <sheet name="IrrigationD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K8" i="1"/>
  <c r="J8" i="1"/>
  <c r="F5" i="1"/>
  <c r="F4" i="1"/>
  <c r="F3" i="1"/>
  <c r="C5" i="1"/>
  <c r="C4" i="1"/>
  <c r="C3" i="1"/>
</calcChain>
</file>

<file path=xl/sharedStrings.xml><?xml version="1.0" encoding="utf-8"?>
<sst xmlns="http://schemas.openxmlformats.org/spreadsheetml/2006/main" count="151" uniqueCount="42">
  <si>
    <t>FAO</t>
  </si>
  <si>
    <t>DOY</t>
  </si>
  <si>
    <t>Year</t>
  </si>
  <si>
    <t>CropMod</t>
  </si>
  <si>
    <t>Stress</t>
  </si>
  <si>
    <t>Rolling cultivated</t>
  </si>
  <si>
    <t>Roto mulched</t>
  </si>
  <si>
    <t>Bed shaping</t>
  </si>
  <si>
    <t>Re-mulched due to bed shaping pulling clods onto furrow</t>
  </si>
  <si>
    <t>4/24-25/2015</t>
  </si>
  <si>
    <t>Soil sampling</t>
  </si>
  <si>
    <t>Planting</t>
  </si>
  <si>
    <t>Date</t>
  </si>
  <si>
    <t>Speed</t>
  </si>
  <si>
    <t>Depth (mm)</t>
  </si>
  <si>
    <t>Depth (in)</t>
  </si>
  <si>
    <t>#11</t>
  </si>
  <si>
    <t>Linear Speed*Passes</t>
  </si>
  <si>
    <t>50%*1</t>
  </si>
  <si>
    <t>25%*1</t>
  </si>
  <si>
    <t>15%*1</t>
  </si>
  <si>
    <t>18%*1</t>
  </si>
  <si>
    <t>100%*1</t>
  </si>
  <si>
    <t>25%*2</t>
  </si>
  <si>
    <t>25%*1+50%*1</t>
  </si>
  <si>
    <t>25%*1+100%*1</t>
  </si>
  <si>
    <t>50%*1+100%*1</t>
  </si>
  <si>
    <t>25%*1+50%*1+100*1</t>
  </si>
  <si>
    <t>25%*2+100*1</t>
  </si>
  <si>
    <t>CropMod off</t>
  </si>
  <si>
    <t>CropMod only on 50% pass</t>
  </si>
  <si>
    <t>Change to #12 nozzles</t>
  </si>
  <si>
    <t>#12</t>
  </si>
  <si>
    <t>CropMod only</t>
  </si>
  <si>
    <t>100%*2</t>
  </si>
  <si>
    <t>CropMod off on last pass</t>
  </si>
  <si>
    <t>Prewater</t>
  </si>
  <si>
    <t>Emergence</t>
  </si>
  <si>
    <t>Cotton</t>
  </si>
  <si>
    <t>Start stress treament (#9 nozzles)</t>
  </si>
  <si>
    <t>SEB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</si>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</sst>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2381-81AC-4999-B3C7-FE35D5F5723B}">
  <dimension ref="A1:L63"/>
  <sheetViews>
    <sheetView workbookViewId="0"/>
  </sheetViews>
  <sheetFormatPr defaultRowHeight="15" x14ac:dyDescent="0.25"/>
  <cols>
    <col min="1" max="1" width="10.5703125" bestFit="1" customWidth="1"/>
    <col min="3" max="3" width="9.140625" customWidth="1"/>
    <col min="4" max="4" width="19.7109375" bestFit="1" customWidth="1"/>
    <col min="7" max="7" width="11.85546875" customWidth="1"/>
  </cols>
  <sheetData>
    <row r="1" spans="1:12" x14ac:dyDescent="0.25">
      <c r="A1" t="s">
        <v>13</v>
      </c>
      <c r="B1" t="s">
        <v>14</v>
      </c>
      <c r="C1" t="s">
        <v>15</v>
      </c>
      <c r="E1" t="s">
        <v>14</v>
      </c>
      <c r="F1" t="s">
        <v>15</v>
      </c>
    </row>
    <row r="2" spans="1:12" x14ac:dyDescent="0.25">
      <c r="B2" t="s">
        <v>16</v>
      </c>
      <c r="C2" t="s">
        <v>16</v>
      </c>
      <c r="E2" t="s">
        <v>32</v>
      </c>
      <c r="F2" t="s">
        <v>32</v>
      </c>
      <c r="H2">
        <f>0.16*25.4</f>
        <v>4.0640000000000001</v>
      </c>
    </row>
    <row r="3" spans="1:12" x14ac:dyDescent="0.25">
      <c r="A3" s="2">
        <v>1</v>
      </c>
      <c r="B3">
        <v>3.4</v>
      </c>
      <c r="C3" s="3">
        <f>B3/25.4</f>
        <v>0.13385826771653545</v>
      </c>
      <c r="E3" s="4">
        <v>4</v>
      </c>
      <c r="F3" s="3">
        <f>E3/25.4</f>
        <v>0.15748031496062992</v>
      </c>
      <c r="G3" s="3"/>
      <c r="H3">
        <f>H2*2</f>
        <v>8.1280000000000001</v>
      </c>
    </row>
    <row r="4" spans="1:12" x14ac:dyDescent="0.25">
      <c r="A4" s="2">
        <v>0.5</v>
      </c>
      <c r="B4">
        <v>6.7</v>
      </c>
      <c r="C4" s="3">
        <f>B4/25.4</f>
        <v>0.26377952755905515</v>
      </c>
      <c r="E4" s="4">
        <v>8</v>
      </c>
      <c r="F4" s="3">
        <f>E4/25.4</f>
        <v>0.31496062992125984</v>
      </c>
      <c r="G4" s="3"/>
      <c r="H4">
        <f>H2*4</f>
        <v>16.256</v>
      </c>
    </row>
    <row r="5" spans="1:12" x14ac:dyDescent="0.25">
      <c r="A5" s="2">
        <v>0.25</v>
      </c>
      <c r="B5">
        <v>13.3</v>
      </c>
      <c r="C5" s="3">
        <f>B5/25.4</f>
        <v>0.52362204724409456</v>
      </c>
      <c r="E5" s="4">
        <v>15.9</v>
      </c>
      <c r="F5" s="3">
        <f>E5/25.4</f>
        <v>0.62598425196850394</v>
      </c>
    </row>
    <row r="7" spans="1:12" x14ac:dyDescent="0.25">
      <c r="B7" t="s">
        <v>12</v>
      </c>
      <c r="C7" t="s">
        <v>1</v>
      </c>
      <c r="D7" t="s">
        <v>17</v>
      </c>
      <c r="H7" t="s">
        <v>3</v>
      </c>
      <c r="I7" t="s">
        <v>0</v>
      </c>
      <c r="J7" t="s">
        <v>41</v>
      </c>
      <c r="K7" t="s">
        <v>40</v>
      </c>
      <c r="L7" t="s">
        <v>4</v>
      </c>
    </row>
    <row r="8" spans="1:12" x14ac:dyDescent="0.25">
      <c r="A8" t="s">
        <v>36</v>
      </c>
      <c r="B8" s="1">
        <v>42102</v>
      </c>
      <c r="C8">
        <v>98</v>
      </c>
      <c r="D8" s="2" t="s">
        <v>18</v>
      </c>
      <c r="H8">
        <v>6.7</v>
      </c>
      <c r="I8">
        <v>6.7</v>
      </c>
      <c r="J8">
        <f>I8</f>
        <v>6.7</v>
      </c>
      <c r="K8">
        <f>I8</f>
        <v>6.7</v>
      </c>
      <c r="L8">
        <v>6.7</v>
      </c>
    </row>
    <row r="9" spans="1:12" x14ac:dyDescent="0.25">
      <c r="A9" t="s">
        <v>36</v>
      </c>
      <c r="B9" s="1">
        <v>42103</v>
      </c>
      <c r="C9">
        <v>99</v>
      </c>
      <c r="D9" s="2" t="s">
        <v>19</v>
      </c>
      <c r="H9">
        <v>13.3</v>
      </c>
      <c r="I9">
        <v>13.3</v>
      </c>
      <c r="J9">
        <f t="shared" ref="J9:J63" si="0">I9</f>
        <v>13.3</v>
      </c>
      <c r="K9">
        <f t="shared" ref="K9:K63" si="1">I9</f>
        <v>13.3</v>
      </c>
      <c r="L9">
        <v>13.3</v>
      </c>
    </row>
    <row r="10" spans="1:12" x14ac:dyDescent="0.25">
      <c r="A10" t="s">
        <v>36</v>
      </c>
      <c r="B10" s="1">
        <v>42104</v>
      </c>
      <c r="C10">
        <v>100</v>
      </c>
      <c r="D10" s="2" t="s">
        <v>20</v>
      </c>
      <c r="H10">
        <v>22.2</v>
      </c>
      <c r="I10">
        <v>22.2</v>
      </c>
      <c r="J10">
        <f t="shared" si="0"/>
        <v>22.2</v>
      </c>
      <c r="K10">
        <f t="shared" si="1"/>
        <v>22.2</v>
      </c>
      <c r="L10">
        <v>22.2</v>
      </c>
    </row>
    <row r="11" spans="1:12" x14ac:dyDescent="0.25">
      <c r="A11" t="s">
        <v>36</v>
      </c>
      <c r="B11" s="1">
        <v>42105</v>
      </c>
      <c r="C11">
        <v>101</v>
      </c>
      <c r="D11" s="2" t="s">
        <v>20</v>
      </c>
      <c r="H11">
        <v>22.2</v>
      </c>
      <c r="I11">
        <v>22.2</v>
      </c>
      <c r="J11">
        <f t="shared" si="0"/>
        <v>22.2</v>
      </c>
      <c r="K11">
        <f t="shared" si="1"/>
        <v>22.2</v>
      </c>
      <c r="L11">
        <v>22.2</v>
      </c>
    </row>
    <row r="12" spans="1:12" x14ac:dyDescent="0.25">
      <c r="A12" t="s">
        <v>36</v>
      </c>
      <c r="B12" s="1">
        <v>42107</v>
      </c>
      <c r="C12">
        <v>103</v>
      </c>
      <c r="D12" s="2" t="s">
        <v>21</v>
      </c>
      <c r="H12">
        <v>18.5</v>
      </c>
      <c r="I12">
        <v>18.5</v>
      </c>
      <c r="J12">
        <f t="shared" si="0"/>
        <v>18.5</v>
      </c>
      <c r="K12">
        <f t="shared" si="1"/>
        <v>18.5</v>
      </c>
      <c r="L12">
        <v>18.5</v>
      </c>
    </row>
    <row r="13" spans="1:12" x14ac:dyDescent="0.25">
      <c r="A13" t="s">
        <v>36</v>
      </c>
      <c r="B13" s="1">
        <v>42109</v>
      </c>
      <c r="C13">
        <v>105</v>
      </c>
      <c r="D13" s="2" t="s">
        <v>21</v>
      </c>
      <c r="H13">
        <v>18.5</v>
      </c>
      <c r="I13">
        <v>18.5</v>
      </c>
      <c r="J13">
        <f t="shared" si="0"/>
        <v>18.5</v>
      </c>
      <c r="K13">
        <f t="shared" si="1"/>
        <v>18.5</v>
      </c>
      <c r="L13">
        <v>18.5</v>
      </c>
    </row>
    <row r="14" spans="1:12" x14ac:dyDescent="0.25">
      <c r="A14" t="s">
        <v>36</v>
      </c>
      <c r="B14" s="1">
        <v>42110</v>
      </c>
      <c r="C14">
        <v>106</v>
      </c>
      <c r="D14" s="2" t="s">
        <v>20</v>
      </c>
      <c r="H14">
        <v>22.2</v>
      </c>
      <c r="I14">
        <v>22.2</v>
      </c>
      <c r="J14">
        <f t="shared" si="0"/>
        <v>22.2</v>
      </c>
      <c r="K14">
        <f t="shared" si="1"/>
        <v>22.2</v>
      </c>
      <c r="L14">
        <v>22.2</v>
      </c>
    </row>
    <row r="15" spans="1:12" x14ac:dyDescent="0.25">
      <c r="A15" t="s">
        <v>36</v>
      </c>
      <c r="B15" s="1">
        <v>42111</v>
      </c>
      <c r="C15">
        <v>107</v>
      </c>
      <c r="D15" s="2" t="s">
        <v>21</v>
      </c>
      <c r="H15">
        <v>18.5</v>
      </c>
      <c r="I15">
        <v>18.5</v>
      </c>
      <c r="J15">
        <f t="shared" si="0"/>
        <v>18.5</v>
      </c>
      <c r="K15">
        <f t="shared" si="1"/>
        <v>18.5</v>
      </c>
      <c r="L15">
        <v>18.5</v>
      </c>
    </row>
    <row r="16" spans="1:12" x14ac:dyDescent="0.25">
      <c r="A16" t="s">
        <v>37</v>
      </c>
      <c r="B16" s="1">
        <v>42124</v>
      </c>
      <c r="C16">
        <v>120</v>
      </c>
      <c r="D16" s="2" t="s">
        <v>19</v>
      </c>
      <c r="H16">
        <v>13.3</v>
      </c>
      <c r="I16">
        <v>13.3</v>
      </c>
      <c r="J16">
        <f t="shared" si="0"/>
        <v>13.3</v>
      </c>
      <c r="K16">
        <f t="shared" si="1"/>
        <v>13.3</v>
      </c>
      <c r="L16">
        <v>13.3</v>
      </c>
    </row>
    <row r="17" spans="1:12" x14ac:dyDescent="0.25">
      <c r="A17" t="s">
        <v>37</v>
      </c>
      <c r="B17" s="1">
        <v>42125</v>
      </c>
      <c r="C17">
        <v>121</v>
      </c>
      <c r="D17" s="2" t="s">
        <v>19</v>
      </c>
      <c r="H17">
        <v>13.3</v>
      </c>
      <c r="I17">
        <v>13.3</v>
      </c>
      <c r="J17">
        <f t="shared" si="0"/>
        <v>13.3</v>
      </c>
      <c r="K17">
        <f t="shared" si="1"/>
        <v>13.3</v>
      </c>
      <c r="L17">
        <v>13.3</v>
      </c>
    </row>
    <row r="18" spans="1:12" x14ac:dyDescent="0.25">
      <c r="A18" t="s">
        <v>37</v>
      </c>
      <c r="B18" s="1">
        <v>42126</v>
      </c>
      <c r="C18">
        <v>122</v>
      </c>
      <c r="D18" s="2" t="s">
        <v>19</v>
      </c>
      <c r="H18">
        <v>13.3</v>
      </c>
      <c r="I18">
        <v>13.3</v>
      </c>
      <c r="J18">
        <f t="shared" si="0"/>
        <v>13.3</v>
      </c>
      <c r="K18">
        <f t="shared" si="1"/>
        <v>13.3</v>
      </c>
      <c r="L18">
        <v>13.3</v>
      </c>
    </row>
    <row r="19" spans="1:12" x14ac:dyDescent="0.25">
      <c r="A19" t="s">
        <v>37</v>
      </c>
      <c r="B19" s="1">
        <v>42129</v>
      </c>
      <c r="C19">
        <v>125</v>
      </c>
      <c r="D19" s="2" t="s">
        <v>19</v>
      </c>
      <c r="H19">
        <v>13.3</v>
      </c>
      <c r="I19">
        <v>13.3</v>
      </c>
      <c r="J19">
        <f t="shared" si="0"/>
        <v>13.3</v>
      </c>
      <c r="K19">
        <f t="shared" si="1"/>
        <v>13.3</v>
      </c>
      <c r="L19">
        <v>13.3</v>
      </c>
    </row>
    <row r="20" spans="1:12" x14ac:dyDescent="0.25">
      <c r="A20" t="s">
        <v>37</v>
      </c>
      <c r="B20" s="1">
        <v>42131</v>
      </c>
      <c r="C20">
        <v>127</v>
      </c>
      <c r="D20" s="2" t="s">
        <v>18</v>
      </c>
      <c r="H20">
        <v>6.7</v>
      </c>
      <c r="I20">
        <v>6.7</v>
      </c>
      <c r="J20">
        <f t="shared" si="0"/>
        <v>6.7</v>
      </c>
      <c r="K20">
        <f t="shared" si="1"/>
        <v>6.7</v>
      </c>
      <c r="L20">
        <v>6.7</v>
      </c>
    </row>
    <row r="21" spans="1:12" x14ac:dyDescent="0.25">
      <c r="A21" t="s">
        <v>37</v>
      </c>
      <c r="B21" s="1">
        <v>42132</v>
      </c>
      <c r="C21">
        <v>128</v>
      </c>
      <c r="D21" s="2" t="s">
        <v>18</v>
      </c>
      <c r="H21">
        <v>6.7</v>
      </c>
      <c r="I21">
        <v>6.7</v>
      </c>
      <c r="J21">
        <f t="shared" si="0"/>
        <v>6.7</v>
      </c>
      <c r="K21">
        <f t="shared" si="1"/>
        <v>6.7</v>
      </c>
      <c r="L21">
        <v>6.7</v>
      </c>
    </row>
    <row r="22" spans="1:12" x14ac:dyDescent="0.25">
      <c r="A22" t="s">
        <v>37</v>
      </c>
      <c r="B22" s="1">
        <v>42137</v>
      </c>
      <c r="C22">
        <v>133</v>
      </c>
      <c r="D22" s="2" t="s">
        <v>22</v>
      </c>
      <c r="H22">
        <v>3.4</v>
      </c>
      <c r="I22">
        <v>3.4</v>
      </c>
      <c r="J22">
        <f t="shared" si="0"/>
        <v>3.4</v>
      </c>
      <c r="K22">
        <f t="shared" si="1"/>
        <v>3.4</v>
      </c>
      <c r="L22">
        <v>3.4</v>
      </c>
    </row>
    <row r="23" spans="1:12" x14ac:dyDescent="0.25">
      <c r="A23" t="s">
        <v>38</v>
      </c>
      <c r="B23" s="1">
        <v>42159</v>
      </c>
      <c r="C23">
        <v>155</v>
      </c>
      <c r="D23" s="2" t="s">
        <v>19</v>
      </c>
      <c r="H23">
        <v>13.3</v>
      </c>
      <c r="I23">
        <v>13.3</v>
      </c>
      <c r="J23">
        <f t="shared" si="0"/>
        <v>13.3</v>
      </c>
      <c r="K23">
        <f t="shared" si="1"/>
        <v>13.3</v>
      </c>
      <c r="L23">
        <v>13.3</v>
      </c>
    </row>
    <row r="24" spans="1:12" x14ac:dyDescent="0.25">
      <c r="A24" t="s">
        <v>38</v>
      </c>
      <c r="B24" s="1">
        <v>42160</v>
      </c>
      <c r="C24">
        <v>156</v>
      </c>
      <c r="D24" s="2" t="s">
        <v>22</v>
      </c>
      <c r="E24" t="s">
        <v>29</v>
      </c>
      <c r="I24">
        <v>3.4</v>
      </c>
      <c r="J24">
        <f t="shared" si="0"/>
        <v>3.4</v>
      </c>
      <c r="K24">
        <f t="shared" si="1"/>
        <v>3.4</v>
      </c>
      <c r="L24">
        <v>3.4</v>
      </c>
    </row>
    <row r="25" spans="1:12" x14ac:dyDescent="0.25">
      <c r="A25" t="s">
        <v>38</v>
      </c>
      <c r="B25" s="1">
        <v>42165</v>
      </c>
      <c r="C25">
        <v>161</v>
      </c>
      <c r="D25" s="2" t="s">
        <v>18</v>
      </c>
      <c r="H25">
        <v>6.7</v>
      </c>
      <c r="I25">
        <v>6.7</v>
      </c>
      <c r="J25">
        <f t="shared" si="0"/>
        <v>6.7</v>
      </c>
      <c r="K25">
        <f t="shared" si="1"/>
        <v>6.7</v>
      </c>
      <c r="L25">
        <v>6.7</v>
      </c>
    </row>
    <row r="26" spans="1:12" x14ac:dyDescent="0.25">
      <c r="A26" t="s">
        <v>38</v>
      </c>
      <c r="B26" s="1">
        <v>42166</v>
      </c>
      <c r="C26">
        <v>162</v>
      </c>
      <c r="D26" s="2" t="s">
        <v>19</v>
      </c>
      <c r="H26">
        <v>13.3</v>
      </c>
      <c r="I26">
        <v>13.3</v>
      </c>
      <c r="J26">
        <f t="shared" si="0"/>
        <v>13.3</v>
      </c>
      <c r="K26">
        <f t="shared" si="1"/>
        <v>13.3</v>
      </c>
      <c r="L26">
        <v>13.3</v>
      </c>
    </row>
    <row r="27" spans="1:12" x14ac:dyDescent="0.25">
      <c r="A27" t="s">
        <v>38</v>
      </c>
      <c r="B27" s="1">
        <v>42167</v>
      </c>
      <c r="C27">
        <v>163</v>
      </c>
      <c r="D27" s="2" t="s">
        <v>19</v>
      </c>
      <c r="H27">
        <v>13.3</v>
      </c>
      <c r="I27">
        <v>13.3</v>
      </c>
      <c r="J27">
        <f t="shared" si="0"/>
        <v>13.3</v>
      </c>
      <c r="K27">
        <f t="shared" si="1"/>
        <v>13.3</v>
      </c>
      <c r="L27">
        <v>13.3</v>
      </c>
    </row>
    <row r="28" spans="1:12" x14ac:dyDescent="0.25">
      <c r="A28" t="s">
        <v>38</v>
      </c>
      <c r="B28" s="1">
        <v>42168</v>
      </c>
      <c r="C28">
        <v>164</v>
      </c>
      <c r="D28" s="2" t="s">
        <v>19</v>
      </c>
      <c r="E28" t="s">
        <v>29</v>
      </c>
      <c r="I28">
        <v>13.3</v>
      </c>
      <c r="J28">
        <f t="shared" si="0"/>
        <v>13.3</v>
      </c>
      <c r="K28">
        <f t="shared" si="1"/>
        <v>13.3</v>
      </c>
      <c r="L28">
        <v>13.3</v>
      </c>
    </row>
    <row r="29" spans="1:12" x14ac:dyDescent="0.25">
      <c r="A29" t="s">
        <v>38</v>
      </c>
      <c r="B29" s="1">
        <v>42173</v>
      </c>
      <c r="C29">
        <v>169</v>
      </c>
      <c r="D29" s="2" t="s">
        <v>24</v>
      </c>
      <c r="H29">
        <v>20</v>
      </c>
      <c r="I29">
        <v>20</v>
      </c>
      <c r="J29">
        <f t="shared" si="0"/>
        <v>20</v>
      </c>
      <c r="K29">
        <f t="shared" si="1"/>
        <v>20</v>
      </c>
      <c r="L29">
        <v>20</v>
      </c>
    </row>
    <row r="30" spans="1:12" x14ac:dyDescent="0.25">
      <c r="A30" t="s">
        <v>38</v>
      </c>
      <c r="B30" s="1">
        <v>42174</v>
      </c>
      <c r="C30">
        <v>170</v>
      </c>
      <c r="D30" s="2" t="s">
        <v>19</v>
      </c>
      <c r="H30">
        <v>13.3</v>
      </c>
      <c r="I30">
        <v>13.3</v>
      </c>
      <c r="J30">
        <f t="shared" si="0"/>
        <v>13.3</v>
      </c>
      <c r="K30">
        <f t="shared" si="1"/>
        <v>13.3</v>
      </c>
      <c r="L30">
        <v>13.3</v>
      </c>
    </row>
    <row r="31" spans="1:12" x14ac:dyDescent="0.25">
      <c r="A31" t="s">
        <v>38</v>
      </c>
      <c r="B31" s="1">
        <v>42179</v>
      </c>
      <c r="C31">
        <v>175</v>
      </c>
      <c r="D31" s="2" t="s">
        <v>19</v>
      </c>
      <c r="H31">
        <v>13.3</v>
      </c>
      <c r="I31">
        <v>13.3</v>
      </c>
      <c r="J31">
        <f t="shared" si="0"/>
        <v>13.3</v>
      </c>
      <c r="K31">
        <f t="shared" si="1"/>
        <v>13.3</v>
      </c>
      <c r="L31">
        <v>13.3</v>
      </c>
    </row>
    <row r="32" spans="1:12" x14ac:dyDescent="0.25">
      <c r="A32" t="s">
        <v>38</v>
      </c>
      <c r="B32" s="1">
        <v>42180</v>
      </c>
      <c r="C32">
        <v>176</v>
      </c>
      <c r="D32" s="2" t="s">
        <v>24</v>
      </c>
      <c r="E32" t="s">
        <v>30</v>
      </c>
      <c r="H32">
        <v>20</v>
      </c>
      <c r="I32">
        <v>13.3</v>
      </c>
      <c r="J32">
        <f t="shared" si="0"/>
        <v>13.3</v>
      </c>
      <c r="K32">
        <f t="shared" si="1"/>
        <v>13.3</v>
      </c>
      <c r="L32">
        <v>13.3</v>
      </c>
    </row>
    <row r="33" spans="1:12" x14ac:dyDescent="0.25">
      <c r="A33" t="s">
        <v>38</v>
      </c>
      <c r="B33" s="1">
        <v>42181</v>
      </c>
      <c r="C33">
        <v>177</v>
      </c>
      <c r="D33" s="2" t="s">
        <v>19</v>
      </c>
      <c r="H33">
        <v>13.3</v>
      </c>
      <c r="I33">
        <v>13.3</v>
      </c>
      <c r="J33">
        <f t="shared" si="0"/>
        <v>13.3</v>
      </c>
      <c r="K33">
        <f t="shared" si="1"/>
        <v>13.3</v>
      </c>
      <c r="L33">
        <v>13.3</v>
      </c>
    </row>
    <row r="34" spans="1:12" x14ac:dyDescent="0.25">
      <c r="A34" t="s">
        <v>38</v>
      </c>
      <c r="B34" s="1">
        <v>42182</v>
      </c>
      <c r="C34">
        <v>178</v>
      </c>
      <c r="D34" s="2" t="s">
        <v>19</v>
      </c>
      <c r="H34">
        <v>13.3</v>
      </c>
      <c r="I34">
        <v>13.3</v>
      </c>
      <c r="J34">
        <f t="shared" si="0"/>
        <v>13.3</v>
      </c>
      <c r="K34">
        <f t="shared" si="1"/>
        <v>13.3</v>
      </c>
      <c r="L34">
        <v>13.3</v>
      </c>
    </row>
    <row r="35" spans="1:12" x14ac:dyDescent="0.25">
      <c r="A35" t="s">
        <v>38</v>
      </c>
      <c r="B35" s="1">
        <v>42186</v>
      </c>
      <c r="C35">
        <v>182</v>
      </c>
      <c r="D35" t="s">
        <v>23</v>
      </c>
      <c r="H35">
        <v>26.6</v>
      </c>
      <c r="I35">
        <v>26.6</v>
      </c>
      <c r="J35">
        <f t="shared" si="0"/>
        <v>26.6</v>
      </c>
      <c r="K35">
        <f t="shared" si="1"/>
        <v>26.6</v>
      </c>
      <c r="L35">
        <v>26.6</v>
      </c>
    </row>
    <row r="36" spans="1:12" x14ac:dyDescent="0.25">
      <c r="A36" t="s">
        <v>38</v>
      </c>
      <c r="B36" s="1">
        <v>42187</v>
      </c>
      <c r="C36">
        <v>183</v>
      </c>
      <c r="D36" t="s">
        <v>23</v>
      </c>
      <c r="H36">
        <v>26.6</v>
      </c>
      <c r="I36">
        <v>26.6</v>
      </c>
      <c r="J36">
        <f t="shared" si="0"/>
        <v>26.6</v>
      </c>
      <c r="K36">
        <f t="shared" si="1"/>
        <v>26.6</v>
      </c>
      <c r="L36">
        <v>26.6</v>
      </c>
    </row>
    <row r="37" spans="1:12" x14ac:dyDescent="0.25">
      <c r="A37" t="s">
        <v>38</v>
      </c>
      <c r="B37" s="1">
        <v>42192</v>
      </c>
      <c r="C37">
        <v>188</v>
      </c>
      <c r="D37" t="s">
        <v>22</v>
      </c>
      <c r="H37">
        <v>3.4</v>
      </c>
      <c r="I37">
        <v>3.4</v>
      </c>
      <c r="J37">
        <f t="shared" si="0"/>
        <v>3.4</v>
      </c>
      <c r="K37">
        <f t="shared" si="1"/>
        <v>3.4</v>
      </c>
      <c r="L37">
        <v>3.4</v>
      </c>
    </row>
    <row r="38" spans="1:12" x14ac:dyDescent="0.25">
      <c r="A38" t="s">
        <v>38</v>
      </c>
      <c r="B38" s="1">
        <v>42193</v>
      </c>
      <c r="C38">
        <v>189</v>
      </c>
      <c r="D38" t="s">
        <v>18</v>
      </c>
      <c r="E38" t="s">
        <v>39</v>
      </c>
      <c r="H38">
        <v>6.7</v>
      </c>
      <c r="I38">
        <v>6.7</v>
      </c>
      <c r="J38">
        <f t="shared" si="0"/>
        <v>6.7</v>
      </c>
      <c r="K38">
        <f t="shared" si="1"/>
        <v>6.7</v>
      </c>
      <c r="L38">
        <v>4.5</v>
      </c>
    </row>
    <row r="39" spans="1:12" x14ac:dyDescent="0.25">
      <c r="A39" t="s">
        <v>38</v>
      </c>
      <c r="B39" s="1">
        <v>42194</v>
      </c>
      <c r="C39">
        <v>190</v>
      </c>
      <c r="D39" t="s">
        <v>19</v>
      </c>
      <c r="E39" t="s">
        <v>31</v>
      </c>
      <c r="H39">
        <v>15.9</v>
      </c>
      <c r="I39">
        <v>15.9</v>
      </c>
      <c r="J39">
        <f t="shared" si="0"/>
        <v>15.9</v>
      </c>
      <c r="K39">
        <f t="shared" si="1"/>
        <v>15.9</v>
      </c>
      <c r="L39">
        <v>8.9</v>
      </c>
    </row>
    <row r="40" spans="1:12" x14ac:dyDescent="0.25">
      <c r="A40" t="s">
        <v>38</v>
      </c>
      <c r="B40" s="1">
        <v>42195</v>
      </c>
      <c r="C40">
        <v>191</v>
      </c>
      <c r="D40" t="s">
        <v>19</v>
      </c>
      <c r="H40">
        <v>15.9</v>
      </c>
      <c r="I40">
        <v>15.9</v>
      </c>
      <c r="J40">
        <f t="shared" si="0"/>
        <v>15.9</v>
      </c>
      <c r="K40">
        <f t="shared" si="1"/>
        <v>15.9</v>
      </c>
      <c r="L40">
        <v>8.9</v>
      </c>
    </row>
    <row r="41" spans="1:12" x14ac:dyDescent="0.25">
      <c r="A41" t="s">
        <v>38</v>
      </c>
      <c r="B41" s="1">
        <v>42199</v>
      </c>
      <c r="C41">
        <v>195</v>
      </c>
      <c r="D41" t="s">
        <v>26</v>
      </c>
      <c r="H41">
        <v>12</v>
      </c>
      <c r="I41">
        <v>12</v>
      </c>
      <c r="J41">
        <f t="shared" si="0"/>
        <v>12</v>
      </c>
      <c r="K41">
        <f t="shared" si="1"/>
        <v>12</v>
      </c>
      <c r="L41">
        <v>6.8</v>
      </c>
    </row>
    <row r="42" spans="1:12" x14ac:dyDescent="0.25">
      <c r="A42" t="s">
        <v>38</v>
      </c>
      <c r="B42" s="1">
        <v>42200</v>
      </c>
      <c r="C42">
        <v>196</v>
      </c>
      <c r="D42" t="s">
        <v>28</v>
      </c>
      <c r="H42">
        <v>35.799999999999997</v>
      </c>
      <c r="I42">
        <v>35.799999999999997</v>
      </c>
      <c r="J42">
        <f t="shared" si="0"/>
        <v>35.799999999999997</v>
      </c>
      <c r="K42">
        <f t="shared" si="1"/>
        <v>35.799999999999997</v>
      </c>
      <c r="L42">
        <v>20.100000000000001</v>
      </c>
    </row>
    <row r="43" spans="1:12" x14ac:dyDescent="0.25">
      <c r="A43" t="s">
        <v>38</v>
      </c>
      <c r="B43" s="1">
        <v>42201</v>
      </c>
      <c r="C43">
        <v>197</v>
      </c>
      <c r="D43" t="s">
        <v>27</v>
      </c>
      <c r="H43">
        <v>27.9</v>
      </c>
      <c r="I43">
        <v>27.9</v>
      </c>
      <c r="J43">
        <f t="shared" si="0"/>
        <v>27.9</v>
      </c>
      <c r="K43">
        <f t="shared" si="1"/>
        <v>27.9</v>
      </c>
      <c r="L43">
        <v>15.7</v>
      </c>
    </row>
    <row r="44" spans="1:12" x14ac:dyDescent="0.25">
      <c r="A44" t="s">
        <v>38</v>
      </c>
      <c r="B44" s="1">
        <v>42202</v>
      </c>
      <c r="C44">
        <v>198</v>
      </c>
      <c r="D44" t="s">
        <v>19</v>
      </c>
      <c r="E44" t="s">
        <v>33</v>
      </c>
      <c r="H44">
        <v>15.9</v>
      </c>
    </row>
    <row r="45" spans="1:12" x14ac:dyDescent="0.25">
      <c r="A45" t="s">
        <v>38</v>
      </c>
      <c r="B45" s="1">
        <v>42207</v>
      </c>
      <c r="C45">
        <v>203</v>
      </c>
      <c r="D45" t="s">
        <v>24</v>
      </c>
      <c r="H45">
        <v>23.9</v>
      </c>
      <c r="I45">
        <v>23.9</v>
      </c>
      <c r="J45">
        <f t="shared" si="0"/>
        <v>23.9</v>
      </c>
      <c r="K45">
        <f t="shared" si="1"/>
        <v>23.9</v>
      </c>
      <c r="L45">
        <v>13.4</v>
      </c>
    </row>
    <row r="46" spans="1:12" x14ac:dyDescent="0.25">
      <c r="A46" t="s">
        <v>38</v>
      </c>
      <c r="B46" s="1">
        <v>42208</v>
      </c>
      <c r="C46">
        <v>204</v>
      </c>
      <c r="D46" t="s">
        <v>24</v>
      </c>
      <c r="H46">
        <v>23.9</v>
      </c>
      <c r="I46">
        <v>23.9</v>
      </c>
      <c r="J46">
        <f t="shared" si="0"/>
        <v>23.9</v>
      </c>
      <c r="K46">
        <f t="shared" si="1"/>
        <v>23.9</v>
      </c>
      <c r="L46">
        <v>13.4</v>
      </c>
    </row>
    <row r="47" spans="1:12" x14ac:dyDescent="0.25">
      <c r="A47" t="s">
        <v>38</v>
      </c>
      <c r="B47" s="1">
        <v>42209</v>
      </c>
      <c r="C47">
        <v>205</v>
      </c>
      <c r="D47" t="s">
        <v>26</v>
      </c>
      <c r="E47" t="s">
        <v>35</v>
      </c>
      <c r="H47">
        <v>8</v>
      </c>
      <c r="I47">
        <v>12</v>
      </c>
      <c r="J47">
        <f t="shared" si="0"/>
        <v>12</v>
      </c>
      <c r="K47">
        <f t="shared" si="1"/>
        <v>12</v>
      </c>
      <c r="L47">
        <v>6.8</v>
      </c>
    </row>
    <row r="48" spans="1:12" x14ac:dyDescent="0.25">
      <c r="A48" t="s">
        <v>38</v>
      </c>
      <c r="B48" s="1">
        <v>42214</v>
      </c>
      <c r="C48">
        <v>210</v>
      </c>
      <c r="D48" t="s">
        <v>24</v>
      </c>
      <c r="H48">
        <v>23.9</v>
      </c>
      <c r="I48">
        <v>23.9</v>
      </c>
      <c r="J48">
        <f t="shared" si="0"/>
        <v>23.9</v>
      </c>
      <c r="K48">
        <f t="shared" si="1"/>
        <v>23.9</v>
      </c>
      <c r="L48">
        <v>13.4</v>
      </c>
    </row>
    <row r="49" spans="1:12" x14ac:dyDescent="0.25">
      <c r="A49" t="s">
        <v>38</v>
      </c>
      <c r="B49" s="1">
        <v>42215</v>
      </c>
      <c r="C49">
        <v>211</v>
      </c>
      <c r="D49" t="s">
        <v>24</v>
      </c>
      <c r="H49">
        <v>23.9</v>
      </c>
      <c r="I49">
        <v>23.9</v>
      </c>
      <c r="J49">
        <f t="shared" si="0"/>
        <v>23.9</v>
      </c>
      <c r="K49">
        <f t="shared" si="1"/>
        <v>23.9</v>
      </c>
      <c r="L49">
        <v>13.4</v>
      </c>
    </row>
    <row r="50" spans="1:12" x14ac:dyDescent="0.25">
      <c r="A50" t="s">
        <v>38</v>
      </c>
      <c r="B50" s="1">
        <v>42216</v>
      </c>
      <c r="C50">
        <v>212</v>
      </c>
      <c r="D50" t="s">
        <v>24</v>
      </c>
      <c r="H50">
        <v>23.9</v>
      </c>
      <c r="I50">
        <v>23.9</v>
      </c>
      <c r="J50">
        <f t="shared" si="0"/>
        <v>23.9</v>
      </c>
      <c r="K50">
        <f t="shared" si="1"/>
        <v>23.9</v>
      </c>
      <c r="L50">
        <v>13.4</v>
      </c>
    </row>
    <row r="51" spans="1:12" x14ac:dyDescent="0.25">
      <c r="A51" t="s">
        <v>38</v>
      </c>
      <c r="B51" s="1">
        <v>42221</v>
      </c>
      <c r="C51">
        <v>217</v>
      </c>
      <c r="D51" t="s">
        <v>19</v>
      </c>
      <c r="H51">
        <v>15.9</v>
      </c>
      <c r="I51">
        <v>15.9</v>
      </c>
      <c r="J51">
        <f t="shared" si="0"/>
        <v>15.9</v>
      </c>
      <c r="K51">
        <f t="shared" si="1"/>
        <v>15.9</v>
      </c>
      <c r="L51">
        <v>8.9</v>
      </c>
    </row>
    <row r="52" spans="1:12" x14ac:dyDescent="0.25">
      <c r="A52" t="s">
        <v>38</v>
      </c>
      <c r="B52" s="1">
        <v>42222</v>
      </c>
      <c r="C52">
        <v>218</v>
      </c>
      <c r="D52" t="s">
        <v>19</v>
      </c>
      <c r="H52">
        <v>15.9</v>
      </c>
      <c r="I52">
        <v>15.9</v>
      </c>
      <c r="J52">
        <f t="shared" si="0"/>
        <v>15.9</v>
      </c>
      <c r="K52">
        <f t="shared" si="1"/>
        <v>15.9</v>
      </c>
      <c r="L52">
        <v>8.9</v>
      </c>
    </row>
    <row r="53" spans="1:12" x14ac:dyDescent="0.25">
      <c r="A53" t="s">
        <v>38</v>
      </c>
      <c r="B53" s="1">
        <v>42223</v>
      </c>
      <c r="C53">
        <v>219</v>
      </c>
      <c r="D53" t="s">
        <v>24</v>
      </c>
      <c r="H53">
        <v>23.9</v>
      </c>
      <c r="I53">
        <v>23.9</v>
      </c>
      <c r="J53">
        <f t="shared" si="0"/>
        <v>23.9</v>
      </c>
      <c r="K53">
        <f t="shared" si="1"/>
        <v>23.9</v>
      </c>
      <c r="L53">
        <v>13.4</v>
      </c>
    </row>
    <row r="54" spans="1:12" x14ac:dyDescent="0.25">
      <c r="A54" t="s">
        <v>38</v>
      </c>
      <c r="B54" s="1">
        <v>42229</v>
      </c>
      <c r="C54">
        <v>225</v>
      </c>
      <c r="D54" t="s">
        <v>25</v>
      </c>
      <c r="H54">
        <v>19.899999999999999</v>
      </c>
      <c r="I54">
        <v>19.899999999999999</v>
      </c>
      <c r="J54">
        <f t="shared" si="0"/>
        <v>19.899999999999999</v>
      </c>
      <c r="K54">
        <f t="shared" si="1"/>
        <v>19.899999999999999</v>
      </c>
      <c r="L54">
        <v>11.2</v>
      </c>
    </row>
    <row r="55" spans="1:12" x14ac:dyDescent="0.25">
      <c r="A55" t="s">
        <v>38</v>
      </c>
      <c r="B55" s="1">
        <v>42230</v>
      </c>
      <c r="C55">
        <v>226</v>
      </c>
      <c r="D55" t="s">
        <v>24</v>
      </c>
      <c r="H55">
        <v>23.9</v>
      </c>
      <c r="I55">
        <v>23.9</v>
      </c>
      <c r="J55">
        <f t="shared" si="0"/>
        <v>23.9</v>
      </c>
      <c r="K55">
        <f t="shared" si="1"/>
        <v>23.9</v>
      </c>
      <c r="L55">
        <v>13.4</v>
      </c>
    </row>
    <row r="56" spans="1:12" x14ac:dyDescent="0.25">
      <c r="A56" t="s">
        <v>38</v>
      </c>
      <c r="B56" s="1">
        <v>42235</v>
      </c>
      <c r="C56">
        <v>231</v>
      </c>
      <c r="D56" t="s">
        <v>24</v>
      </c>
      <c r="H56">
        <v>23.9</v>
      </c>
      <c r="I56">
        <v>23.9</v>
      </c>
      <c r="J56">
        <f t="shared" si="0"/>
        <v>23.9</v>
      </c>
      <c r="K56">
        <f t="shared" si="1"/>
        <v>23.9</v>
      </c>
      <c r="L56">
        <v>13.4</v>
      </c>
    </row>
    <row r="57" spans="1:12" x14ac:dyDescent="0.25">
      <c r="A57" t="s">
        <v>38</v>
      </c>
      <c r="B57" s="1">
        <v>42236</v>
      </c>
      <c r="C57">
        <v>232</v>
      </c>
      <c r="D57" t="s">
        <v>24</v>
      </c>
      <c r="H57">
        <v>23.9</v>
      </c>
      <c r="I57">
        <v>23.9</v>
      </c>
      <c r="J57">
        <f t="shared" si="0"/>
        <v>23.9</v>
      </c>
      <c r="K57">
        <f t="shared" si="1"/>
        <v>23.9</v>
      </c>
      <c r="L57">
        <v>13.4</v>
      </c>
    </row>
    <row r="58" spans="1:12" x14ac:dyDescent="0.25">
      <c r="A58" t="s">
        <v>38</v>
      </c>
      <c r="B58" s="1">
        <v>42237</v>
      </c>
      <c r="C58">
        <v>233</v>
      </c>
      <c r="D58" t="s">
        <v>19</v>
      </c>
      <c r="H58">
        <v>15.9</v>
      </c>
      <c r="I58">
        <v>15.9</v>
      </c>
      <c r="J58">
        <f t="shared" si="0"/>
        <v>15.9</v>
      </c>
      <c r="K58">
        <f t="shared" si="1"/>
        <v>15.9</v>
      </c>
      <c r="L58">
        <v>8.9</v>
      </c>
    </row>
    <row r="59" spans="1:12" x14ac:dyDescent="0.25">
      <c r="A59" t="s">
        <v>38</v>
      </c>
      <c r="B59" s="1">
        <v>42243</v>
      </c>
      <c r="C59">
        <v>239</v>
      </c>
      <c r="D59" t="s">
        <v>23</v>
      </c>
      <c r="H59">
        <v>31.8</v>
      </c>
      <c r="I59">
        <v>31.8</v>
      </c>
      <c r="J59">
        <f t="shared" si="0"/>
        <v>31.8</v>
      </c>
      <c r="K59">
        <f t="shared" si="1"/>
        <v>31.8</v>
      </c>
      <c r="L59">
        <v>17.8</v>
      </c>
    </row>
    <row r="60" spans="1:12" x14ac:dyDescent="0.25">
      <c r="A60" t="s">
        <v>38</v>
      </c>
      <c r="B60" s="1">
        <v>42244</v>
      </c>
      <c r="C60">
        <v>240</v>
      </c>
      <c r="D60" t="s">
        <v>24</v>
      </c>
      <c r="H60">
        <v>23.9</v>
      </c>
      <c r="I60">
        <v>23.9</v>
      </c>
      <c r="J60">
        <f t="shared" si="0"/>
        <v>23.9</v>
      </c>
      <c r="K60">
        <f t="shared" si="1"/>
        <v>23.9</v>
      </c>
      <c r="L60">
        <v>13.4</v>
      </c>
    </row>
    <row r="61" spans="1:12" x14ac:dyDescent="0.25">
      <c r="A61" t="s">
        <v>38</v>
      </c>
      <c r="B61" s="1">
        <v>42249</v>
      </c>
      <c r="C61">
        <v>245</v>
      </c>
      <c r="D61" t="s">
        <v>24</v>
      </c>
      <c r="H61">
        <v>23.9</v>
      </c>
      <c r="I61">
        <v>23.9</v>
      </c>
      <c r="J61">
        <f t="shared" si="0"/>
        <v>23.9</v>
      </c>
      <c r="K61">
        <f t="shared" si="1"/>
        <v>23.9</v>
      </c>
      <c r="L61">
        <v>13.4</v>
      </c>
    </row>
    <row r="62" spans="1:12" x14ac:dyDescent="0.25">
      <c r="A62" t="s">
        <v>38</v>
      </c>
      <c r="B62" s="1">
        <v>42250</v>
      </c>
      <c r="C62">
        <v>246</v>
      </c>
      <c r="D62" t="s">
        <v>24</v>
      </c>
      <c r="H62">
        <v>23.9</v>
      </c>
      <c r="I62">
        <v>23.9</v>
      </c>
      <c r="J62">
        <f t="shared" si="0"/>
        <v>23.9</v>
      </c>
      <c r="K62">
        <f t="shared" si="1"/>
        <v>23.9</v>
      </c>
      <c r="L62">
        <v>13.4</v>
      </c>
    </row>
    <row r="63" spans="1:12" x14ac:dyDescent="0.25">
      <c r="A63" t="s">
        <v>38</v>
      </c>
      <c r="B63" s="1">
        <v>42251</v>
      </c>
      <c r="C63">
        <v>247</v>
      </c>
      <c r="D63" t="s">
        <v>34</v>
      </c>
      <c r="E63" t="s">
        <v>35</v>
      </c>
      <c r="H63">
        <v>4</v>
      </c>
      <c r="I63">
        <v>8</v>
      </c>
      <c r="J63">
        <f t="shared" si="0"/>
        <v>8</v>
      </c>
      <c r="K63">
        <f t="shared" si="1"/>
        <v>8</v>
      </c>
      <c r="L63">
        <v>4.5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92BE-CDE9-457F-87CC-972E7165DF6C}">
  <dimension ref="A2:B7"/>
  <sheetViews>
    <sheetView workbookViewId="0">
      <selection activeCell="C68" sqref="C68"/>
    </sheetView>
  </sheetViews>
  <sheetFormatPr defaultRowHeight="15" x14ac:dyDescent="0.25"/>
  <cols>
    <col min="1" max="1" width="12.140625" bestFit="1" customWidth="1"/>
  </cols>
  <sheetData>
    <row r="2" spans="1:2" x14ac:dyDescent="0.25">
      <c r="A2" s="1">
        <v>42115</v>
      </c>
      <c r="B2" t="s">
        <v>5</v>
      </c>
    </row>
    <row r="3" spans="1:2" x14ac:dyDescent="0.25">
      <c r="A3" s="1">
        <v>42116</v>
      </c>
      <c r="B3" t="s">
        <v>6</v>
      </c>
    </row>
    <row r="4" spans="1:2" x14ac:dyDescent="0.25">
      <c r="A4" s="1">
        <v>42117</v>
      </c>
      <c r="B4" t="s">
        <v>7</v>
      </c>
    </row>
    <row r="5" spans="1:2" x14ac:dyDescent="0.25">
      <c r="A5" s="1">
        <v>42118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s="1">
        <v>42123</v>
      </c>
      <c r="B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77B-0641-405E-A3A2-7977E8533EFA}">
  <dimension ref="A1:G57"/>
  <sheetViews>
    <sheetView tabSelected="1" workbookViewId="0"/>
  </sheetViews>
  <sheetFormatPr defaultRowHeight="15" x14ac:dyDescent="0.25"/>
  <sheetData>
    <row r="1" spans="1:7" x14ac:dyDescent="0.25">
      <c r="A1" t="s">
        <v>2</v>
      </c>
      <c r="B1" t="s">
        <v>1</v>
      </c>
      <c r="C1" t="s">
        <v>3</v>
      </c>
      <c r="D1" t="s">
        <v>0</v>
      </c>
      <c r="E1" t="s">
        <v>41</v>
      </c>
      <c r="F1" t="s">
        <v>40</v>
      </c>
      <c r="G1" t="s">
        <v>4</v>
      </c>
    </row>
    <row r="2" spans="1:7" x14ac:dyDescent="0.25">
      <c r="A2">
        <v>2015</v>
      </c>
      <c r="B2">
        <v>98</v>
      </c>
      <c r="C2" s="4">
        <v>6.7</v>
      </c>
      <c r="D2" s="4">
        <v>6.7</v>
      </c>
      <c r="E2" s="4">
        <v>6.7</v>
      </c>
      <c r="F2" s="4">
        <v>6.7</v>
      </c>
      <c r="G2" s="4">
        <v>6.7</v>
      </c>
    </row>
    <row r="3" spans="1:7" x14ac:dyDescent="0.25">
      <c r="A3">
        <v>2015</v>
      </c>
      <c r="B3">
        <v>99</v>
      </c>
      <c r="C3" s="4">
        <v>13.3</v>
      </c>
      <c r="D3" s="4">
        <v>13.3</v>
      </c>
      <c r="E3" s="4">
        <v>13.3</v>
      </c>
      <c r="F3" s="4">
        <v>13.3</v>
      </c>
      <c r="G3" s="4">
        <v>13.3</v>
      </c>
    </row>
    <row r="4" spans="1:7" x14ac:dyDescent="0.25">
      <c r="A4">
        <v>2015</v>
      </c>
      <c r="B4">
        <v>100</v>
      </c>
      <c r="C4" s="4">
        <v>22.2</v>
      </c>
      <c r="D4" s="4">
        <v>22.2</v>
      </c>
      <c r="E4" s="4">
        <v>22.2</v>
      </c>
      <c r="F4" s="4">
        <v>22.2</v>
      </c>
      <c r="G4" s="4">
        <v>22.2</v>
      </c>
    </row>
    <row r="5" spans="1:7" x14ac:dyDescent="0.25">
      <c r="A5">
        <v>2015</v>
      </c>
      <c r="B5">
        <v>101</v>
      </c>
      <c r="C5" s="4">
        <v>22.2</v>
      </c>
      <c r="D5" s="4">
        <v>22.2</v>
      </c>
      <c r="E5" s="4">
        <v>22.2</v>
      </c>
      <c r="F5" s="4">
        <v>22.2</v>
      </c>
      <c r="G5" s="4">
        <v>22.2</v>
      </c>
    </row>
    <row r="6" spans="1:7" x14ac:dyDescent="0.25">
      <c r="A6">
        <v>2015</v>
      </c>
      <c r="B6">
        <v>103</v>
      </c>
      <c r="C6" s="4">
        <v>18.5</v>
      </c>
      <c r="D6" s="4">
        <v>18.5</v>
      </c>
      <c r="E6" s="4">
        <v>18.5</v>
      </c>
      <c r="F6" s="4">
        <v>18.5</v>
      </c>
      <c r="G6" s="4">
        <v>18.5</v>
      </c>
    </row>
    <row r="7" spans="1:7" x14ac:dyDescent="0.25">
      <c r="A7">
        <v>2015</v>
      </c>
      <c r="B7">
        <v>105</v>
      </c>
      <c r="C7" s="4">
        <v>18.5</v>
      </c>
      <c r="D7" s="4">
        <v>18.5</v>
      </c>
      <c r="E7" s="4">
        <v>18.5</v>
      </c>
      <c r="F7" s="4">
        <v>18.5</v>
      </c>
      <c r="G7" s="4">
        <v>18.5</v>
      </c>
    </row>
    <row r="8" spans="1:7" x14ac:dyDescent="0.25">
      <c r="A8">
        <v>2015</v>
      </c>
      <c r="B8">
        <v>106</v>
      </c>
      <c r="C8" s="4">
        <v>22.2</v>
      </c>
      <c r="D8" s="4">
        <v>22.2</v>
      </c>
      <c r="E8" s="4">
        <v>22.2</v>
      </c>
      <c r="F8" s="4">
        <v>22.2</v>
      </c>
      <c r="G8" s="4">
        <v>22.2</v>
      </c>
    </row>
    <row r="9" spans="1:7" x14ac:dyDescent="0.25">
      <c r="A9">
        <v>2015</v>
      </c>
      <c r="B9">
        <v>107</v>
      </c>
      <c r="C9" s="4">
        <v>18.5</v>
      </c>
      <c r="D9" s="4">
        <v>18.5</v>
      </c>
      <c r="E9" s="4">
        <v>18.5</v>
      </c>
      <c r="F9" s="4">
        <v>18.5</v>
      </c>
      <c r="G9" s="4">
        <v>18.5</v>
      </c>
    </row>
    <row r="10" spans="1:7" x14ac:dyDescent="0.25">
      <c r="A10">
        <v>2015</v>
      </c>
      <c r="B10">
        <v>120</v>
      </c>
      <c r="C10" s="4">
        <v>13.3</v>
      </c>
      <c r="D10" s="4">
        <v>13.3</v>
      </c>
      <c r="E10" s="4">
        <v>13.3</v>
      </c>
      <c r="F10" s="4">
        <v>13.3</v>
      </c>
      <c r="G10" s="4">
        <v>13.3</v>
      </c>
    </row>
    <row r="11" spans="1:7" x14ac:dyDescent="0.25">
      <c r="A11">
        <v>2015</v>
      </c>
      <c r="B11">
        <v>121</v>
      </c>
      <c r="C11" s="4">
        <v>13.3</v>
      </c>
      <c r="D11" s="4">
        <v>13.3</v>
      </c>
      <c r="E11" s="4">
        <v>13.3</v>
      </c>
      <c r="F11" s="4">
        <v>13.3</v>
      </c>
      <c r="G11" s="4">
        <v>13.3</v>
      </c>
    </row>
    <row r="12" spans="1:7" x14ac:dyDescent="0.25">
      <c r="A12">
        <v>2015</v>
      </c>
      <c r="B12">
        <v>122</v>
      </c>
      <c r="C12" s="4">
        <v>13.3</v>
      </c>
      <c r="D12" s="4">
        <v>13.3</v>
      </c>
      <c r="E12" s="4">
        <v>13.3</v>
      </c>
      <c r="F12" s="4">
        <v>13.3</v>
      </c>
      <c r="G12" s="4">
        <v>13.3</v>
      </c>
    </row>
    <row r="13" spans="1:7" x14ac:dyDescent="0.25">
      <c r="A13">
        <v>2015</v>
      </c>
      <c r="B13">
        <v>125</v>
      </c>
      <c r="C13" s="4">
        <v>13.3</v>
      </c>
      <c r="D13" s="4">
        <v>13.3</v>
      </c>
      <c r="E13" s="4">
        <v>13.3</v>
      </c>
      <c r="F13" s="4">
        <v>13.3</v>
      </c>
      <c r="G13" s="4">
        <v>13.3</v>
      </c>
    </row>
    <row r="14" spans="1:7" x14ac:dyDescent="0.25">
      <c r="A14">
        <v>2015</v>
      </c>
      <c r="B14">
        <v>127</v>
      </c>
      <c r="C14" s="4">
        <v>6.7</v>
      </c>
      <c r="D14" s="4">
        <v>6.7</v>
      </c>
      <c r="E14" s="4">
        <v>6.7</v>
      </c>
      <c r="F14" s="4">
        <v>6.7</v>
      </c>
      <c r="G14" s="4">
        <v>6.7</v>
      </c>
    </row>
    <row r="15" spans="1:7" x14ac:dyDescent="0.25">
      <c r="A15">
        <v>2015</v>
      </c>
      <c r="B15">
        <v>128</v>
      </c>
      <c r="C15" s="4">
        <v>6.7</v>
      </c>
      <c r="D15" s="4">
        <v>6.7</v>
      </c>
      <c r="E15" s="4">
        <v>6.7</v>
      </c>
      <c r="F15" s="4">
        <v>6.7</v>
      </c>
      <c r="G15" s="4">
        <v>6.7</v>
      </c>
    </row>
    <row r="16" spans="1:7" x14ac:dyDescent="0.25">
      <c r="A16">
        <v>2015</v>
      </c>
      <c r="B16">
        <v>133</v>
      </c>
      <c r="C16" s="4">
        <v>3.4</v>
      </c>
      <c r="D16" s="4">
        <v>3.4</v>
      </c>
      <c r="E16" s="4">
        <v>3.4</v>
      </c>
      <c r="F16" s="4">
        <v>3.4</v>
      </c>
      <c r="G16" s="4">
        <v>3.4</v>
      </c>
    </row>
    <row r="17" spans="1:7" x14ac:dyDescent="0.25">
      <c r="A17">
        <v>2015</v>
      </c>
      <c r="B17">
        <v>155</v>
      </c>
      <c r="C17" s="4">
        <v>13.3</v>
      </c>
      <c r="D17" s="4">
        <v>13.3</v>
      </c>
      <c r="E17" s="4">
        <v>13.3</v>
      </c>
      <c r="F17" s="4">
        <v>13.3</v>
      </c>
      <c r="G17" s="4">
        <v>13.3</v>
      </c>
    </row>
    <row r="18" spans="1:7" x14ac:dyDescent="0.25">
      <c r="A18">
        <v>2015</v>
      </c>
      <c r="B18">
        <v>156</v>
      </c>
      <c r="C18" s="4">
        <v>0</v>
      </c>
      <c r="D18" s="4">
        <v>3.4</v>
      </c>
      <c r="E18" s="4">
        <v>3.4</v>
      </c>
      <c r="F18" s="4">
        <v>3.4</v>
      </c>
      <c r="G18" s="4">
        <v>3.4</v>
      </c>
    </row>
    <row r="19" spans="1:7" x14ac:dyDescent="0.25">
      <c r="A19">
        <v>2015</v>
      </c>
      <c r="B19">
        <v>161</v>
      </c>
      <c r="C19" s="4">
        <v>6.7</v>
      </c>
      <c r="D19" s="4">
        <v>6.7</v>
      </c>
      <c r="E19" s="4">
        <v>6.7</v>
      </c>
      <c r="F19" s="4">
        <v>6.7</v>
      </c>
      <c r="G19" s="4">
        <v>6.7</v>
      </c>
    </row>
    <row r="20" spans="1:7" x14ac:dyDescent="0.25">
      <c r="A20">
        <v>2015</v>
      </c>
      <c r="B20">
        <v>162</v>
      </c>
      <c r="C20" s="4">
        <v>13.3</v>
      </c>
      <c r="D20" s="4">
        <v>13.3</v>
      </c>
      <c r="E20" s="4">
        <v>13.3</v>
      </c>
      <c r="F20" s="4">
        <v>13.3</v>
      </c>
      <c r="G20" s="4">
        <v>13.3</v>
      </c>
    </row>
    <row r="21" spans="1:7" x14ac:dyDescent="0.25">
      <c r="A21">
        <v>2015</v>
      </c>
      <c r="B21">
        <v>163</v>
      </c>
      <c r="C21" s="4">
        <v>13.3</v>
      </c>
      <c r="D21" s="4">
        <v>13.3</v>
      </c>
      <c r="E21" s="4">
        <v>13.3</v>
      </c>
      <c r="F21" s="4">
        <v>13.3</v>
      </c>
      <c r="G21" s="4">
        <v>13.3</v>
      </c>
    </row>
    <row r="22" spans="1:7" x14ac:dyDescent="0.25">
      <c r="A22">
        <v>2015</v>
      </c>
      <c r="B22">
        <v>164</v>
      </c>
      <c r="C22" s="4">
        <v>0</v>
      </c>
      <c r="D22" s="4">
        <v>13.3</v>
      </c>
      <c r="E22" s="4">
        <v>13.3</v>
      </c>
      <c r="F22" s="4">
        <v>13.3</v>
      </c>
      <c r="G22" s="4">
        <v>13.3</v>
      </c>
    </row>
    <row r="23" spans="1:7" x14ac:dyDescent="0.25">
      <c r="A23">
        <v>2015</v>
      </c>
      <c r="B23">
        <v>169</v>
      </c>
      <c r="C23" s="4">
        <v>20</v>
      </c>
      <c r="D23" s="4">
        <v>20</v>
      </c>
      <c r="E23" s="4">
        <v>20</v>
      </c>
      <c r="F23" s="4">
        <v>20</v>
      </c>
      <c r="G23" s="4">
        <v>20</v>
      </c>
    </row>
    <row r="24" spans="1:7" x14ac:dyDescent="0.25">
      <c r="A24">
        <v>2015</v>
      </c>
      <c r="B24">
        <v>170</v>
      </c>
      <c r="C24" s="4">
        <v>13.3</v>
      </c>
      <c r="D24" s="4">
        <v>13.3</v>
      </c>
      <c r="E24" s="4">
        <v>13.3</v>
      </c>
      <c r="F24" s="4">
        <v>13.3</v>
      </c>
      <c r="G24" s="4">
        <v>13.3</v>
      </c>
    </row>
    <row r="25" spans="1:7" x14ac:dyDescent="0.25">
      <c r="A25">
        <v>2015</v>
      </c>
      <c r="B25">
        <v>175</v>
      </c>
      <c r="C25" s="4">
        <v>13.3</v>
      </c>
      <c r="D25" s="4">
        <v>13.3</v>
      </c>
      <c r="E25" s="4">
        <v>13.3</v>
      </c>
      <c r="F25" s="4">
        <v>13.3</v>
      </c>
      <c r="G25" s="4">
        <v>13.3</v>
      </c>
    </row>
    <row r="26" spans="1:7" x14ac:dyDescent="0.25">
      <c r="A26">
        <v>2015</v>
      </c>
      <c r="B26">
        <v>176</v>
      </c>
      <c r="C26" s="4">
        <v>20</v>
      </c>
      <c r="D26" s="4">
        <v>13.3</v>
      </c>
      <c r="E26" s="4">
        <v>13.3</v>
      </c>
      <c r="F26" s="4">
        <v>13.3</v>
      </c>
      <c r="G26" s="4">
        <v>13.3</v>
      </c>
    </row>
    <row r="27" spans="1:7" x14ac:dyDescent="0.25">
      <c r="A27">
        <v>2015</v>
      </c>
      <c r="B27">
        <v>177</v>
      </c>
      <c r="C27" s="4">
        <v>13.3</v>
      </c>
      <c r="D27" s="4">
        <v>13.3</v>
      </c>
      <c r="E27" s="4">
        <v>13.3</v>
      </c>
      <c r="F27" s="4">
        <v>13.3</v>
      </c>
      <c r="G27" s="4">
        <v>13.3</v>
      </c>
    </row>
    <row r="28" spans="1:7" x14ac:dyDescent="0.25">
      <c r="A28">
        <v>2015</v>
      </c>
      <c r="B28">
        <v>178</v>
      </c>
      <c r="C28" s="4">
        <v>13.3</v>
      </c>
      <c r="D28" s="4">
        <v>13.3</v>
      </c>
      <c r="E28" s="4">
        <v>13.3</v>
      </c>
      <c r="F28" s="4">
        <v>13.3</v>
      </c>
      <c r="G28" s="4">
        <v>13.3</v>
      </c>
    </row>
    <row r="29" spans="1:7" x14ac:dyDescent="0.25">
      <c r="A29">
        <v>2015</v>
      </c>
      <c r="B29">
        <v>182</v>
      </c>
      <c r="C29" s="4">
        <v>26.6</v>
      </c>
      <c r="D29" s="4">
        <v>26.6</v>
      </c>
      <c r="E29" s="4">
        <v>26.6</v>
      </c>
      <c r="F29" s="4">
        <v>26.6</v>
      </c>
      <c r="G29" s="4">
        <v>26.6</v>
      </c>
    </row>
    <row r="30" spans="1:7" x14ac:dyDescent="0.25">
      <c r="A30">
        <v>2015</v>
      </c>
      <c r="B30">
        <v>183</v>
      </c>
      <c r="C30" s="4">
        <v>26.6</v>
      </c>
      <c r="D30" s="4">
        <v>26.6</v>
      </c>
      <c r="E30" s="4">
        <v>26.6</v>
      </c>
      <c r="F30" s="4">
        <v>26.6</v>
      </c>
      <c r="G30" s="4">
        <v>26.6</v>
      </c>
    </row>
    <row r="31" spans="1:7" x14ac:dyDescent="0.25">
      <c r="A31">
        <v>2015</v>
      </c>
      <c r="B31">
        <v>188</v>
      </c>
      <c r="C31" s="4">
        <v>3.4</v>
      </c>
      <c r="D31" s="4">
        <v>3.4</v>
      </c>
      <c r="E31" s="4">
        <v>3.4</v>
      </c>
      <c r="F31" s="4">
        <v>3.4</v>
      </c>
      <c r="G31" s="4">
        <v>3.4</v>
      </c>
    </row>
    <row r="32" spans="1:7" x14ac:dyDescent="0.25">
      <c r="A32">
        <v>2015</v>
      </c>
      <c r="B32">
        <v>189</v>
      </c>
      <c r="C32" s="4">
        <v>6.7</v>
      </c>
      <c r="D32" s="4">
        <v>6.7</v>
      </c>
      <c r="E32" s="4">
        <v>6.7</v>
      </c>
      <c r="F32" s="4">
        <v>6.7</v>
      </c>
      <c r="G32" s="4">
        <v>4.5</v>
      </c>
    </row>
    <row r="33" spans="1:7" x14ac:dyDescent="0.25">
      <c r="A33">
        <v>2015</v>
      </c>
      <c r="B33">
        <v>190</v>
      </c>
      <c r="C33" s="4">
        <v>15.9</v>
      </c>
      <c r="D33" s="4">
        <v>15.9</v>
      </c>
      <c r="E33" s="4">
        <v>15.9</v>
      </c>
      <c r="F33" s="4">
        <v>15.9</v>
      </c>
      <c r="G33" s="4">
        <v>8.9</v>
      </c>
    </row>
    <row r="34" spans="1:7" x14ac:dyDescent="0.25">
      <c r="A34">
        <v>2015</v>
      </c>
      <c r="B34">
        <v>191</v>
      </c>
      <c r="C34" s="4">
        <v>15.9</v>
      </c>
      <c r="D34" s="4">
        <v>15.9</v>
      </c>
      <c r="E34" s="4">
        <v>15.9</v>
      </c>
      <c r="F34" s="4">
        <v>15.9</v>
      </c>
      <c r="G34" s="4">
        <v>8.9</v>
      </c>
    </row>
    <row r="35" spans="1:7" x14ac:dyDescent="0.25">
      <c r="A35">
        <v>2015</v>
      </c>
      <c r="B35">
        <v>195</v>
      </c>
      <c r="C35" s="4">
        <v>12</v>
      </c>
      <c r="D35" s="4">
        <v>12</v>
      </c>
      <c r="E35" s="4">
        <v>12</v>
      </c>
      <c r="F35" s="4">
        <v>12</v>
      </c>
      <c r="G35" s="4">
        <v>6.8</v>
      </c>
    </row>
    <row r="36" spans="1:7" x14ac:dyDescent="0.25">
      <c r="A36">
        <v>2015</v>
      </c>
      <c r="B36">
        <v>196</v>
      </c>
      <c r="C36" s="4">
        <v>35.799999999999997</v>
      </c>
      <c r="D36" s="4">
        <v>35.799999999999997</v>
      </c>
      <c r="E36" s="4">
        <v>35.799999999999997</v>
      </c>
      <c r="F36" s="4">
        <v>35.799999999999997</v>
      </c>
      <c r="G36" s="4">
        <v>20.100000000000001</v>
      </c>
    </row>
    <row r="37" spans="1:7" x14ac:dyDescent="0.25">
      <c r="A37">
        <v>2015</v>
      </c>
      <c r="B37">
        <v>197</v>
      </c>
      <c r="C37" s="4">
        <v>27.9</v>
      </c>
      <c r="D37" s="4">
        <v>27.9</v>
      </c>
      <c r="E37" s="4">
        <v>27.9</v>
      </c>
      <c r="F37" s="4">
        <v>27.9</v>
      </c>
      <c r="G37" s="4">
        <v>15.7</v>
      </c>
    </row>
    <row r="38" spans="1:7" x14ac:dyDescent="0.25">
      <c r="A38">
        <v>2015</v>
      </c>
      <c r="B38">
        <v>198</v>
      </c>
      <c r="C38" s="4">
        <v>15.9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25">
      <c r="A39">
        <v>2015</v>
      </c>
      <c r="B39">
        <v>203</v>
      </c>
      <c r="C39" s="4">
        <v>23.9</v>
      </c>
      <c r="D39" s="4">
        <v>23.9</v>
      </c>
      <c r="E39" s="4">
        <v>23.9</v>
      </c>
      <c r="F39" s="4">
        <v>23.9</v>
      </c>
      <c r="G39" s="4">
        <v>13.4</v>
      </c>
    </row>
    <row r="40" spans="1:7" x14ac:dyDescent="0.25">
      <c r="A40">
        <v>2015</v>
      </c>
      <c r="B40">
        <v>204</v>
      </c>
      <c r="C40" s="4">
        <v>23.9</v>
      </c>
      <c r="D40" s="4">
        <v>23.9</v>
      </c>
      <c r="E40" s="4">
        <v>23.9</v>
      </c>
      <c r="F40" s="4">
        <v>23.9</v>
      </c>
      <c r="G40" s="4">
        <v>13.4</v>
      </c>
    </row>
    <row r="41" spans="1:7" x14ac:dyDescent="0.25">
      <c r="A41">
        <v>2015</v>
      </c>
      <c r="B41">
        <v>205</v>
      </c>
      <c r="C41" s="4">
        <v>8</v>
      </c>
      <c r="D41" s="4">
        <v>12</v>
      </c>
      <c r="E41" s="4">
        <v>12</v>
      </c>
      <c r="F41" s="4">
        <v>12</v>
      </c>
      <c r="G41" s="4">
        <v>6.8</v>
      </c>
    </row>
    <row r="42" spans="1:7" x14ac:dyDescent="0.25">
      <c r="A42">
        <v>2015</v>
      </c>
      <c r="B42">
        <v>210</v>
      </c>
      <c r="C42" s="4">
        <v>23.9</v>
      </c>
      <c r="D42" s="4">
        <v>23.9</v>
      </c>
      <c r="E42" s="4">
        <v>23.9</v>
      </c>
      <c r="F42" s="4">
        <v>23.9</v>
      </c>
      <c r="G42" s="4">
        <v>13.4</v>
      </c>
    </row>
    <row r="43" spans="1:7" x14ac:dyDescent="0.25">
      <c r="A43">
        <v>2015</v>
      </c>
      <c r="B43">
        <v>211</v>
      </c>
      <c r="C43" s="4">
        <v>23.9</v>
      </c>
      <c r="D43" s="4">
        <v>23.9</v>
      </c>
      <c r="E43" s="4">
        <v>23.9</v>
      </c>
      <c r="F43" s="4">
        <v>23.9</v>
      </c>
      <c r="G43" s="4">
        <v>13.4</v>
      </c>
    </row>
    <row r="44" spans="1:7" x14ac:dyDescent="0.25">
      <c r="A44">
        <v>2015</v>
      </c>
      <c r="B44">
        <v>212</v>
      </c>
      <c r="C44" s="4">
        <v>23.9</v>
      </c>
      <c r="D44" s="4">
        <v>23.9</v>
      </c>
      <c r="E44" s="4">
        <v>23.9</v>
      </c>
      <c r="F44" s="4">
        <v>23.9</v>
      </c>
      <c r="G44" s="4">
        <v>13.4</v>
      </c>
    </row>
    <row r="45" spans="1:7" x14ac:dyDescent="0.25">
      <c r="A45">
        <v>2015</v>
      </c>
      <c r="B45">
        <v>217</v>
      </c>
      <c r="C45" s="4">
        <v>15.9</v>
      </c>
      <c r="D45" s="4">
        <v>15.9</v>
      </c>
      <c r="E45" s="4">
        <v>15.9</v>
      </c>
      <c r="F45" s="4">
        <v>15.9</v>
      </c>
      <c r="G45" s="4">
        <v>8.9</v>
      </c>
    </row>
    <row r="46" spans="1:7" x14ac:dyDescent="0.25">
      <c r="A46">
        <v>2015</v>
      </c>
      <c r="B46">
        <v>218</v>
      </c>
      <c r="C46" s="4">
        <v>15.9</v>
      </c>
      <c r="D46" s="4">
        <v>15.9</v>
      </c>
      <c r="E46" s="4">
        <v>15.9</v>
      </c>
      <c r="F46" s="4">
        <v>15.9</v>
      </c>
      <c r="G46" s="4">
        <v>8.9</v>
      </c>
    </row>
    <row r="47" spans="1:7" x14ac:dyDescent="0.25">
      <c r="A47">
        <v>2015</v>
      </c>
      <c r="B47">
        <v>219</v>
      </c>
      <c r="C47" s="4">
        <v>23.9</v>
      </c>
      <c r="D47" s="4">
        <v>23.9</v>
      </c>
      <c r="E47" s="4">
        <v>23.9</v>
      </c>
      <c r="F47" s="4">
        <v>23.9</v>
      </c>
      <c r="G47" s="4">
        <v>13.4</v>
      </c>
    </row>
    <row r="48" spans="1:7" x14ac:dyDescent="0.25">
      <c r="A48">
        <v>2015</v>
      </c>
      <c r="B48">
        <v>225</v>
      </c>
      <c r="C48" s="4">
        <v>19.899999999999999</v>
      </c>
      <c r="D48" s="4">
        <v>19.899999999999999</v>
      </c>
      <c r="E48" s="4">
        <v>19.899999999999999</v>
      </c>
      <c r="F48" s="4">
        <v>19.899999999999999</v>
      </c>
      <c r="G48" s="4">
        <v>11.2</v>
      </c>
    </row>
    <row r="49" spans="1:7" x14ac:dyDescent="0.25">
      <c r="A49">
        <v>2015</v>
      </c>
      <c r="B49">
        <v>226</v>
      </c>
      <c r="C49" s="4">
        <v>23.9</v>
      </c>
      <c r="D49" s="4">
        <v>23.9</v>
      </c>
      <c r="E49" s="4">
        <v>23.9</v>
      </c>
      <c r="F49" s="4">
        <v>23.9</v>
      </c>
      <c r="G49" s="4">
        <v>13.4</v>
      </c>
    </row>
    <row r="50" spans="1:7" x14ac:dyDescent="0.25">
      <c r="A50">
        <v>2015</v>
      </c>
      <c r="B50">
        <v>231</v>
      </c>
      <c r="C50" s="4">
        <v>23.9</v>
      </c>
      <c r="D50" s="4">
        <v>23.9</v>
      </c>
      <c r="E50" s="4">
        <v>23.9</v>
      </c>
      <c r="F50" s="4">
        <v>23.9</v>
      </c>
      <c r="G50" s="4">
        <v>13.4</v>
      </c>
    </row>
    <row r="51" spans="1:7" x14ac:dyDescent="0.25">
      <c r="A51">
        <v>2015</v>
      </c>
      <c r="B51">
        <v>232</v>
      </c>
      <c r="C51" s="4">
        <v>23.9</v>
      </c>
      <c r="D51" s="4">
        <v>23.9</v>
      </c>
      <c r="E51" s="4">
        <v>23.9</v>
      </c>
      <c r="F51" s="4">
        <v>23.9</v>
      </c>
      <c r="G51" s="4">
        <v>13.4</v>
      </c>
    </row>
    <row r="52" spans="1:7" x14ac:dyDescent="0.25">
      <c r="A52">
        <v>2015</v>
      </c>
      <c r="B52">
        <v>233</v>
      </c>
      <c r="C52" s="4">
        <v>15.9</v>
      </c>
      <c r="D52" s="4">
        <v>15.9</v>
      </c>
      <c r="E52" s="4">
        <v>15.9</v>
      </c>
      <c r="F52" s="4">
        <v>15.9</v>
      </c>
      <c r="G52" s="4">
        <v>8.9</v>
      </c>
    </row>
    <row r="53" spans="1:7" x14ac:dyDescent="0.25">
      <c r="A53">
        <v>2015</v>
      </c>
      <c r="B53">
        <v>239</v>
      </c>
      <c r="C53" s="4">
        <v>31.8</v>
      </c>
      <c r="D53" s="4">
        <v>31.8</v>
      </c>
      <c r="E53" s="4">
        <v>31.8</v>
      </c>
      <c r="F53" s="4">
        <v>31.8</v>
      </c>
      <c r="G53" s="4">
        <v>17.8</v>
      </c>
    </row>
    <row r="54" spans="1:7" x14ac:dyDescent="0.25">
      <c r="A54">
        <v>2015</v>
      </c>
      <c r="B54">
        <v>240</v>
      </c>
      <c r="C54" s="4">
        <v>23.9</v>
      </c>
      <c r="D54" s="4">
        <v>23.9</v>
      </c>
      <c r="E54" s="4">
        <v>23.9</v>
      </c>
      <c r="F54" s="4">
        <v>23.9</v>
      </c>
      <c r="G54" s="4">
        <v>13.4</v>
      </c>
    </row>
    <row r="55" spans="1:7" x14ac:dyDescent="0.25">
      <c r="A55">
        <v>2015</v>
      </c>
      <c r="B55">
        <v>245</v>
      </c>
      <c r="C55" s="4">
        <v>23.9</v>
      </c>
      <c r="D55" s="4">
        <v>23.9</v>
      </c>
      <c r="E55" s="4">
        <v>23.9</v>
      </c>
      <c r="F55" s="4">
        <v>23.9</v>
      </c>
      <c r="G55" s="4">
        <v>13.4</v>
      </c>
    </row>
    <row r="56" spans="1:7" x14ac:dyDescent="0.25">
      <c r="A56">
        <v>2015</v>
      </c>
      <c r="B56">
        <v>246</v>
      </c>
      <c r="C56" s="4">
        <v>23.9</v>
      </c>
      <c r="D56" s="4">
        <v>23.9</v>
      </c>
      <c r="E56" s="4">
        <v>23.9</v>
      </c>
      <c r="F56" s="4">
        <v>23.9</v>
      </c>
      <c r="G56" s="4">
        <v>13.4</v>
      </c>
    </row>
    <row r="57" spans="1:7" x14ac:dyDescent="0.25">
      <c r="A57">
        <v>2015</v>
      </c>
      <c r="B57">
        <v>247</v>
      </c>
      <c r="C57" s="4">
        <v>4</v>
      </c>
      <c r="D57" s="4">
        <v>8</v>
      </c>
      <c r="E57" s="4">
        <v>8</v>
      </c>
      <c r="F57" s="4">
        <v>8</v>
      </c>
      <c r="G57" s="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Irrigation</vt:lpstr>
      <vt:lpstr>Other</vt:lpstr>
      <vt:lpstr>IrrigationDF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2024-12-20T13:15:26Z</dcterms:created>
  <dcterms:modified xsi:type="dcterms:W3CDTF">2024-12-20T15:32:16Z</dcterms:modified>
</cp:coreProperties>
</file>