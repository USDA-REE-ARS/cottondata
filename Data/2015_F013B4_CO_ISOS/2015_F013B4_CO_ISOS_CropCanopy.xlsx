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827"/>
  <workbookPr/>
  <mc:AlternateContent xmlns:mc="http://schemas.openxmlformats.org/markup-compatibility/2006">
    <mc:Choice Requires="x15">
      <x15ac:absPath xmlns:x15ac="http://schemas.microsoft.com/office/spreadsheetml/2010/11/ac" url="E:\mnt\Data1\USDA-ALARC\GIS\PDI project\cottondata\Data\2015_F013B4_CO_ISOS\"/>
    </mc:Choice>
  </mc:AlternateContent>
  <xr:revisionPtr revIDLastSave="0" documentId="13_ncr:1_{ACC1DA50-DABE-4138-9D16-4716D7A1AD24}" xr6:coauthVersionLast="47" xr6:coauthVersionMax="47" xr10:uidLastSave="{00000000-0000-0000-0000-000000000000}"/>
  <bookViews>
    <workbookView xWindow="-1665" yWindow="-28410" windowWidth="18105" windowHeight="16065" activeTab="4" xr2:uid="{00000000-000D-0000-FFFF-FFFF00000000}"/>
  </bookViews>
  <sheets>
    <sheet name="Height" sheetId="11" r:id="rId1"/>
    <sheet name="Width" sheetId="12" r:id="rId2"/>
    <sheet name="LAImeter" sheetId="14" r:id="rId3"/>
    <sheet name="Density" sheetId="13" r:id="rId4"/>
    <sheet name="Develop" sheetId="16" r:id="rId5"/>
    <sheet name="Summary-Plant Heights" sheetId="6" r:id="rId6"/>
    <sheet name="Summary-Bed Heights" sheetId="7" r:id="rId7"/>
    <sheet name="Summary-Cover" sheetId="8" r:id="rId8"/>
    <sheet name="Blank" sheetId="4" r:id="rId9"/>
    <sheet name="graphs" sheetId="10" r:id="rId10"/>
    <sheet name="Emergence" sheetId="17" r:id="rId11"/>
    <sheet name="1stLeaf" sheetId="18" r:id="rId12"/>
    <sheet name="Density at flags" sheetId="9" r:id="rId13"/>
    <sheet name="Density counts" sheetId="15" r:id="rId14"/>
    <sheet name="Flowering" sheetId="19" r:id="rId15"/>
    <sheet name="NAWF" sheetId="20" r:id="rId16"/>
  </sheets>
  <definedNames>
    <definedName name="_xlnm.Print_Area" localSheetId="8">Blank!$A$1:$V$19</definedName>
    <definedName name="_xlnm.Print_Area" localSheetId="13">'Density counts'!$A$1:$H$47</definedName>
    <definedName name="_xlnm.Print_Area" localSheetId="14">Flowering!$A$1:$L$59</definedName>
    <definedName name="_xlnm.Print_Area" localSheetId="15">NAWF!$A$1:$N$58</definedName>
    <definedName name="_xlnm.Print_Titles" localSheetId="8">Blank!$8:$9</definedName>
    <definedName name="_xlnm.Print_Titles" localSheetId="13">'Density counts'!$6:$7</definedName>
    <definedName name="_xlnm.Print_Titles" localSheetId="15">NAWF!$6:$8</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V9" i="20" l="1"/>
  <c r="W9" i="20"/>
  <c r="X9" i="20"/>
  <c r="Y9" i="20"/>
  <c r="Z9" i="20"/>
  <c r="AA9" i="20"/>
  <c r="AB9" i="20"/>
  <c r="AC9" i="20"/>
  <c r="V10" i="20"/>
  <c r="W10" i="20"/>
  <c r="X10" i="20"/>
  <c r="Y10" i="20"/>
  <c r="Z10" i="20"/>
  <c r="AA10" i="20"/>
  <c r="AB10" i="20"/>
  <c r="AC10" i="20"/>
  <c r="V11" i="20"/>
  <c r="W11" i="20"/>
  <c r="X11" i="20"/>
  <c r="Y11" i="20"/>
  <c r="Z11" i="20"/>
  <c r="AA11" i="20"/>
  <c r="AB11" i="20"/>
  <c r="AC11" i="20"/>
  <c r="V12" i="20"/>
  <c r="W12" i="20"/>
  <c r="Y12" i="20"/>
  <c r="Z12" i="20"/>
  <c r="AA12" i="20"/>
  <c r="AB12" i="20"/>
  <c r="AC12" i="20"/>
  <c r="W13" i="20"/>
  <c r="Y13" i="20"/>
  <c r="Z13" i="20"/>
  <c r="AA13" i="20"/>
  <c r="AB13" i="20"/>
  <c r="AC13" i="20"/>
  <c r="V14" i="20"/>
  <c r="W14" i="20"/>
  <c r="X14" i="20"/>
  <c r="Y14" i="20"/>
  <c r="Z14" i="20"/>
  <c r="AA14" i="20"/>
  <c r="AB14" i="20"/>
  <c r="AC14" i="20"/>
  <c r="V15" i="20"/>
  <c r="W15" i="20"/>
  <c r="X15" i="20"/>
  <c r="Y15" i="20"/>
  <c r="Z15" i="20"/>
  <c r="AA15" i="20"/>
  <c r="AB15" i="20"/>
  <c r="AC15" i="20"/>
  <c r="V16" i="20"/>
  <c r="W16" i="20"/>
  <c r="X16" i="20"/>
  <c r="Y16" i="20"/>
  <c r="Z16" i="20"/>
  <c r="AA16" i="20"/>
  <c r="AB16" i="20"/>
  <c r="AC16" i="20"/>
  <c r="V17" i="20"/>
  <c r="W17" i="20"/>
  <c r="Y17" i="20"/>
  <c r="Z17" i="20"/>
  <c r="AA17" i="20"/>
  <c r="AB17" i="20"/>
  <c r="AC17" i="20"/>
  <c r="V18" i="20"/>
  <c r="W18" i="20"/>
  <c r="Y18" i="20"/>
  <c r="Z18" i="20"/>
  <c r="AA18" i="20"/>
  <c r="AB18" i="20"/>
  <c r="AC18" i="20"/>
  <c r="W19" i="20"/>
  <c r="Y19" i="20"/>
  <c r="Z19" i="20"/>
  <c r="AA19" i="20"/>
  <c r="AB19" i="20"/>
  <c r="AC19" i="20"/>
  <c r="W20" i="20"/>
  <c r="Y20" i="20"/>
  <c r="Z20" i="20"/>
  <c r="AA20" i="20"/>
  <c r="AB20" i="20"/>
  <c r="AC20" i="20"/>
  <c r="W21" i="20"/>
  <c r="Y21" i="20"/>
  <c r="Z21" i="20"/>
  <c r="AA21" i="20"/>
  <c r="AB21" i="20"/>
  <c r="AC21" i="20"/>
  <c r="W22" i="20"/>
  <c r="Y22" i="20"/>
  <c r="Z22" i="20"/>
  <c r="AA22" i="20"/>
  <c r="AB22" i="20"/>
  <c r="AC22" i="20"/>
  <c r="W23" i="20"/>
  <c r="Y23" i="20"/>
  <c r="Z23" i="20"/>
  <c r="AA23" i="20"/>
  <c r="AB23" i="20"/>
  <c r="AC23" i="20"/>
  <c r="W24" i="20"/>
  <c r="Y24" i="20"/>
  <c r="Z24" i="20"/>
  <c r="AA24" i="20"/>
  <c r="AB24" i="20"/>
  <c r="AC24" i="20"/>
  <c r="W25" i="20"/>
  <c r="Y25" i="20"/>
  <c r="Z25" i="20"/>
  <c r="AA25" i="20"/>
  <c r="AB25" i="20"/>
  <c r="AC25" i="20"/>
  <c r="W26" i="20"/>
  <c r="Y26" i="20"/>
  <c r="Z26" i="20"/>
  <c r="AA26" i="20"/>
  <c r="AB26" i="20"/>
  <c r="AC26" i="20"/>
  <c r="W27" i="20"/>
  <c r="Y27" i="20"/>
  <c r="Z27" i="20"/>
  <c r="AA27" i="20"/>
  <c r="AB27" i="20"/>
  <c r="AC27" i="20"/>
  <c r="W28" i="20"/>
  <c r="Y28" i="20"/>
  <c r="Z28" i="20"/>
  <c r="AA28" i="20"/>
  <c r="AB28" i="20"/>
  <c r="AC28" i="20"/>
  <c r="V29" i="20"/>
  <c r="W29" i="20"/>
  <c r="X29" i="20"/>
  <c r="Y29" i="20"/>
  <c r="Z29" i="20"/>
  <c r="AA29" i="20"/>
  <c r="AB29" i="20"/>
  <c r="AC29" i="20"/>
  <c r="V30" i="20"/>
  <c r="W30" i="20"/>
  <c r="X30" i="20"/>
  <c r="Y30" i="20"/>
  <c r="Z30" i="20"/>
  <c r="AA30" i="20"/>
  <c r="AB30" i="20"/>
  <c r="AC30" i="20"/>
  <c r="V31" i="20"/>
  <c r="W31" i="20"/>
  <c r="X31" i="20"/>
  <c r="Y31" i="20"/>
  <c r="Z31" i="20"/>
  <c r="AA31" i="20"/>
  <c r="AB31" i="20"/>
  <c r="AC31" i="20"/>
  <c r="V32" i="20"/>
  <c r="W32" i="20"/>
  <c r="X32" i="20"/>
  <c r="Y32" i="20"/>
  <c r="Z32" i="20"/>
  <c r="AA32" i="20"/>
  <c r="AB32" i="20"/>
  <c r="AC32" i="20"/>
  <c r="V33" i="20"/>
  <c r="W33" i="20"/>
  <c r="Y33" i="20"/>
  <c r="Z33" i="20"/>
  <c r="AA33" i="20"/>
  <c r="AB33" i="20"/>
  <c r="AC33" i="20"/>
  <c r="V34" i="20"/>
  <c r="W34" i="20"/>
  <c r="X34" i="20"/>
  <c r="Y34" i="20"/>
  <c r="Z34" i="20"/>
  <c r="AA34" i="20"/>
  <c r="AB34" i="20"/>
  <c r="AC34" i="20"/>
  <c r="V35" i="20"/>
  <c r="W35" i="20"/>
  <c r="X35" i="20"/>
  <c r="Y35" i="20"/>
  <c r="Z35" i="20"/>
  <c r="AA35" i="20"/>
  <c r="AB35" i="20"/>
  <c r="AC35" i="20"/>
  <c r="V36" i="20"/>
  <c r="W36" i="20"/>
  <c r="X36" i="20"/>
  <c r="Y36" i="20"/>
  <c r="Z36" i="20"/>
  <c r="AA36" i="20"/>
  <c r="AB36" i="20"/>
  <c r="AC36" i="20"/>
  <c r="V37" i="20"/>
  <c r="W37" i="20"/>
  <c r="X37" i="20"/>
  <c r="Y37" i="20"/>
  <c r="Z37" i="20"/>
  <c r="AA37" i="20"/>
  <c r="AB37" i="20"/>
  <c r="AC37" i="20"/>
  <c r="W38" i="20"/>
  <c r="X38" i="20"/>
  <c r="Y38" i="20"/>
  <c r="Z38" i="20"/>
  <c r="AA38" i="20"/>
  <c r="AB38" i="20"/>
  <c r="AC38" i="20"/>
  <c r="W39" i="20"/>
  <c r="Y39" i="20"/>
  <c r="Z39" i="20"/>
  <c r="AA39" i="20"/>
  <c r="AB39" i="20"/>
  <c r="AC39" i="20"/>
  <c r="W40" i="20"/>
  <c r="Y40" i="20"/>
  <c r="Z40" i="20"/>
  <c r="AA40" i="20"/>
  <c r="AB40" i="20"/>
  <c r="AC40" i="20"/>
  <c r="W41" i="20"/>
  <c r="Y41" i="20"/>
  <c r="Z41" i="20"/>
  <c r="AA41" i="20"/>
  <c r="AB41" i="20"/>
  <c r="AC41" i="20"/>
  <c r="W42" i="20"/>
  <c r="Y42" i="20"/>
  <c r="Z42" i="20"/>
  <c r="AA42" i="20"/>
  <c r="AB42" i="20"/>
  <c r="AC42" i="20"/>
  <c r="W43" i="20"/>
  <c r="Y43" i="20"/>
  <c r="Z43" i="20"/>
  <c r="AA43" i="20"/>
  <c r="AB43" i="20"/>
  <c r="AC43" i="20"/>
  <c r="W44" i="20"/>
  <c r="Y44" i="20"/>
  <c r="Z44" i="20"/>
  <c r="AA44" i="20"/>
  <c r="AB44" i="20"/>
  <c r="AC44" i="20"/>
  <c r="W45" i="20"/>
  <c r="Y45" i="20"/>
  <c r="Z45" i="20"/>
  <c r="AA45" i="20"/>
  <c r="AB45" i="20"/>
  <c r="AC45" i="20"/>
  <c r="W46" i="20"/>
  <c r="Y46" i="20"/>
  <c r="Z46" i="20"/>
  <c r="AA46" i="20"/>
  <c r="AB46" i="20"/>
  <c r="AC46" i="20"/>
  <c r="W47" i="20"/>
  <c r="Y47" i="20"/>
  <c r="Z47" i="20"/>
  <c r="AA47" i="20"/>
  <c r="AB47" i="20"/>
  <c r="AC47" i="20"/>
  <c r="W48" i="20"/>
  <c r="Y48" i="20"/>
  <c r="Z48" i="20"/>
  <c r="AA48" i="20"/>
  <c r="AB48" i="20"/>
  <c r="AC48" i="20"/>
  <c r="V49" i="20"/>
  <c r="W49" i="20"/>
  <c r="X49" i="20"/>
  <c r="Y49" i="20"/>
  <c r="Z49" i="20"/>
  <c r="AA49" i="20"/>
  <c r="AB49" i="20"/>
  <c r="AC49" i="20"/>
  <c r="V50" i="20"/>
  <c r="W50" i="20"/>
  <c r="X50" i="20"/>
  <c r="Y50" i="20"/>
  <c r="Z50" i="20"/>
  <c r="AA50" i="20"/>
  <c r="AB50" i="20"/>
  <c r="AC50" i="20"/>
  <c r="V51" i="20"/>
  <c r="W51" i="20"/>
  <c r="Y51" i="20"/>
  <c r="Z51" i="20"/>
  <c r="AA51" i="20"/>
  <c r="AB51" i="20"/>
  <c r="AC51" i="20"/>
  <c r="V52" i="20"/>
  <c r="W52" i="20"/>
  <c r="Y52" i="20"/>
  <c r="Z52" i="20"/>
  <c r="AA52" i="20"/>
  <c r="AB52" i="20"/>
  <c r="AC52" i="20"/>
  <c r="V53" i="20"/>
  <c r="W53" i="20"/>
  <c r="Y53" i="20"/>
  <c r="Z53" i="20"/>
  <c r="AA53" i="20"/>
  <c r="AB53" i="20"/>
  <c r="AC53" i="20"/>
  <c r="V54" i="20"/>
  <c r="W54" i="20"/>
  <c r="X54" i="20"/>
  <c r="Y54" i="20"/>
  <c r="Z54" i="20"/>
  <c r="AA54" i="20"/>
  <c r="AB54" i="20"/>
  <c r="AC54" i="20"/>
  <c r="V55" i="20"/>
  <c r="W55" i="20"/>
  <c r="X55" i="20"/>
  <c r="Y55" i="20"/>
  <c r="Z55" i="20"/>
  <c r="AA55" i="20"/>
  <c r="AB55" i="20"/>
  <c r="AC55" i="20"/>
  <c r="V56" i="20"/>
  <c r="W56" i="20"/>
  <c r="X56" i="20"/>
  <c r="Y56" i="20"/>
  <c r="Z56" i="20"/>
  <c r="AA56" i="20"/>
  <c r="AB56" i="20"/>
  <c r="AC56" i="20"/>
  <c r="V57" i="20"/>
  <c r="W57" i="20"/>
  <c r="Y57" i="20"/>
  <c r="Z57" i="20"/>
  <c r="AA57" i="20"/>
  <c r="AB57" i="20"/>
  <c r="AC57" i="20"/>
  <c r="V58" i="20"/>
  <c r="W58" i="20"/>
  <c r="Y58" i="20"/>
  <c r="Z58" i="20"/>
  <c r="AA58" i="20"/>
  <c r="AB58" i="20"/>
  <c r="AC58" i="20"/>
  <c r="T10" i="19" l="1"/>
  <c r="U10" i="19" s="1"/>
  <c r="T11" i="19"/>
  <c r="U11" i="19"/>
  <c r="T12" i="19"/>
  <c r="U12" i="19"/>
  <c r="T13" i="19"/>
  <c r="U13" i="19"/>
  <c r="N14" i="19"/>
  <c r="O14" i="19"/>
  <c r="P14" i="19"/>
  <c r="Q14" i="19"/>
  <c r="R14" i="19"/>
  <c r="T14" i="19"/>
  <c r="U14" i="19"/>
  <c r="T15" i="19"/>
  <c r="U15" i="19"/>
  <c r="T16" i="19"/>
  <c r="U16" i="19"/>
  <c r="T17" i="19"/>
  <c r="U17" i="19" s="1"/>
  <c r="T18" i="19"/>
  <c r="U18" i="19"/>
  <c r="N19" i="19"/>
  <c r="N65" i="19" s="1"/>
  <c r="O19" i="19"/>
  <c r="O65" i="19" s="1"/>
  <c r="P19" i="19"/>
  <c r="P65" i="19" s="1"/>
  <c r="Q19" i="19"/>
  <c r="Q65" i="19" s="1"/>
  <c r="R19" i="19"/>
  <c r="R65" i="19" s="1"/>
  <c r="T19" i="19"/>
  <c r="U19" i="19"/>
  <c r="T20" i="19"/>
  <c r="U20" i="19"/>
  <c r="T21" i="19"/>
  <c r="U21" i="19" s="1"/>
  <c r="T22" i="19"/>
  <c r="U22" i="19"/>
  <c r="T23" i="19"/>
  <c r="U23" i="19"/>
  <c r="N24" i="19"/>
  <c r="O24" i="19"/>
  <c r="P24" i="19"/>
  <c r="Q24" i="19"/>
  <c r="R24" i="19"/>
  <c r="T24" i="19"/>
  <c r="U24" i="19" s="1"/>
  <c r="T25" i="19"/>
  <c r="U25" i="19"/>
  <c r="T26" i="19"/>
  <c r="U26" i="19"/>
  <c r="T27" i="19"/>
  <c r="U27" i="19"/>
  <c r="T28" i="19"/>
  <c r="U28" i="19" s="1"/>
  <c r="N29" i="19"/>
  <c r="O29" i="19"/>
  <c r="P29" i="19"/>
  <c r="Q29" i="19"/>
  <c r="R29" i="19"/>
  <c r="T29" i="19"/>
  <c r="U29" i="19"/>
  <c r="T30" i="19"/>
  <c r="U30" i="19"/>
  <c r="T31" i="19"/>
  <c r="U31" i="19"/>
  <c r="T32" i="19"/>
  <c r="U32" i="19" s="1"/>
  <c r="T33" i="19"/>
  <c r="U33" i="19"/>
  <c r="N34" i="19"/>
  <c r="O34" i="19"/>
  <c r="P34" i="19"/>
  <c r="Q34" i="19"/>
  <c r="R34" i="19"/>
  <c r="T34" i="19"/>
  <c r="U34" i="19"/>
  <c r="T35" i="19"/>
  <c r="U35" i="19"/>
  <c r="T36" i="19"/>
  <c r="U36" i="19"/>
  <c r="T37" i="19"/>
  <c r="U37" i="19"/>
  <c r="T38" i="19"/>
  <c r="U38" i="19"/>
  <c r="N39" i="19"/>
  <c r="N62" i="19" s="1"/>
  <c r="O39" i="19"/>
  <c r="P39" i="19"/>
  <c r="Q39" i="19"/>
  <c r="R39" i="19"/>
  <c r="T39" i="19"/>
  <c r="U39" i="19"/>
  <c r="T40" i="19"/>
  <c r="U40" i="19"/>
  <c r="T41" i="19"/>
  <c r="U41" i="19"/>
  <c r="T42" i="19"/>
  <c r="U42" i="19"/>
  <c r="T43" i="19"/>
  <c r="U43" i="19" s="1"/>
  <c r="N44" i="19"/>
  <c r="O44" i="19"/>
  <c r="P44" i="19"/>
  <c r="Q44" i="19"/>
  <c r="R44" i="19"/>
  <c r="T44" i="19"/>
  <c r="U44" i="19"/>
  <c r="T45" i="19"/>
  <c r="U45" i="19"/>
  <c r="T46" i="19"/>
  <c r="U46" i="19"/>
  <c r="T47" i="19"/>
  <c r="U47" i="19"/>
  <c r="T48" i="19"/>
  <c r="U48" i="19"/>
  <c r="N49" i="19"/>
  <c r="O49" i="19"/>
  <c r="P49" i="19"/>
  <c r="Q49" i="19"/>
  <c r="R49" i="19"/>
  <c r="T49" i="19"/>
  <c r="U49" i="19"/>
  <c r="T50" i="19"/>
  <c r="U50" i="19"/>
  <c r="T51" i="19"/>
  <c r="U51" i="19"/>
  <c r="T52" i="19"/>
  <c r="U52" i="19"/>
  <c r="T53" i="19"/>
  <c r="U53" i="19"/>
  <c r="N54" i="19"/>
  <c r="N63" i="19" s="1"/>
  <c r="O54" i="19"/>
  <c r="P54" i="19"/>
  <c r="Q54" i="19"/>
  <c r="R54" i="19"/>
  <c r="T54" i="19"/>
  <c r="U54" i="19"/>
  <c r="T55" i="19"/>
  <c r="U55" i="19"/>
  <c r="T56" i="19"/>
  <c r="U56" i="19"/>
  <c r="T57" i="19"/>
  <c r="U57" i="19"/>
  <c r="T58" i="19"/>
  <c r="U58" i="19"/>
  <c r="N59" i="19"/>
  <c r="O59" i="19"/>
  <c r="O64" i="19" s="1"/>
  <c r="P59" i="19"/>
  <c r="P64" i="19" s="1"/>
  <c r="Q59" i="19"/>
  <c r="Q64" i="19" s="1"/>
  <c r="R59" i="19"/>
  <c r="R64" i="19" s="1"/>
  <c r="T59" i="19"/>
  <c r="U59" i="19"/>
  <c r="O63" i="19"/>
  <c r="P63" i="19"/>
  <c r="Q63" i="19"/>
  <c r="R63" i="19"/>
  <c r="N64" i="19"/>
  <c r="E65" i="19"/>
  <c r="F65" i="19"/>
  <c r="G65" i="19"/>
  <c r="H65" i="19"/>
  <c r="I65" i="19"/>
  <c r="J65" i="19"/>
  <c r="R68" i="19" l="1"/>
  <c r="R62" i="19"/>
  <c r="Q62" i="19"/>
  <c r="P62" i="19"/>
  <c r="O62" i="19"/>
  <c r="K21" i="18" l="1"/>
  <c r="I21" i="18"/>
  <c r="G21" i="18"/>
  <c r="G19" i="18"/>
  <c r="H19" i="18"/>
  <c r="I19" i="18"/>
  <c r="J19" i="18"/>
  <c r="K19" i="18"/>
  <c r="F19" i="18"/>
  <c r="B19" i="17" l="1"/>
  <c r="C19" i="17"/>
  <c r="D19" i="17"/>
  <c r="E19" i="17"/>
  <c r="F19" i="17"/>
  <c r="G19" i="17"/>
  <c r="H19" i="17"/>
  <c r="I19" i="17"/>
  <c r="J19" i="17"/>
  <c r="J23" i="17"/>
  <c r="J8" i="15" l="1"/>
  <c r="K8" i="15"/>
  <c r="O8" i="15"/>
  <c r="J12" i="15"/>
  <c r="K12" i="15"/>
  <c r="J16" i="15"/>
  <c r="K16" i="15"/>
  <c r="J20" i="15"/>
  <c r="K20" i="15"/>
  <c r="J24" i="15"/>
  <c r="K24" i="15"/>
  <c r="J28" i="15"/>
  <c r="K28" i="15"/>
  <c r="J32" i="15"/>
  <c r="K32" i="15"/>
  <c r="J36" i="15"/>
  <c r="K36" i="15"/>
  <c r="J40" i="15"/>
  <c r="K40" i="15"/>
  <c r="J44" i="15"/>
  <c r="K44" i="15"/>
  <c r="K48" i="15"/>
  <c r="L48" i="15"/>
  <c r="G11" i="9" l="1"/>
  <c r="G12" i="9"/>
  <c r="G13" i="9"/>
  <c r="G14" i="9"/>
  <c r="G15" i="9"/>
  <c r="G16" i="9"/>
  <c r="G17" i="9"/>
  <c r="G18" i="9"/>
  <c r="G19" i="9"/>
  <c r="G20" i="9"/>
  <c r="G21" i="9"/>
  <c r="G22" i="9"/>
  <c r="G23" i="9"/>
  <c r="G24" i="9"/>
  <c r="G25" i="9"/>
  <c r="G26" i="9"/>
  <c r="G27" i="9"/>
  <c r="G28" i="9"/>
  <c r="G29" i="9"/>
  <c r="G30" i="9"/>
  <c r="G31" i="9"/>
  <c r="G32" i="9"/>
  <c r="G33" i="9"/>
  <c r="G34" i="9"/>
  <c r="G35" i="9"/>
  <c r="G36" i="9"/>
  <c r="G37" i="9"/>
  <c r="G38" i="9"/>
  <c r="G39" i="9"/>
  <c r="G40" i="9"/>
  <c r="G41" i="9"/>
  <c r="G42" i="9"/>
  <c r="G43" i="9"/>
  <c r="G44" i="9"/>
  <c r="G45" i="9"/>
  <c r="G46" i="9"/>
  <c r="G47" i="9"/>
  <c r="G48" i="9"/>
  <c r="G49" i="9"/>
  <c r="G50" i="9"/>
  <c r="G51" i="9"/>
  <c r="G52" i="9"/>
  <c r="G53" i="9"/>
  <c r="G54" i="9"/>
  <c r="G55" i="9"/>
  <c r="G56" i="9"/>
  <c r="G57" i="9"/>
  <c r="G58" i="9"/>
  <c r="G59" i="9"/>
  <c r="G10" i="9"/>
  <c r="S62" i="8"/>
  <c r="S61" i="8"/>
  <c r="G61" i="8"/>
  <c r="H61" i="8"/>
  <c r="I61" i="8"/>
  <c r="J61" i="8"/>
  <c r="K61" i="8"/>
  <c r="L61" i="8"/>
  <c r="M61" i="8"/>
  <c r="N61" i="8"/>
  <c r="O61" i="8"/>
  <c r="P61" i="8"/>
  <c r="Q61" i="8"/>
  <c r="R61" i="8"/>
  <c r="G62" i="8"/>
  <c r="H62" i="8"/>
  <c r="I62" i="8"/>
  <c r="J62" i="8"/>
  <c r="K62" i="8"/>
  <c r="L62" i="8"/>
  <c r="M62" i="8"/>
  <c r="N62" i="8"/>
  <c r="O62" i="8"/>
  <c r="P62" i="8"/>
  <c r="Q62" i="8"/>
  <c r="R62" i="8"/>
  <c r="G63" i="8"/>
  <c r="H63" i="8"/>
  <c r="I63" i="8"/>
  <c r="J63" i="8"/>
  <c r="K63" i="8"/>
  <c r="L63" i="8"/>
  <c r="M63" i="8"/>
  <c r="N63" i="8"/>
  <c r="O63" i="8"/>
  <c r="P63" i="8"/>
  <c r="Q63" i="8"/>
  <c r="R63" i="8"/>
  <c r="S63" i="8"/>
  <c r="T63" i="8"/>
  <c r="E63" i="8"/>
  <c r="E62" i="8"/>
  <c r="E61" i="8"/>
  <c r="F61" i="6"/>
  <c r="G61" i="6"/>
  <c r="H61" i="6"/>
  <c r="I61" i="6"/>
  <c r="J61" i="6"/>
  <c r="K61" i="6"/>
  <c r="L61" i="6"/>
  <c r="F62" i="6"/>
  <c r="G62" i="6"/>
  <c r="H62" i="6"/>
  <c r="I62" i="6"/>
  <c r="J62" i="6"/>
  <c r="K62" i="6"/>
  <c r="L62" i="6"/>
  <c r="F63" i="6"/>
  <c r="G63" i="6"/>
  <c r="H63" i="6"/>
  <c r="I63" i="6"/>
  <c r="J63" i="6"/>
  <c r="K63" i="6"/>
  <c r="L63" i="6"/>
  <c r="E63" i="6"/>
  <c r="E62" i="6"/>
  <c r="E61" i="6"/>
  <c r="T59" i="7" l="1"/>
  <c r="T58" i="7"/>
  <c r="T57" i="7"/>
  <c r="T56" i="7"/>
  <c r="T55" i="7"/>
  <c r="T54" i="7"/>
  <c r="T53" i="7"/>
  <c r="T52" i="7"/>
  <c r="T51" i="7"/>
  <c r="T50" i="7"/>
  <c r="T49" i="7"/>
  <c r="T48" i="7"/>
  <c r="T47" i="7"/>
  <c r="T46" i="7"/>
  <c r="T45" i="7"/>
  <c r="T44" i="7"/>
  <c r="T43" i="7"/>
  <c r="T42" i="7"/>
  <c r="T41" i="7"/>
  <c r="T40" i="7"/>
  <c r="T39" i="7"/>
  <c r="T38" i="7"/>
  <c r="T37" i="7"/>
  <c r="T36" i="7"/>
  <c r="T35" i="7"/>
  <c r="T34" i="7"/>
  <c r="T33" i="7"/>
  <c r="T32" i="7"/>
  <c r="T31" i="7"/>
  <c r="T30" i="7"/>
  <c r="T29" i="7"/>
  <c r="T28" i="7"/>
  <c r="T27" i="7"/>
  <c r="T26" i="7"/>
  <c r="T25" i="7"/>
  <c r="T24" i="7"/>
  <c r="T23" i="7"/>
  <c r="T22" i="7"/>
  <c r="T21" i="7"/>
  <c r="T20" i="7"/>
  <c r="T19" i="7"/>
  <c r="T18" i="7"/>
  <c r="T17" i="7"/>
  <c r="T16" i="7"/>
  <c r="T15" i="7"/>
  <c r="T14" i="7"/>
  <c r="T13" i="7"/>
  <c r="T12" i="7"/>
  <c r="T11" i="7"/>
  <c r="T10" i="7"/>
  <c r="R10" i="7"/>
  <c r="C4" i="10" l="1"/>
  <c r="I13" i="10" l="1"/>
  <c r="H13" i="10"/>
  <c r="G13" i="10"/>
  <c r="F13" i="10"/>
  <c r="E13" i="10"/>
  <c r="D13" i="10"/>
  <c r="I12" i="10"/>
  <c r="H12" i="10"/>
  <c r="G12" i="10"/>
  <c r="F12" i="10"/>
  <c r="E12" i="10"/>
  <c r="D12" i="10"/>
  <c r="I11" i="10"/>
  <c r="H11" i="10"/>
  <c r="G11" i="10"/>
  <c r="F11" i="10"/>
  <c r="E11" i="10"/>
  <c r="D11" i="10"/>
  <c r="I10" i="10"/>
  <c r="H10" i="10"/>
  <c r="G10" i="10"/>
  <c r="F10" i="10"/>
  <c r="E10" i="10"/>
  <c r="D10" i="10"/>
  <c r="I9" i="10"/>
  <c r="H9" i="10"/>
  <c r="G9" i="10"/>
  <c r="F9" i="10"/>
  <c r="E9" i="10"/>
  <c r="D9" i="10"/>
  <c r="I8" i="10"/>
  <c r="H8" i="10"/>
  <c r="G8" i="10"/>
  <c r="F8" i="10"/>
  <c r="E8" i="10"/>
  <c r="D8" i="10"/>
  <c r="I7" i="10"/>
  <c r="H7" i="10"/>
  <c r="G7" i="10"/>
  <c r="F7" i="10"/>
  <c r="E7" i="10"/>
  <c r="D7" i="10"/>
  <c r="I6" i="10"/>
  <c r="H6" i="10"/>
  <c r="G6" i="10"/>
  <c r="F6" i="10"/>
  <c r="E6" i="10"/>
  <c r="D6" i="10"/>
  <c r="I5" i="10"/>
  <c r="H5" i="10"/>
  <c r="G5" i="10"/>
  <c r="F5" i="10"/>
  <c r="E5" i="10"/>
  <c r="D5" i="10"/>
  <c r="I4" i="10"/>
  <c r="H4" i="10"/>
  <c r="G4" i="10"/>
  <c r="F4" i="10"/>
  <c r="E4" i="10"/>
  <c r="D4" i="10"/>
  <c r="C13" i="10"/>
  <c r="C11" i="10"/>
  <c r="C12" i="10"/>
  <c r="C10" i="10"/>
  <c r="C9" i="10"/>
  <c r="C8" i="10"/>
  <c r="C7" i="10"/>
  <c r="C6" i="10"/>
  <c r="C5" i="10"/>
  <c r="R59" i="7"/>
  <c r="R58" i="7"/>
  <c r="R57" i="7"/>
  <c r="R56" i="7"/>
  <c r="R55" i="7"/>
  <c r="R54" i="7"/>
  <c r="R53" i="7"/>
  <c r="R52" i="7"/>
  <c r="R51" i="7"/>
  <c r="R50" i="7"/>
  <c r="R49" i="7"/>
  <c r="R48" i="7"/>
  <c r="R47" i="7"/>
  <c r="R46" i="7"/>
  <c r="R45" i="7"/>
  <c r="R44" i="7"/>
  <c r="R43" i="7"/>
  <c r="R42" i="7"/>
  <c r="R41" i="7"/>
  <c r="R40" i="7"/>
  <c r="R39" i="7"/>
  <c r="R38" i="7"/>
  <c r="R37" i="7"/>
  <c r="R36" i="7"/>
  <c r="R35" i="7"/>
  <c r="R34" i="7"/>
  <c r="R33" i="7"/>
  <c r="R32" i="7"/>
  <c r="R31" i="7"/>
  <c r="R30" i="7"/>
  <c r="R29" i="7"/>
  <c r="R28" i="7"/>
  <c r="R27" i="7"/>
  <c r="R26" i="7"/>
  <c r="R25" i="7"/>
  <c r="R24" i="7"/>
  <c r="R23" i="7"/>
  <c r="R22" i="7"/>
  <c r="R21" i="7"/>
  <c r="R20" i="7"/>
  <c r="R19" i="7"/>
  <c r="R18" i="7"/>
  <c r="R17" i="7"/>
  <c r="R16" i="7"/>
  <c r="R15" i="7"/>
  <c r="R14" i="7"/>
  <c r="R13" i="7"/>
  <c r="R12" i="7"/>
  <c r="R11" i="7"/>
  <c r="P59" i="7" l="1"/>
  <c r="P58" i="7"/>
  <c r="P57" i="7"/>
  <c r="P56" i="7"/>
  <c r="P55" i="7"/>
  <c r="P54" i="7"/>
  <c r="P53" i="7"/>
  <c r="P52" i="7"/>
  <c r="P51" i="7"/>
  <c r="P50" i="7"/>
  <c r="P49" i="7"/>
  <c r="P48" i="7"/>
  <c r="P47" i="7"/>
  <c r="P46" i="7"/>
  <c r="P45" i="7"/>
  <c r="P44" i="7"/>
  <c r="P43" i="7"/>
  <c r="P42" i="7"/>
  <c r="P41" i="7"/>
  <c r="P40" i="7"/>
  <c r="P39" i="7"/>
  <c r="P38" i="7"/>
  <c r="P37" i="7"/>
  <c r="P36" i="7"/>
  <c r="P35" i="7"/>
  <c r="P34" i="7"/>
  <c r="P33" i="7"/>
  <c r="P32" i="7"/>
  <c r="P31" i="7"/>
  <c r="P30" i="7"/>
  <c r="P29" i="7"/>
  <c r="P28" i="7"/>
  <c r="P27" i="7"/>
  <c r="P26" i="7"/>
  <c r="P25" i="7"/>
  <c r="P24" i="7"/>
  <c r="P23" i="7"/>
  <c r="P22" i="7"/>
  <c r="P21" i="7"/>
  <c r="P20" i="7"/>
  <c r="P19" i="7"/>
  <c r="P18" i="7"/>
  <c r="P17" i="7"/>
  <c r="P16" i="7"/>
  <c r="P15" i="7"/>
  <c r="P14" i="7"/>
  <c r="P13" i="7"/>
  <c r="P12" i="7"/>
  <c r="P11" i="7"/>
  <c r="P10" i="7"/>
  <c r="N59" i="7" l="1"/>
  <c r="N58" i="7"/>
  <c r="N57" i="7"/>
  <c r="N56" i="7"/>
  <c r="N55" i="7"/>
  <c r="N54" i="7"/>
  <c r="N53" i="7"/>
  <c r="N52" i="7"/>
  <c r="N51" i="7"/>
  <c r="N50" i="7"/>
  <c r="N49" i="7"/>
  <c r="N48" i="7"/>
  <c r="N47" i="7"/>
  <c r="N46" i="7"/>
  <c r="N45" i="7"/>
  <c r="N44" i="7"/>
  <c r="N43" i="7"/>
  <c r="N42" i="7"/>
  <c r="N41" i="7"/>
  <c r="N40" i="7"/>
  <c r="N39" i="7"/>
  <c r="N38" i="7"/>
  <c r="N37" i="7"/>
  <c r="N36" i="7"/>
  <c r="N35" i="7"/>
  <c r="N34" i="7"/>
  <c r="N33" i="7"/>
  <c r="N32" i="7"/>
  <c r="N31" i="7"/>
  <c r="N30" i="7"/>
  <c r="N29" i="7"/>
  <c r="N28" i="7"/>
  <c r="N27" i="7"/>
  <c r="N26" i="7"/>
  <c r="N25" i="7"/>
  <c r="N24" i="7"/>
  <c r="N23" i="7"/>
  <c r="N22" i="7"/>
  <c r="N21" i="7"/>
  <c r="N20" i="7"/>
  <c r="N19" i="7"/>
  <c r="N18" i="7"/>
  <c r="N17" i="7"/>
  <c r="N16" i="7"/>
  <c r="N15" i="7"/>
  <c r="N14" i="7"/>
  <c r="N13" i="7"/>
  <c r="N12" i="7"/>
  <c r="N11" i="7"/>
  <c r="N10" i="7"/>
  <c r="J59" i="7" l="1"/>
  <c r="J58" i="7"/>
  <c r="J57" i="7"/>
  <c r="J56" i="7"/>
  <c r="J55" i="7"/>
  <c r="J54" i="7"/>
  <c r="J53" i="7"/>
  <c r="J52" i="7"/>
  <c r="J51" i="7"/>
  <c r="J50" i="7"/>
  <c r="J49" i="7"/>
  <c r="J48" i="7"/>
  <c r="J47" i="7"/>
  <c r="J46" i="7"/>
  <c r="J45" i="7"/>
  <c r="J44" i="7"/>
  <c r="J43" i="7"/>
  <c r="J42" i="7"/>
  <c r="J41" i="7"/>
  <c r="J40" i="7"/>
  <c r="J39" i="7"/>
  <c r="J38" i="7"/>
  <c r="J37" i="7"/>
  <c r="J36" i="7"/>
  <c r="J35" i="7"/>
  <c r="J34" i="7"/>
  <c r="J33" i="7"/>
  <c r="J32" i="7"/>
  <c r="J31" i="7"/>
  <c r="J30" i="7"/>
  <c r="J29" i="7"/>
  <c r="J28" i="7"/>
  <c r="J27" i="7"/>
  <c r="J26" i="7"/>
  <c r="J25" i="7"/>
  <c r="J24" i="7"/>
  <c r="J23" i="7"/>
  <c r="J22" i="7"/>
  <c r="J21" i="7"/>
  <c r="J20" i="7"/>
  <c r="J19" i="7"/>
  <c r="J18" i="7"/>
  <c r="J17" i="7"/>
  <c r="J16" i="7"/>
  <c r="J15" i="7"/>
  <c r="J14" i="7"/>
  <c r="J13" i="7"/>
  <c r="J12" i="7"/>
  <c r="J11" i="7"/>
  <c r="J10" i="7"/>
  <c r="L59" i="7"/>
  <c r="L58" i="7"/>
  <c r="L57" i="7"/>
  <c r="L56" i="7"/>
  <c r="L55" i="7"/>
  <c r="L54" i="7"/>
  <c r="L53" i="7"/>
  <c r="L52" i="7"/>
  <c r="L51" i="7"/>
  <c r="L50" i="7"/>
  <c r="L49" i="7"/>
  <c r="L48" i="7"/>
  <c r="L47" i="7"/>
  <c r="L46" i="7"/>
  <c r="L45" i="7"/>
  <c r="L44" i="7"/>
  <c r="L43" i="7"/>
  <c r="L42" i="7"/>
  <c r="L41" i="7"/>
  <c r="L40" i="7"/>
  <c r="L39" i="7"/>
  <c r="L38" i="7"/>
  <c r="L37" i="7"/>
  <c r="L36" i="7"/>
  <c r="L35" i="7"/>
  <c r="L34" i="7"/>
  <c r="L33" i="7"/>
  <c r="L32" i="7"/>
  <c r="L31" i="7"/>
  <c r="L30" i="7"/>
  <c r="L29" i="7"/>
  <c r="L28" i="7"/>
  <c r="L27" i="7"/>
  <c r="L26" i="7"/>
  <c r="L25" i="7"/>
  <c r="L24" i="7"/>
  <c r="L23" i="7"/>
  <c r="L22" i="7"/>
  <c r="L21" i="7"/>
  <c r="L20" i="7"/>
  <c r="L19" i="7"/>
  <c r="L18" i="7"/>
  <c r="L17" i="7"/>
  <c r="L16" i="7"/>
  <c r="L15" i="7"/>
  <c r="L14" i="7"/>
  <c r="L13" i="7"/>
  <c r="L12" i="7"/>
  <c r="L11" i="7"/>
  <c r="L10" i="7"/>
  <c r="H10" i="7" l="1"/>
  <c r="H11" i="7"/>
  <c r="H12" i="7"/>
  <c r="H13" i="7"/>
  <c r="H14" i="7"/>
  <c r="H59" i="7"/>
  <c r="H58" i="7"/>
  <c r="H57" i="7"/>
  <c r="H56" i="7"/>
  <c r="H55" i="7"/>
  <c r="H54" i="7"/>
  <c r="H53" i="7"/>
  <c r="H52" i="7"/>
  <c r="H51" i="7"/>
  <c r="H50" i="7"/>
  <c r="H49" i="7"/>
  <c r="H48" i="7"/>
  <c r="H47" i="7"/>
  <c r="H46" i="7"/>
  <c r="H45" i="7"/>
  <c r="H44" i="7"/>
  <c r="H43" i="7"/>
  <c r="H42" i="7"/>
  <c r="H41" i="7"/>
  <c r="H40" i="7"/>
  <c r="H39" i="7"/>
  <c r="H38" i="7"/>
  <c r="H37" i="7"/>
  <c r="H36" i="7"/>
  <c r="H35" i="7"/>
  <c r="H34" i="7"/>
  <c r="H33" i="7"/>
  <c r="H32" i="7"/>
  <c r="H31" i="7"/>
  <c r="H30" i="7"/>
  <c r="H29" i="7"/>
  <c r="H28" i="7"/>
  <c r="H27" i="7"/>
  <c r="H26" i="7"/>
  <c r="H25" i="7"/>
  <c r="H24" i="7"/>
  <c r="H23" i="7"/>
  <c r="H22" i="7"/>
  <c r="H21" i="7"/>
  <c r="H20" i="7"/>
  <c r="H19" i="7"/>
  <c r="H18" i="7"/>
  <c r="H17" i="7"/>
  <c r="H16" i="7"/>
  <c r="H15" i="7"/>
  <c r="F10" i="7"/>
  <c r="F39" i="7" l="1"/>
  <c r="F38" i="7"/>
  <c r="F37" i="7"/>
  <c r="F36" i="7"/>
  <c r="F35" i="7"/>
  <c r="F34" i="7"/>
  <c r="F33" i="7"/>
  <c r="F32" i="7"/>
  <c r="F31" i="7"/>
  <c r="F30" i="7"/>
  <c r="F29" i="7"/>
  <c r="F28" i="7"/>
  <c r="F27" i="7"/>
  <c r="F26" i="7"/>
  <c r="F25" i="7"/>
  <c r="F24" i="7"/>
  <c r="F23" i="7"/>
  <c r="F22" i="7"/>
  <c r="F21" i="7"/>
  <c r="F20" i="7"/>
  <c r="F19" i="7"/>
  <c r="F18" i="7"/>
  <c r="F17" i="7"/>
  <c r="F16" i="7"/>
  <c r="F15" i="7"/>
  <c r="F14" i="7"/>
  <c r="F13" i="7"/>
  <c r="F12" i="7"/>
  <c r="F11" i="7"/>
</calcChain>
</file>

<file path=xl/sharedStrings.xml><?xml version="1.0" encoding="utf-8"?>
<sst xmlns="http://schemas.openxmlformats.org/spreadsheetml/2006/main" count="1128" uniqueCount="225">
  <si>
    <t>Span 1</t>
  </si>
  <si>
    <t>Span 2</t>
  </si>
  <si>
    <t>Span 3</t>
  </si>
  <si>
    <t>Span 4</t>
  </si>
  <si>
    <t>Span 5</t>
  </si>
  <si>
    <t>Stress</t>
  </si>
  <si>
    <t>FAO</t>
  </si>
  <si>
    <t>CropMod</t>
  </si>
  <si>
    <t>SEB</t>
  </si>
  <si>
    <t>NDVI</t>
  </si>
  <si>
    <t xml:space="preserve">Cotton </t>
  </si>
  <si>
    <t>Irrigation Scheduling experiment</t>
  </si>
  <si>
    <t>Span 7</t>
  </si>
  <si>
    <t>NT 1</t>
  </si>
  <si>
    <t>NT 3</t>
  </si>
  <si>
    <t>NT 4</t>
  </si>
  <si>
    <t>NT 5</t>
  </si>
  <si>
    <t>F013 - lateral move irrigation</t>
  </si>
  <si>
    <t>← N</t>
  </si>
  <si>
    <t>Heights in cm</t>
  </si>
  <si>
    <t>Date:</t>
  </si>
  <si>
    <t>time:</t>
  </si>
  <si>
    <t>initials:</t>
  </si>
  <si>
    <r>
      <t xml:space="preserve">from top of </t>
    </r>
    <r>
      <rPr>
        <b/>
        <sz val="10"/>
        <color theme="1"/>
        <rFont val="Arial"/>
        <family val="2"/>
      </rPr>
      <t>bed</t>
    </r>
  </si>
  <si>
    <r>
      <t xml:space="preserve">from bottom of </t>
    </r>
    <r>
      <rPr>
        <b/>
        <sz val="10"/>
        <color theme="1"/>
        <rFont val="Arial"/>
        <family val="2"/>
      </rPr>
      <t>furrow</t>
    </r>
  </si>
  <si>
    <r>
      <rPr>
        <b/>
        <sz val="14"/>
        <color theme="1"/>
        <rFont val="Arial Rounded MT Bold"/>
        <family val="2"/>
      </rPr>
      <t>Canopy Heights</t>
    </r>
    <r>
      <rPr>
        <b/>
        <sz val="14"/>
        <color theme="1"/>
        <rFont val="Arial"/>
        <family val="2"/>
      </rPr>
      <t xml:space="preserve"> - all treatments</t>
    </r>
  </si>
  <si>
    <t>NT 2</t>
  </si>
  <si>
    <t>doy:</t>
  </si>
  <si>
    <r>
      <t xml:space="preserve">Summary of </t>
    </r>
    <r>
      <rPr>
        <b/>
        <sz val="12"/>
        <color theme="1"/>
        <rFont val="Arial Rounded MT Bold"/>
        <family val="2"/>
      </rPr>
      <t>Canopy Heights</t>
    </r>
    <r>
      <rPr>
        <b/>
        <sz val="12"/>
        <color theme="1"/>
        <rFont val="Arial"/>
        <family val="2"/>
      </rPr>
      <t xml:space="preserve"> - all treatments</t>
    </r>
  </si>
  <si>
    <t>from bottom of furrow</t>
  </si>
  <si>
    <r>
      <t xml:space="preserve">from top of </t>
    </r>
    <r>
      <rPr>
        <b/>
        <sz val="8"/>
        <color theme="1"/>
        <rFont val="Arial"/>
        <family val="2"/>
      </rPr>
      <t>bed</t>
    </r>
  </si>
  <si>
    <r>
      <t xml:space="preserve">from bottom of </t>
    </r>
    <r>
      <rPr>
        <b/>
        <sz val="8"/>
        <color theme="1"/>
        <rFont val="Arial"/>
        <family val="2"/>
      </rPr>
      <t>furrow</t>
    </r>
  </si>
  <si>
    <r>
      <t xml:space="preserve">Summary of </t>
    </r>
    <r>
      <rPr>
        <b/>
        <sz val="12"/>
        <color theme="1"/>
        <rFont val="Arial Rounded MT Bold"/>
        <family val="2"/>
      </rPr>
      <t>Canopy Heights</t>
    </r>
    <r>
      <rPr>
        <b/>
        <sz val="12"/>
        <color theme="1"/>
        <rFont val="Arial"/>
        <family val="2"/>
      </rPr>
      <t xml:space="preserve"> </t>
    </r>
    <r>
      <rPr>
        <b/>
        <i/>
        <sz val="12"/>
        <color theme="1"/>
        <rFont val="Arial"/>
        <family val="2"/>
      </rPr>
      <t xml:space="preserve">from bottom of furrow </t>
    </r>
    <r>
      <rPr>
        <b/>
        <sz val="12"/>
        <color theme="1"/>
        <rFont val="Arial"/>
        <family val="2"/>
      </rPr>
      <t>- all treatments</t>
    </r>
  </si>
  <si>
    <t>Bed elevation</t>
  </si>
  <si>
    <t>Width of canopy</t>
  </si>
  <si>
    <t>Between rows</t>
  </si>
  <si>
    <t>NT position 1</t>
  </si>
  <si>
    <t>NT position 5</t>
  </si>
  <si>
    <t>NT position 4</t>
  </si>
  <si>
    <t>NT position 3</t>
  </si>
  <si>
    <t>NT position 2</t>
  </si>
  <si>
    <t>Canopy Cover</t>
  </si>
  <si>
    <t>Width between rows</t>
  </si>
  <si>
    <r>
      <t xml:space="preserve">Summary of </t>
    </r>
    <r>
      <rPr>
        <b/>
        <sz val="12"/>
        <color theme="1"/>
        <rFont val="Arial Rounded MT Bold"/>
        <family val="2"/>
      </rPr>
      <t>Canopy Cover</t>
    </r>
    <r>
      <rPr>
        <b/>
        <i/>
        <sz val="12"/>
        <color theme="1"/>
        <rFont val="Arial"/>
        <family val="2"/>
      </rPr>
      <t xml:space="preserve"> </t>
    </r>
    <r>
      <rPr>
        <b/>
        <sz val="12"/>
        <color theme="1"/>
        <rFont val="Arial"/>
        <family val="2"/>
      </rPr>
      <t>- all treatments</t>
    </r>
  </si>
  <si>
    <t>Widths in cm</t>
  </si>
  <si>
    <t>Blank = closed canopy</t>
  </si>
  <si>
    <t>Measurements in cm</t>
  </si>
  <si>
    <t>Taken to the North of the flags</t>
  </si>
  <si>
    <t>Plot 2</t>
  </si>
  <si>
    <t>Plot 3</t>
  </si>
  <si>
    <t>Plot 4</t>
  </si>
  <si>
    <t>Plot 5</t>
  </si>
  <si>
    <t>Plot 6</t>
  </si>
  <si>
    <t>Plot 7</t>
  </si>
  <si>
    <t>Plot 8</t>
  </si>
  <si>
    <t>Plot 9</t>
  </si>
  <si>
    <t>Plot 10</t>
  </si>
  <si>
    <t>Plot 11</t>
  </si>
  <si>
    <t>cultivation happening - only took furrow measurments plots 2-7 (where cultivated)</t>
  </si>
  <si>
    <t>did not take this date</t>
  </si>
  <si>
    <t>Density of cotton plants at the marked locations</t>
  </si>
  <si>
    <r>
      <t>plants per meter</t>
    </r>
    <r>
      <rPr>
        <sz val="6"/>
        <color theme="1"/>
        <rFont val="Arial"/>
        <family val="2"/>
      </rPr>
      <t xml:space="preserve"> (from flag to the North)</t>
    </r>
  </si>
  <si>
    <t>bolls heavy + winds-branches starting to hang low</t>
  </si>
  <si>
    <t>plot 01</t>
  </si>
  <si>
    <t>plot 02</t>
  </si>
  <si>
    <t>plot 03</t>
  </si>
  <si>
    <t>plot 04</t>
  </si>
  <si>
    <t>plot 05</t>
  </si>
  <si>
    <t>plot 06</t>
  </si>
  <si>
    <t>plot 07</t>
  </si>
  <si>
    <t>plot 08</t>
  </si>
  <si>
    <t>plot 09</t>
  </si>
  <si>
    <t>plot 10</t>
  </si>
  <si>
    <t>plot 11</t>
  </si>
  <si>
    <t>3 &amp; 4 June</t>
  </si>
  <si>
    <t>CroMod</t>
  </si>
  <si>
    <t>CROPMOD</t>
  </si>
  <si>
    <t>STRESS</t>
  </si>
  <si>
    <t>p11-5</t>
  </si>
  <si>
    <t>p11-4</t>
  </si>
  <si>
    <t>p11-3</t>
  </si>
  <si>
    <t>p11-2</t>
  </si>
  <si>
    <t>p11-1</t>
  </si>
  <si>
    <t>p10-5</t>
  </si>
  <si>
    <t>p10-4</t>
  </si>
  <si>
    <t>p10-3</t>
  </si>
  <si>
    <t>p10-2</t>
  </si>
  <si>
    <t>p10-1</t>
  </si>
  <si>
    <t>p09-5</t>
  </si>
  <si>
    <t>p09-4</t>
  </si>
  <si>
    <t>p09-3</t>
  </si>
  <si>
    <t>p09-2</t>
  </si>
  <si>
    <t>p09-1</t>
  </si>
  <si>
    <t>p08-5</t>
  </si>
  <si>
    <t>p08-4</t>
  </si>
  <si>
    <t>p08-3</t>
  </si>
  <si>
    <t>p08-2</t>
  </si>
  <si>
    <t>p08-1</t>
  </si>
  <si>
    <t>p07-5</t>
  </si>
  <si>
    <t>p07-4</t>
  </si>
  <si>
    <t>p07-3</t>
  </si>
  <si>
    <t>p07-2</t>
  </si>
  <si>
    <t>p07-1</t>
  </si>
  <si>
    <t>p06-5</t>
  </si>
  <si>
    <t>p06-4</t>
  </si>
  <si>
    <t>p06-3</t>
  </si>
  <si>
    <t>p06-2</t>
  </si>
  <si>
    <t>p06-1</t>
  </si>
  <si>
    <t>p05-5</t>
  </si>
  <si>
    <t>p05-4</t>
  </si>
  <si>
    <t>p05-3</t>
  </si>
  <si>
    <t>p05-2</t>
  </si>
  <si>
    <t>p05-1</t>
  </si>
  <si>
    <t>p04-5</t>
  </si>
  <si>
    <t>p04-4</t>
  </si>
  <si>
    <t>p04-3</t>
  </si>
  <si>
    <t>p04-2</t>
  </si>
  <si>
    <t>p04-1</t>
  </si>
  <si>
    <t>p03-5</t>
  </si>
  <si>
    <t>p03-4</t>
  </si>
  <si>
    <t>p03-3</t>
  </si>
  <si>
    <t>p03-2</t>
  </si>
  <si>
    <t>p03-1</t>
  </si>
  <si>
    <t>p02-5</t>
  </si>
  <si>
    <t>p02-4</t>
  </si>
  <si>
    <t>p02-3</t>
  </si>
  <si>
    <t>p02-2</t>
  </si>
  <si>
    <t>p02-1</t>
  </si>
  <si>
    <t>DOY251</t>
  </si>
  <si>
    <t>DOY236</t>
  </si>
  <si>
    <t>DOY223</t>
  </si>
  <si>
    <t>DOY208</t>
  </si>
  <si>
    <t>DOY194</t>
  </si>
  <si>
    <t>DOY180</t>
  </si>
  <si>
    <t>DOY166</t>
  </si>
  <si>
    <t>DOY153</t>
  </si>
  <si>
    <t>CCID</t>
  </si>
  <si>
    <t>DOY181</t>
  </si>
  <si>
    <t>DOY195</t>
  </si>
  <si>
    <t>DOY209</t>
  </si>
  <si>
    <t>DOY224</t>
  </si>
  <si>
    <t>DOY237</t>
  </si>
  <si>
    <t>DOY252</t>
  </si>
  <si>
    <t>Trt 11</t>
  </si>
  <si>
    <t>Trt 10</t>
  </si>
  <si>
    <t>Trt 9</t>
  </si>
  <si>
    <t>Trt 8</t>
  </si>
  <si>
    <t>Trt 7</t>
  </si>
  <si>
    <t>Trt 6</t>
  </si>
  <si>
    <t>Trt 5</t>
  </si>
  <si>
    <t>Trt 4</t>
  </si>
  <si>
    <t>Trt 3</t>
  </si>
  <si>
    <t>per 1 meter</t>
  </si>
  <si>
    <t>Averaage ALL=</t>
  </si>
  <si>
    <t>Trt 2</t>
  </si>
  <si>
    <r>
      <t xml:space="preserve">Average per </t>
    </r>
    <r>
      <rPr>
        <b/>
        <sz val="16"/>
        <color rgb="FFFF0000"/>
        <rFont val="Calibri"/>
        <family val="2"/>
        <scheme val="minor"/>
      </rPr>
      <t>1 meter</t>
    </r>
  </si>
  <si>
    <t>between     NTs 4-5</t>
  </si>
  <si>
    <t>between    NTs 1-2</t>
  </si>
  <si>
    <t>Bed</t>
  </si>
  <si>
    <r>
      <t>Plants per</t>
    </r>
    <r>
      <rPr>
        <b/>
        <sz val="14"/>
        <color rgb="FFFF0000"/>
        <rFont val="Calibri"/>
        <family val="2"/>
        <scheme val="minor"/>
      </rPr>
      <t xml:space="preserve"> 1.5 </t>
    </r>
    <r>
      <rPr>
        <b/>
        <sz val="14"/>
        <color theme="1"/>
        <rFont val="Calibri"/>
        <family val="2"/>
        <scheme val="minor"/>
      </rPr>
      <t>meters</t>
    </r>
  </si>
  <si>
    <t>Row 1 starts on the East side of each span, directly to the West side of the tire track. Row numbering contines through beds between the harvest and sampling halves of the treatment plots and through the buffer rows between the treatments.</t>
  </si>
  <si>
    <r>
      <t>Plant Density Counts</t>
    </r>
    <r>
      <rPr>
        <sz val="14"/>
        <color theme="1"/>
        <rFont val="Calibri"/>
        <family val="2"/>
        <scheme val="minor"/>
      </rPr>
      <t xml:space="preserve"> - 1.5 meter - in line with neutron tubes</t>
    </r>
  </si>
  <si>
    <t>PLPD</t>
  </si>
  <si>
    <t>0945-1000</t>
  </si>
  <si>
    <t>0-1015</t>
  </si>
  <si>
    <t>1000-1015</t>
  </si>
  <si>
    <t>1100-1115</t>
  </si>
  <si>
    <t>1500-1515</t>
  </si>
  <si>
    <t>1510-1525</t>
  </si>
  <si>
    <t>1400-1415</t>
  </si>
  <si>
    <t>1500-1610</t>
  </si>
  <si>
    <t>plot</t>
  </si>
  <si>
    <t>d133</t>
  </si>
  <si>
    <t>d131</t>
  </si>
  <si>
    <t>d128</t>
  </si>
  <si>
    <t>d127</t>
  </si>
  <si>
    <t>d126</t>
  </si>
  <si>
    <t>d125</t>
  </si>
  <si>
    <t>Emergence</t>
  </si>
  <si>
    <t>Cotton</t>
  </si>
  <si>
    <t>F13</t>
  </si>
  <si>
    <t>7/9</t>
  </si>
  <si>
    <t>5/9</t>
  </si>
  <si>
    <t>0/9</t>
  </si>
  <si>
    <t>5/8</t>
  </si>
  <si>
    <t>3/8</t>
  </si>
  <si>
    <t>0/8</t>
  </si>
  <si>
    <t>6/9</t>
  </si>
  <si>
    <t>2/9</t>
  </si>
  <si>
    <t>6/12</t>
  </si>
  <si>
    <t>4/12</t>
  </si>
  <si>
    <t>1/11</t>
  </si>
  <si>
    <t>2/10</t>
  </si>
  <si>
    <t>1/10</t>
  </si>
  <si>
    <t>1/9</t>
  </si>
  <si>
    <t>10/11</t>
  </si>
  <si>
    <t>8/11</t>
  </si>
  <si>
    <t>3/7</t>
  </si>
  <si>
    <t>0/7</t>
  </si>
  <si>
    <t>13/14</t>
  </si>
  <si>
    <t>11/14</t>
  </si>
  <si>
    <t>4/14</t>
  </si>
  <si>
    <t>(#/total plants)</t>
  </si>
  <si>
    <t>First true leaf unfolded</t>
  </si>
  <si>
    <t>Overall</t>
  </si>
  <si>
    <t>irrigation going-skipped some</t>
  </si>
  <si>
    <t>--</t>
  </si>
  <si>
    <t>50% DOY</t>
  </si>
  <si>
    <t># flowering plants (per 1 m)</t>
  </si>
  <si>
    <t>Flowering of cotton plants at the marked locations</t>
  </si>
  <si>
    <t>ADOY</t>
  </si>
  <si>
    <t>"--" = couldn't find a plant with a white flower in 1st position before the next flag.</t>
  </si>
  <si>
    <t>taken from plant sampling and mapping</t>
  </si>
  <si>
    <t>NAWF251</t>
  </si>
  <si>
    <t>NAWF236</t>
  </si>
  <si>
    <t>NAWF223</t>
  </si>
  <si>
    <t>NAWF215</t>
  </si>
  <si>
    <t>NAWF208</t>
  </si>
  <si>
    <t>NAWF203</t>
  </si>
  <si>
    <t>NAWF194</t>
  </si>
  <si>
    <t>NAWF188</t>
  </si>
  <si>
    <t>NAWF</t>
  </si>
  <si>
    <t>Counted the number on nodes above the highest white flower in the 1st position on 2 plants near each flag</t>
  </si>
  <si>
    <t>Nodes Above White Flower</t>
  </si>
  <si>
    <t>ADAT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</si>
</sst>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0.0"/>
    <numFmt numFmtId="165" formatCode="0.000"/>
    <numFmt numFmtId="166" formatCode="[$-409]d\-mmm\-yy;@"/>
    <numFmt numFmtId="167" formatCode="mm/dd/yyyy"/>
  </numFmts>
  <fonts count="47" x14ac:knownFonts="1">
    <font>
      <sz val="11"/>
      <color theme="1"/>
      <name val="Calibri"/>
      <family val="2"/>
      <scheme val="minor"/>
    </font>
    <font>
      <sz val="11"/>
      <color theme="1"/>
      <name val="Arial"/>
      <family val="2"/>
    </font>
    <font>
      <sz val="11"/>
      <color theme="1"/>
      <name val="Arial"/>
      <family val="2"/>
    </font>
    <font>
      <sz val="11"/>
      <color theme="1"/>
      <name val="Arial"/>
      <family val="2"/>
    </font>
    <font>
      <b/>
      <sz val="18"/>
      <color theme="1"/>
      <name val="Arial Black"/>
      <family val="2"/>
    </font>
    <font>
      <b/>
      <sz val="14"/>
      <color theme="1"/>
      <name val="Arial Rounded MT Bold"/>
      <family val="2"/>
    </font>
    <font>
      <b/>
      <sz val="14"/>
      <color theme="1"/>
      <name val="Arial"/>
      <family val="2"/>
    </font>
    <font>
      <b/>
      <sz val="12"/>
      <color theme="1"/>
      <name val="Arial"/>
      <family val="2"/>
    </font>
    <font>
      <sz val="11"/>
      <color theme="1"/>
      <name val="Arial"/>
      <family val="2"/>
    </font>
    <font>
      <b/>
      <sz val="11"/>
      <color theme="1"/>
      <name val="Arial"/>
      <family val="2"/>
    </font>
    <font>
      <sz val="10"/>
      <color theme="1"/>
      <name val="Arial"/>
      <family val="2"/>
    </font>
    <font>
      <b/>
      <sz val="18"/>
      <color theme="1"/>
      <name val="Arial"/>
      <family val="2"/>
    </font>
    <font>
      <b/>
      <sz val="16"/>
      <color theme="1"/>
      <name val="Arial"/>
      <family val="2"/>
    </font>
    <font>
      <b/>
      <sz val="10"/>
      <color theme="1"/>
      <name val="Arial"/>
      <family val="2"/>
    </font>
    <font>
      <sz val="12"/>
      <color theme="1"/>
      <name val="Arial"/>
      <family val="2"/>
    </font>
    <font>
      <b/>
      <sz val="12"/>
      <color theme="1"/>
      <name val="Arial Rounded MT Bold"/>
      <family val="2"/>
    </font>
    <font>
      <sz val="8"/>
      <color theme="1"/>
      <name val="Arial"/>
      <family val="2"/>
    </font>
    <font>
      <b/>
      <sz val="8"/>
      <color theme="1"/>
      <name val="Arial"/>
      <family val="2"/>
    </font>
    <font>
      <sz val="9.5"/>
      <color theme="1"/>
      <name val="Arial"/>
      <family val="2"/>
    </font>
    <font>
      <b/>
      <i/>
      <sz val="12"/>
      <color theme="1"/>
      <name val="Arial"/>
      <family val="2"/>
    </font>
    <font>
      <i/>
      <sz val="8"/>
      <color theme="1"/>
      <name val="Arial Rounded MT Bold"/>
      <family val="2"/>
    </font>
    <font>
      <b/>
      <i/>
      <sz val="8"/>
      <color theme="1"/>
      <name val="Arial Rounded MT Bold"/>
      <family val="2"/>
    </font>
    <font>
      <sz val="8"/>
      <color theme="1"/>
      <name val="Calibri"/>
      <family val="2"/>
      <scheme val="minor"/>
    </font>
    <font>
      <sz val="6"/>
      <color theme="1"/>
      <name val="Arial"/>
      <family val="2"/>
    </font>
    <font>
      <sz val="9"/>
      <color rgb="FFFF0000"/>
      <name val="Arial"/>
      <family val="2"/>
    </font>
    <font>
      <sz val="9"/>
      <color rgb="FFFF0000"/>
      <name val="Calibri"/>
      <family val="2"/>
      <scheme val="minor"/>
    </font>
    <font>
      <b/>
      <sz val="11"/>
      <color theme="1"/>
      <name val="Calibri"/>
      <family val="2"/>
      <scheme val="minor"/>
    </font>
    <font>
      <b/>
      <sz val="9"/>
      <color theme="1"/>
      <name val="Arial"/>
      <family val="2"/>
    </font>
    <font>
      <b/>
      <sz val="9"/>
      <color theme="1"/>
      <name val="Calibri"/>
      <family val="2"/>
      <scheme val="minor"/>
    </font>
    <font>
      <sz val="9"/>
      <color theme="1"/>
      <name val="Calibri"/>
      <family val="2"/>
      <scheme val="minor"/>
    </font>
    <font>
      <b/>
      <sz val="12"/>
      <color theme="1"/>
      <name val="Calibri"/>
      <family val="2"/>
      <scheme val="minor"/>
    </font>
    <font>
      <sz val="12"/>
      <color theme="1"/>
      <name val="Calibri"/>
      <family val="2"/>
      <scheme val="minor"/>
    </font>
    <font>
      <sz val="13"/>
      <color theme="1"/>
      <name val="Calibri"/>
      <family val="2"/>
      <scheme val="minor"/>
    </font>
    <font>
      <b/>
      <sz val="13"/>
      <color theme="1"/>
      <name val="Calibri"/>
      <family val="2"/>
      <scheme val="minor"/>
    </font>
    <font>
      <b/>
      <sz val="14"/>
      <color theme="1"/>
      <name val="Calibri"/>
      <family val="2"/>
      <scheme val="minor"/>
    </font>
    <font>
      <b/>
      <sz val="10"/>
      <color theme="1"/>
      <name val="Calibri"/>
      <family val="2"/>
      <scheme val="minor"/>
    </font>
    <font>
      <b/>
      <sz val="16"/>
      <color theme="1"/>
      <name val="Calibri"/>
      <family val="2"/>
      <scheme val="minor"/>
    </font>
    <font>
      <b/>
      <sz val="16"/>
      <color rgb="FFFF0000"/>
      <name val="Calibri"/>
      <family val="2"/>
      <scheme val="minor"/>
    </font>
    <font>
      <b/>
      <sz val="14"/>
      <color rgb="FFFF0000"/>
      <name val="Calibri"/>
      <family val="2"/>
      <scheme val="minor"/>
    </font>
    <font>
      <sz val="10"/>
      <color theme="1"/>
      <name val="Calibri"/>
      <family val="2"/>
      <scheme val="minor"/>
    </font>
    <font>
      <sz val="14"/>
      <color theme="1"/>
      <name val="Calibri"/>
      <family val="2"/>
      <scheme val="minor"/>
    </font>
    <font>
      <sz val="11"/>
      <color theme="1"/>
      <name val="Calibri"/>
      <family val="2"/>
      <scheme val="minor"/>
    </font>
    <font>
      <b/>
      <sz val="7"/>
      <color theme="1"/>
      <name val="Calibri"/>
      <family val="2"/>
      <scheme val="minor"/>
    </font>
    <font>
      <sz val="7"/>
      <color theme="1"/>
      <name val="Calibri"/>
      <family val="2"/>
      <scheme val="minor"/>
    </font>
    <font>
      <b/>
      <sz val="11"/>
      <color rgb="FF7030A0"/>
      <name val="Calibri"/>
      <family val="2"/>
      <scheme val="minor"/>
    </font>
    <font>
      <b/>
      <sz val="11"/>
      <color rgb="FF7030A0"/>
      <name val="Arial"/>
      <family val="2"/>
    </font>
    <font>
      <b/>
      <sz val="9.5"/>
      <color rgb="FF7030A0"/>
      <name val="Arial"/>
      <family val="2"/>
    </font>
  </fonts>
  <fills count="6">
    <fill>
      <patternFill patternType="none"/>
    </fill>
    <fill>
      <patternFill patternType="gray125"/>
    </fill>
    <fill>
      <patternFill patternType="solid">
        <fgColor theme="0" tint="-0.14993743705557422"/>
        <bgColor theme="1"/>
      </patternFill>
    </fill>
    <fill>
      <patternFill patternType="solid">
        <fgColor theme="0" tint="-4.9989318521683403E-2"/>
        <bgColor indexed="64"/>
      </patternFill>
    </fill>
    <fill>
      <patternFill patternType="solid">
        <fgColor rgb="FFFFE5E6"/>
        <bgColor theme="1"/>
      </patternFill>
    </fill>
    <fill>
      <patternFill patternType="solid">
        <fgColor rgb="FFFFE5E6"/>
        <bgColor indexed="64"/>
      </patternFill>
    </fill>
  </fills>
  <borders count="39">
    <border>
      <left/>
      <right/>
      <top/>
      <bottom/>
      <diagonal/>
    </border>
    <border>
      <left/>
      <right/>
      <top style="medium">
        <color auto="1"/>
      </top>
      <bottom style="thin">
        <color auto="1"/>
      </bottom>
      <diagonal/>
    </border>
    <border>
      <left/>
      <right/>
      <top style="thin">
        <color auto="1"/>
      </top>
      <bottom style="thin">
        <color auto="1"/>
      </bottom>
      <diagonal/>
    </border>
    <border>
      <left style="medium">
        <color auto="1"/>
      </left>
      <right/>
      <top/>
      <bottom/>
      <diagonal/>
    </border>
    <border>
      <left/>
      <right style="medium">
        <color auto="1"/>
      </right>
      <top/>
      <bottom/>
      <diagonal/>
    </border>
    <border>
      <left style="medium">
        <color auto="1"/>
      </left>
      <right style="thin">
        <color auto="1"/>
      </right>
      <top/>
      <bottom style="medium">
        <color auto="1"/>
      </bottom>
      <diagonal/>
    </border>
    <border>
      <left/>
      <right/>
      <top/>
      <bottom style="thin">
        <color auto="1"/>
      </bottom>
      <diagonal/>
    </border>
    <border>
      <left style="medium">
        <color auto="1"/>
      </left>
      <right style="thin">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medium">
        <color auto="1"/>
      </top>
      <bottom style="thin">
        <color auto="1"/>
      </bottom>
      <diagonal/>
    </border>
    <border>
      <left style="thin">
        <color auto="1"/>
      </left>
      <right style="medium">
        <color auto="1"/>
      </right>
      <top style="thin">
        <color auto="1"/>
      </top>
      <bottom style="thin">
        <color auto="1"/>
      </bottom>
      <diagonal/>
    </border>
    <border>
      <left/>
      <right/>
      <top style="medium">
        <color auto="1"/>
      </top>
      <bottom/>
      <diagonal/>
    </border>
    <border>
      <left/>
      <right/>
      <top/>
      <bottom style="medium">
        <color auto="1"/>
      </bottom>
      <diagonal/>
    </border>
    <border>
      <left style="thin">
        <color auto="1"/>
      </left>
      <right style="thin">
        <color auto="1"/>
      </right>
      <top style="medium">
        <color auto="1"/>
      </top>
      <bottom style="thin">
        <color auto="1"/>
      </bottom>
      <diagonal/>
    </border>
    <border>
      <left style="thin">
        <color auto="1"/>
      </left>
      <right style="thin">
        <color auto="1"/>
      </right>
      <top style="thin">
        <color auto="1"/>
      </top>
      <bottom style="thin">
        <color auto="1"/>
      </bottom>
      <diagonal/>
    </border>
    <border>
      <left/>
      <right style="medium">
        <color auto="1"/>
      </right>
      <top style="medium">
        <color auto="1"/>
      </top>
      <bottom style="thin">
        <color auto="1"/>
      </bottom>
      <diagonal/>
    </border>
    <border>
      <left/>
      <right style="medium">
        <color auto="1"/>
      </right>
      <top style="thin">
        <color auto="1"/>
      </top>
      <bottom style="thin">
        <color auto="1"/>
      </bottom>
      <diagonal/>
    </border>
    <border>
      <left/>
      <right style="thin">
        <color auto="1"/>
      </right>
      <top style="medium">
        <color auto="1"/>
      </top>
      <bottom style="thin">
        <color auto="1"/>
      </bottom>
      <diagonal/>
    </border>
    <border>
      <left/>
      <right style="thin">
        <color auto="1"/>
      </right>
      <top style="thin">
        <color auto="1"/>
      </top>
      <bottom style="thin">
        <color auto="1"/>
      </bottom>
      <diagonal/>
    </border>
    <border>
      <left style="thin">
        <color auto="1"/>
      </left>
      <right/>
      <top style="medium">
        <color auto="1"/>
      </top>
      <bottom style="thin">
        <color auto="1"/>
      </bottom>
      <diagonal/>
    </border>
    <border>
      <left style="thin">
        <color auto="1"/>
      </left>
      <right/>
      <top style="thin">
        <color auto="1"/>
      </top>
      <bottom style="thin">
        <color auto="1"/>
      </bottom>
      <diagonal/>
    </border>
    <border>
      <left style="medium">
        <color auto="1"/>
      </left>
      <right/>
      <top/>
      <bottom style="medium">
        <color auto="1"/>
      </bottom>
      <diagonal/>
    </border>
    <border>
      <left/>
      <right style="medium">
        <color auto="1"/>
      </right>
      <top/>
      <bottom style="medium">
        <color auto="1"/>
      </bottom>
      <diagonal/>
    </border>
    <border>
      <left style="thin">
        <color auto="1"/>
      </left>
      <right/>
      <top/>
      <bottom style="medium">
        <color auto="1"/>
      </bottom>
      <diagonal/>
    </border>
    <border>
      <left style="thin">
        <color auto="1"/>
      </left>
      <right style="thin">
        <color auto="1"/>
      </right>
      <top/>
      <bottom style="medium">
        <color auto="1"/>
      </bottom>
      <diagonal/>
    </border>
    <border>
      <left/>
      <right/>
      <top style="thin">
        <color auto="1"/>
      </top>
      <bottom/>
      <diagonal/>
    </border>
    <border>
      <left style="thin">
        <color auto="1"/>
      </left>
      <right style="medium">
        <color auto="1"/>
      </right>
      <top/>
      <bottom style="medium">
        <color auto="1"/>
      </bottom>
      <diagonal/>
    </border>
    <border>
      <left style="thin">
        <color auto="1"/>
      </left>
      <right style="medium">
        <color auto="1"/>
      </right>
      <top style="thin">
        <color auto="1"/>
      </top>
      <bottom style="medium">
        <color auto="1"/>
      </bottom>
      <diagonal/>
    </border>
    <border>
      <left style="thin">
        <color auto="1"/>
      </left>
      <right style="medium">
        <color auto="1"/>
      </right>
      <top style="thin">
        <color auto="1"/>
      </top>
      <bottom/>
      <diagonal/>
    </border>
    <border>
      <left style="thin">
        <color auto="1"/>
      </left>
      <right style="thin">
        <color auto="1"/>
      </right>
      <top style="thin">
        <color auto="1"/>
      </top>
      <bottom/>
      <diagonal/>
    </border>
    <border>
      <left/>
      <right style="thin">
        <color auto="1"/>
      </right>
      <top style="thin">
        <color auto="1"/>
      </top>
      <bottom/>
      <diagonal/>
    </border>
    <border>
      <left style="thin">
        <color auto="1"/>
      </left>
      <right style="thin">
        <color auto="1"/>
      </right>
      <top/>
      <bottom style="thin">
        <color auto="1"/>
      </bottom>
      <diagonal/>
    </border>
    <border>
      <left/>
      <right style="thin">
        <color auto="1"/>
      </right>
      <top/>
      <bottom style="thin">
        <color auto="1"/>
      </bottom>
      <diagonal/>
    </border>
    <border>
      <left style="thin">
        <color auto="1"/>
      </left>
      <right style="thin">
        <color auto="1"/>
      </right>
      <top style="thick">
        <color auto="1"/>
      </top>
      <bottom style="thin">
        <color auto="1"/>
      </bottom>
      <diagonal/>
    </border>
    <border>
      <left/>
      <right style="thin">
        <color auto="1"/>
      </right>
      <top style="thick">
        <color auto="1"/>
      </top>
      <bottom style="thin">
        <color auto="1"/>
      </bottom>
      <diagonal/>
    </border>
    <border>
      <left/>
      <right/>
      <top style="thick">
        <color auto="1"/>
      </top>
      <bottom/>
      <diagonal/>
    </border>
    <border>
      <left style="thin">
        <color theme="0" tint="-0.499984740745262"/>
      </left>
      <right style="medium">
        <color auto="1"/>
      </right>
      <top style="medium">
        <color auto="1"/>
      </top>
      <bottom style="medium">
        <color auto="1"/>
      </bottom>
      <diagonal/>
    </border>
    <border>
      <left style="medium">
        <color auto="1"/>
      </left>
      <right style="thin">
        <color theme="0" tint="-0.499984740745262"/>
      </right>
      <top style="medium">
        <color auto="1"/>
      </top>
      <bottom style="medium">
        <color auto="1"/>
      </bottom>
      <diagonal/>
    </border>
    <border>
      <left/>
      <right/>
      <top style="medium">
        <color auto="1"/>
      </top>
      <bottom style="medium">
        <color auto="1"/>
      </bottom>
      <diagonal/>
    </border>
  </borders>
  <cellStyleXfs count="3">
    <xf numFmtId="0" fontId="0" fillId="0" borderId="0"/>
    <xf numFmtId="0" fontId="41" fillId="0" borderId="0"/>
    <xf numFmtId="0" fontId="41" fillId="0" borderId="0"/>
  </cellStyleXfs>
  <cellXfs count="188">
    <xf numFmtId="0" fontId="0" fillId="0" borderId="0" xfId="0"/>
    <xf numFmtId="0" fontId="4" fillId="0" borderId="0" xfId="0" applyFont="1" applyAlignment="1">
      <alignment horizontal="center" vertical="center"/>
    </xf>
    <xf numFmtId="0" fontId="6" fillId="0" borderId="0" xfId="0" applyFont="1" applyAlignment="1">
      <alignment horizontal="center"/>
    </xf>
    <xf numFmtId="0" fontId="6" fillId="0" borderId="0" xfId="0" applyFont="1"/>
    <xf numFmtId="0" fontId="7" fillId="0" borderId="0" xfId="0" applyFont="1"/>
    <xf numFmtId="0" fontId="8" fillId="0" borderId="0" xfId="0" applyFont="1"/>
    <xf numFmtId="0" fontId="9" fillId="0" borderId="0" xfId="0" applyFont="1"/>
    <xf numFmtId="0" fontId="10" fillId="0" borderId="0" xfId="0" applyFont="1"/>
    <xf numFmtId="0" fontId="7" fillId="0" borderId="0" xfId="0" applyFont="1" applyAlignment="1">
      <alignment horizontal="right"/>
    </xf>
    <xf numFmtId="0" fontId="8" fillId="0" borderId="6" xfId="0" applyFont="1" applyBorder="1"/>
    <xf numFmtId="0" fontId="9" fillId="0" borderId="0" xfId="0" applyFont="1" applyAlignment="1">
      <alignment horizontal="right"/>
    </xf>
    <xf numFmtId="0" fontId="11" fillId="0" borderId="0" xfId="0" applyFont="1" applyAlignment="1">
      <alignment horizontal="center" vertical="center"/>
    </xf>
    <xf numFmtId="0" fontId="8" fillId="0" borderId="2" xfId="0" applyFont="1" applyBorder="1"/>
    <xf numFmtId="0" fontId="12" fillId="0" borderId="3" xfId="0" applyFont="1" applyBorder="1" applyAlignment="1">
      <alignment horizontal="centerContinuous"/>
    </xf>
    <xf numFmtId="0" fontId="10" fillId="0" borderId="5" xfId="0" applyFont="1" applyBorder="1" applyAlignment="1">
      <alignment horizontal="center" wrapText="1"/>
    </xf>
    <xf numFmtId="0" fontId="9" fillId="0" borderId="1" xfId="0" applyFont="1" applyBorder="1" applyAlignment="1">
      <alignment horizontal="center" vertical="center"/>
    </xf>
    <xf numFmtId="0" fontId="9" fillId="0" borderId="2" xfId="0" applyFont="1" applyBorder="1" applyAlignment="1">
      <alignment horizontal="center" vertical="center"/>
    </xf>
    <xf numFmtId="0" fontId="14" fillId="0" borderId="8" xfId="0" applyFont="1" applyBorder="1" applyAlignment="1">
      <alignment horizontal="center" vertical="center"/>
    </xf>
    <xf numFmtId="0" fontId="9" fillId="2" borderId="2" xfId="0" applyFont="1" applyFill="1" applyBorder="1" applyAlignment="1">
      <alignment horizontal="center" vertical="center"/>
    </xf>
    <xf numFmtId="0" fontId="9" fillId="0" borderId="0" xfId="0" applyFont="1" applyAlignment="1">
      <alignment horizontal="center" vertical="center"/>
    </xf>
    <xf numFmtId="0" fontId="9" fillId="0" borderId="11" xfId="0" applyFont="1" applyBorder="1" applyAlignment="1">
      <alignment horizontal="center" vertical="center"/>
    </xf>
    <xf numFmtId="0" fontId="9" fillId="0" borderId="15" xfId="0" applyFont="1" applyBorder="1" applyAlignment="1">
      <alignment horizontal="center" vertical="center"/>
    </xf>
    <xf numFmtId="0" fontId="9" fillId="0" borderId="16" xfId="0" applyFont="1" applyBorder="1" applyAlignment="1">
      <alignment horizontal="center" vertical="center"/>
    </xf>
    <xf numFmtId="0" fontId="9" fillId="4" borderId="11" xfId="0" applyFont="1" applyFill="1" applyBorder="1" applyAlignment="1">
      <alignment horizontal="center" vertical="center"/>
    </xf>
    <xf numFmtId="0" fontId="9" fillId="4" borderId="15" xfId="0" applyFont="1" applyFill="1" applyBorder="1" applyAlignment="1">
      <alignment horizontal="center" vertical="center"/>
    </xf>
    <xf numFmtId="0" fontId="9" fillId="4" borderId="0" xfId="0" applyFont="1" applyFill="1" applyAlignment="1">
      <alignment horizontal="center" vertical="center"/>
    </xf>
    <xf numFmtId="0" fontId="9" fillId="4" borderId="16" xfId="0" applyFont="1" applyFill="1" applyBorder="1" applyAlignment="1">
      <alignment horizontal="center" vertical="center"/>
    </xf>
    <xf numFmtId="0" fontId="9" fillId="5" borderId="15" xfId="0" applyFont="1" applyFill="1" applyBorder="1" applyAlignment="1">
      <alignment horizontal="center" vertical="center"/>
    </xf>
    <xf numFmtId="0" fontId="9" fillId="5" borderId="16" xfId="0" applyFont="1" applyFill="1" applyBorder="1" applyAlignment="1">
      <alignment horizontal="center" vertical="center"/>
    </xf>
    <xf numFmtId="0" fontId="3" fillId="0" borderId="0" xfId="0" applyFont="1"/>
    <xf numFmtId="0" fontId="16" fillId="0" borderId="12" xfId="0" applyFont="1" applyBorder="1" applyAlignment="1">
      <alignment horizontal="center" vertical="center" wrapText="1"/>
    </xf>
    <xf numFmtId="0" fontId="3" fillId="0" borderId="0" xfId="0" applyFont="1" applyAlignment="1">
      <alignment horizontal="center"/>
    </xf>
    <xf numFmtId="0" fontId="10" fillId="0" borderId="0" xfId="0" applyFont="1" applyAlignment="1">
      <alignment horizontal="center"/>
    </xf>
    <xf numFmtId="0" fontId="18" fillId="0" borderId="0" xfId="0" applyFont="1" applyAlignment="1">
      <alignment horizontal="center"/>
    </xf>
    <xf numFmtId="0" fontId="3" fillId="0" borderId="0" xfId="0" applyFont="1" applyAlignment="1">
      <alignment vertical="center"/>
    </xf>
    <xf numFmtId="0" fontId="3" fillId="0" borderId="7" xfId="0" applyFont="1" applyBorder="1" applyAlignment="1">
      <alignment horizontal="center" vertical="center"/>
    </xf>
    <xf numFmtId="0" fontId="3" fillId="0" borderId="13" xfId="0" applyFont="1" applyBorder="1" applyAlignment="1">
      <alignment horizontal="center" vertical="center"/>
    </xf>
    <xf numFmtId="0" fontId="3" fillId="0" borderId="8" xfId="0" applyFont="1" applyBorder="1" applyAlignment="1">
      <alignment horizontal="center" vertical="center"/>
    </xf>
    <xf numFmtId="0" fontId="3" fillId="0" borderId="14" xfId="0" applyFont="1" applyBorder="1" applyAlignment="1">
      <alignment horizontal="center" vertical="center"/>
    </xf>
    <xf numFmtId="0" fontId="3" fillId="0" borderId="17" xfId="0" applyFont="1" applyBorder="1" applyAlignment="1">
      <alignment horizontal="center" vertical="center"/>
    </xf>
    <xf numFmtId="0" fontId="3" fillId="0" borderId="18" xfId="0" applyFont="1" applyBorder="1" applyAlignment="1">
      <alignment horizontal="center" vertical="center"/>
    </xf>
    <xf numFmtId="0" fontId="20" fillId="3" borderId="12" xfId="0" applyFont="1" applyFill="1" applyBorder="1" applyAlignment="1">
      <alignment horizontal="center" vertical="center" wrapText="1"/>
    </xf>
    <xf numFmtId="0" fontId="3" fillId="3" borderId="19" xfId="0" applyFont="1" applyFill="1" applyBorder="1" applyAlignment="1">
      <alignment horizontal="center" vertical="center"/>
    </xf>
    <xf numFmtId="0" fontId="3" fillId="3" borderId="20" xfId="0" applyFont="1" applyFill="1" applyBorder="1" applyAlignment="1">
      <alignment horizontal="center" vertical="center"/>
    </xf>
    <xf numFmtId="0" fontId="16" fillId="0" borderId="21" xfId="0" applyFont="1" applyBorder="1" applyAlignment="1">
      <alignment horizontal="center" vertical="center" wrapText="1"/>
    </xf>
    <xf numFmtId="0" fontId="20" fillId="3" borderId="22" xfId="0" applyFont="1" applyFill="1" applyBorder="1" applyAlignment="1">
      <alignment horizontal="center" vertical="center" wrapText="1"/>
    </xf>
    <xf numFmtId="0" fontId="3" fillId="3" borderId="9" xfId="0" applyFont="1" applyFill="1" applyBorder="1" applyAlignment="1">
      <alignment horizontal="center" vertical="center"/>
    </xf>
    <xf numFmtId="0" fontId="3" fillId="3" borderId="10" xfId="0" applyFont="1" applyFill="1" applyBorder="1" applyAlignment="1">
      <alignment horizontal="center" vertical="center"/>
    </xf>
    <xf numFmtId="0" fontId="9" fillId="4" borderId="1" xfId="0" applyFont="1" applyFill="1" applyBorder="1" applyAlignment="1">
      <alignment horizontal="center" vertical="center"/>
    </xf>
    <xf numFmtId="0" fontId="9" fillId="4" borderId="2" xfId="0" applyFont="1" applyFill="1" applyBorder="1" applyAlignment="1">
      <alignment horizontal="center" vertical="center"/>
    </xf>
    <xf numFmtId="0" fontId="9" fillId="5" borderId="1" xfId="0" applyFont="1" applyFill="1" applyBorder="1" applyAlignment="1">
      <alignment horizontal="center" vertical="center"/>
    </xf>
    <xf numFmtId="0" fontId="9" fillId="5" borderId="2" xfId="0" applyFont="1" applyFill="1" applyBorder="1" applyAlignment="1">
      <alignment horizontal="center" vertical="center"/>
    </xf>
    <xf numFmtId="0" fontId="0" fillId="0" borderId="0" xfId="0" applyAlignment="1">
      <alignment horizontal="center"/>
    </xf>
    <xf numFmtId="0" fontId="0" fillId="0" borderId="24" xfId="0" applyBorder="1" applyAlignment="1">
      <alignment horizontal="center" vertical="center" wrapText="1"/>
    </xf>
    <xf numFmtId="0" fontId="12" fillId="0" borderId="0" xfId="0" applyFont="1" applyAlignment="1">
      <alignment horizontal="centerContinuous"/>
    </xf>
    <xf numFmtId="0" fontId="3" fillId="0" borderId="25" xfId="0" applyFont="1" applyBorder="1" applyAlignment="1">
      <alignment horizontal="center" vertical="center"/>
    </xf>
    <xf numFmtId="0" fontId="3" fillId="0" borderId="0" xfId="0" applyFont="1" applyAlignment="1">
      <alignment horizontal="center" vertical="center"/>
    </xf>
    <xf numFmtId="0" fontId="10" fillId="3" borderId="23" xfId="0" applyFont="1" applyFill="1" applyBorder="1" applyAlignment="1">
      <alignment horizontal="center" wrapText="1"/>
    </xf>
    <xf numFmtId="0" fontId="14" fillId="3" borderId="20" xfId="0" applyFont="1" applyFill="1" applyBorder="1" applyAlignment="1">
      <alignment horizontal="center" vertical="center"/>
    </xf>
    <xf numFmtId="0" fontId="3" fillId="3" borderId="16" xfId="0" applyFont="1" applyFill="1" applyBorder="1" applyAlignment="1">
      <alignment horizontal="center" vertical="center"/>
    </xf>
    <xf numFmtId="0" fontId="0" fillId="3" borderId="22" xfId="0" applyFill="1" applyBorder="1" applyAlignment="1">
      <alignment horizontal="center" vertical="center" wrapText="1"/>
    </xf>
    <xf numFmtId="0" fontId="0" fillId="0" borderId="0" xfId="0" applyAlignment="1">
      <alignment horizontal="centerContinuous"/>
    </xf>
    <xf numFmtId="0" fontId="0" fillId="0" borderId="4" xfId="0" applyBorder="1" applyAlignment="1">
      <alignment horizontal="centerContinuous"/>
    </xf>
    <xf numFmtId="16" fontId="10" fillId="0" borderId="0" xfId="0" applyNumberFormat="1" applyFont="1" applyAlignment="1">
      <alignment horizontal="center"/>
    </xf>
    <xf numFmtId="0" fontId="10" fillId="0" borderId="0" xfId="0" applyFont="1" applyAlignment="1">
      <alignment horizontal="centerContinuous"/>
    </xf>
    <xf numFmtId="0" fontId="2" fillId="0" borderId="0" xfId="0" applyFont="1"/>
    <xf numFmtId="0" fontId="17" fillId="0" borderId="5" xfId="0" applyFont="1" applyBorder="1" applyAlignment="1">
      <alignment horizontal="center" wrapText="1"/>
    </xf>
    <xf numFmtId="0" fontId="21" fillId="3" borderId="26" xfId="0" applyFont="1" applyFill="1" applyBorder="1" applyAlignment="1">
      <alignment horizontal="center" wrapText="1"/>
    </xf>
    <xf numFmtId="0" fontId="1" fillId="0" borderId="0" xfId="0" applyFont="1" applyAlignment="1">
      <alignment horizontal="left" vertical="center"/>
    </xf>
    <xf numFmtId="15" fontId="18" fillId="0" borderId="0" xfId="0" applyNumberFormat="1" applyFont="1" applyAlignment="1">
      <alignment horizontal="center"/>
    </xf>
    <xf numFmtId="0" fontId="3" fillId="3" borderId="27" xfId="0" applyFont="1" applyFill="1" applyBorder="1" applyAlignment="1">
      <alignment horizontal="center" vertical="center"/>
    </xf>
    <xf numFmtId="0" fontId="3" fillId="3" borderId="28" xfId="0" applyFont="1" applyFill="1" applyBorder="1" applyAlignment="1">
      <alignment horizontal="center" vertical="center"/>
    </xf>
    <xf numFmtId="0" fontId="17" fillId="0" borderId="12" xfId="0" applyFont="1" applyBorder="1" applyAlignment="1">
      <alignment horizontal="center" vertical="center" wrapText="1"/>
    </xf>
    <xf numFmtId="0" fontId="26" fillId="0" borderId="0" xfId="0" applyFont="1"/>
    <xf numFmtId="15" fontId="27" fillId="0" borderId="0" xfId="0" applyNumberFormat="1" applyFont="1" applyAlignment="1">
      <alignment horizontal="center"/>
    </xf>
    <xf numFmtId="16" fontId="27" fillId="0" borderId="0" xfId="0" applyNumberFormat="1" applyFont="1" applyAlignment="1">
      <alignment horizontal="center"/>
    </xf>
    <xf numFmtId="0" fontId="27" fillId="0" borderId="0" xfId="0" applyFont="1" applyAlignment="1">
      <alignment horizontal="center"/>
    </xf>
    <xf numFmtId="0" fontId="27" fillId="0" borderId="0" xfId="0" applyFont="1" applyAlignment="1">
      <alignment horizontal="right"/>
    </xf>
    <xf numFmtId="0" fontId="28" fillId="0" borderId="0" xfId="0" applyFont="1"/>
    <xf numFmtId="0" fontId="29" fillId="0" borderId="0" xfId="0" applyFont="1"/>
    <xf numFmtId="0" fontId="30" fillId="0" borderId="0" xfId="0" applyFont="1" applyAlignment="1">
      <alignment vertical="center"/>
    </xf>
    <xf numFmtId="164" fontId="0" fillId="0" borderId="0" xfId="0" applyNumberFormat="1"/>
    <xf numFmtId="0" fontId="1" fillId="0" borderId="0" xfId="0" applyFont="1"/>
    <xf numFmtId="165" fontId="3" fillId="0" borderId="0" xfId="0" applyNumberFormat="1" applyFont="1" applyAlignment="1">
      <alignment horizontal="center"/>
    </xf>
    <xf numFmtId="164" fontId="3" fillId="0" borderId="0" xfId="0" applyNumberFormat="1" applyFont="1" applyAlignment="1">
      <alignment vertical="center"/>
    </xf>
    <xf numFmtId="2" fontId="0" fillId="0" borderId="0" xfId="0" applyNumberFormat="1"/>
    <xf numFmtId="0" fontId="31" fillId="0" borderId="0" xfId="0" applyFont="1" applyAlignment="1">
      <alignment horizontal="center" vertical="center"/>
    </xf>
    <xf numFmtId="0" fontId="29" fillId="0" borderId="0" xfId="0" applyFont="1" applyAlignment="1">
      <alignment horizontal="center" vertical="center" wrapText="1"/>
    </xf>
    <xf numFmtId="0" fontId="31" fillId="0" borderId="0" xfId="0" applyFont="1" applyAlignment="1">
      <alignment horizontal="center" vertical="center" wrapText="1"/>
    </xf>
    <xf numFmtId="0" fontId="31" fillId="0" borderId="0" xfId="0" quotePrefix="1" applyFont="1" applyAlignment="1">
      <alignment horizontal="center" vertical="center"/>
    </xf>
    <xf numFmtId="0" fontId="30" fillId="0" borderId="0" xfId="0" applyFont="1" applyAlignment="1">
      <alignment horizontal="center" vertical="center"/>
    </xf>
    <xf numFmtId="0" fontId="26" fillId="0" borderId="0" xfId="0" applyFont="1" applyAlignment="1">
      <alignment horizontal="center" vertical="center"/>
    </xf>
    <xf numFmtId="0" fontId="32" fillId="0" borderId="29" xfId="0" applyFont="1" applyBorder="1" applyAlignment="1">
      <alignment horizontal="center" vertical="center"/>
    </xf>
    <xf numFmtId="0" fontId="33" fillId="0" borderId="30" xfId="0" applyFont="1" applyBorder="1" applyAlignment="1">
      <alignment horizontal="center" vertical="center"/>
    </xf>
    <xf numFmtId="0" fontId="33" fillId="0" borderId="0" xfId="0" applyFont="1" applyAlignment="1">
      <alignment horizontal="center" vertical="center"/>
    </xf>
    <xf numFmtId="0" fontId="32" fillId="0" borderId="14" xfId="0" applyFont="1" applyBorder="1" applyAlignment="1">
      <alignment horizontal="center" vertical="center"/>
    </xf>
    <xf numFmtId="0" fontId="33" fillId="0" borderId="18" xfId="0" applyFont="1" applyBorder="1" applyAlignment="1">
      <alignment horizontal="center" vertical="center"/>
    </xf>
    <xf numFmtId="0" fontId="32" fillId="0" borderId="31" xfId="0" applyFont="1" applyBorder="1" applyAlignment="1">
      <alignment horizontal="center" vertical="center"/>
    </xf>
    <xf numFmtId="0" fontId="33" fillId="0" borderId="32" xfId="0" applyFont="1" applyBorder="1" applyAlignment="1">
      <alignment horizontal="center" vertical="center"/>
    </xf>
    <xf numFmtId="0" fontId="33" fillId="0" borderId="0" xfId="0" applyFont="1" applyAlignment="1">
      <alignment horizontal="centerContinuous" vertical="center"/>
    </xf>
    <xf numFmtId="166" fontId="30" fillId="0" borderId="0" xfId="0" applyNumberFormat="1" applyFont="1" applyAlignment="1">
      <alignment horizontal="centerContinuous" vertical="center"/>
    </xf>
    <xf numFmtId="164" fontId="34" fillId="0" borderId="0" xfId="0" applyNumberFormat="1" applyFont="1" applyAlignment="1">
      <alignment horizontal="center"/>
    </xf>
    <xf numFmtId="0" fontId="26" fillId="0" borderId="0" xfId="0" applyFont="1" applyAlignment="1">
      <alignment horizontal="right"/>
    </xf>
    <xf numFmtId="0" fontId="32" fillId="0" borderId="33" xfId="0" applyFont="1" applyBorder="1" applyAlignment="1">
      <alignment horizontal="center" vertical="center"/>
    </xf>
    <xf numFmtId="0" fontId="33" fillId="0" borderId="34" xfId="0" applyFont="1" applyBorder="1" applyAlignment="1">
      <alignment horizontal="center" vertical="center"/>
    </xf>
    <xf numFmtId="0" fontId="33" fillId="0" borderId="35" xfId="0" applyFont="1" applyBorder="1" applyAlignment="1">
      <alignment horizontal="center" vertical="center"/>
    </xf>
    <xf numFmtId="0" fontId="32" fillId="0" borderId="0" xfId="0" applyFont="1" applyAlignment="1">
      <alignment horizontal="center" vertical="center"/>
    </xf>
    <xf numFmtId="0" fontId="35" fillId="0" borderId="0" xfId="0" applyFont="1"/>
    <xf numFmtId="0" fontId="35" fillId="0" borderId="0" xfId="0" applyFont="1" applyAlignment="1">
      <alignment horizontal="right"/>
    </xf>
    <xf numFmtId="0" fontId="32" fillId="0" borderId="35" xfId="0" applyFont="1" applyBorder="1" applyAlignment="1">
      <alignment horizontal="center" vertical="center"/>
    </xf>
    <xf numFmtId="0" fontId="32" fillId="0" borderId="33" xfId="0" quotePrefix="1" applyFont="1" applyBorder="1" applyAlignment="1">
      <alignment horizontal="center" vertical="center"/>
    </xf>
    <xf numFmtId="0" fontId="32" fillId="0" borderId="14" xfId="0" applyFont="1" applyBorder="1" applyAlignment="1">
      <alignment horizontal="center" vertical="center" wrapText="1"/>
    </xf>
    <xf numFmtId="166" fontId="30" fillId="0" borderId="0" xfId="0" applyNumberFormat="1" applyFont="1" applyAlignment="1">
      <alignment horizontal="left" vertical="center"/>
    </xf>
    <xf numFmtId="0" fontId="32" fillId="0" borderId="33" xfId="0" applyFont="1" applyBorder="1" applyAlignment="1">
      <alignment horizontal="center" vertical="center" wrapText="1"/>
    </xf>
    <xf numFmtId="0" fontId="34" fillId="0" borderId="0" xfId="0" applyFont="1" applyAlignment="1">
      <alignment horizontal="right"/>
    </xf>
    <xf numFmtId="164" fontId="34" fillId="0" borderId="0" xfId="0" applyNumberFormat="1" applyFont="1"/>
    <xf numFmtId="0" fontId="36" fillId="0" borderId="0" xfId="0" applyFont="1" applyAlignment="1">
      <alignment horizontal="centerContinuous"/>
    </xf>
    <xf numFmtId="0" fontId="26" fillId="0" borderId="0" xfId="0" applyFont="1" applyAlignment="1">
      <alignment horizontal="center" wrapText="1"/>
    </xf>
    <xf numFmtId="0" fontId="34" fillId="0" borderId="0" xfId="0" applyFont="1" applyAlignment="1">
      <alignment horizontal="centerContinuous"/>
    </xf>
    <xf numFmtId="0" fontId="30" fillId="0" borderId="0" xfId="0" applyFont="1"/>
    <xf numFmtId="0" fontId="0" fillId="0" borderId="0" xfId="0" applyAlignment="1">
      <alignment horizontal="centerContinuous" wrapText="1"/>
    </xf>
    <xf numFmtId="0" fontId="39" fillId="0" borderId="0" xfId="0" applyFont="1" applyAlignment="1">
      <alignment horizontal="centerContinuous" wrapText="1"/>
    </xf>
    <xf numFmtId="0" fontId="26" fillId="0" borderId="0" xfId="0" applyFont="1" applyAlignment="1">
      <alignment horizontal="centerContinuous" wrapText="1"/>
    </xf>
    <xf numFmtId="0" fontId="34" fillId="0" borderId="0" xfId="0" applyFont="1"/>
    <xf numFmtId="0" fontId="39" fillId="0" borderId="0" xfId="0" applyFont="1"/>
    <xf numFmtId="0" fontId="34" fillId="0" borderId="0" xfId="0" applyFont="1" applyAlignment="1">
      <alignment horizontal="center"/>
    </xf>
    <xf numFmtId="0" fontId="0" fillId="0" borderId="0" xfId="0" applyAlignment="1">
      <alignment horizontal="center" vertical="center"/>
    </xf>
    <xf numFmtId="0" fontId="26" fillId="0" borderId="0" xfId="0" applyFont="1" applyAlignment="1">
      <alignment horizontal="right" vertical="center"/>
    </xf>
    <xf numFmtId="1" fontId="41" fillId="0" borderId="0" xfId="1" applyNumberFormat="1"/>
    <xf numFmtId="0" fontId="41" fillId="0" borderId="0" xfId="2" applyAlignment="1">
      <alignment horizontal="center"/>
    </xf>
    <xf numFmtId="9" fontId="41" fillId="0" borderId="0" xfId="2" applyNumberFormat="1" applyAlignment="1">
      <alignment horizontal="center"/>
    </xf>
    <xf numFmtId="0" fontId="28" fillId="0" borderId="0" xfId="0" applyFont="1" applyAlignment="1">
      <alignment horizontal="center"/>
    </xf>
    <xf numFmtId="0" fontId="26" fillId="0" borderId="0" xfId="0" applyFont="1" applyAlignment="1">
      <alignment horizontal="center"/>
    </xf>
    <xf numFmtId="16" fontId="26" fillId="0" borderId="0" xfId="0" applyNumberFormat="1" applyFont="1" applyAlignment="1">
      <alignment horizontal="center"/>
    </xf>
    <xf numFmtId="49" fontId="0" fillId="0" borderId="0" xfId="0" applyNumberFormat="1"/>
    <xf numFmtId="49" fontId="0" fillId="0" borderId="0" xfId="0" applyNumberFormat="1" applyAlignment="1">
      <alignment horizontal="center" vertical="center"/>
    </xf>
    <xf numFmtId="0" fontId="42" fillId="0" borderId="0" xfId="0" applyFont="1" applyAlignment="1">
      <alignment horizontal="center" wrapText="1"/>
    </xf>
    <xf numFmtId="0" fontId="43" fillId="0" borderId="0" xfId="0" applyFont="1" applyAlignment="1">
      <alignment wrapText="1"/>
    </xf>
    <xf numFmtId="0" fontId="1" fillId="0" borderId="0" xfId="0" applyFont="1" applyAlignment="1">
      <alignment horizontal="center"/>
    </xf>
    <xf numFmtId="0" fontId="1" fillId="0" borderId="0" xfId="0" applyFont="1" applyAlignment="1">
      <alignment vertical="center"/>
    </xf>
    <xf numFmtId="0" fontId="1" fillId="0" borderId="8" xfId="0" applyFont="1" applyBorder="1" applyAlignment="1">
      <alignment horizontal="center" vertical="center"/>
    </xf>
    <xf numFmtId="0" fontId="1" fillId="0" borderId="7" xfId="0" applyFont="1" applyBorder="1" applyAlignment="1">
      <alignment horizontal="center" vertical="center"/>
    </xf>
    <xf numFmtId="0" fontId="1" fillId="0" borderId="7" xfId="0" quotePrefix="1" applyFont="1" applyBorder="1" applyAlignment="1">
      <alignment horizontal="center" vertical="center"/>
    </xf>
    <xf numFmtId="9" fontId="1" fillId="0" borderId="0" xfId="0" applyNumberFormat="1" applyFont="1"/>
    <xf numFmtId="0" fontId="17" fillId="0" borderId="0" xfId="0" applyFont="1" applyAlignment="1">
      <alignment horizontal="center" wrapText="1"/>
    </xf>
    <xf numFmtId="0" fontId="18" fillId="0" borderId="0" xfId="0" applyFont="1" applyAlignment="1">
      <alignment horizontal="center" vertical="center"/>
    </xf>
    <xf numFmtId="16" fontId="18" fillId="0" borderId="0" xfId="0" applyNumberFormat="1" applyFont="1" applyAlignment="1">
      <alignment horizontal="center" vertical="center"/>
    </xf>
    <xf numFmtId="1" fontId="0" fillId="0" borderId="0" xfId="0" applyNumberFormat="1"/>
    <xf numFmtId="167" fontId="0" fillId="0" borderId="0" xfId="0" applyNumberFormat="1"/>
    <xf numFmtId="0" fontId="1" fillId="0" borderId="36" xfId="0" quotePrefix="1" applyFont="1" applyBorder="1" applyAlignment="1">
      <alignment horizontal="center" vertical="center"/>
    </xf>
    <xf numFmtId="0" fontId="1" fillId="0" borderId="37" xfId="0" applyFont="1" applyBorder="1" applyAlignment="1">
      <alignment horizontal="center" vertical="center"/>
    </xf>
    <xf numFmtId="0" fontId="1" fillId="0" borderId="36" xfId="0" applyFont="1" applyBorder="1" applyAlignment="1">
      <alignment horizontal="center" vertical="center"/>
    </xf>
    <xf numFmtId="0" fontId="45" fillId="0" borderId="38" xfId="0" applyFont="1" applyBorder="1" applyAlignment="1">
      <alignment horizontal="center" vertical="center"/>
    </xf>
    <xf numFmtId="0" fontId="17" fillId="0" borderId="12" xfId="0" applyFont="1" applyBorder="1" applyAlignment="1">
      <alignment horizontal="centerContinuous" wrapText="1"/>
    </xf>
    <xf numFmtId="0" fontId="1" fillId="0" borderId="0" xfId="0" applyFont="1" applyAlignment="1">
      <alignment horizontal="left"/>
    </xf>
    <xf numFmtId="0" fontId="24" fillId="0" borderId="0" xfId="0" applyFont="1" applyAlignment="1">
      <alignment horizontal="center" wrapText="1"/>
    </xf>
    <xf numFmtId="0" fontId="25" fillId="0" borderId="0" xfId="0" applyFont="1" applyAlignment="1">
      <alignment horizontal="center" wrapText="1"/>
    </xf>
    <xf numFmtId="0" fontId="10" fillId="0" borderId="3" xfId="0" applyFont="1" applyBorder="1" applyAlignment="1">
      <alignment horizontal="center"/>
    </xf>
    <xf numFmtId="0" fontId="0" fillId="0" borderId="4" xfId="0" applyBorder="1" applyAlignment="1">
      <alignment horizontal="center"/>
    </xf>
    <xf numFmtId="16" fontId="10" fillId="0" borderId="3" xfId="0" applyNumberFormat="1" applyFont="1" applyBorder="1" applyAlignment="1">
      <alignment horizontal="center"/>
    </xf>
    <xf numFmtId="0" fontId="10" fillId="0" borderId="0" xfId="0" applyFont="1" applyAlignment="1">
      <alignment horizontal="center"/>
    </xf>
    <xf numFmtId="0" fontId="16" fillId="0" borderId="0" xfId="0" applyFont="1" applyAlignment="1">
      <alignment horizontal="center" vertical="center" wrapText="1"/>
    </xf>
    <xf numFmtId="0" fontId="22" fillId="0" borderId="0" xfId="0" applyFont="1" applyAlignment="1">
      <alignment horizontal="center" vertical="center" wrapText="1"/>
    </xf>
    <xf numFmtId="15" fontId="18" fillId="0" borderId="3" xfId="0" applyNumberFormat="1" applyFont="1" applyBorder="1" applyAlignment="1">
      <alignment horizontal="center"/>
    </xf>
    <xf numFmtId="0" fontId="18" fillId="0" borderId="3" xfId="0" applyFont="1" applyBorder="1" applyAlignment="1">
      <alignment horizontal="center"/>
    </xf>
    <xf numFmtId="0" fontId="16" fillId="0" borderId="0" xfId="0" applyFont="1" applyAlignment="1">
      <alignment horizontal="left" wrapText="1"/>
    </xf>
    <xf numFmtId="0" fontId="0" fillId="0" borderId="0" xfId="0" applyAlignment="1">
      <alignment wrapText="1"/>
    </xf>
    <xf numFmtId="16" fontId="3" fillId="0" borderId="3" xfId="0" applyNumberFormat="1" applyFont="1" applyBorder="1" applyAlignment="1">
      <alignment horizontal="center"/>
    </xf>
    <xf numFmtId="0" fontId="0" fillId="0" borderId="4" xfId="0" applyBorder="1"/>
    <xf numFmtId="0" fontId="0" fillId="0" borderId="0" xfId="0" applyAlignment="1">
      <alignment horizontal="center" wrapText="1"/>
    </xf>
    <xf numFmtId="16" fontId="10" fillId="0" borderId="4" xfId="0" applyNumberFormat="1" applyFont="1" applyBorder="1" applyAlignment="1">
      <alignment horizontal="center"/>
    </xf>
    <xf numFmtId="16" fontId="16" fillId="0" borderId="4" xfId="0" applyNumberFormat="1" applyFont="1" applyBorder="1" applyAlignment="1">
      <alignment horizontal="center" wrapText="1"/>
    </xf>
    <xf numFmtId="0" fontId="22" fillId="0" borderId="4" xfId="0" applyFont="1" applyBorder="1" applyAlignment="1">
      <alignment horizontal="center" wrapText="1"/>
    </xf>
    <xf numFmtId="0" fontId="10" fillId="0" borderId="4" xfId="0" applyFont="1" applyBorder="1" applyAlignment="1">
      <alignment horizontal="center"/>
    </xf>
    <xf numFmtId="0" fontId="31" fillId="0" borderId="0" xfId="0" applyFont="1" applyAlignment="1">
      <alignment horizontal="center" vertical="center" wrapText="1"/>
    </xf>
    <xf numFmtId="0" fontId="1" fillId="0" borderId="25" xfId="0" applyFont="1" applyBorder="1" applyAlignment="1">
      <alignment horizontal="center" vertical="center" wrapText="1"/>
    </xf>
    <xf numFmtId="0" fontId="0" fillId="0" borderId="0" xfId="0" applyAlignment="1">
      <alignment horizontal="center" vertical="center" wrapText="1"/>
    </xf>
    <xf numFmtId="15" fontId="18" fillId="0" borderId="0" xfId="0" applyNumberFormat="1" applyFont="1" applyAlignment="1">
      <alignment horizontal="center"/>
    </xf>
    <xf numFmtId="0" fontId="0" fillId="0" borderId="0" xfId="0"/>
    <xf numFmtId="0" fontId="18" fillId="0" borderId="0" xfId="0" applyFont="1" applyAlignment="1">
      <alignment horizontal="center"/>
    </xf>
    <xf numFmtId="0" fontId="17" fillId="0" borderId="12" xfId="0" applyFont="1" applyBorder="1" applyAlignment="1">
      <alignment horizontal="center" wrapText="1"/>
    </xf>
    <xf numFmtId="0" fontId="0" fillId="0" borderId="12" xfId="0" applyBorder="1" applyAlignment="1">
      <alignment horizontal="center" wrapText="1"/>
    </xf>
    <xf numFmtId="15" fontId="46" fillId="0" borderId="0" xfId="0" applyNumberFormat="1" applyFont="1" applyAlignment="1">
      <alignment horizontal="center"/>
    </xf>
    <xf numFmtId="0" fontId="44" fillId="0" borderId="0" xfId="0" applyFont="1"/>
    <xf numFmtId="0" fontId="46" fillId="0" borderId="0" xfId="0" applyFont="1" applyAlignment="1">
      <alignment horizontal="center"/>
    </xf>
    <xf numFmtId="0" fontId="45" fillId="0" borderId="11" xfId="0" applyFont="1" applyBorder="1" applyAlignment="1">
      <alignment horizontal="center" vertical="top" wrapText="1"/>
    </xf>
    <xf numFmtId="0" fontId="44" fillId="0" borderId="11" xfId="0" applyFont="1" applyBorder="1" applyAlignment="1">
      <alignment horizontal="center" vertical="top" wrapText="1"/>
    </xf>
    <xf numFmtId="0" fontId="44" fillId="0" borderId="0" xfId="0" applyFont="1" applyAlignment="1">
      <alignment horizontal="center" vertical="top" wrapText="1"/>
    </xf>
  </cellXfs>
  <cellStyles count="3">
    <cellStyle name="Normal" xfId="0" builtinId="0"/>
    <cellStyle name="Normal 3" xfId="2" xr:uid="{7BD02A72-0BFA-4460-AB65-353BA227B9FC}"/>
    <cellStyle name="Normal 4" xfId="1" xr:uid="{8FEBAD67-BDC9-40A3-B833-81C06A0C18E7}"/>
  </cellStyles>
  <dxfs count="0"/>
  <tableStyles count="0" defaultTableStyle="TableStyleMedium2" defaultPivotStyle="PivotStyleLight16"/>
  <colors>
    <mruColors>
      <color rgb="FFFFE5E6"/>
      <color rgb="FFFFDDD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2015 canopy heights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smoothMarker"/>
        <c:varyColors val="0"/>
        <c:ser>
          <c:idx val="0"/>
          <c:order val="0"/>
          <c:tx>
            <c:strRef>
              <c:f>graphs!$A$4</c:f>
              <c:strCache>
                <c:ptCount val="1"/>
                <c:pt idx="0">
                  <c:v>plot 02</c:v>
                </c:pt>
              </c:strCache>
            </c:strRef>
          </c:tx>
          <c:spPr>
            <a:ln w="19050" cap="rnd">
              <a:solidFill>
                <a:schemeClr val="accent1"/>
              </a:solidFill>
              <a:round/>
            </a:ln>
            <a:effectLst/>
          </c:spPr>
          <c:marker>
            <c:symbol val="circle"/>
            <c:size val="5"/>
            <c:spPr>
              <a:solidFill>
                <a:schemeClr val="accent1"/>
              </a:solidFill>
              <a:ln w="9525">
                <a:solidFill>
                  <a:schemeClr val="accent1"/>
                </a:solidFill>
              </a:ln>
              <a:effectLst/>
            </c:spPr>
          </c:marker>
          <c:xVal>
            <c:numRef>
              <c:f>graphs!$C$3:$I$3</c:f>
              <c:numCache>
                <c:formatCode>General</c:formatCode>
                <c:ptCount val="7"/>
                <c:pt idx="0">
                  <c:v>153</c:v>
                </c:pt>
                <c:pt idx="1">
                  <c:v>166</c:v>
                </c:pt>
                <c:pt idx="2">
                  <c:v>180</c:v>
                </c:pt>
                <c:pt idx="3">
                  <c:v>194</c:v>
                </c:pt>
                <c:pt idx="4">
                  <c:v>208</c:v>
                </c:pt>
                <c:pt idx="5">
                  <c:v>223</c:v>
                </c:pt>
                <c:pt idx="6">
                  <c:v>236</c:v>
                </c:pt>
              </c:numCache>
            </c:numRef>
          </c:xVal>
          <c:yVal>
            <c:numRef>
              <c:f>graphs!$C$4:$I$4</c:f>
              <c:numCache>
                <c:formatCode>General</c:formatCode>
                <c:ptCount val="7"/>
                <c:pt idx="0" formatCode="0.0">
                  <c:v>13.4</c:v>
                </c:pt>
                <c:pt idx="1">
                  <c:v>33.6</c:v>
                </c:pt>
                <c:pt idx="2">
                  <c:v>52.8</c:v>
                </c:pt>
                <c:pt idx="3">
                  <c:v>67.8</c:v>
                </c:pt>
                <c:pt idx="4">
                  <c:v>83.8</c:v>
                </c:pt>
                <c:pt idx="5">
                  <c:v>92.2</c:v>
                </c:pt>
                <c:pt idx="6">
                  <c:v>90.8</c:v>
                </c:pt>
              </c:numCache>
            </c:numRef>
          </c:yVal>
          <c:smooth val="1"/>
          <c:extLst>
            <c:ext xmlns:c16="http://schemas.microsoft.com/office/drawing/2014/chart" uri="{C3380CC4-5D6E-409C-BE32-E72D297353CC}">
              <c16:uniqueId val="{00000000-BD16-4BFA-9C35-18172F4051B2}"/>
            </c:ext>
          </c:extLst>
        </c:ser>
        <c:ser>
          <c:idx val="1"/>
          <c:order val="1"/>
          <c:tx>
            <c:strRef>
              <c:f>graphs!$A$5</c:f>
              <c:strCache>
                <c:ptCount val="1"/>
                <c:pt idx="0">
                  <c:v>plot 03</c:v>
                </c:pt>
              </c:strCache>
            </c:strRef>
          </c:tx>
          <c:spPr>
            <a:ln w="19050" cap="rnd">
              <a:solidFill>
                <a:schemeClr val="accent2"/>
              </a:solidFill>
              <a:round/>
            </a:ln>
            <a:effectLst/>
          </c:spPr>
          <c:marker>
            <c:symbol val="circle"/>
            <c:size val="5"/>
            <c:spPr>
              <a:solidFill>
                <a:schemeClr val="accent2"/>
              </a:solidFill>
              <a:ln w="9525">
                <a:solidFill>
                  <a:schemeClr val="accent2"/>
                </a:solidFill>
              </a:ln>
              <a:effectLst/>
            </c:spPr>
          </c:marker>
          <c:xVal>
            <c:numRef>
              <c:f>graphs!$C$3:$I$3</c:f>
              <c:numCache>
                <c:formatCode>General</c:formatCode>
                <c:ptCount val="7"/>
                <c:pt idx="0">
                  <c:v>153</c:v>
                </c:pt>
                <c:pt idx="1">
                  <c:v>166</c:v>
                </c:pt>
                <c:pt idx="2">
                  <c:v>180</c:v>
                </c:pt>
                <c:pt idx="3">
                  <c:v>194</c:v>
                </c:pt>
                <c:pt idx="4">
                  <c:v>208</c:v>
                </c:pt>
                <c:pt idx="5">
                  <c:v>223</c:v>
                </c:pt>
                <c:pt idx="6">
                  <c:v>236</c:v>
                </c:pt>
              </c:numCache>
            </c:numRef>
          </c:xVal>
          <c:yVal>
            <c:numRef>
              <c:f>graphs!$C$5:$I$5</c:f>
              <c:numCache>
                <c:formatCode>General</c:formatCode>
                <c:ptCount val="7"/>
                <c:pt idx="0" formatCode="0.0">
                  <c:v>12.4</c:v>
                </c:pt>
                <c:pt idx="1">
                  <c:v>32</c:v>
                </c:pt>
                <c:pt idx="2">
                  <c:v>49.8</c:v>
                </c:pt>
                <c:pt idx="3">
                  <c:v>69</c:v>
                </c:pt>
                <c:pt idx="4">
                  <c:v>82.4</c:v>
                </c:pt>
                <c:pt idx="5">
                  <c:v>92.2</c:v>
                </c:pt>
                <c:pt idx="6">
                  <c:v>96</c:v>
                </c:pt>
              </c:numCache>
            </c:numRef>
          </c:yVal>
          <c:smooth val="1"/>
          <c:extLst>
            <c:ext xmlns:c16="http://schemas.microsoft.com/office/drawing/2014/chart" uri="{C3380CC4-5D6E-409C-BE32-E72D297353CC}">
              <c16:uniqueId val="{00000001-BD16-4BFA-9C35-18172F4051B2}"/>
            </c:ext>
          </c:extLst>
        </c:ser>
        <c:ser>
          <c:idx val="2"/>
          <c:order val="2"/>
          <c:tx>
            <c:strRef>
              <c:f>graphs!$A$6</c:f>
              <c:strCache>
                <c:ptCount val="1"/>
                <c:pt idx="0">
                  <c:v>plot 04</c:v>
                </c:pt>
              </c:strCache>
            </c:strRef>
          </c:tx>
          <c:spPr>
            <a:ln w="19050" cap="rnd">
              <a:solidFill>
                <a:schemeClr val="accent3"/>
              </a:solidFill>
              <a:round/>
            </a:ln>
            <a:effectLst/>
          </c:spPr>
          <c:marker>
            <c:symbol val="circle"/>
            <c:size val="5"/>
            <c:spPr>
              <a:solidFill>
                <a:schemeClr val="accent3"/>
              </a:solidFill>
              <a:ln w="9525">
                <a:solidFill>
                  <a:schemeClr val="accent3"/>
                </a:solidFill>
              </a:ln>
              <a:effectLst/>
            </c:spPr>
          </c:marker>
          <c:xVal>
            <c:numRef>
              <c:f>graphs!$C$3:$I$3</c:f>
              <c:numCache>
                <c:formatCode>General</c:formatCode>
                <c:ptCount val="7"/>
                <c:pt idx="0">
                  <c:v>153</c:v>
                </c:pt>
                <c:pt idx="1">
                  <c:v>166</c:v>
                </c:pt>
                <c:pt idx="2">
                  <c:v>180</c:v>
                </c:pt>
                <c:pt idx="3">
                  <c:v>194</c:v>
                </c:pt>
                <c:pt idx="4">
                  <c:v>208</c:v>
                </c:pt>
                <c:pt idx="5">
                  <c:v>223</c:v>
                </c:pt>
                <c:pt idx="6">
                  <c:v>236</c:v>
                </c:pt>
              </c:numCache>
            </c:numRef>
          </c:xVal>
          <c:yVal>
            <c:numRef>
              <c:f>graphs!$C$6:$I$6</c:f>
              <c:numCache>
                <c:formatCode>General</c:formatCode>
                <c:ptCount val="7"/>
                <c:pt idx="0" formatCode="0.0">
                  <c:v>12</c:v>
                </c:pt>
                <c:pt idx="1">
                  <c:v>30.4</c:v>
                </c:pt>
                <c:pt idx="2">
                  <c:v>51.2</c:v>
                </c:pt>
                <c:pt idx="3">
                  <c:v>67.400000000000006</c:v>
                </c:pt>
                <c:pt idx="4">
                  <c:v>83</c:v>
                </c:pt>
                <c:pt idx="5">
                  <c:v>95.2</c:v>
                </c:pt>
                <c:pt idx="6">
                  <c:v>95.2</c:v>
                </c:pt>
              </c:numCache>
            </c:numRef>
          </c:yVal>
          <c:smooth val="1"/>
          <c:extLst>
            <c:ext xmlns:c16="http://schemas.microsoft.com/office/drawing/2014/chart" uri="{C3380CC4-5D6E-409C-BE32-E72D297353CC}">
              <c16:uniqueId val="{00000002-BD16-4BFA-9C35-18172F4051B2}"/>
            </c:ext>
          </c:extLst>
        </c:ser>
        <c:ser>
          <c:idx val="3"/>
          <c:order val="3"/>
          <c:tx>
            <c:strRef>
              <c:f>graphs!$A$7</c:f>
              <c:strCache>
                <c:ptCount val="1"/>
                <c:pt idx="0">
                  <c:v>plot 05</c:v>
                </c:pt>
              </c:strCache>
            </c:strRef>
          </c:tx>
          <c:spPr>
            <a:ln w="19050" cap="rnd">
              <a:solidFill>
                <a:schemeClr val="accent4"/>
              </a:solidFill>
              <a:round/>
            </a:ln>
            <a:effectLst/>
          </c:spPr>
          <c:marker>
            <c:symbol val="circle"/>
            <c:size val="5"/>
            <c:spPr>
              <a:solidFill>
                <a:schemeClr val="accent4"/>
              </a:solidFill>
              <a:ln w="9525">
                <a:solidFill>
                  <a:schemeClr val="accent4"/>
                </a:solidFill>
              </a:ln>
              <a:effectLst/>
            </c:spPr>
          </c:marker>
          <c:xVal>
            <c:numRef>
              <c:f>graphs!$C$3:$I$3</c:f>
              <c:numCache>
                <c:formatCode>General</c:formatCode>
                <c:ptCount val="7"/>
                <c:pt idx="0">
                  <c:v>153</c:v>
                </c:pt>
                <c:pt idx="1">
                  <c:v>166</c:v>
                </c:pt>
                <c:pt idx="2">
                  <c:v>180</c:v>
                </c:pt>
                <c:pt idx="3">
                  <c:v>194</c:v>
                </c:pt>
                <c:pt idx="4">
                  <c:v>208</c:v>
                </c:pt>
                <c:pt idx="5">
                  <c:v>223</c:v>
                </c:pt>
                <c:pt idx="6">
                  <c:v>236</c:v>
                </c:pt>
              </c:numCache>
            </c:numRef>
          </c:xVal>
          <c:yVal>
            <c:numRef>
              <c:f>graphs!$C$7:$I$7</c:f>
              <c:numCache>
                <c:formatCode>General</c:formatCode>
                <c:ptCount val="7"/>
                <c:pt idx="0" formatCode="0.0">
                  <c:v>12.4</c:v>
                </c:pt>
                <c:pt idx="1">
                  <c:v>29.6</c:v>
                </c:pt>
                <c:pt idx="2">
                  <c:v>49.6</c:v>
                </c:pt>
                <c:pt idx="3">
                  <c:v>66</c:v>
                </c:pt>
                <c:pt idx="4">
                  <c:v>79.8</c:v>
                </c:pt>
                <c:pt idx="5">
                  <c:v>87.6</c:v>
                </c:pt>
                <c:pt idx="6">
                  <c:v>87.6</c:v>
                </c:pt>
              </c:numCache>
            </c:numRef>
          </c:yVal>
          <c:smooth val="1"/>
          <c:extLst>
            <c:ext xmlns:c16="http://schemas.microsoft.com/office/drawing/2014/chart" uri="{C3380CC4-5D6E-409C-BE32-E72D297353CC}">
              <c16:uniqueId val="{00000003-BD16-4BFA-9C35-18172F4051B2}"/>
            </c:ext>
          </c:extLst>
        </c:ser>
        <c:ser>
          <c:idx val="4"/>
          <c:order val="4"/>
          <c:tx>
            <c:strRef>
              <c:f>graphs!$A$8</c:f>
              <c:strCache>
                <c:ptCount val="1"/>
                <c:pt idx="0">
                  <c:v>plot 06</c:v>
                </c:pt>
              </c:strCache>
            </c:strRef>
          </c:tx>
          <c:spPr>
            <a:ln w="19050" cap="rnd">
              <a:solidFill>
                <a:schemeClr val="accent5"/>
              </a:solidFill>
              <a:round/>
            </a:ln>
            <a:effectLst/>
          </c:spPr>
          <c:marker>
            <c:symbol val="circle"/>
            <c:size val="5"/>
            <c:spPr>
              <a:solidFill>
                <a:schemeClr val="accent5"/>
              </a:solidFill>
              <a:ln w="9525">
                <a:solidFill>
                  <a:schemeClr val="accent5"/>
                </a:solidFill>
              </a:ln>
              <a:effectLst/>
            </c:spPr>
          </c:marker>
          <c:xVal>
            <c:numRef>
              <c:f>graphs!$C$3:$I$3</c:f>
              <c:numCache>
                <c:formatCode>General</c:formatCode>
                <c:ptCount val="7"/>
                <c:pt idx="0">
                  <c:v>153</c:v>
                </c:pt>
                <c:pt idx="1">
                  <c:v>166</c:v>
                </c:pt>
                <c:pt idx="2">
                  <c:v>180</c:v>
                </c:pt>
                <c:pt idx="3">
                  <c:v>194</c:v>
                </c:pt>
                <c:pt idx="4">
                  <c:v>208</c:v>
                </c:pt>
                <c:pt idx="5">
                  <c:v>223</c:v>
                </c:pt>
                <c:pt idx="6">
                  <c:v>236</c:v>
                </c:pt>
              </c:numCache>
            </c:numRef>
          </c:xVal>
          <c:yVal>
            <c:numRef>
              <c:f>graphs!$C$8:$I$8</c:f>
              <c:numCache>
                <c:formatCode>General</c:formatCode>
                <c:ptCount val="7"/>
                <c:pt idx="0" formatCode="0.0">
                  <c:v>12.2</c:v>
                </c:pt>
                <c:pt idx="1">
                  <c:v>33</c:v>
                </c:pt>
                <c:pt idx="2">
                  <c:v>54.8</c:v>
                </c:pt>
                <c:pt idx="3">
                  <c:v>68.8</c:v>
                </c:pt>
                <c:pt idx="4">
                  <c:v>83</c:v>
                </c:pt>
                <c:pt idx="5">
                  <c:v>86.6</c:v>
                </c:pt>
                <c:pt idx="6">
                  <c:v>84.2</c:v>
                </c:pt>
              </c:numCache>
            </c:numRef>
          </c:yVal>
          <c:smooth val="1"/>
          <c:extLst>
            <c:ext xmlns:c16="http://schemas.microsoft.com/office/drawing/2014/chart" uri="{C3380CC4-5D6E-409C-BE32-E72D297353CC}">
              <c16:uniqueId val="{00000004-BD16-4BFA-9C35-18172F4051B2}"/>
            </c:ext>
          </c:extLst>
        </c:ser>
        <c:ser>
          <c:idx val="5"/>
          <c:order val="5"/>
          <c:tx>
            <c:strRef>
              <c:f>graphs!$A$9</c:f>
              <c:strCache>
                <c:ptCount val="1"/>
                <c:pt idx="0">
                  <c:v>plot 07</c:v>
                </c:pt>
              </c:strCache>
            </c:strRef>
          </c:tx>
          <c:spPr>
            <a:ln w="19050" cap="rnd">
              <a:solidFill>
                <a:schemeClr val="accent6"/>
              </a:solidFill>
              <a:round/>
            </a:ln>
            <a:effectLst/>
          </c:spPr>
          <c:marker>
            <c:symbol val="circle"/>
            <c:size val="5"/>
            <c:spPr>
              <a:solidFill>
                <a:schemeClr val="accent6"/>
              </a:solidFill>
              <a:ln w="9525">
                <a:solidFill>
                  <a:schemeClr val="accent6"/>
                </a:solidFill>
              </a:ln>
              <a:effectLst/>
            </c:spPr>
          </c:marker>
          <c:xVal>
            <c:numRef>
              <c:f>graphs!$C$3:$I$3</c:f>
              <c:numCache>
                <c:formatCode>General</c:formatCode>
                <c:ptCount val="7"/>
                <c:pt idx="0">
                  <c:v>153</c:v>
                </c:pt>
                <c:pt idx="1">
                  <c:v>166</c:v>
                </c:pt>
                <c:pt idx="2">
                  <c:v>180</c:v>
                </c:pt>
                <c:pt idx="3">
                  <c:v>194</c:v>
                </c:pt>
                <c:pt idx="4">
                  <c:v>208</c:v>
                </c:pt>
                <c:pt idx="5">
                  <c:v>223</c:v>
                </c:pt>
                <c:pt idx="6">
                  <c:v>236</c:v>
                </c:pt>
              </c:numCache>
            </c:numRef>
          </c:xVal>
          <c:yVal>
            <c:numRef>
              <c:f>graphs!$C$9:$I$9</c:f>
              <c:numCache>
                <c:formatCode>General</c:formatCode>
                <c:ptCount val="7"/>
                <c:pt idx="0" formatCode="0.0">
                  <c:v>11.6</c:v>
                </c:pt>
                <c:pt idx="1">
                  <c:v>31</c:v>
                </c:pt>
                <c:pt idx="2">
                  <c:v>47.4</c:v>
                </c:pt>
                <c:pt idx="3">
                  <c:v>63.6</c:v>
                </c:pt>
                <c:pt idx="4">
                  <c:v>77.400000000000006</c:v>
                </c:pt>
                <c:pt idx="5">
                  <c:v>89</c:v>
                </c:pt>
                <c:pt idx="6">
                  <c:v>96</c:v>
                </c:pt>
              </c:numCache>
            </c:numRef>
          </c:yVal>
          <c:smooth val="1"/>
          <c:extLst>
            <c:ext xmlns:c16="http://schemas.microsoft.com/office/drawing/2014/chart" uri="{C3380CC4-5D6E-409C-BE32-E72D297353CC}">
              <c16:uniqueId val="{00000005-BD16-4BFA-9C35-18172F4051B2}"/>
            </c:ext>
          </c:extLst>
        </c:ser>
        <c:ser>
          <c:idx val="6"/>
          <c:order val="6"/>
          <c:tx>
            <c:strRef>
              <c:f>graphs!$A$10</c:f>
              <c:strCache>
                <c:ptCount val="1"/>
                <c:pt idx="0">
                  <c:v>plot 08</c:v>
                </c:pt>
              </c:strCache>
            </c:strRef>
          </c:tx>
          <c:spPr>
            <a:ln w="19050" cap="rnd">
              <a:solidFill>
                <a:schemeClr val="accent1">
                  <a:lumMod val="60000"/>
                </a:schemeClr>
              </a:solidFill>
              <a:round/>
            </a:ln>
            <a:effectLst/>
          </c:spPr>
          <c:marker>
            <c:symbol val="circle"/>
            <c:size val="5"/>
            <c:spPr>
              <a:solidFill>
                <a:schemeClr val="accent1">
                  <a:lumMod val="60000"/>
                </a:schemeClr>
              </a:solidFill>
              <a:ln w="9525">
                <a:solidFill>
                  <a:schemeClr val="accent1">
                    <a:lumMod val="60000"/>
                  </a:schemeClr>
                </a:solidFill>
              </a:ln>
              <a:effectLst/>
            </c:spPr>
          </c:marker>
          <c:xVal>
            <c:numRef>
              <c:f>graphs!$C$3:$I$3</c:f>
              <c:numCache>
                <c:formatCode>General</c:formatCode>
                <c:ptCount val="7"/>
                <c:pt idx="0">
                  <c:v>153</c:v>
                </c:pt>
                <c:pt idx="1">
                  <c:v>166</c:v>
                </c:pt>
                <c:pt idx="2">
                  <c:v>180</c:v>
                </c:pt>
                <c:pt idx="3">
                  <c:v>194</c:v>
                </c:pt>
                <c:pt idx="4">
                  <c:v>208</c:v>
                </c:pt>
                <c:pt idx="5">
                  <c:v>223</c:v>
                </c:pt>
                <c:pt idx="6">
                  <c:v>236</c:v>
                </c:pt>
              </c:numCache>
            </c:numRef>
          </c:xVal>
          <c:yVal>
            <c:numRef>
              <c:f>graphs!$C$10:$I$10</c:f>
              <c:numCache>
                <c:formatCode>General</c:formatCode>
                <c:ptCount val="7"/>
                <c:pt idx="0" formatCode="0.0">
                  <c:v>11.2</c:v>
                </c:pt>
                <c:pt idx="1">
                  <c:v>34.4</c:v>
                </c:pt>
                <c:pt idx="2">
                  <c:v>54</c:v>
                </c:pt>
                <c:pt idx="3">
                  <c:v>70</c:v>
                </c:pt>
                <c:pt idx="4">
                  <c:v>87.2</c:v>
                </c:pt>
                <c:pt idx="5">
                  <c:v>96.4</c:v>
                </c:pt>
                <c:pt idx="6">
                  <c:v>104</c:v>
                </c:pt>
              </c:numCache>
            </c:numRef>
          </c:yVal>
          <c:smooth val="1"/>
          <c:extLst>
            <c:ext xmlns:c16="http://schemas.microsoft.com/office/drawing/2014/chart" uri="{C3380CC4-5D6E-409C-BE32-E72D297353CC}">
              <c16:uniqueId val="{00000006-BD16-4BFA-9C35-18172F4051B2}"/>
            </c:ext>
          </c:extLst>
        </c:ser>
        <c:ser>
          <c:idx val="7"/>
          <c:order val="7"/>
          <c:tx>
            <c:strRef>
              <c:f>graphs!$A$11</c:f>
              <c:strCache>
                <c:ptCount val="1"/>
                <c:pt idx="0">
                  <c:v>plot 09</c:v>
                </c:pt>
              </c:strCache>
            </c:strRef>
          </c:tx>
          <c:spPr>
            <a:ln w="19050" cap="rnd">
              <a:solidFill>
                <a:schemeClr val="accent2">
                  <a:lumMod val="60000"/>
                </a:schemeClr>
              </a:solidFill>
              <a:round/>
            </a:ln>
            <a:effectLst/>
          </c:spPr>
          <c:marker>
            <c:symbol val="circle"/>
            <c:size val="5"/>
            <c:spPr>
              <a:solidFill>
                <a:schemeClr val="accent2">
                  <a:lumMod val="60000"/>
                </a:schemeClr>
              </a:solidFill>
              <a:ln w="9525">
                <a:solidFill>
                  <a:schemeClr val="accent2">
                    <a:lumMod val="60000"/>
                  </a:schemeClr>
                </a:solidFill>
              </a:ln>
              <a:effectLst/>
            </c:spPr>
          </c:marker>
          <c:xVal>
            <c:numRef>
              <c:f>graphs!$C$3:$I$3</c:f>
              <c:numCache>
                <c:formatCode>General</c:formatCode>
                <c:ptCount val="7"/>
                <c:pt idx="0">
                  <c:v>153</c:v>
                </c:pt>
                <c:pt idx="1">
                  <c:v>166</c:v>
                </c:pt>
                <c:pt idx="2">
                  <c:v>180</c:v>
                </c:pt>
                <c:pt idx="3">
                  <c:v>194</c:v>
                </c:pt>
                <c:pt idx="4">
                  <c:v>208</c:v>
                </c:pt>
                <c:pt idx="5">
                  <c:v>223</c:v>
                </c:pt>
                <c:pt idx="6">
                  <c:v>236</c:v>
                </c:pt>
              </c:numCache>
            </c:numRef>
          </c:xVal>
          <c:yVal>
            <c:numRef>
              <c:f>graphs!$C$11:$I$11</c:f>
              <c:numCache>
                <c:formatCode>General</c:formatCode>
                <c:ptCount val="7"/>
                <c:pt idx="0" formatCode="0.0">
                  <c:v>11.6</c:v>
                </c:pt>
                <c:pt idx="1">
                  <c:v>32.799999999999997</c:v>
                </c:pt>
                <c:pt idx="2">
                  <c:v>50.8</c:v>
                </c:pt>
                <c:pt idx="3">
                  <c:v>70.400000000000006</c:v>
                </c:pt>
                <c:pt idx="4">
                  <c:v>83.8</c:v>
                </c:pt>
                <c:pt idx="5">
                  <c:v>93.6</c:v>
                </c:pt>
                <c:pt idx="6">
                  <c:v>95</c:v>
                </c:pt>
              </c:numCache>
            </c:numRef>
          </c:yVal>
          <c:smooth val="1"/>
          <c:extLst>
            <c:ext xmlns:c16="http://schemas.microsoft.com/office/drawing/2014/chart" uri="{C3380CC4-5D6E-409C-BE32-E72D297353CC}">
              <c16:uniqueId val="{00000007-BD16-4BFA-9C35-18172F4051B2}"/>
            </c:ext>
          </c:extLst>
        </c:ser>
        <c:ser>
          <c:idx val="8"/>
          <c:order val="8"/>
          <c:tx>
            <c:strRef>
              <c:f>graphs!$A$12</c:f>
              <c:strCache>
                <c:ptCount val="1"/>
                <c:pt idx="0">
                  <c:v>plot 10</c:v>
                </c:pt>
              </c:strCache>
            </c:strRef>
          </c:tx>
          <c:spPr>
            <a:ln w="19050" cap="rnd">
              <a:solidFill>
                <a:schemeClr val="accent3">
                  <a:lumMod val="60000"/>
                </a:schemeClr>
              </a:solidFill>
              <a:round/>
            </a:ln>
            <a:effectLst/>
          </c:spPr>
          <c:marker>
            <c:symbol val="circle"/>
            <c:size val="5"/>
            <c:spPr>
              <a:solidFill>
                <a:schemeClr val="accent3">
                  <a:lumMod val="60000"/>
                </a:schemeClr>
              </a:solidFill>
              <a:ln w="9525">
                <a:solidFill>
                  <a:schemeClr val="accent3">
                    <a:lumMod val="60000"/>
                  </a:schemeClr>
                </a:solidFill>
              </a:ln>
              <a:effectLst/>
            </c:spPr>
          </c:marker>
          <c:xVal>
            <c:numRef>
              <c:f>graphs!$C$3:$I$3</c:f>
              <c:numCache>
                <c:formatCode>General</c:formatCode>
                <c:ptCount val="7"/>
                <c:pt idx="0">
                  <c:v>153</c:v>
                </c:pt>
                <c:pt idx="1">
                  <c:v>166</c:v>
                </c:pt>
                <c:pt idx="2">
                  <c:v>180</c:v>
                </c:pt>
                <c:pt idx="3">
                  <c:v>194</c:v>
                </c:pt>
                <c:pt idx="4">
                  <c:v>208</c:v>
                </c:pt>
                <c:pt idx="5">
                  <c:v>223</c:v>
                </c:pt>
                <c:pt idx="6">
                  <c:v>236</c:v>
                </c:pt>
              </c:numCache>
            </c:numRef>
          </c:xVal>
          <c:yVal>
            <c:numRef>
              <c:f>graphs!$C$12:$I$12</c:f>
              <c:numCache>
                <c:formatCode>General</c:formatCode>
                <c:ptCount val="7"/>
                <c:pt idx="0" formatCode="0.0">
                  <c:v>12</c:v>
                </c:pt>
                <c:pt idx="1">
                  <c:v>34.200000000000003</c:v>
                </c:pt>
                <c:pt idx="2">
                  <c:v>54.6</c:v>
                </c:pt>
                <c:pt idx="3">
                  <c:v>69.2</c:v>
                </c:pt>
                <c:pt idx="4">
                  <c:v>83</c:v>
                </c:pt>
                <c:pt idx="5">
                  <c:v>94</c:v>
                </c:pt>
                <c:pt idx="6">
                  <c:v>99.6</c:v>
                </c:pt>
              </c:numCache>
            </c:numRef>
          </c:yVal>
          <c:smooth val="1"/>
          <c:extLst>
            <c:ext xmlns:c16="http://schemas.microsoft.com/office/drawing/2014/chart" uri="{C3380CC4-5D6E-409C-BE32-E72D297353CC}">
              <c16:uniqueId val="{00000008-BD16-4BFA-9C35-18172F4051B2}"/>
            </c:ext>
          </c:extLst>
        </c:ser>
        <c:ser>
          <c:idx val="9"/>
          <c:order val="9"/>
          <c:tx>
            <c:strRef>
              <c:f>graphs!$A$13</c:f>
              <c:strCache>
                <c:ptCount val="1"/>
                <c:pt idx="0">
                  <c:v>plot 11</c:v>
                </c:pt>
              </c:strCache>
            </c:strRef>
          </c:tx>
          <c:spPr>
            <a:ln w="19050" cap="rnd">
              <a:solidFill>
                <a:schemeClr val="accent4">
                  <a:lumMod val="60000"/>
                </a:schemeClr>
              </a:solidFill>
              <a:round/>
            </a:ln>
            <a:effectLst/>
          </c:spPr>
          <c:marker>
            <c:symbol val="circle"/>
            <c:size val="5"/>
            <c:spPr>
              <a:solidFill>
                <a:schemeClr val="accent4">
                  <a:lumMod val="60000"/>
                </a:schemeClr>
              </a:solidFill>
              <a:ln w="9525">
                <a:solidFill>
                  <a:schemeClr val="accent4">
                    <a:lumMod val="60000"/>
                  </a:schemeClr>
                </a:solidFill>
              </a:ln>
              <a:effectLst/>
            </c:spPr>
          </c:marker>
          <c:xVal>
            <c:numRef>
              <c:f>graphs!$C$3:$I$3</c:f>
              <c:numCache>
                <c:formatCode>General</c:formatCode>
                <c:ptCount val="7"/>
                <c:pt idx="0">
                  <c:v>153</c:v>
                </c:pt>
                <c:pt idx="1">
                  <c:v>166</c:v>
                </c:pt>
                <c:pt idx="2">
                  <c:v>180</c:v>
                </c:pt>
                <c:pt idx="3">
                  <c:v>194</c:v>
                </c:pt>
                <c:pt idx="4">
                  <c:v>208</c:v>
                </c:pt>
                <c:pt idx="5">
                  <c:v>223</c:v>
                </c:pt>
                <c:pt idx="6">
                  <c:v>236</c:v>
                </c:pt>
              </c:numCache>
            </c:numRef>
          </c:xVal>
          <c:yVal>
            <c:numRef>
              <c:f>graphs!$C$13:$I$13</c:f>
              <c:numCache>
                <c:formatCode>General</c:formatCode>
                <c:ptCount val="7"/>
                <c:pt idx="0" formatCode="0.0">
                  <c:v>10.4</c:v>
                </c:pt>
                <c:pt idx="1">
                  <c:v>29.6</c:v>
                </c:pt>
                <c:pt idx="2">
                  <c:v>50.6</c:v>
                </c:pt>
                <c:pt idx="3">
                  <c:v>66</c:v>
                </c:pt>
                <c:pt idx="4">
                  <c:v>74.400000000000006</c:v>
                </c:pt>
                <c:pt idx="5">
                  <c:v>76.400000000000006</c:v>
                </c:pt>
                <c:pt idx="6">
                  <c:v>78</c:v>
                </c:pt>
              </c:numCache>
            </c:numRef>
          </c:yVal>
          <c:smooth val="1"/>
          <c:extLst>
            <c:ext xmlns:c16="http://schemas.microsoft.com/office/drawing/2014/chart" uri="{C3380CC4-5D6E-409C-BE32-E72D297353CC}">
              <c16:uniqueId val="{00000009-BD16-4BFA-9C35-18172F4051B2}"/>
            </c:ext>
          </c:extLst>
        </c:ser>
        <c:dLbls>
          <c:showLegendKey val="0"/>
          <c:showVal val="0"/>
          <c:showCatName val="0"/>
          <c:showSerName val="0"/>
          <c:showPercent val="0"/>
          <c:showBubbleSize val="0"/>
        </c:dLbls>
        <c:axId val="579217360"/>
        <c:axId val="579219712"/>
      </c:scatterChart>
      <c:valAx>
        <c:axId val="579217360"/>
        <c:scaling>
          <c:orientation val="minMax"/>
          <c:min val="150"/>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DOY</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9219712"/>
        <c:crosses val="autoZero"/>
        <c:crossBetween val="midCat"/>
      </c:valAx>
      <c:valAx>
        <c:axId val="57921971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height (cm)</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9217360"/>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2014 canopy heights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smoothMarker"/>
        <c:varyColors val="0"/>
        <c:ser>
          <c:idx val="0"/>
          <c:order val="0"/>
          <c:tx>
            <c:strRef>
              <c:f>graphs!$M$4</c:f>
              <c:strCache>
                <c:ptCount val="1"/>
                <c:pt idx="0">
                  <c:v>plot 01</c:v>
                </c:pt>
              </c:strCache>
            </c:strRef>
          </c:tx>
          <c:spPr>
            <a:ln w="19050" cap="rnd">
              <a:solidFill>
                <a:schemeClr val="accent1"/>
              </a:solidFill>
              <a:round/>
            </a:ln>
            <a:effectLst/>
          </c:spPr>
          <c:marker>
            <c:symbol val="circle"/>
            <c:size val="5"/>
            <c:spPr>
              <a:solidFill>
                <a:schemeClr val="accent1"/>
              </a:solidFill>
              <a:ln w="9525">
                <a:solidFill>
                  <a:schemeClr val="accent1"/>
                </a:solidFill>
              </a:ln>
              <a:effectLst/>
            </c:spPr>
          </c:marker>
          <c:xVal>
            <c:numRef>
              <c:f>graphs!$O$3:$T$3</c:f>
              <c:numCache>
                <c:formatCode>General</c:formatCode>
                <c:ptCount val="6"/>
                <c:pt idx="0">
                  <c:v>154</c:v>
                </c:pt>
                <c:pt idx="1">
                  <c:v>167</c:v>
                </c:pt>
                <c:pt idx="2">
                  <c:v>181</c:v>
                </c:pt>
                <c:pt idx="3">
                  <c:v>195</c:v>
                </c:pt>
                <c:pt idx="4">
                  <c:v>209</c:v>
                </c:pt>
                <c:pt idx="5">
                  <c:v>224</c:v>
                </c:pt>
              </c:numCache>
            </c:numRef>
          </c:xVal>
          <c:yVal>
            <c:numRef>
              <c:f>graphs!$O$4:$T$4</c:f>
              <c:numCache>
                <c:formatCode>0.0</c:formatCode>
                <c:ptCount val="6"/>
                <c:pt idx="0">
                  <c:v>18.3333333333333</c:v>
                </c:pt>
                <c:pt idx="1">
                  <c:v>37.5</c:v>
                </c:pt>
                <c:pt idx="2">
                  <c:v>50.666666666666664</c:v>
                </c:pt>
                <c:pt idx="3">
                  <c:v>67.333333333333329</c:v>
                </c:pt>
                <c:pt idx="4">
                  <c:v>66.666666666666671</c:v>
                </c:pt>
                <c:pt idx="5">
                  <c:v>71.333333333333329</c:v>
                </c:pt>
              </c:numCache>
            </c:numRef>
          </c:yVal>
          <c:smooth val="1"/>
          <c:extLst>
            <c:ext xmlns:c16="http://schemas.microsoft.com/office/drawing/2014/chart" uri="{C3380CC4-5D6E-409C-BE32-E72D297353CC}">
              <c16:uniqueId val="{00000000-FB9F-4851-8D21-28D0983F55FB}"/>
            </c:ext>
          </c:extLst>
        </c:ser>
        <c:ser>
          <c:idx val="1"/>
          <c:order val="1"/>
          <c:tx>
            <c:strRef>
              <c:f>graphs!$M$5</c:f>
              <c:strCache>
                <c:ptCount val="1"/>
                <c:pt idx="0">
                  <c:v>plot 02</c:v>
                </c:pt>
              </c:strCache>
            </c:strRef>
          </c:tx>
          <c:spPr>
            <a:ln w="19050" cap="rnd">
              <a:solidFill>
                <a:schemeClr val="accent2"/>
              </a:solidFill>
              <a:round/>
            </a:ln>
            <a:effectLst/>
          </c:spPr>
          <c:marker>
            <c:symbol val="circle"/>
            <c:size val="5"/>
            <c:spPr>
              <a:solidFill>
                <a:schemeClr val="accent2"/>
              </a:solidFill>
              <a:ln w="9525">
                <a:solidFill>
                  <a:schemeClr val="accent2"/>
                </a:solidFill>
              </a:ln>
              <a:effectLst/>
            </c:spPr>
          </c:marker>
          <c:xVal>
            <c:numRef>
              <c:f>graphs!$O$3:$T$3</c:f>
              <c:numCache>
                <c:formatCode>General</c:formatCode>
                <c:ptCount val="6"/>
                <c:pt idx="0">
                  <c:v>154</c:v>
                </c:pt>
                <c:pt idx="1">
                  <c:v>167</c:v>
                </c:pt>
                <c:pt idx="2">
                  <c:v>181</c:v>
                </c:pt>
                <c:pt idx="3">
                  <c:v>195</c:v>
                </c:pt>
                <c:pt idx="4">
                  <c:v>209</c:v>
                </c:pt>
                <c:pt idx="5">
                  <c:v>224</c:v>
                </c:pt>
              </c:numCache>
            </c:numRef>
          </c:xVal>
          <c:yVal>
            <c:numRef>
              <c:f>graphs!$O$5:$T$5</c:f>
              <c:numCache>
                <c:formatCode>0.0</c:formatCode>
                <c:ptCount val="6"/>
                <c:pt idx="0">
                  <c:v>17</c:v>
                </c:pt>
                <c:pt idx="1">
                  <c:v>34.5</c:v>
                </c:pt>
                <c:pt idx="2">
                  <c:v>63.833333333333336</c:v>
                </c:pt>
                <c:pt idx="3">
                  <c:v>90</c:v>
                </c:pt>
                <c:pt idx="4">
                  <c:v>98.166666666666671</c:v>
                </c:pt>
                <c:pt idx="5">
                  <c:v>98.833333333333329</c:v>
                </c:pt>
              </c:numCache>
            </c:numRef>
          </c:yVal>
          <c:smooth val="1"/>
          <c:extLst>
            <c:ext xmlns:c16="http://schemas.microsoft.com/office/drawing/2014/chart" uri="{C3380CC4-5D6E-409C-BE32-E72D297353CC}">
              <c16:uniqueId val="{00000001-FB9F-4851-8D21-28D0983F55FB}"/>
            </c:ext>
          </c:extLst>
        </c:ser>
        <c:ser>
          <c:idx val="2"/>
          <c:order val="2"/>
          <c:tx>
            <c:strRef>
              <c:f>graphs!$M$6</c:f>
              <c:strCache>
                <c:ptCount val="1"/>
                <c:pt idx="0">
                  <c:v>plot 03</c:v>
                </c:pt>
              </c:strCache>
            </c:strRef>
          </c:tx>
          <c:spPr>
            <a:ln w="19050" cap="rnd">
              <a:solidFill>
                <a:schemeClr val="accent3"/>
              </a:solidFill>
              <a:round/>
            </a:ln>
            <a:effectLst/>
          </c:spPr>
          <c:marker>
            <c:symbol val="circle"/>
            <c:size val="5"/>
            <c:spPr>
              <a:solidFill>
                <a:schemeClr val="accent3"/>
              </a:solidFill>
              <a:ln w="9525">
                <a:solidFill>
                  <a:schemeClr val="accent3"/>
                </a:solidFill>
              </a:ln>
              <a:effectLst/>
            </c:spPr>
          </c:marker>
          <c:xVal>
            <c:numRef>
              <c:f>graphs!$O$3:$T$3</c:f>
              <c:numCache>
                <c:formatCode>General</c:formatCode>
                <c:ptCount val="6"/>
                <c:pt idx="0">
                  <c:v>154</c:v>
                </c:pt>
                <c:pt idx="1">
                  <c:v>167</c:v>
                </c:pt>
                <c:pt idx="2">
                  <c:v>181</c:v>
                </c:pt>
                <c:pt idx="3">
                  <c:v>195</c:v>
                </c:pt>
                <c:pt idx="4">
                  <c:v>209</c:v>
                </c:pt>
                <c:pt idx="5">
                  <c:v>224</c:v>
                </c:pt>
              </c:numCache>
            </c:numRef>
          </c:xVal>
          <c:yVal>
            <c:numRef>
              <c:f>graphs!$O$6:$T$6</c:f>
              <c:numCache>
                <c:formatCode>0.0</c:formatCode>
                <c:ptCount val="6"/>
                <c:pt idx="0">
                  <c:v>19.5</c:v>
                </c:pt>
                <c:pt idx="1">
                  <c:v>34.666666666666664</c:v>
                </c:pt>
                <c:pt idx="2">
                  <c:v>59.833333333333336</c:v>
                </c:pt>
                <c:pt idx="3">
                  <c:v>91</c:v>
                </c:pt>
                <c:pt idx="4">
                  <c:v>104</c:v>
                </c:pt>
                <c:pt idx="5">
                  <c:v>105</c:v>
                </c:pt>
              </c:numCache>
            </c:numRef>
          </c:yVal>
          <c:smooth val="1"/>
          <c:extLst>
            <c:ext xmlns:c16="http://schemas.microsoft.com/office/drawing/2014/chart" uri="{C3380CC4-5D6E-409C-BE32-E72D297353CC}">
              <c16:uniqueId val="{00000002-FB9F-4851-8D21-28D0983F55FB}"/>
            </c:ext>
          </c:extLst>
        </c:ser>
        <c:ser>
          <c:idx val="3"/>
          <c:order val="3"/>
          <c:tx>
            <c:strRef>
              <c:f>graphs!$M$7</c:f>
              <c:strCache>
                <c:ptCount val="1"/>
                <c:pt idx="0">
                  <c:v>plot 04</c:v>
                </c:pt>
              </c:strCache>
            </c:strRef>
          </c:tx>
          <c:spPr>
            <a:ln w="19050" cap="rnd">
              <a:solidFill>
                <a:schemeClr val="accent4"/>
              </a:solidFill>
              <a:round/>
            </a:ln>
            <a:effectLst/>
          </c:spPr>
          <c:marker>
            <c:symbol val="circle"/>
            <c:size val="5"/>
            <c:spPr>
              <a:solidFill>
                <a:schemeClr val="accent4"/>
              </a:solidFill>
              <a:ln w="9525">
                <a:solidFill>
                  <a:schemeClr val="accent4"/>
                </a:solidFill>
              </a:ln>
              <a:effectLst/>
            </c:spPr>
          </c:marker>
          <c:xVal>
            <c:numRef>
              <c:f>graphs!$O$3:$T$3</c:f>
              <c:numCache>
                <c:formatCode>General</c:formatCode>
                <c:ptCount val="6"/>
                <c:pt idx="0">
                  <c:v>154</c:v>
                </c:pt>
                <c:pt idx="1">
                  <c:v>167</c:v>
                </c:pt>
                <c:pt idx="2">
                  <c:v>181</c:v>
                </c:pt>
                <c:pt idx="3">
                  <c:v>195</c:v>
                </c:pt>
                <c:pt idx="4">
                  <c:v>209</c:v>
                </c:pt>
                <c:pt idx="5">
                  <c:v>224</c:v>
                </c:pt>
              </c:numCache>
            </c:numRef>
          </c:xVal>
          <c:yVal>
            <c:numRef>
              <c:f>graphs!$O$7:$T$7</c:f>
              <c:numCache>
                <c:formatCode>0.0</c:formatCode>
                <c:ptCount val="6"/>
                <c:pt idx="0">
                  <c:v>20.166666666666668</c:v>
                </c:pt>
                <c:pt idx="1">
                  <c:v>37.833333333333336</c:v>
                </c:pt>
                <c:pt idx="2">
                  <c:v>67.166666666666671</c:v>
                </c:pt>
                <c:pt idx="3">
                  <c:v>90.5</c:v>
                </c:pt>
                <c:pt idx="4">
                  <c:v>98.166666666666671</c:v>
                </c:pt>
                <c:pt idx="5">
                  <c:v>101.66666666666667</c:v>
                </c:pt>
              </c:numCache>
            </c:numRef>
          </c:yVal>
          <c:smooth val="1"/>
          <c:extLst>
            <c:ext xmlns:c16="http://schemas.microsoft.com/office/drawing/2014/chart" uri="{C3380CC4-5D6E-409C-BE32-E72D297353CC}">
              <c16:uniqueId val="{00000003-FB9F-4851-8D21-28D0983F55FB}"/>
            </c:ext>
          </c:extLst>
        </c:ser>
        <c:ser>
          <c:idx val="4"/>
          <c:order val="4"/>
          <c:tx>
            <c:strRef>
              <c:f>graphs!$M$8</c:f>
              <c:strCache>
                <c:ptCount val="1"/>
                <c:pt idx="0">
                  <c:v>plot 05</c:v>
                </c:pt>
              </c:strCache>
            </c:strRef>
          </c:tx>
          <c:spPr>
            <a:ln w="19050" cap="rnd">
              <a:solidFill>
                <a:schemeClr val="accent5"/>
              </a:solidFill>
              <a:round/>
            </a:ln>
            <a:effectLst/>
          </c:spPr>
          <c:marker>
            <c:symbol val="circle"/>
            <c:size val="5"/>
            <c:spPr>
              <a:solidFill>
                <a:schemeClr val="accent5"/>
              </a:solidFill>
              <a:ln w="9525">
                <a:solidFill>
                  <a:schemeClr val="accent5"/>
                </a:solidFill>
              </a:ln>
              <a:effectLst/>
            </c:spPr>
          </c:marker>
          <c:xVal>
            <c:numRef>
              <c:f>graphs!$O$3:$T$3</c:f>
              <c:numCache>
                <c:formatCode>General</c:formatCode>
                <c:ptCount val="6"/>
                <c:pt idx="0">
                  <c:v>154</c:v>
                </c:pt>
                <c:pt idx="1">
                  <c:v>167</c:v>
                </c:pt>
                <c:pt idx="2">
                  <c:v>181</c:v>
                </c:pt>
                <c:pt idx="3">
                  <c:v>195</c:v>
                </c:pt>
                <c:pt idx="4">
                  <c:v>209</c:v>
                </c:pt>
                <c:pt idx="5">
                  <c:v>224</c:v>
                </c:pt>
              </c:numCache>
            </c:numRef>
          </c:xVal>
          <c:yVal>
            <c:numRef>
              <c:f>graphs!$O$8:$T$8</c:f>
              <c:numCache>
                <c:formatCode>0.0</c:formatCode>
                <c:ptCount val="6"/>
                <c:pt idx="0">
                  <c:v>21.666666666666668</c:v>
                </c:pt>
                <c:pt idx="1">
                  <c:v>38.166666666666664</c:v>
                </c:pt>
                <c:pt idx="2">
                  <c:v>68.333333333333329</c:v>
                </c:pt>
                <c:pt idx="3">
                  <c:v>97.166666666666671</c:v>
                </c:pt>
                <c:pt idx="4">
                  <c:v>102.16666666666667</c:v>
                </c:pt>
                <c:pt idx="5">
                  <c:v>108</c:v>
                </c:pt>
              </c:numCache>
            </c:numRef>
          </c:yVal>
          <c:smooth val="1"/>
          <c:extLst>
            <c:ext xmlns:c16="http://schemas.microsoft.com/office/drawing/2014/chart" uri="{C3380CC4-5D6E-409C-BE32-E72D297353CC}">
              <c16:uniqueId val="{00000004-FB9F-4851-8D21-28D0983F55FB}"/>
            </c:ext>
          </c:extLst>
        </c:ser>
        <c:ser>
          <c:idx val="5"/>
          <c:order val="5"/>
          <c:tx>
            <c:strRef>
              <c:f>graphs!$M$9</c:f>
              <c:strCache>
                <c:ptCount val="1"/>
                <c:pt idx="0">
                  <c:v>plot 06</c:v>
                </c:pt>
              </c:strCache>
            </c:strRef>
          </c:tx>
          <c:spPr>
            <a:ln w="19050" cap="rnd">
              <a:solidFill>
                <a:schemeClr val="accent6"/>
              </a:solidFill>
              <a:round/>
            </a:ln>
            <a:effectLst/>
          </c:spPr>
          <c:marker>
            <c:symbol val="circle"/>
            <c:size val="5"/>
            <c:spPr>
              <a:solidFill>
                <a:schemeClr val="accent6"/>
              </a:solidFill>
              <a:ln w="9525">
                <a:solidFill>
                  <a:schemeClr val="accent6"/>
                </a:solidFill>
              </a:ln>
              <a:effectLst/>
            </c:spPr>
          </c:marker>
          <c:xVal>
            <c:numRef>
              <c:f>graphs!$O$3:$T$3</c:f>
              <c:numCache>
                <c:formatCode>General</c:formatCode>
                <c:ptCount val="6"/>
                <c:pt idx="0">
                  <c:v>154</c:v>
                </c:pt>
                <c:pt idx="1">
                  <c:v>167</c:v>
                </c:pt>
                <c:pt idx="2">
                  <c:v>181</c:v>
                </c:pt>
                <c:pt idx="3">
                  <c:v>195</c:v>
                </c:pt>
                <c:pt idx="4">
                  <c:v>209</c:v>
                </c:pt>
                <c:pt idx="5">
                  <c:v>224</c:v>
                </c:pt>
              </c:numCache>
            </c:numRef>
          </c:xVal>
          <c:yVal>
            <c:numRef>
              <c:f>graphs!$O$9:$T$9</c:f>
              <c:numCache>
                <c:formatCode>0.0</c:formatCode>
                <c:ptCount val="6"/>
                <c:pt idx="0">
                  <c:v>19.666666666666668</c:v>
                </c:pt>
                <c:pt idx="1">
                  <c:v>33.666666666666664</c:v>
                </c:pt>
                <c:pt idx="2">
                  <c:v>51.5</c:v>
                </c:pt>
                <c:pt idx="3">
                  <c:v>68.333333333333329</c:v>
                </c:pt>
                <c:pt idx="4">
                  <c:v>70.5</c:v>
                </c:pt>
                <c:pt idx="5">
                  <c:v>75.833333333333329</c:v>
                </c:pt>
              </c:numCache>
            </c:numRef>
          </c:yVal>
          <c:smooth val="1"/>
          <c:extLst>
            <c:ext xmlns:c16="http://schemas.microsoft.com/office/drawing/2014/chart" uri="{C3380CC4-5D6E-409C-BE32-E72D297353CC}">
              <c16:uniqueId val="{00000005-FB9F-4851-8D21-28D0983F55FB}"/>
            </c:ext>
          </c:extLst>
        </c:ser>
        <c:ser>
          <c:idx val="6"/>
          <c:order val="6"/>
          <c:tx>
            <c:strRef>
              <c:f>graphs!$M$10</c:f>
              <c:strCache>
                <c:ptCount val="1"/>
                <c:pt idx="0">
                  <c:v>plot 07</c:v>
                </c:pt>
              </c:strCache>
            </c:strRef>
          </c:tx>
          <c:spPr>
            <a:ln w="19050" cap="rnd">
              <a:solidFill>
                <a:schemeClr val="accent1">
                  <a:lumMod val="60000"/>
                </a:schemeClr>
              </a:solidFill>
              <a:round/>
            </a:ln>
            <a:effectLst/>
          </c:spPr>
          <c:marker>
            <c:symbol val="circle"/>
            <c:size val="5"/>
            <c:spPr>
              <a:solidFill>
                <a:schemeClr val="accent1">
                  <a:lumMod val="60000"/>
                </a:schemeClr>
              </a:solidFill>
              <a:ln w="9525">
                <a:solidFill>
                  <a:schemeClr val="accent1">
                    <a:lumMod val="60000"/>
                  </a:schemeClr>
                </a:solidFill>
              </a:ln>
              <a:effectLst/>
            </c:spPr>
          </c:marker>
          <c:xVal>
            <c:numRef>
              <c:f>graphs!$O$3:$T$3</c:f>
              <c:numCache>
                <c:formatCode>General</c:formatCode>
                <c:ptCount val="6"/>
                <c:pt idx="0">
                  <c:v>154</c:v>
                </c:pt>
                <c:pt idx="1">
                  <c:v>167</c:v>
                </c:pt>
                <c:pt idx="2">
                  <c:v>181</c:v>
                </c:pt>
                <c:pt idx="3">
                  <c:v>195</c:v>
                </c:pt>
                <c:pt idx="4">
                  <c:v>209</c:v>
                </c:pt>
                <c:pt idx="5">
                  <c:v>224</c:v>
                </c:pt>
              </c:numCache>
            </c:numRef>
          </c:xVal>
          <c:yVal>
            <c:numRef>
              <c:f>graphs!$O$10:$T$10</c:f>
              <c:numCache>
                <c:formatCode>0.0</c:formatCode>
                <c:ptCount val="6"/>
                <c:pt idx="0">
                  <c:v>20.666666666666668</c:v>
                </c:pt>
                <c:pt idx="1">
                  <c:v>31.666666666666668</c:v>
                </c:pt>
                <c:pt idx="2">
                  <c:v>58.166666666666664</c:v>
                </c:pt>
                <c:pt idx="3">
                  <c:v>85.833333333333329</c:v>
                </c:pt>
                <c:pt idx="4">
                  <c:v>102.16666666666667</c:v>
                </c:pt>
                <c:pt idx="5">
                  <c:v>108.5</c:v>
                </c:pt>
              </c:numCache>
            </c:numRef>
          </c:yVal>
          <c:smooth val="1"/>
          <c:extLst>
            <c:ext xmlns:c16="http://schemas.microsoft.com/office/drawing/2014/chart" uri="{C3380CC4-5D6E-409C-BE32-E72D297353CC}">
              <c16:uniqueId val="{00000006-FB9F-4851-8D21-28D0983F55FB}"/>
            </c:ext>
          </c:extLst>
        </c:ser>
        <c:ser>
          <c:idx val="7"/>
          <c:order val="7"/>
          <c:tx>
            <c:strRef>
              <c:f>graphs!$M$11</c:f>
              <c:strCache>
                <c:ptCount val="1"/>
                <c:pt idx="0">
                  <c:v>plot 08</c:v>
                </c:pt>
              </c:strCache>
            </c:strRef>
          </c:tx>
          <c:spPr>
            <a:ln w="19050" cap="rnd">
              <a:solidFill>
                <a:schemeClr val="accent2">
                  <a:lumMod val="60000"/>
                </a:schemeClr>
              </a:solidFill>
              <a:round/>
            </a:ln>
            <a:effectLst/>
          </c:spPr>
          <c:marker>
            <c:symbol val="circle"/>
            <c:size val="5"/>
            <c:spPr>
              <a:solidFill>
                <a:schemeClr val="accent2">
                  <a:lumMod val="60000"/>
                </a:schemeClr>
              </a:solidFill>
              <a:ln w="9525">
                <a:solidFill>
                  <a:schemeClr val="accent2">
                    <a:lumMod val="60000"/>
                  </a:schemeClr>
                </a:solidFill>
              </a:ln>
              <a:effectLst/>
            </c:spPr>
          </c:marker>
          <c:xVal>
            <c:numRef>
              <c:f>graphs!$O$3:$T$3</c:f>
              <c:numCache>
                <c:formatCode>General</c:formatCode>
                <c:ptCount val="6"/>
                <c:pt idx="0">
                  <c:v>154</c:v>
                </c:pt>
                <c:pt idx="1">
                  <c:v>167</c:v>
                </c:pt>
                <c:pt idx="2">
                  <c:v>181</c:v>
                </c:pt>
                <c:pt idx="3">
                  <c:v>195</c:v>
                </c:pt>
                <c:pt idx="4">
                  <c:v>209</c:v>
                </c:pt>
                <c:pt idx="5">
                  <c:v>224</c:v>
                </c:pt>
              </c:numCache>
            </c:numRef>
          </c:xVal>
          <c:yVal>
            <c:numRef>
              <c:f>graphs!$O$11:$T$11</c:f>
              <c:numCache>
                <c:formatCode>0.0</c:formatCode>
                <c:ptCount val="6"/>
                <c:pt idx="0">
                  <c:v>19.833333333333332</c:v>
                </c:pt>
                <c:pt idx="1">
                  <c:v>36.5</c:v>
                </c:pt>
                <c:pt idx="2">
                  <c:v>61</c:v>
                </c:pt>
                <c:pt idx="3">
                  <c:v>87.666666666666671</c:v>
                </c:pt>
                <c:pt idx="4">
                  <c:v>92</c:v>
                </c:pt>
                <c:pt idx="5">
                  <c:v>95.833333333333329</c:v>
                </c:pt>
              </c:numCache>
            </c:numRef>
          </c:yVal>
          <c:smooth val="1"/>
          <c:extLst>
            <c:ext xmlns:c16="http://schemas.microsoft.com/office/drawing/2014/chart" uri="{C3380CC4-5D6E-409C-BE32-E72D297353CC}">
              <c16:uniqueId val="{00000007-FB9F-4851-8D21-28D0983F55FB}"/>
            </c:ext>
          </c:extLst>
        </c:ser>
        <c:ser>
          <c:idx val="8"/>
          <c:order val="8"/>
          <c:tx>
            <c:strRef>
              <c:f>graphs!$M$12</c:f>
              <c:strCache>
                <c:ptCount val="1"/>
                <c:pt idx="0">
                  <c:v>plot 09</c:v>
                </c:pt>
              </c:strCache>
            </c:strRef>
          </c:tx>
          <c:spPr>
            <a:ln w="19050" cap="rnd">
              <a:solidFill>
                <a:schemeClr val="accent3">
                  <a:lumMod val="60000"/>
                </a:schemeClr>
              </a:solidFill>
              <a:round/>
            </a:ln>
            <a:effectLst/>
          </c:spPr>
          <c:marker>
            <c:symbol val="circle"/>
            <c:size val="5"/>
            <c:spPr>
              <a:solidFill>
                <a:schemeClr val="accent3">
                  <a:lumMod val="60000"/>
                </a:schemeClr>
              </a:solidFill>
              <a:ln w="9525">
                <a:solidFill>
                  <a:schemeClr val="accent3">
                    <a:lumMod val="60000"/>
                  </a:schemeClr>
                </a:solidFill>
              </a:ln>
              <a:effectLst/>
            </c:spPr>
          </c:marker>
          <c:xVal>
            <c:numRef>
              <c:f>graphs!$O$3:$T$3</c:f>
              <c:numCache>
                <c:formatCode>General</c:formatCode>
                <c:ptCount val="6"/>
                <c:pt idx="0">
                  <c:v>154</c:v>
                </c:pt>
                <c:pt idx="1">
                  <c:v>167</c:v>
                </c:pt>
                <c:pt idx="2">
                  <c:v>181</c:v>
                </c:pt>
                <c:pt idx="3">
                  <c:v>195</c:v>
                </c:pt>
                <c:pt idx="4">
                  <c:v>209</c:v>
                </c:pt>
                <c:pt idx="5">
                  <c:v>224</c:v>
                </c:pt>
              </c:numCache>
            </c:numRef>
          </c:xVal>
          <c:yVal>
            <c:numRef>
              <c:f>graphs!$O$12:$T$12</c:f>
              <c:numCache>
                <c:formatCode>0.0</c:formatCode>
                <c:ptCount val="6"/>
                <c:pt idx="0">
                  <c:v>20.666666666666668</c:v>
                </c:pt>
                <c:pt idx="1">
                  <c:v>35.333333333333336</c:v>
                </c:pt>
                <c:pt idx="2">
                  <c:v>58.166666666666664</c:v>
                </c:pt>
                <c:pt idx="3">
                  <c:v>86.166666666666671</c:v>
                </c:pt>
                <c:pt idx="4">
                  <c:v>97.833333333333329</c:v>
                </c:pt>
                <c:pt idx="5">
                  <c:v>105</c:v>
                </c:pt>
              </c:numCache>
            </c:numRef>
          </c:yVal>
          <c:smooth val="1"/>
          <c:extLst>
            <c:ext xmlns:c16="http://schemas.microsoft.com/office/drawing/2014/chart" uri="{C3380CC4-5D6E-409C-BE32-E72D297353CC}">
              <c16:uniqueId val="{00000008-FB9F-4851-8D21-28D0983F55FB}"/>
            </c:ext>
          </c:extLst>
        </c:ser>
        <c:ser>
          <c:idx val="9"/>
          <c:order val="9"/>
          <c:tx>
            <c:strRef>
              <c:f>graphs!$M$13</c:f>
              <c:strCache>
                <c:ptCount val="1"/>
                <c:pt idx="0">
                  <c:v>plot 10</c:v>
                </c:pt>
              </c:strCache>
            </c:strRef>
          </c:tx>
          <c:spPr>
            <a:ln w="19050" cap="rnd">
              <a:solidFill>
                <a:schemeClr val="accent4">
                  <a:lumMod val="60000"/>
                </a:schemeClr>
              </a:solidFill>
              <a:round/>
            </a:ln>
            <a:effectLst/>
          </c:spPr>
          <c:marker>
            <c:symbol val="circle"/>
            <c:size val="5"/>
            <c:spPr>
              <a:solidFill>
                <a:schemeClr val="accent4">
                  <a:lumMod val="60000"/>
                </a:schemeClr>
              </a:solidFill>
              <a:ln w="9525">
                <a:solidFill>
                  <a:schemeClr val="accent4">
                    <a:lumMod val="60000"/>
                  </a:schemeClr>
                </a:solidFill>
              </a:ln>
              <a:effectLst/>
            </c:spPr>
          </c:marker>
          <c:xVal>
            <c:numRef>
              <c:f>graphs!$O$3:$T$3</c:f>
              <c:numCache>
                <c:formatCode>General</c:formatCode>
                <c:ptCount val="6"/>
                <c:pt idx="0">
                  <c:v>154</c:v>
                </c:pt>
                <c:pt idx="1">
                  <c:v>167</c:v>
                </c:pt>
                <c:pt idx="2">
                  <c:v>181</c:v>
                </c:pt>
                <c:pt idx="3">
                  <c:v>195</c:v>
                </c:pt>
                <c:pt idx="4">
                  <c:v>209</c:v>
                </c:pt>
                <c:pt idx="5">
                  <c:v>224</c:v>
                </c:pt>
              </c:numCache>
            </c:numRef>
          </c:xVal>
          <c:yVal>
            <c:numRef>
              <c:f>graphs!$O$13:$T$13</c:f>
              <c:numCache>
                <c:formatCode>0.0</c:formatCode>
                <c:ptCount val="6"/>
                <c:pt idx="0">
                  <c:v>22.166666666666668</c:v>
                </c:pt>
                <c:pt idx="1">
                  <c:v>37.333333333333336</c:v>
                </c:pt>
                <c:pt idx="2">
                  <c:v>61.666666666666664</c:v>
                </c:pt>
                <c:pt idx="3">
                  <c:v>79.5</c:v>
                </c:pt>
                <c:pt idx="4">
                  <c:v>84.166666666666671</c:v>
                </c:pt>
                <c:pt idx="5">
                  <c:v>91.666666666666671</c:v>
                </c:pt>
              </c:numCache>
            </c:numRef>
          </c:yVal>
          <c:smooth val="1"/>
          <c:extLst>
            <c:ext xmlns:c16="http://schemas.microsoft.com/office/drawing/2014/chart" uri="{C3380CC4-5D6E-409C-BE32-E72D297353CC}">
              <c16:uniqueId val="{00000009-FB9F-4851-8D21-28D0983F55FB}"/>
            </c:ext>
          </c:extLst>
        </c:ser>
        <c:ser>
          <c:idx val="10"/>
          <c:order val="10"/>
          <c:tx>
            <c:strRef>
              <c:f>graphs!$M$14</c:f>
              <c:strCache>
                <c:ptCount val="1"/>
                <c:pt idx="0">
                  <c:v>plot 11</c:v>
                </c:pt>
              </c:strCache>
            </c:strRef>
          </c:tx>
          <c:spPr>
            <a:ln w="19050" cap="rnd">
              <a:solidFill>
                <a:schemeClr val="accent5">
                  <a:lumMod val="60000"/>
                </a:schemeClr>
              </a:solidFill>
              <a:round/>
            </a:ln>
            <a:effectLst/>
          </c:spPr>
          <c:marker>
            <c:symbol val="circle"/>
            <c:size val="5"/>
            <c:spPr>
              <a:solidFill>
                <a:schemeClr val="accent5">
                  <a:lumMod val="60000"/>
                </a:schemeClr>
              </a:solidFill>
              <a:ln w="9525">
                <a:solidFill>
                  <a:schemeClr val="accent5">
                    <a:lumMod val="60000"/>
                  </a:schemeClr>
                </a:solidFill>
              </a:ln>
              <a:effectLst/>
            </c:spPr>
          </c:marker>
          <c:xVal>
            <c:numRef>
              <c:f>graphs!$O$3:$T$3</c:f>
              <c:numCache>
                <c:formatCode>General</c:formatCode>
                <c:ptCount val="6"/>
                <c:pt idx="0">
                  <c:v>154</c:v>
                </c:pt>
                <c:pt idx="1">
                  <c:v>167</c:v>
                </c:pt>
                <c:pt idx="2">
                  <c:v>181</c:v>
                </c:pt>
                <c:pt idx="3">
                  <c:v>195</c:v>
                </c:pt>
                <c:pt idx="4">
                  <c:v>209</c:v>
                </c:pt>
                <c:pt idx="5">
                  <c:v>224</c:v>
                </c:pt>
              </c:numCache>
            </c:numRef>
          </c:xVal>
          <c:yVal>
            <c:numRef>
              <c:f>graphs!$O$14:$T$14</c:f>
              <c:numCache>
                <c:formatCode>0.0</c:formatCode>
                <c:ptCount val="6"/>
                <c:pt idx="0">
                  <c:v>19.5</c:v>
                </c:pt>
                <c:pt idx="1">
                  <c:v>35</c:v>
                </c:pt>
                <c:pt idx="2">
                  <c:v>53</c:v>
                </c:pt>
                <c:pt idx="3">
                  <c:v>76.166666666666671</c:v>
                </c:pt>
                <c:pt idx="4">
                  <c:v>89.333333333333329</c:v>
                </c:pt>
                <c:pt idx="5">
                  <c:v>94</c:v>
                </c:pt>
              </c:numCache>
            </c:numRef>
          </c:yVal>
          <c:smooth val="1"/>
          <c:extLst>
            <c:ext xmlns:c16="http://schemas.microsoft.com/office/drawing/2014/chart" uri="{C3380CC4-5D6E-409C-BE32-E72D297353CC}">
              <c16:uniqueId val="{0000000A-FB9F-4851-8D21-28D0983F55FB}"/>
            </c:ext>
          </c:extLst>
        </c:ser>
        <c:dLbls>
          <c:showLegendKey val="0"/>
          <c:showVal val="0"/>
          <c:showCatName val="0"/>
          <c:showSerName val="0"/>
          <c:showPercent val="0"/>
          <c:showBubbleSize val="0"/>
        </c:dLbls>
        <c:axId val="579218144"/>
        <c:axId val="579208344"/>
      </c:scatterChart>
      <c:valAx>
        <c:axId val="579218144"/>
        <c:scaling>
          <c:orientation val="minMax"/>
          <c:max val="250"/>
          <c:min val="150"/>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DOY</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9208344"/>
        <c:crosses val="autoZero"/>
        <c:crossBetween val="midCat"/>
      </c:valAx>
      <c:valAx>
        <c:axId val="57920834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height (cm)</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9218144"/>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64770</xdr:colOff>
      <xdr:row>13</xdr:row>
      <xdr:rowOff>171450</xdr:rowOff>
    </xdr:from>
    <xdr:to>
      <xdr:col>11</xdr:col>
      <xdr:colOff>144780</xdr:colOff>
      <xdr:row>37</xdr:row>
      <xdr:rowOff>144780</xdr:rowOff>
    </xdr:to>
    <xdr:graphicFrame macro="">
      <xdr:nvGraphicFramePr>
        <xdr:cNvPr id="2" name="Chart 1">
          <a:extLst>
            <a:ext uri="{FF2B5EF4-FFF2-40B4-BE49-F238E27FC236}">
              <a16:creationId xmlns:a16="http://schemas.microsoft.com/office/drawing/2014/main" id="{00000000-0008-0000-05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571500</xdr:colOff>
      <xdr:row>15</xdr:row>
      <xdr:rowOff>15240</xdr:rowOff>
    </xdr:from>
    <xdr:to>
      <xdr:col>23</xdr:col>
      <xdr:colOff>41910</xdr:colOff>
      <xdr:row>38</xdr:row>
      <xdr:rowOff>171450</xdr:rowOff>
    </xdr:to>
    <xdr:graphicFrame macro="">
      <xdr:nvGraphicFramePr>
        <xdr:cNvPr id="5" name="Chart 4">
          <a:extLst>
            <a:ext uri="{FF2B5EF4-FFF2-40B4-BE49-F238E27FC236}">
              <a16:creationId xmlns:a16="http://schemas.microsoft.com/office/drawing/2014/main" id="{00000000-0008-0000-05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6.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03C850-14AE-48F9-8EE7-00AEC9C2FCA8}">
  <dimension ref="A1:I51"/>
  <sheetViews>
    <sheetView workbookViewId="0">
      <selection sqref="A1:A1048576"/>
    </sheetView>
  </sheetViews>
  <sheetFormatPr defaultRowHeight="15" x14ac:dyDescent="0.25"/>
  <sheetData>
    <row r="1" spans="1:9" x14ac:dyDescent="0.25">
      <c r="A1" t="s">
        <v>136</v>
      </c>
      <c r="B1" t="s">
        <v>135</v>
      </c>
      <c r="C1" t="s">
        <v>134</v>
      </c>
      <c r="D1" t="s">
        <v>133</v>
      </c>
      <c r="E1" t="s">
        <v>132</v>
      </c>
      <c r="F1" t="s">
        <v>131</v>
      </c>
      <c r="G1" t="s">
        <v>130</v>
      </c>
      <c r="H1" t="s">
        <v>129</v>
      </c>
      <c r="I1" t="s">
        <v>128</v>
      </c>
    </row>
    <row r="2" spans="1:9" x14ac:dyDescent="0.25">
      <c r="A2" t="s">
        <v>127</v>
      </c>
      <c r="B2">
        <v>14</v>
      </c>
      <c r="C2">
        <v>33</v>
      </c>
      <c r="D2">
        <v>55</v>
      </c>
      <c r="E2">
        <v>74</v>
      </c>
      <c r="F2">
        <v>96</v>
      </c>
      <c r="G2">
        <v>97</v>
      </c>
      <c r="H2">
        <v>93</v>
      </c>
      <c r="I2">
        <v>98</v>
      </c>
    </row>
    <row r="3" spans="1:9" x14ac:dyDescent="0.25">
      <c r="A3" t="s">
        <v>126</v>
      </c>
      <c r="B3">
        <v>14</v>
      </c>
      <c r="C3">
        <v>30</v>
      </c>
      <c r="D3">
        <v>51</v>
      </c>
      <c r="E3">
        <v>64</v>
      </c>
      <c r="F3">
        <v>87</v>
      </c>
      <c r="G3">
        <v>96</v>
      </c>
      <c r="H3">
        <v>92</v>
      </c>
      <c r="I3">
        <v>95</v>
      </c>
    </row>
    <row r="4" spans="1:9" x14ac:dyDescent="0.25">
      <c r="A4" t="s">
        <v>125</v>
      </c>
      <c r="B4">
        <v>13</v>
      </c>
      <c r="C4">
        <v>29</v>
      </c>
      <c r="D4">
        <v>52</v>
      </c>
      <c r="E4">
        <v>72</v>
      </c>
      <c r="F4">
        <v>87</v>
      </c>
      <c r="G4">
        <v>95</v>
      </c>
      <c r="H4">
        <v>91</v>
      </c>
      <c r="I4">
        <v>84</v>
      </c>
    </row>
    <row r="5" spans="1:9" x14ac:dyDescent="0.25">
      <c r="A5" t="s">
        <v>124</v>
      </c>
      <c r="B5">
        <v>14</v>
      </c>
      <c r="C5">
        <v>37</v>
      </c>
      <c r="D5">
        <v>56</v>
      </c>
      <c r="E5">
        <v>69</v>
      </c>
      <c r="F5">
        <v>80</v>
      </c>
      <c r="G5">
        <v>89</v>
      </c>
      <c r="H5">
        <v>84</v>
      </c>
      <c r="I5">
        <v>92</v>
      </c>
    </row>
    <row r="6" spans="1:9" x14ac:dyDescent="0.25">
      <c r="A6" t="s">
        <v>123</v>
      </c>
      <c r="B6">
        <v>12</v>
      </c>
      <c r="C6">
        <v>39</v>
      </c>
      <c r="D6">
        <v>50</v>
      </c>
      <c r="E6">
        <v>60</v>
      </c>
      <c r="F6">
        <v>69</v>
      </c>
      <c r="G6">
        <v>84</v>
      </c>
      <c r="H6">
        <v>94</v>
      </c>
      <c r="I6">
        <v>88</v>
      </c>
    </row>
    <row r="7" spans="1:9" x14ac:dyDescent="0.25">
      <c r="A7" t="s">
        <v>122</v>
      </c>
      <c r="B7">
        <v>12</v>
      </c>
      <c r="C7">
        <v>31</v>
      </c>
      <c r="D7">
        <v>53</v>
      </c>
      <c r="E7">
        <v>70</v>
      </c>
      <c r="F7">
        <v>84</v>
      </c>
      <c r="G7">
        <v>89</v>
      </c>
      <c r="H7">
        <v>91</v>
      </c>
      <c r="I7">
        <v>101</v>
      </c>
    </row>
    <row r="8" spans="1:9" x14ac:dyDescent="0.25">
      <c r="A8" t="s">
        <v>121</v>
      </c>
      <c r="B8">
        <v>14</v>
      </c>
      <c r="C8">
        <v>35</v>
      </c>
      <c r="D8">
        <v>55</v>
      </c>
      <c r="E8">
        <v>78</v>
      </c>
      <c r="F8">
        <v>87</v>
      </c>
      <c r="G8">
        <v>97</v>
      </c>
      <c r="H8">
        <v>99</v>
      </c>
      <c r="I8">
        <v>103</v>
      </c>
    </row>
    <row r="9" spans="1:9" x14ac:dyDescent="0.25">
      <c r="A9" t="s">
        <v>120</v>
      </c>
      <c r="B9">
        <v>13</v>
      </c>
      <c r="C9">
        <v>32</v>
      </c>
      <c r="D9">
        <v>47</v>
      </c>
      <c r="E9">
        <v>66</v>
      </c>
      <c r="F9">
        <v>80</v>
      </c>
      <c r="G9">
        <v>90</v>
      </c>
      <c r="H9">
        <v>85</v>
      </c>
      <c r="I9">
        <v>95</v>
      </c>
    </row>
    <row r="10" spans="1:9" x14ac:dyDescent="0.25">
      <c r="A10" t="s">
        <v>119</v>
      </c>
      <c r="B10">
        <v>12</v>
      </c>
      <c r="C10">
        <v>31</v>
      </c>
      <c r="D10">
        <v>43</v>
      </c>
      <c r="E10">
        <v>65</v>
      </c>
      <c r="F10">
        <v>80</v>
      </c>
      <c r="G10">
        <v>94</v>
      </c>
      <c r="H10">
        <v>99</v>
      </c>
      <c r="I10">
        <v>96</v>
      </c>
    </row>
    <row r="11" spans="1:9" x14ac:dyDescent="0.25">
      <c r="A11" t="s">
        <v>118</v>
      </c>
      <c r="B11">
        <v>11</v>
      </c>
      <c r="C11">
        <v>31</v>
      </c>
      <c r="D11">
        <v>51</v>
      </c>
      <c r="E11">
        <v>66</v>
      </c>
      <c r="F11">
        <v>81</v>
      </c>
      <c r="G11">
        <v>91</v>
      </c>
      <c r="H11">
        <v>106</v>
      </c>
      <c r="I11">
        <v>108</v>
      </c>
    </row>
    <row r="12" spans="1:9" x14ac:dyDescent="0.25">
      <c r="A12" t="s">
        <v>117</v>
      </c>
      <c r="B12">
        <v>10</v>
      </c>
      <c r="C12">
        <v>30</v>
      </c>
      <c r="D12">
        <v>56</v>
      </c>
      <c r="E12">
        <v>73</v>
      </c>
      <c r="F12">
        <v>86</v>
      </c>
      <c r="G12">
        <v>97</v>
      </c>
      <c r="H12">
        <v>96</v>
      </c>
      <c r="I12">
        <v>96</v>
      </c>
    </row>
    <row r="13" spans="1:9" x14ac:dyDescent="0.25">
      <c r="A13" t="s">
        <v>116</v>
      </c>
      <c r="B13">
        <v>12</v>
      </c>
      <c r="C13">
        <v>28</v>
      </c>
      <c r="D13">
        <v>50</v>
      </c>
      <c r="E13">
        <v>71</v>
      </c>
      <c r="F13">
        <v>86</v>
      </c>
      <c r="G13">
        <v>97</v>
      </c>
      <c r="H13">
        <v>98</v>
      </c>
      <c r="I13">
        <v>95</v>
      </c>
    </row>
    <row r="14" spans="1:9" x14ac:dyDescent="0.25">
      <c r="A14" t="s">
        <v>115</v>
      </c>
      <c r="B14">
        <v>13</v>
      </c>
      <c r="C14">
        <v>35</v>
      </c>
      <c r="D14">
        <v>54</v>
      </c>
      <c r="E14">
        <v>69</v>
      </c>
      <c r="F14">
        <v>88</v>
      </c>
      <c r="G14">
        <v>98</v>
      </c>
      <c r="H14">
        <v>97</v>
      </c>
      <c r="I14">
        <v>92</v>
      </c>
    </row>
    <row r="15" spans="1:9" x14ac:dyDescent="0.25">
      <c r="A15" t="s">
        <v>114</v>
      </c>
      <c r="B15">
        <v>14</v>
      </c>
      <c r="C15">
        <v>31</v>
      </c>
      <c r="D15">
        <v>49</v>
      </c>
      <c r="E15">
        <v>62</v>
      </c>
      <c r="F15">
        <v>76</v>
      </c>
      <c r="G15">
        <v>92</v>
      </c>
      <c r="H15">
        <v>87</v>
      </c>
      <c r="I15">
        <v>98</v>
      </c>
    </row>
    <row r="16" spans="1:9" x14ac:dyDescent="0.25">
      <c r="A16" t="s">
        <v>113</v>
      </c>
      <c r="B16">
        <v>11</v>
      </c>
      <c r="C16">
        <v>28</v>
      </c>
      <c r="D16">
        <v>47</v>
      </c>
      <c r="E16">
        <v>62</v>
      </c>
      <c r="F16">
        <v>79</v>
      </c>
      <c r="G16">
        <v>92</v>
      </c>
      <c r="H16">
        <v>98</v>
      </c>
      <c r="I16">
        <v>95</v>
      </c>
    </row>
    <row r="17" spans="1:9" x14ac:dyDescent="0.25">
      <c r="A17" t="s">
        <v>112</v>
      </c>
      <c r="B17">
        <v>11</v>
      </c>
      <c r="C17">
        <v>28</v>
      </c>
      <c r="D17">
        <v>47</v>
      </c>
      <c r="E17">
        <v>64</v>
      </c>
      <c r="F17">
        <v>80</v>
      </c>
      <c r="G17">
        <v>88</v>
      </c>
      <c r="H17">
        <v>85</v>
      </c>
      <c r="I17">
        <v>90</v>
      </c>
    </row>
    <row r="18" spans="1:9" x14ac:dyDescent="0.25">
      <c r="A18" t="s">
        <v>111</v>
      </c>
      <c r="B18">
        <v>13</v>
      </c>
      <c r="C18">
        <v>30</v>
      </c>
      <c r="D18">
        <v>48</v>
      </c>
      <c r="E18">
        <v>69</v>
      </c>
      <c r="F18">
        <v>80</v>
      </c>
      <c r="G18">
        <v>90</v>
      </c>
      <c r="H18">
        <v>91</v>
      </c>
      <c r="I18">
        <v>86</v>
      </c>
    </row>
    <row r="19" spans="1:9" x14ac:dyDescent="0.25">
      <c r="A19" t="s">
        <v>110</v>
      </c>
      <c r="B19">
        <v>13</v>
      </c>
      <c r="C19">
        <v>31</v>
      </c>
      <c r="D19">
        <v>53</v>
      </c>
      <c r="E19">
        <v>71</v>
      </c>
      <c r="F19">
        <v>83</v>
      </c>
      <c r="G19">
        <v>86</v>
      </c>
      <c r="H19">
        <v>86</v>
      </c>
      <c r="I19">
        <v>100</v>
      </c>
    </row>
    <row r="20" spans="1:9" x14ac:dyDescent="0.25">
      <c r="A20" t="s">
        <v>109</v>
      </c>
      <c r="B20">
        <v>12</v>
      </c>
      <c r="C20">
        <v>29</v>
      </c>
      <c r="D20">
        <v>52</v>
      </c>
      <c r="E20">
        <v>67</v>
      </c>
      <c r="F20">
        <v>81</v>
      </c>
      <c r="G20">
        <v>94</v>
      </c>
      <c r="H20">
        <v>95</v>
      </c>
      <c r="I20">
        <v>98</v>
      </c>
    </row>
    <row r="21" spans="1:9" x14ac:dyDescent="0.25">
      <c r="A21" t="s">
        <v>108</v>
      </c>
      <c r="B21">
        <v>13</v>
      </c>
      <c r="C21">
        <v>30</v>
      </c>
      <c r="D21">
        <v>48</v>
      </c>
      <c r="E21">
        <v>59</v>
      </c>
      <c r="F21">
        <v>75</v>
      </c>
      <c r="G21">
        <v>80</v>
      </c>
      <c r="H21">
        <v>81</v>
      </c>
      <c r="I21">
        <v>108</v>
      </c>
    </row>
    <row r="22" spans="1:9" x14ac:dyDescent="0.25">
      <c r="A22" t="s">
        <v>107</v>
      </c>
      <c r="B22">
        <v>11</v>
      </c>
      <c r="C22">
        <v>30</v>
      </c>
      <c r="D22">
        <v>54</v>
      </c>
      <c r="E22">
        <v>68</v>
      </c>
      <c r="F22">
        <v>94</v>
      </c>
      <c r="G22">
        <v>98</v>
      </c>
      <c r="H22">
        <v>91</v>
      </c>
      <c r="I22">
        <v>98</v>
      </c>
    </row>
    <row r="23" spans="1:9" x14ac:dyDescent="0.25">
      <c r="A23" t="s">
        <v>106</v>
      </c>
      <c r="B23">
        <v>13</v>
      </c>
      <c r="C23">
        <v>32</v>
      </c>
      <c r="D23">
        <v>55</v>
      </c>
      <c r="E23">
        <v>73</v>
      </c>
      <c r="F23">
        <v>84</v>
      </c>
      <c r="G23">
        <v>86</v>
      </c>
      <c r="H23">
        <v>86</v>
      </c>
      <c r="I23">
        <v>92</v>
      </c>
    </row>
    <row r="24" spans="1:9" x14ac:dyDescent="0.25">
      <c r="A24" t="s">
        <v>105</v>
      </c>
      <c r="B24">
        <v>12</v>
      </c>
      <c r="C24">
        <v>35</v>
      </c>
      <c r="D24">
        <v>57</v>
      </c>
      <c r="E24">
        <v>69</v>
      </c>
      <c r="F24">
        <v>82</v>
      </c>
      <c r="G24">
        <v>89</v>
      </c>
      <c r="H24">
        <v>86</v>
      </c>
      <c r="I24">
        <v>88</v>
      </c>
    </row>
    <row r="25" spans="1:9" x14ac:dyDescent="0.25">
      <c r="A25" t="s">
        <v>104</v>
      </c>
      <c r="B25">
        <v>13</v>
      </c>
      <c r="C25">
        <v>36</v>
      </c>
      <c r="D25">
        <v>51</v>
      </c>
      <c r="E25">
        <v>59</v>
      </c>
      <c r="F25">
        <v>72</v>
      </c>
      <c r="G25">
        <v>76</v>
      </c>
      <c r="H25">
        <v>78</v>
      </c>
      <c r="I25">
        <v>79</v>
      </c>
    </row>
    <row r="26" spans="1:9" x14ac:dyDescent="0.25">
      <c r="A26" t="s">
        <v>103</v>
      </c>
      <c r="B26">
        <v>12</v>
      </c>
      <c r="C26">
        <v>32</v>
      </c>
      <c r="D26">
        <v>57</v>
      </c>
      <c r="E26">
        <v>75</v>
      </c>
      <c r="F26">
        <v>83</v>
      </c>
      <c r="G26">
        <v>84</v>
      </c>
      <c r="H26">
        <v>80</v>
      </c>
      <c r="I26">
        <v>90</v>
      </c>
    </row>
    <row r="27" spans="1:9" x14ac:dyDescent="0.25">
      <c r="A27" t="s">
        <v>102</v>
      </c>
      <c r="B27">
        <v>11</v>
      </c>
      <c r="C27">
        <v>28</v>
      </c>
      <c r="D27">
        <v>48</v>
      </c>
      <c r="E27">
        <v>62</v>
      </c>
      <c r="F27">
        <v>75</v>
      </c>
      <c r="G27">
        <v>83</v>
      </c>
      <c r="H27">
        <v>93</v>
      </c>
      <c r="I27">
        <v>100</v>
      </c>
    </row>
    <row r="28" spans="1:9" x14ac:dyDescent="0.25">
      <c r="A28" t="s">
        <v>101</v>
      </c>
      <c r="B28">
        <v>12</v>
      </c>
      <c r="C28">
        <v>34</v>
      </c>
      <c r="D28">
        <v>51</v>
      </c>
      <c r="E28">
        <v>74</v>
      </c>
      <c r="F28">
        <v>89</v>
      </c>
      <c r="G28">
        <v>99</v>
      </c>
      <c r="H28">
        <v>107</v>
      </c>
      <c r="I28">
        <v>112</v>
      </c>
    </row>
    <row r="29" spans="1:9" x14ac:dyDescent="0.25">
      <c r="A29" t="s">
        <v>100</v>
      </c>
      <c r="B29">
        <v>12</v>
      </c>
      <c r="C29">
        <v>33</v>
      </c>
      <c r="D29">
        <v>48</v>
      </c>
      <c r="E29">
        <v>65</v>
      </c>
      <c r="F29">
        <v>79</v>
      </c>
      <c r="G29">
        <v>88</v>
      </c>
      <c r="H29">
        <v>98</v>
      </c>
      <c r="I29">
        <v>96</v>
      </c>
    </row>
    <row r="30" spans="1:9" x14ac:dyDescent="0.25">
      <c r="A30" t="s">
        <v>99</v>
      </c>
      <c r="B30">
        <v>11</v>
      </c>
      <c r="C30">
        <v>31</v>
      </c>
      <c r="D30">
        <v>50</v>
      </c>
      <c r="E30">
        <v>71</v>
      </c>
      <c r="F30">
        <v>88</v>
      </c>
      <c r="G30">
        <v>98</v>
      </c>
      <c r="H30">
        <v>98</v>
      </c>
      <c r="I30">
        <v>102</v>
      </c>
    </row>
    <row r="31" spans="1:9" x14ac:dyDescent="0.25">
      <c r="A31" t="s">
        <v>98</v>
      </c>
      <c r="B31">
        <v>12</v>
      </c>
      <c r="C31">
        <v>29</v>
      </c>
      <c r="D31">
        <v>40</v>
      </c>
      <c r="E31">
        <v>46</v>
      </c>
      <c r="F31">
        <v>56</v>
      </c>
      <c r="G31">
        <v>77</v>
      </c>
      <c r="H31">
        <v>84</v>
      </c>
      <c r="I31">
        <v>94</v>
      </c>
    </row>
    <row r="32" spans="1:9" x14ac:dyDescent="0.25">
      <c r="A32" t="s">
        <v>97</v>
      </c>
      <c r="B32">
        <v>9</v>
      </c>
      <c r="C32">
        <v>33</v>
      </c>
      <c r="D32">
        <v>52</v>
      </c>
      <c r="E32">
        <v>71</v>
      </c>
      <c r="F32">
        <v>90</v>
      </c>
      <c r="G32">
        <v>89</v>
      </c>
      <c r="H32">
        <v>102</v>
      </c>
      <c r="I32">
        <v>99</v>
      </c>
    </row>
    <row r="33" spans="1:9" x14ac:dyDescent="0.25">
      <c r="A33" t="s">
        <v>96</v>
      </c>
      <c r="B33">
        <v>12</v>
      </c>
      <c r="C33">
        <v>36</v>
      </c>
      <c r="D33">
        <v>61</v>
      </c>
      <c r="E33">
        <v>80</v>
      </c>
      <c r="F33">
        <v>106</v>
      </c>
      <c r="G33">
        <v>121</v>
      </c>
      <c r="H33">
        <v>128</v>
      </c>
      <c r="I33">
        <v>115</v>
      </c>
    </row>
    <row r="34" spans="1:9" x14ac:dyDescent="0.25">
      <c r="A34" t="s">
        <v>95</v>
      </c>
      <c r="B34">
        <v>12</v>
      </c>
      <c r="C34">
        <v>37</v>
      </c>
      <c r="D34">
        <v>57</v>
      </c>
      <c r="E34">
        <v>72</v>
      </c>
      <c r="F34">
        <v>89</v>
      </c>
      <c r="G34">
        <v>97</v>
      </c>
      <c r="H34">
        <v>106</v>
      </c>
      <c r="I34">
        <v>109</v>
      </c>
    </row>
    <row r="35" spans="1:9" x14ac:dyDescent="0.25">
      <c r="A35" t="s">
        <v>94</v>
      </c>
      <c r="B35">
        <v>12</v>
      </c>
      <c r="C35">
        <v>33</v>
      </c>
      <c r="D35">
        <v>50</v>
      </c>
      <c r="E35">
        <v>66</v>
      </c>
      <c r="F35">
        <v>83</v>
      </c>
      <c r="G35">
        <v>98</v>
      </c>
      <c r="H35">
        <v>100</v>
      </c>
      <c r="I35">
        <v>99</v>
      </c>
    </row>
    <row r="36" spans="1:9" x14ac:dyDescent="0.25">
      <c r="A36" t="s">
        <v>93</v>
      </c>
      <c r="B36">
        <v>11</v>
      </c>
      <c r="C36">
        <v>33</v>
      </c>
      <c r="D36">
        <v>50</v>
      </c>
      <c r="E36">
        <v>61</v>
      </c>
      <c r="F36">
        <v>68</v>
      </c>
      <c r="G36">
        <v>77</v>
      </c>
      <c r="H36">
        <v>84</v>
      </c>
      <c r="I36">
        <v>86</v>
      </c>
    </row>
    <row r="37" spans="1:9" x14ac:dyDescent="0.25">
      <c r="A37" t="s">
        <v>92</v>
      </c>
      <c r="B37">
        <v>11</v>
      </c>
      <c r="C37">
        <v>32</v>
      </c>
      <c r="D37">
        <v>56</v>
      </c>
      <c r="E37">
        <v>77</v>
      </c>
      <c r="F37">
        <v>96</v>
      </c>
      <c r="G37">
        <v>99</v>
      </c>
      <c r="H37">
        <v>90</v>
      </c>
      <c r="I37">
        <v>100</v>
      </c>
    </row>
    <row r="38" spans="1:9" x14ac:dyDescent="0.25">
      <c r="A38" t="s">
        <v>91</v>
      </c>
      <c r="B38">
        <v>12</v>
      </c>
      <c r="C38">
        <v>33</v>
      </c>
      <c r="D38">
        <v>54</v>
      </c>
      <c r="E38">
        <v>74</v>
      </c>
      <c r="F38">
        <v>88</v>
      </c>
      <c r="G38">
        <v>96</v>
      </c>
      <c r="H38">
        <v>104</v>
      </c>
      <c r="I38">
        <v>109</v>
      </c>
    </row>
    <row r="39" spans="1:9" x14ac:dyDescent="0.25">
      <c r="A39" t="s">
        <v>90</v>
      </c>
      <c r="B39">
        <v>11</v>
      </c>
      <c r="C39">
        <v>29</v>
      </c>
      <c r="D39">
        <v>49</v>
      </c>
      <c r="E39">
        <v>68</v>
      </c>
      <c r="F39">
        <v>82</v>
      </c>
      <c r="G39">
        <v>92</v>
      </c>
      <c r="H39">
        <v>102</v>
      </c>
      <c r="I39">
        <v>90</v>
      </c>
    </row>
    <row r="40" spans="1:9" x14ac:dyDescent="0.25">
      <c r="A40" t="s">
        <v>89</v>
      </c>
      <c r="B40">
        <v>12</v>
      </c>
      <c r="C40">
        <v>35</v>
      </c>
      <c r="D40">
        <v>47</v>
      </c>
      <c r="E40">
        <v>66</v>
      </c>
      <c r="F40">
        <v>78</v>
      </c>
      <c r="G40">
        <v>89</v>
      </c>
      <c r="H40">
        <v>94</v>
      </c>
      <c r="I40">
        <v>91</v>
      </c>
    </row>
    <row r="41" spans="1:9" x14ac:dyDescent="0.25">
      <c r="A41" t="s">
        <v>88</v>
      </c>
      <c r="B41">
        <v>12</v>
      </c>
      <c r="C41">
        <v>35</v>
      </c>
      <c r="D41">
        <v>48</v>
      </c>
      <c r="E41">
        <v>67</v>
      </c>
      <c r="F41">
        <v>75</v>
      </c>
      <c r="G41">
        <v>92</v>
      </c>
      <c r="H41">
        <v>85</v>
      </c>
      <c r="I41">
        <v>83</v>
      </c>
    </row>
    <row r="42" spans="1:9" x14ac:dyDescent="0.25">
      <c r="A42" t="s">
        <v>87</v>
      </c>
      <c r="B42">
        <v>12</v>
      </c>
      <c r="C42">
        <v>34</v>
      </c>
      <c r="D42">
        <v>56</v>
      </c>
      <c r="E42">
        <v>71</v>
      </c>
      <c r="F42">
        <v>85</v>
      </c>
      <c r="G42">
        <v>96</v>
      </c>
      <c r="H42">
        <v>95</v>
      </c>
      <c r="I42">
        <v>95</v>
      </c>
    </row>
    <row r="43" spans="1:9" x14ac:dyDescent="0.25">
      <c r="A43" t="s">
        <v>86</v>
      </c>
      <c r="B43">
        <v>13</v>
      </c>
      <c r="C43">
        <v>37</v>
      </c>
      <c r="D43">
        <v>55</v>
      </c>
      <c r="E43">
        <v>69</v>
      </c>
      <c r="F43">
        <v>82</v>
      </c>
      <c r="G43">
        <v>93</v>
      </c>
      <c r="H43">
        <v>97</v>
      </c>
      <c r="I43">
        <v>102</v>
      </c>
    </row>
    <row r="44" spans="1:9" x14ac:dyDescent="0.25">
      <c r="A44" t="s">
        <v>85</v>
      </c>
      <c r="B44">
        <v>9</v>
      </c>
      <c r="C44">
        <v>28</v>
      </c>
      <c r="D44">
        <v>51</v>
      </c>
      <c r="E44">
        <v>72</v>
      </c>
      <c r="F44">
        <v>92</v>
      </c>
      <c r="G44">
        <v>106</v>
      </c>
      <c r="H44">
        <v>110</v>
      </c>
      <c r="I44">
        <v>107</v>
      </c>
    </row>
    <row r="45" spans="1:9" x14ac:dyDescent="0.25">
      <c r="A45" t="s">
        <v>84</v>
      </c>
      <c r="B45">
        <v>14</v>
      </c>
      <c r="C45">
        <v>38</v>
      </c>
      <c r="D45">
        <v>60</v>
      </c>
      <c r="E45">
        <v>78</v>
      </c>
      <c r="F45">
        <v>94</v>
      </c>
      <c r="G45">
        <v>105</v>
      </c>
      <c r="H45">
        <v>107</v>
      </c>
      <c r="I45">
        <v>109</v>
      </c>
    </row>
    <row r="46" spans="1:9" x14ac:dyDescent="0.25">
      <c r="A46" t="s">
        <v>83</v>
      </c>
      <c r="B46">
        <v>12</v>
      </c>
      <c r="C46">
        <v>34</v>
      </c>
      <c r="D46">
        <v>51</v>
      </c>
      <c r="E46">
        <v>56</v>
      </c>
      <c r="F46">
        <v>62</v>
      </c>
      <c r="G46">
        <v>70</v>
      </c>
      <c r="H46">
        <v>89</v>
      </c>
      <c r="I46">
        <v>94</v>
      </c>
    </row>
    <row r="47" spans="1:9" x14ac:dyDescent="0.25">
      <c r="A47" t="s">
        <v>82</v>
      </c>
      <c r="B47">
        <v>11</v>
      </c>
      <c r="C47">
        <v>31</v>
      </c>
      <c r="D47">
        <v>55</v>
      </c>
      <c r="E47">
        <v>75</v>
      </c>
      <c r="F47">
        <v>83</v>
      </c>
      <c r="G47">
        <v>83</v>
      </c>
      <c r="H47">
        <v>86</v>
      </c>
      <c r="I47">
        <v>91</v>
      </c>
    </row>
    <row r="48" spans="1:9" x14ac:dyDescent="0.25">
      <c r="A48" t="s">
        <v>81</v>
      </c>
      <c r="B48">
        <v>10</v>
      </c>
      <c r="C48">
        <v>30</v>
      </c>
      <c r="D48">
        <v>56</v>
      </c>
      <c r="E48">
        <v>77</v>
      </c>
      <c r="F48">
        <v>85</v>
      </c>
      <c r="G48">
        <v>88</v>
      </c>
      <c r="H48">
        <v>89</v>
      </c>
      <c r="I48">
        <v>91</v>
      </c>
    </row>
    <row r="49" spans="1:9" x14ac:dyDescent="0.25">
      <c r="A49" t="s">
        <v>80</v>
      </c>
      <c r="B49">
        <v>12</v>
      </c>
      <c r="C49">
        <v>33</v>
      </c>
      <c r="D49">
        <v>57</v>
      </c>
      <c r="E49">
        <v>72</v>
      </c>
      <c r="F49">
        <v>85</v>
      </c>
      <c r="G49">
        <v>87</v>
      </c>
      <c r="H49">
        <v>91</v>
      </c>
      <c r="I49">
        <v>93</v>
      </c>
    </row>
    <row r="50" spans="1:9" x14ac:dyDescent="0.25">
      <c r="A50" t="s">
        <v>79</v>
      </c>
      <c r="B50">
        <v>10</v>
      </c>
      <c r="C50">
        <v>28</v>
      </c>
      <c r="D50">
        <v>47</v>
      </c>
      <c r="E50">
        <v>62</v>
      </c>
      <c r="F50">
        <v>70</v>
      </c>
      <c r="G50">
        <v>66</v>
      </c>
      <c r="H50">
        <v>68</v>
      </c>
      <c r="I50">
        <v>73</v>
      </c>
    </row>
    <row r="51" spans="1:9" x14ac:dyDescent="0.25">
      <c r="A51" t="s">
        <v>78</v>
      </c>
      <c r="B51">
        <v>9</v>
      </c>
      <c r="C51">
        <v>26</v>
      </c>
      <c r="D51">
        <v>38</v>
      </c>
      <c r="E51">
        <v>44</v>
      </c>
      <c r="F51">
        <v>49</v>
      </c>
      <c r="G51">
        <v>58</v>
      </c>
      <c r="H51">
        <v>56</v>
      </c>
      <c r="I51">
        <v>61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E250A6-E34F-4A9F-B3FC-3F1DE750924A}">
  <dimension ref="A1:I51"/>
  <sheetViews>
    <sheetView workbookViewId="0"/>
  </sheetViews>
  <sheetFormatPr defaultRowHeight="15" x14ac:dyDescent="0.25"/>
  <sheetData>
    <row r="1" spans="1:9" x14ac:dyDescent="0.25">
      <c r="A1" t="s">
        <v>136</v>
      </c>
      <c r="B1" t="s">
        <v>135</v>
      </c>
      <c r="C1" t="s">
        <v>134</v>
      </c>
      <c r="D1" t="s">
        <v>133</v>
      </c>
      <c r="E1" t="s">
        <v>132</v>
      </c>
      <c r="F1" t="s">
        <v>131</v>
      </c>
      <c r="G1" t="s">
        <v>130</v>
      </c>
      <c r="H1" t="s">
        <v>129</v>
      </c>
      <c r="I1" t="s">
        <v>128</v>
      </c>
    </row>
    <row r="2" spans="1:9" x14ac:dyDescent="0.25">
      <c r="A2" t="s">
        <v>127</v>
      </c>
      <c r="B2">
        <v>11</v>
      </c>
      <c r="C2">
        <v>30</v>
      </c>
      <c r="D2">
        <v>49</v>
      </c>
      <c r="E2">
        <v>63</v>
      </c>
      <c r="F2">
        <v>82</v>
      </c>
      <c r="G2">
        <v>102</v>
      </c>
      <c r="H2">
        <v>89</v>
      </c>
      <c r="I2">
        <v>102</v>
      </c>
    </row>
    <row r="3" spans="1:9" x14ac:dyDescent="0.25">
      <c r="A3" t="s">
        <v>126</v>
      </c>
      <c r="B3">
        <v>11</v>
      </c>
      <c r="C3">
        <v>28</v>
      </c>
      <c r="D3">
        <v>43</v>
      </c>
      <c r="E3">
        <v>64</v>
      </c>
      <c r="F3">
        <v>85</v>
      </c>
      <c r="G3">
        <v>102</v>
      </c>
      <c r="H3">
        <v>102</v>
      </c>
      <c r="I3">
        <v>102</v>
      </c>
    </row>
    <row r="4" spans="1:9" x14ac:dyDescent="0.25">
      <c r="A4" t="s">
        <v>125</v>
      </c>
      <c r="B4">
        <v>11</v>
      </c>
      <c r="C4">
        <v>23</v>
      </c>
      <c r="D4">
        <v>45</v>
      </c>
      <c r="E4">
        <v>58</v>
      </c>
      <c r="F4">
        <v>72</v>
      </c>
      <c r="G4">
        <v>93</v>
      </c>
      <c r="H4">
        <v>102</v>
      </c>
      <c r="I4">
        <v>102</v>
      </c>
    </row>
    <row r="5" spans="1:9" x14ac:dyDescent="0.25">
      <c r="A5" t="s">
        <v>124</v>
      </c>
      <c r="B5">
        <v>12</v>
      </c>
      <c r="C5">
        <v>34</v>
      </c>
      <c r="D5">
        <v>49</v>
      </c>
      <c r="E5">
        <v>62</v>
      </c>
      <c r="F5">
        <v>77</v>
      </c>
      <c r="G5">
        <v>96</v>
      </c>
      <c r="H5">
        <v>102</v>
      </c>
      <c r="I5">
        <v>102</v>
      </c>
    </row>
    <row r="6" spans="1:9" x14ac:dyDescent="0.25">
      <c r="A6" t="s">
        <v>123</v>
      </c>
      <c r="B6">
        <v>13</v>
      </c>
      <c r="C6">
        <v>28</v>
      </c>
      <c r="D6">
        <v>45</v>
      </c>
      <c r="E6">
        <v>48</v>
      </c>
      <c r="F6">
        <v>70</v>
      </c>
      <c r="G6">
        <v>79</v>
      </c>
      <c r="H6">
        <v>102</v>
      </c>
      <c r="I6">
        <v>102</v>
      </c>
    </row>
    <row r="7" spans="1:9" x14ac:dyDescent="0.25">
      <c r="A7" t="s">
        <v>122</v>
      </c>
      <c r="B7">
        <v>11</v>
      </c>
      <c r="C7">
        <v>26</v>
      </c>
      <c r="D7">
        <v>44</v>
      </c>
      <c r="E7">
        <v>59</v>
      </c>
      <c r="F7">
        <v>78</v>
      </c>
      <c r="G7">
        <v>102</v>
      </c>
      <c r="H7">
        <v>102</v>
      </c>
      <c r="I7">
        <v>102</v>
      </c>
    </row>
    <row r="8" spans="1:9" x14ac:dyDescent="0.25">
      <c r="A8" t="s">
        <v>121</v>
      </c>
      <c r="B8">
        <v>12</v>
      </c>
      <c r="C8">
        <v>32</v>
      </c>
      <c r="D8">
        <v>44</v>
      </c>
      <c r="E8">
        <v>72</v>
      </c>
      <c r="F8">
        <v>82</v>
      </c>
      <c r="G8">
        <v>102</v>
      </c>
      <c r="H8">
        <v>102</v>
      </c>
      <c r="I8">
        <v>102</v>
      </c>
    </row>
    <row r="9" spans="1:9" x14ac:dyDescent="0.25">
      <c r="A9" t="s">
        <v>120</v>
      </c>
      <c r="B9">
        <v>12</v>
      </c>
      <c r="C9">
        <v>29</v>
      </c>
      <c r="D9">
        <v>43</v>
      </c>
      <c r="E9">
        <v>56</v>
      </c>
      <c r="F9">
        <v>77</v>
      </c>
      <c r="G9">
        <v>86</v>
      </c>
      <c r="H9">
        <v>96</v>
      </c>
      <c r="I9">
        <v>102</v>
      </c>
    </row>
    <row r="10" spans="1:9" x14ac:dyDescent="0.25">
      <c r="A10" t="s">
        <v>119</v>
      </c>
      <c r="B10">
        <v>11</v>
      </c>
      <c r="C10">
        <v>25</v>
      </c>
      <c r="D10">
        <v>42</v>
      </c>
      <c r="E10">
        <v>57</v>
      </c>
      <c r="F10">
        <v>80</v>
      </c>
      <c r="G10">
        <v>102</v>
      </c>
      <c r="H10">
        <v>102</v>
      </c>
      <c r="I10">
        <v>102</v>
      </c>
    </row>
    <row r="11" spans="1:9" x14ac:dyDescent="0.25">
      <c r="A11" t="s">
        <v>118</v>
      </c>
      <c r="B11">
        <v>11</v>
      </c>
      <c r="C11">
        <v>27</v>
      </c>
      <c r="D11">
        <v>42</v>
      </c>
      <c r="E11">
        <v>52</v>
      </c>
      <c r="F11">
        <v>66</v>
      </c>
      <c r="G11">
        <v>84</v>
      </c>
      <c r="H11">
        <v>102</v>
      </c>
      <c r="I11">
        <v>102</v>
      </c>
    </row>
    <row r="12" spans="1:9" x14ac:dyDescent="0.25">
      <c r="A12" t="s">
        <v>117</v>
      </c>
      <c r="B12">
        <v>11</v>
      </c>
      <c r="C12">
        <v>25</v>
      </c>
      <c r="D12">
        <v>49</v>
      </c>
      <c r="E12">
        <v>65</v>
      </c>
      <c r="F12">
        <v>82</v>
      </c>
      <c r="G12">
        <v>102</v>
      </c>
      <c r="H12">
        <v>102</v>
      </c>
      <c r="I12">
        <v>102</v>
      </c>
    </row>
    <row r="13" spans="1:9" x14ac:dyDescent="0.25">
      <c r="A13" t="s">
        <v>116</v>
      </c>
      <c r="B13">
        <v>11</v>
      </c>
      <c r="C13">
        <v>25</v>
      </c>
      <c r="D13">
        <v>51</v>
      </c>
      <c r="E13">
        <v>66</v>
      </c>
      <c r="F13">
        <v>81</v>
      </c>
      <c r="G13">
        <v>102</v>
      </c>
      <c r="H13">
        <v>102</v>
      </c>
      <c r="I13">
        <v>102</v>
      </c>
    </row>
    <row r="14" spans="1:9" x14ac:dyDescent="0.25">
      <c r="A14" t="s">
        <v>115</v>
      </c>
      <c r="B14">
        <v>13</v>
      </c>
      <c r="C14">
        <v>26</v>
      </c>
      <c r="D14">
        <v>53</v>
      </c>
      <c r="E14">
        <v>65</v>
      </c>
      <c r="F14">
        <v>88</v>
      </c>
      <c r="G14">
        <v>96</v>
      </c>
      <c r="H14">
        <v>102</v>
      </c>
      <c r="I14">
        <v>102</v>
      </c>
    </row>
    <row r="15" spans="1:9" x14ac:dyDescent="0.25">
      <c r="A15" t="s">
        <v>114</v>
      </c>
      <c r="B15">
        <v>13</v>
      </c>
      <c r="C15">
        <v>31</v>
      </c>
      <c r="D15">
        <v>46</v>
      </c>
      <c r="E15">
        <v>61</v>
      </c>
      <c r="F15">
        <v>85</v>
      </c>
      <c r="G15">
        <v>97</v>
      </c>
      <c r="H15">
        <v>102</v>
      </c>
      <c r="I15">
        <v>102</v>
      </c>
    </row>
    <row r="16" spans="1:9" x14ac:dyDescent="0.25">
      <c r="A16" t="s">
        <v>113</v>
      </c>
      <c r="B16">
        <v>10</v>
      </c>
      <c r="C16">
        <v>26</v>
      </c>
      <c r="D16">
        <v>45</v>
      </c>
      <c r="E16">
        <v>55</v>
      </c>
      <c r="F16">
        <v>72</v>
      </c>
      <c r="G16">
        <v>92</v>
      </c>
      <c r="H16">
        <v>102</v>
      </c>
      <c r="I16">
        <v>102</v>
      </c>
    </row>
    <row r="17" spans="1:9" x14ac:dyDescent="0.25">
      <c r="A17" t="s">
        <v>112</v>
      </c>
      <c r="B17">
        <v>11</v>
      </c>
      <c r="C17">
        <v>25</v>
      </c>
      <c r="D17">
        <v>44</v>
      </c>
      <c r="E17">
        <v>59</v>
      </c>
      <c r="F17">
        <v>73</v>
      </c>
      <c r="G17">
        <v>102</v>
      </c>
      <c r="H17">
        <v>102</v>
      </c>
      <c r="I17">
        <v>102</v>
      </c>
    </row>
    <row r="18" spans="1:9" x14ac:dyDescent="0.25">
      <c r="A18" t="s">
        <v>111</v>
      </c>
      <c r="B18">
        <v>12</v>
      </c>
      <c r="C18">
        <v>27</v>
      </c>
      <c r="D18">
        <v>47</v>
      </c>
      <c r="E18">
        <v>56</v>
      </c>
      <c r="F18">
        <v>71</v>
      </c>
      <c r="G18">
        <v>102</v>
      </c>
      <c r="H18">
        <v>102</v>
      </c>
      <c r="I18">
        <v>102</v>
      </c>
    </row>
    <row r="19" spans="1:9" x14ac:dyDescent="0.25">
      <c r="A19" t="s">
        <v>110</v>
      </c>
      <c r="B19">
        <v>11</v>
      </c>
      <c r="C19">
        <v>26</v>
      </c>
      <c r="D19">
        <v>46</v>
      </c>
      <c r="E19">
        <v>53</v>
      </c>
      <c r="F19">
        <v>75</v>
      </c>
      <c r="G19">
        <v>92</v>
      </c>
      <c r="H19">
        <v>102</v>
      </c>
      <c r="I19">
        <v>102</v>
      </c>
    </row>
    <row r="20" spans="1:9" x14ac:dyDescent="0.25">
      <c r="A20" t="s">
        <v>109</v>
      </c>
      <c r="B20">
        <v>11</v>
      </c>
      <c r="C20">
        <v>27</v>
      </c>
      <c r="D20">
        <v>43</v>
      </c>
      <c r="E20">
        <v>55</v>
      </c>
      <c r="F20">
        <v>65</v>
      </c>
      <c r="G20">
        <v>91</v>
      </c>
      <c r="H20">
        <v>102</v>
      </c>
      <c r="I20">
        <v>102</v>
      </c>
    </row>
    <row r="21" spans="1:9" x14ac:dyDescent="0.25">
      <c r="A21" t="s">
        <v>108</v>
      </c>
      <c r="B21">
        <v>11</v>
      </c>
      <c r="C21">
        <v>25</v>
      </c>
      <c r="D21">
        <v>46</v>
      </c>
      <c r="E21">
        <v>51</v>
      </c>
      <c r="F21">
        <v>67</v>
      </c>
      <c r="G21">
        <v>85</v>
      </c>
      <c r="H21">
        <v>102</v>
      </c>
      <c r="I21">
        <v>102</v>
      </c>
    </row>
    <row r="22" spans="1:9" x14ac:dyDescent="0.25">
      <c r="A22" t="s">
        <v>107</v>
      </c>
      <c r="B22">
        <v>11</v>
      </c>
      <c r="C22">
        <v>26</v>
      </c>
      <c r="D22">
        <v>52</v>
      </c>
      <c r="E22">
        <v>61</v>
      </c>
      <c r="F22">
        <v>86</v>
      </c>
      <c r="G22">
        <v>102</v>
      </c>
      <c r="H22">
        <v>102</v>
      </c>
      <c r="I22">
        <v>102</v>
      </c>
    </row>
    <row r="23" spans="1:9" x14ac:dyDescent="0.25">
      <c r="A23" t="s">
        <v>106</v>
      </c>
      <c r="B23">
        <v>12</v>
      </c>
      <c r="C23">
        <v>26</v>
      </c>
      <c r="D23">
        <v>53</v>
      </c>
      <c r="E23">
        <v>65</v>
      </c>
      <c r="F23">
        <v>86</v>
      </c>
      <c r="G23">
        <v>102</v>
      </c>
      <c r="H23">
        <v>102</v>
      </c>
      <c r="I23">
        <v>102</v>
      </c>
    </row>
    <row r="24" spans="1:9" x14ac:dyDescent="0.25">
      <c r="A24" t="s">
        <v>105</v>
      </c>
      <c r="B24">
        <v>11</v>
      </c>
      <c r="C24">
        <v>26</v>
      </c>
      <c r="D24">
        <v>46</v>
      </c>
      <c r="E24">
        <v>46</v>
      </c>
      <c r="F24">
        <v>70</v>
      </c>
      <c r="G24">
        <v>102</v>
      </c>
      <c r="H24">
        <v>102</v>
      </c>
      <c r="I24">
        <v>102</v>
      </c>
    </row>
    <row r="25" spans="1:9" x14ac:dyDescent="0.25">
      <c r="A25" t="s">
        <v>104</v>
      </c>
      <c r="B25">
        <v>12</v>
      </c>
      <c r="C25">
        <v>28</v>
      </c>
      <c r="D25">
        <v>46</v>
      </c>
      <c r="E25">
        <v>49</v>
      </c>
      <c r="F25">
        <v>61</v>
      </c>
      <c r="G25">
        <v>66</v>
      </c>
      <c r="H25">
        <v>68</v>
      </c>
      <c r="I25">
        <v>102</v>
      </c>
    </row>
    <row r="26" spans="1:9" x14ac:dyDescent="0.25">
      <c r="A26" t="s">
        <v>103</v>
      </c>
      <c r="B26">
        <v>12</v>
      </c>
      <c r="C26">
        <v>29</v>
      </c>
      <c r="D26">
        <v>54</v>
      </c>
      <c r="E26">
        <v>57</v>
      </c>
      <c r="F26">
        <v>82</v>
      </c>
      <c r="G26">
        <v>91</v>
      </c>
      <c r="H26">
        <v>102</v>
      </c>
      <c r="I26">
        <v>102</v>
      </c>
    </row>
    <row r="27" spans="1:9" x14ac:dyDescent="0.25">
      <c r="A27" t="s">
        <v>102</v>
      </c>
      <c r="B27">
        <v>12</v>
      </c>
      <c r="C27">
        <v>24</v>
      </c>
      <c r="D27">
        <v>44</v>
      </c>
      <c r="E27">
        <v>52</v>
      </c>
      <c r="F27">
        <v>79</v>
      </c>
      <c r="G27">
        <v>102</v>
      </c>
      <c r="H27">
        <v>102</v>
      </c>
      <c r="I27">
        <v>102</v>
      </c>
    </row>
    <row r="28" spans="1:9" x14ac:dyDescent="0.25">
      <c r="A28" t="s">
        <v>101</v>
      </c>
      <c r="B28">
        <v>13</v>
      </c>
      <c r="C28">
        <v>26</v>
      </c>
      <c r="D28">
        <v>51</v>
      </c>
      <c r="E28">
        <v>73</v>
      </c>
      <c r="F28">
        <v>95</v>
      </c>
      <c r="G28">
        <v>102</v>
      </c>
      <c r="H28">
        <v>102</v>
      </c>
      <c r="I28">
        <v>102</v>
      </c>
    </row>
    <row r="29" spans="1:9" x14ac:dyDescent="0.25">
      <c r="A29" t="s">
        <v>100</v>
      </c>
      <c r="B29">
        <v>12</v>
      </c>
      <c r="C29">
        <v>30</v>
      </c>
      <c r="D29">
        <v>43</v>
      </c>
      <c r="E29">
        <v>51</v>
      </c>
      <c r="F29">
        <v>69</v>
      </c>
      <c r="G29">
        <v>102</v>
      </c>
      <c r="H29">
        <v>102</v>
      </c>
      <c r="I29">
        <v>102</v>
      </c>
    </row>
    <row r="30" spans="1:9" x14ac:dyDescent="0.25">
      <c r="A30" t="s">
        <v>99</v>
      </c>
      <c r="B30">
        <v>11</v>
      </c>
      <c r="C30">
        <v>23</v>
      </c>
      <c r="D30">
        <v>48</v>
      </c>
      <c r="E30">
        <v>65</v>
      </c>
      <c r="F30">
        <v>82</v>
      </c>
      <c r="G30">
        <v>95</v>
      </c>
      <c r="H30">
        <v>102</v>
      </c>
      <c r="I30">
        <v>102</v>
      </c>
    </row>
    <row r="31" spans="1:9" x14ac:dyDescent="0.25">
      <c r="A31" t="s">
        <v>98</v>
      </c>
      <c r="B31">
        <v>12</v>
      </c>
      <c r="C31">
        <v>22</v>
      </c>
      <c r="D31">
        <v>38</v>
      </c>
      <c r="E31">
        <v>43</v>
      </c>
      <c r="F31">
        <v>56</v>
      </c>
      <c r="G31">
        <v>74</v>
      </c>
      <c r="H31">
        <v>86</v>
      </c>
      <c r="I31">
        <v>102</v>
      </c>
    </row>
    <row r="32" spans="1:9" x14ac:dyDescent="0.25">
      <c r="A32" t="s">
        <v>97</v>
      </c>
      <c r="B32">
        <v>10</v>
      </c>
      <c r="C32">
        <v>30</v>
      </c>
      <c r="D32">
        <v>53</v>
      </c>
      <c r="E32">
        <v>62</v>
      </c>
      <c r="F32">
        <v>78</v>
      </c>
      <c r="G32">
        <v>102</v>
      </c>
      <c r="H32">
        <v>102</v>
      </c>
      <c r="I32">
        <v>102</v>
      </c>
    </row>
    <row r="33" spans="1:9" x14ac:dyDescent="0.25">
      <c r="A33" t="s">
        <v>96</v>
      </c>
      <c r="B33">
        <v>11</v>
      </c>
      <c r="C33">
        <v>32</v>
      </c>
      <c r="D33">
        <v>57</v>
      </c>
      <c r="E33">
        <v>72</v>
      </c>
      <c r="F33">
        <v>95</v>
      </c>
      <c r="G33">
        <v>102</v>
      </c>
      <c r="H33">
        <v>102</v>
      </c>
      <c r="I33">
        <v>102</v>
      </c>
    </row>
    <row r="34" spans="1:9" x14ac:dyDescent="0.25">
      <c r="A34" t="s">
        <v>95</v>
      </c>
      <c r="B34">
        <v>13</v>
      </c>
      <c r="C34">
        <v>30</v>
      </c>
      <c r="D34">
        <v>53</v>
      </c>
      <c r="E34">
        <v>69</v>
      </c>
      <c r="F34">
        <v>88</v>
      </c>
      <c r="G34">
        <v>102</v>
      </c>
      <c r="H34">
        <v>102</v>
      </c>
      <c r="I34">
        <v>102</v>
      </c>
    </row>
    <row r="35" spans="1:9" x14ac:dyDescent="0.25">
      <c r="A35" t="s">
        <v>94</v>
      </c>
      <c r="B35">
        <v>10</v>
      </c>
      <c r="C35">
        <v>26</v>
      </c>
      <c r="D35">
        <v>49</v>
      </c>
      <c r="E35">
        <v>57</v>
      </c>
      <c r="F35">
        <v>77</v>
      </c>
      <c r="G35">
        <v>102</v>
      </c>
      <c r="H35">
        <v>102</v>
      </c>
      <c r="I35">
        <v>102</v>
      </c>
    </row>
    <row r="36" spans="1:9" x14ac:dyDescent="0.25">
      <c r="A36" t="s">
        <v>93</v>
      </c>
      <c r="B36">
        <v>10</v>
      </c>
      <c r="C36">
        <v>31</v>
      </c>
      <c r="D36">
        <v>48</v>
      </c>
      <c r="E36">
        <v>57</v>
      </c>
      <c r="F36">
        <v>68</v>
      </c>
      <c r="G36">
        <v>80</v>
      </c>
      <c r="H36">
        <v>92</v>
      </c>
      <c r="I36">
        <v>87</v>
      </c>
    </row>
    <row r="37" spans="1:9" x14ac:dyDescent="0.25">
      <c r="A37" t="s">
        <v>92</v>
      </c>
      <c r="B37">
        <v>9</v>
      </c>
      <c r="C37">
        <v>29</v>
      </c>
      <c r="D37">
        <v>56</v>
      </c>
      <c r="E37">
        <v>55</v>
      </c>
      <c r="F37">
        <v>86</v>
      </c>
      <c r="G37">
        <v>102</v>
      </c>
      <c r="H37">
        <v>102</v>
      </c>
      <c r="I37">
        <v>102</v>
      </c>
    </row>
    <row r="38" spans="1:9" x14ac:dyDescent="0.25">
      <c r="A38" t="s">
        <v>91</v>
      </c>
      <c r="B38">
        <v>12</v>
      </c>
      <c r="C38">
        <v>30</v>
      </c>
      <c r="D38">
        <v>52</v>
      </c>
      <c r="E38">
        <v>64</v>
      </c>
      <c r="F38">
        <v>88</v>
      </c>
      <c r="G38">
        <v>102</v>
      </c>
      <c r="H38">
        <v>102</v>
      </c>
      <c r="I38">
        <v>102</v>
      </c>
    </row>
    <row r="39" spans="1:9" x14ac:dyDescent="0.25">
      <c r="A39" t="s">
        <v>90</v>
      </c>
      <c r="B39">
        <v>11</v>
      </c>
      <c r="C39">
        <v>27</v>
      </c>
      <c r="D39">
        <v>45</v>
      </c>
      <c r="E39">
        <v>53</v>
      </c>
      <c r="F39">
        <v>79</v>
      </c>
      <c r="G39">
        <v>90</v>
      </c>
      <c r="H39">
        <v>102</v>
      </c>
      <c r="I39">
        <v>102</v>
      </c>
    </row>
    <row r="40" spans="1:9" x14ac:dyDescent="0.25">
      <c r="A40" t="s">
        <v>89</v>
      </c>
      <c r="B40">
        <v>11</v>
      </c>
      <c r="C40">
        <v>26</v>
      </c>
      <c r="D40">
        <v>47</v>
      </c>
      <c r="E40">
        <v>54</v>
      </c>
      <c r="F40">
        <v>76</v>
      </c>
      <c r="G40">
        <v>86</v>
      </c>
      <c r="H40">
        <v>102</v>
      </c>
      <c r="I40">
        <v>102</v>
      </c>
    </row>
    <row r="41" spans="1:9" x14ac:dyDescent="0.25">
      <c r="A41" t="s">
        <v>88</v>
      </c>
      <c r="B41">
        <v>13</v>
      </c>
      <c r="C41">
        <v>28</v>
      </c>
      <c r="D41">
        <v>48</v>
      </c>
      <c r="E41">
        <v>54</v>
      </c>
      <c r="F41">
        <v>77</v>
      </c>
      <c r="G41">
        <v>90</v>
      </c>
      <c r="H41">
        <v>102</v>
      </c>
      <c r="I41">
        <v>102</v>
      </c>
    </row>
    <row r="42" spans="1:9" x14ac:dyDescent="0.25">
      <c r="A42" t="s">
        <v>87</v>
      </c>
      <c r="B42">
        <v>11</v>
      </c>
      <c r="C42">
        <v>27</v>
      </c>
      <c r="D42">
        <v>55</v>
      </c>
      <c r="E42">
        <v>56</v>
      </c>
      <c r="F42">
        <v>76</v>
      </c>
      <c r="G42">
        <v>102</v>
      </c>
      <c r="H42">
        <v>102</v>
      </c>
      <c r="I42">
        <v>102</v>
      </c>
    </row>
    <row r="43" spans="1:9" x14ac:dyDescent="0.25">
      <c r="A43" t="s">
        <v>86</v>
      </c>
      <c r="B43">
        <v>15</v>
      </c>
      <c r="C43">
        <v>31</v>
      </c>
      <c r="D43">
        <v>51</v>
      </c>
      <c r="E43">
        <v>58</v>
      </c>
      <c r="F43">
        <v>85</v>
      </c>
      <c r="G43">
        <v>102</v>
      </c>
      <c r="H43">
        <v>102</v>
      </c>
      <c r="I43">
        <v>102</v>
      </c>
    </row>
    <row r="44" spans="1:9" x14ac:dyDescent="0.25">
      <c r="A44" t="s">
        <v>85</v>
      </c>
      <c r="B44">
        <v>9</v>
      </c>
      <c r="C44">
        <v>25</v>
      </c>
      <c r="D44">
        <v>50</v>
      </c>
      <c r="E44">
        <v>62</v>
      </c>
      <c r="F44">
        <v>84</v>
      </c>
      <c r="G44">
        <v>102</v>
      </c>
      <c r="H44">
        <v>102</v>
      </c>
      <c r="I44">
        <v>102</v>
      </c>
    </row>
    <row r="45" spans="1:9" x14ac:dyDescent="0.25">
      <c r="A45" t="s">
        <v>84</v>
      </c>
      <c r="B45">
        <v>12</v>
      </c>
      <c r="C45">
        <v>32</v>
      </c>
      <c r="D45">
        <v>59</v>
      </c>
      <c r="E45">
        <v>69</v>
      </c>
      <c r="F45">
        <v>98</v>
      </c>
      <c r="G45">
        <v>102</v>
      </c>
      <c r="H45">
        <v>102</v>
      </c>
      <c r="I45">
        <v>102</v>
      </c>
    </row>
    <row r="46" spans="1:9" x14ac:dyDescent="0.25">
      <c r="A46" t="s">
        <v>83</v>
      </c>
      <c r="B46">
        <v>13</v>
      </c>
      <c r="C46">
        <v>29</v>
      </c>
      <c r="D46">
        <v>47</v>
      </c>
      <c r="E46">
        <v>47</v>
      </c>
      <c r="F46">
        <v>67</v>
      </c>
      <c r="G46">
        <v>82</v>
      </c>
      <c r="H46">
        <v>90</v>
      </c>
      <c r="I46">
        <v>102</v>
      </c>
    </row>
    <row r="47" spans="1:9" x14ac:dyDescent="0.25">
      <c r="A47" t="s">
        <v>82</v>
      </c>
      <c r="B47">
        <v>10</v>
      </c>
      <c r="C47">
        <v>31</v>
      </c>
      <c r="D47">
        <v>50</v>
      </c>
      <c r="E47">
        <v>58</v>
      </c>
      <c r="F47">
        <v>72</v>
      </c>
      <c r="G47">
        <v>81</v>
      </c>
      <c r="H47">
        <v>84</v>
      </c>
      <c r="I47">
        <v>89</v>
      </c>
    </row>
    <row r="48" spans="1:9" x14ac:dyDescent="0.25">
      <c r="A48" t="s">
        <v>81</v>
      </c>
      <c r="B48">
        <v>9</v>
      </c>
      <c r="C48">
        <v>29</v>
      </c>
      <c r="D48">
        <v>53</v>
      </c>
      <c r="E48">
        <v>62</v>
      </c>
      <c r="F48">
        <v>75</v>
      </c>
      <c r="G48">
        <v>93</v>
      </c>
      <c r="H48">
        <v>102</v>
      </c>
      <c r="I48">
        <v>102</v>
      </c>
    </row>
    <row r="49" spans="1:9" x14ac:dyDescent="0.25">
      <c r="A49" t="s">
        <v>80</v>
      </c>
      <c r="B49">
        <v>12</v>
      </c>
      <c r="C49">
        <v>31</v>
      </c>
      <c r="D49">
        <v>51</v>
      </c>
      <c r="E49">
        <v>58</v>
      </c>
      <c r="F49">
        <v>78</v>
      </c>
      <c r="G49">
        <v>89</v>
      </c>
      <c r="H49">
        <v>87</v>
      </c>
      <c r="I49">
        <v>84</v>
      </c>
    </row>
    <row r="50" spans="1:9" x14ac:dyDescent="0.25">
      <c r="A50" t="s">
        <v>79</v>
      </c>
      <c r="B50">
        <v>10</v>
      </c>
      <c r="C50">
        <v>24</v>
      </c>
      <c r="D50">
        <v>45</v>
      </c>
      <c r="E50">
        <v>53</v>
      </c>
      <c r="F50">
        <v>63</v>
      </c>
      <c r="G50">
        <v>67</v>
      </c>
      <c r="H50">
        <v>73</v>
      </c>
      <c r="I50">
        <v>69</v>
      </c>
    </row>
    <row r="51" spans="1:9" x14ac:dyDescent="0.25">
      <c r="A51" t="s">
        <v>78</v>
      </c>
      <c r="B51">
        <v>7</v>
      </c>
      <c r="C51">
        <v>23</v>
      </c>
      <c r="D51">
        <v>38</v>
      </c>
      <c r="E51">
        <v>35</v>
      </c>
      <c r="F51">
        <v>42</v>
      </c>
      <c r="G51">
        <v>53</v>
      </c>
      <c r="H51">
        <v>50</v>
      </c>
      <c r="I51">
        <v>60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E37C38-2100-44E8-9B9E-1305C921A650}">
  <dimension ref="A1:H31"/>
  <sheetViews>
    <sheetView workbookViewId="0">
      <selection activeCell="A31" sqref="A1:A31"/>
    </sheetView>
  </sheetViews>
  <sheetFormatPr defaultRowHeight="15" x14ac:dyDescent="0.25"/>
  <sheetData>
    <row r="1" spans="1:8" x14ac:dyDescent="0.25">
      <c r="A1" t="s">
        <v>136</v>
      </c>
      <c r="B1" t="s">
        <v>134</v>
      </c>
      <c r="C1" t="s">
        <v>137</v>
      </c>
      <c r="D1" t="s">
        <v>138</v>
      </c>
      <c r="E1" t="s">
        <v>139</v>
      </c>
      <c r="F1" t="s">
        <v>140</v>
      </c>
      <c r="G1" t="s">
        <v>141</v>
      </c>
      <c r="H1" t="s">
        <v>142</v>
      </c>
    </row>
    <row r="2" spans="1:8" x14ac:dyDescent="0.25">
      <c r="A2" t="s">
        <v>127</v>
      </c>
      <c r="B2" s="85">
        <v>0.96</v>
      </c>
      <c r="C2" s="85">
        <v>1.1599999999999999</v>
      </c>
      <c r="D2" s="85">
        <v>2.0499999999999998</v>
      </c>
      <c r="E2" s="85">
        <v>3.41</v>
      </c>
      <c r="F2" s="85">
        <v>4.38</v>
      </c>
      <c r="G2" s="85">
        <v>5.76</v>
      </c>
      <c r="H2" s="85">
        <v>4.46</v>
      </c>
    </row>
    <row r="3" spans="1:8" x14ac:dyDescent="0.25">
      <c r="A3" t="s">
        <v>126</v>
      </c>
      <c r="B3" s="85">
        <v>0.57999999999999996</v>
      </c>
      <c r="C3" s="85">
        <v>1.03</v>
      </c>
      <c r="D3" s="85">
        <v>1.87</v>
      </c>
      <c r="E3" s="85">
        <v>3.1</v>
      </c>
      <c r="F3" s="85">
        <v>3.66</v>
      </c>
      <c r="G3" s="85">
        <v>4.6100000000000003</v>
      </c>
      <c r="H3" s="85">
        <v>4.97</v>
      </c>
    </row>
    <row r="4" spans="1:8" x14ac:dyDescent="0.25">
      <c r="A4" t="s">
        <v>125</v>
      </c>
      <c r="B4" s="85">
        <v>0.42</v>
      </c>
      <c r="C4" s="85">
        <v>1.19</v>
      </c>
      <c r="D4" s="85">
        <v>1.78</v>
      </c>
      <c r="E4" s="85">
        <v>2.86</v>
      </c>
      <c r="F4" s="85">
        <v>3.4</v>
      </c>
      <c r="G4" s="85">
        <v>4.46</v>
      </c>
      <c r="H4" s="85">
        <v>4.33</v>
      </c>
    </row>
    <row r="5" spans="1:8" x14ac:dyDescent="0.25">
      <c r="A5" t="s">
        <v>124</v>
      </c>
      <c r="B5" s="85">
        <v>0.61</v>
      </c>
      <c r="C5" s="85">
        <v>1.4</v>
      </c>
      <c r="D5" s="85">
        <v>2.0699999999999998</v>
      </c>
      <c r="E5" s="85">
        <v>3.37</v>
      </c>
      <c r="F5" s="85">
        <v>4.5199999999999996</v>
      </c>
      <c r="G5" s="85"/>
      <c r="H5" s="85">
        <v>5.46</v>
      </c>
    </row>
    <row r="6" spans="1:8" x14ac:dyDescent="0.25">
      <c r="A6" t="s">
        <v>123</v>
      </c>
      <c r="B6" s="85">
        <v>0.5</v>
      </c>
      <c r="C6" s="85">
        <v>1.02</v>
      </c>
      <c r="D6" s="85">
        <v>1.55</v>
      </c>
      <c r="E6" s="85">
        <v>2.38</v>
      </c>
      <c r="F6" s="85">
        <v>3.25</v>
      </c>
      <c r="G6" s="85"/>
      <c r="H6" s="85">
        <v>4.42</v>
      </c>
    </row>
    <row r="7" spans="1:8" x14ac:dyDescent="0.25">
      <c r="A7" t="s">
        <v>122</v>
      </c>
      <c r="B7" s="85">
        <v>0.54</v>
      </c>
      <c r="C7" s="85">
        <v>1.22</v>
      </c>
      <c r="D7" s="85">
        <v>1.87</v>
      </c>
      <c r="E7" s="85">
        <v>3.33</v>
      </c>
      <c r="F7" s="85">
        <v>4.2</v>
      </c>
      <c r="G7" s="85"/>
      <c r="H7" s="85">
        <v>4.72</v>
      </c>
    </row>
    <row r="8" spans="1:8" x14ac:dyDescent="0.25">
      <c r="A8" t="s">
        <v>121</v>
      </c>
      <c r="B8" s="85">
        <v>0.49</v>
      </c>
      <c r="C8" s="85">
        <v>1.24</v>
      </c>
      <c r="D8" s="85">
        <v>2.31</v>
      </c>
      <c r="E8" s="85">
        <v>2.8</v>
      </c>
      <c r="F8" s="85">
        <v>6.08</v>
      </c>
      <c r="G8" s="85"/>
      <c r="H8" s="85">
        <v>6.56</v>
      </c>
    </row>
    <row r="9" spans="1:8" x14ac:dyDescent="0.25">
      <c r="A9" t="s">
        <v>120</v>
      </c>
      <c r="B9" s="85">
        <v>0.38</v>
      </c>
      <c r="C9" s="85">
        <v>0.92</v>
      </c>
      <c r="D9" s="85">
        <v>1.67</v>
      </c>
      <c r="E9" s="85">
        <v>3.4</v>
      </c>
      <c r="F9" s="85">
        <v>3.98</v>
      </c>
      <c r="G9" s="85"/>
      <c r="H9" s="85">
        <v>4.97</v>
      </c>
    </row>
    <row r="10" spans="1:8" x14ac:dyDescent="0.25">
      <c r="A10" t="s">
        <v>119</v>
      </c>
      <c r="B10" s="85">
        <v>0.69</v>
      </c>
      <c r="C10" s="85">
        <v>1.25</v>
      </c>
      <c r="D10" s="85">
        <v>1.8</v>
      </c>
      <c r="E10" s="85"/>
      <c r="F10" s="85">
        <v>5.23</v>
      </c>
      <c r="G10" s="85"/>
      <c r="H10" s="85">
        <v>5.83</v>
      </c>
    </row>
    <row r="11" spans="1:8" x14ac:dyDescent="0.25">
      <c r="A11" t="s">
        <v>118</v>
      </c>
      <c r="B11" s="85">
        <v>0.48</v>
      </c>
      <c r="C11" s="85">
        <v>1.1200000000000001</v>
      </c>
      <c r="D11" s="85">
        <v>1.7</v>
      </c>
      <c r="E11" s="85">
        <v>2.82</v>
      </c>
      <c r="F11" s="85">
        <v>3.81</v>
      </c>
      <c r="G11" s="85"/>
      <c r="H11" s="85">
        <v>4.97</v>
      </c>
    </row>
    <row r="12" spans="1:8" x14ac:dyDescent="0.25">
      <c r="A12" t="s">
        <v>107</v>
      </c>
      <c r="B12" s="85">
        <v>0.73</v>
      </c>
      <c r="C12" s="85">
        <v>1.31</v>
      </c>
      <c r="D12" s="85">
        <v>2.42</v>
      </c>
      <c r="E12" s="85">
        <v>3.37</v>
      </c>
      <c r="F12" s="85">
        <v>5.1100000000000003</v>
      </c>
      <c r="G12" s="85"/>
      <c r="H12" s="85">
        <v>4.55</v>
      </c>
    </row>
    <row r="13" spans="1:8" x14ac:dyDescent="0.25">
      <c r="A13" t="s">
        <v>106</v>
      </c>
      <c r="B13" s="85">
        <v>0.42</v>
      </c>
      <c r="C13" s="85">
        <v>1.34</v>
      </c>
      <c r="D13" s="85">
        <v>2.2599999999999998</v>
      </c>
      <c r="E13" s="85">
        <v>3.16</v>
      </c>
      <c r="F13" s="85">
        <v>4.13</v>
      </c>
      <c r="G13" s="85"/>
      <c r="H13" s="85">
        <v>4.96</v>
      </c>
    </row>
    <row r="14" spans="1:8" x14ac:dyDescent="0.25">
      <c r="A14" t="s">
        <v>105</v>
      </c>
      <c r="B14" s="85">
        <v>0.47</v>
      </c>
      <c r="C14" s="85">
        <v>1.1100000000000001</v>
      </c>
      <c r="D14" s="85">
        <v>1.71</v>
      </c>
      <c r="E14" s="85">
        <v>3.04</v>
      </c>
      <c r="F14" s="85">
        <v>4.58</v>
      </c>
      <c r="G14" s="85"/>
      <c r="H14" s="85">
        <v>4.5</v>
      </c>
    </row>
    <row r="15" spans="1:8" x14ac:dyDescent="0.25">
      <c r="A15" t="s">
        <v>104</v>
      </c>
      <c r="B15" s="85">
        <v>0.44</v>
      </c>
      <c r="C15" s="85">
        <v>0.99</v>
      </c>
      <c r="D15" s="85">
        <v>1.35</v>
      </c>
      <c r="E15" s="85">
        <v>2.46</v>
      </c>
      <c r="F15" s="85">
        <v>2.46</v>
      </c>
      <c r="G15" s="85"/>
      <c r="H15" s="85">
        <v>2.82</v>
      </c>
    </row>
    <row r="16" spans="1:8" x14ac:dyDescent="0.25">
      <c r="A16" t="s">
        <v>103</v>
      </c>
      <c r="B16" s="85">
        <v>0.97</v>
      </c>
      <c r="C16" s="85">
        <v>1.3</v>
      </c>
      <c r="D16" s="85">
        <v>2.09</v>
      </c>
      <c r="E16" s="85">
        <v>2.96</v>
      </c>
      <c r="F16" s="85">
        <v>4.3899999999999997</v>
      </c>
      <c r="G16" s="85"/>
      <c r="H16" s="85">
        <v>4.53</v>
      </c>
    </row>
    <row r="17" spans="1:8" x14ac:dyDescent="0.25">
      <c r="A17" t="s">
        <v>102</v>
      </c>
      <c r="B17" s="85">
        <v>0.67</v>
      </c>
      <c r="C17" s="85">
        <v>1.04</v>
      </c>
      <c r="D17" s="85">
        <v>1.66</v>
      </c>
      <c r="E17" s="85">
        <v>3.18</v>
      </c>
      <c r="F17" s="85">
        <v>4.21</v>
      </c>
      <c r="G17" s="85"/>
      <c r="H17" s="85">
        <v>5.04</v>
      </c>
    </row>
    <row r="18" spans="1:8" x14ac:dyDescent="0.25">
      <c r="A18" t="s">
        <v>101</v>
      </c>
      <c r="B18" s="85">
        <v>0.75</v>
      </c>
      <c r="C18" s="85">
        <v>1.26</v>
      </c>
      <c r="D18" s="85">
        <v>2.5299999999999998</v>
      </c>
      <c r="E18" s="85">
        <v>3.96</v>
      </c>
      <c r="F18" s="85">
        <v>5.5</v>
      </c>
      <c r="G18" s="85"/>
      <c r="H18" s="85">
        <v>5.82</v>
      </c>
    </row>
    <row r="19" spans="1:8" x14ac:dyDescent="0.25">
      <c r="A19" t="s">
        <v>100</v>
      </c>
      <c r="B19" s="85">
        <v>0.33</v>
      </c>
      <c r="C19" s="85">
        <v>1.1200000000000001</v>
      </c>
      <c r="D19" s="85">
        <v>1.51</v>
      </c>
      <c r="E19" s="85">
        <v>3.35</v>
      </c>
      <c r="F19" s="85">
        <v>4.72</v>
      </c>
      <c r="G19" s="85"/>
      <c r="H19" s="85">
        <v>6</v>
      </c>
    </row>
    <row r="20" spans="1:8" x14ac:dyDescent="0.25">
      <c r="A20" t="s">
        <v>99</v>
      </c>
      <c r="B20" s="85">
        <v>0.98</v>
      </c>
      <c r="C20" s="85">
        <v>1.28</v>
      </c>
      <c r="D20" s="85">
        <v>1.99</v>
      </c>
      <c r="E20" s="85">
        <v>3.77</v>
      </c>
      <c r="F20" s="85">
        <v>4.9000000000000004</v>
      </c>
      <c r="G20" s="85"/>
      <c r="H20" s="85">
        <v>5.66</v>
      </c>
    </row>
    <row r="21" spans="1:8" x14ac:dyDescent="0.25">
      <c r="A21" t="s">
        <v>98</v>
      </c>
      <c r="B21" s="85">
        <v>0.57999999999999996</v>
      </c>
      <c r="C21" s="85">
        <v>0.84</v>
      </c>
      <c r="D21" s="85">
        <v>1.1200000000000001</v>
      </c>
      <c r="E21" s="85">
        <v>1.79</v>
      </c>
      <c r="F21" s="85">
        <v>2.7</v>
      </c>
      <c r="G21" s="85"/>
      <c r="H21" s="85">
        <v>3.58</v>
      </c>
    </row>
    <row r="22" spans="1:8" x14ac:dyDescent="0.25">
      <c r="A22" t="s">
        <v>87</v>
      </c>
      <c r="B22" s="85">
        <v>0.25</v>
      </c>
      <c r="C22" s="85">
        <v>1.02</v>
      </c>
      <c r="D22" s="85">
        <v>1.86</v>
      </c>
      <c r="E22" s="85">
        <v>3.44</v>
      </c>
      <c r="F22" s="85">
        <v>4.9800000000000004</v>
      </c>
      <c r="G22" s="85"/>
      <c r="H22" s="85">
        <v>5.37</v>
      </c>
    </row>
    <row r="23" spans="1:8" x14ac:dyDescent="0.25">
      <c r="A23" t="s">
        <v>86</v>
      </c>
      <c r="B23" s="85">
        <v>0.53</v>
      </c>
      <c r="C23" s="85">
        <v>1.26</v>
      </c>
      <c r="D23" s="85">
        <v>1.78</v>
      </c>
      <c r="E23" s="85">
        <v>2.93</v>
      </c>
      <c r="F23" s="85">
        <v>4.28</v>
      </c>
      <c r="G23" s="85"/>
      <c r="H23" s="85">
        <v>4.8600000000000003</v>
      </c>
    </row>
    <row r="24" spans="1:8" x14ac:dyDescent="0.25">
      <c r="A24" t="s">
        <v>85</v>
      </c>
      <c r="B24" s="85">
        <v>0.27</v>
      </c>
      <c r="C24" s="85">
        <v>1.32</v>
      </c>
      <c r="D24" s="85">
        <v>1.68</v>
      </c>
      <c r="E24" s="85">
        <v>3.86</v>
      </c>
      <c r="F24" s="85">
        <v>5.12</v>
      </c>
      <c r="G24" s="85"/>
      <c r="H24" s="85">
        <v>6.08</v>
      </c>
    </row>
    <row r="25" spans="1:8" x14ac:dyDescent="0.25">
      <c r="A25" t="s">
        <v>84</v>
      </c>
      <c r="B25" s="85">
        <v>0.49</v>
      </c>
      <c r="C25" s="85">
        <v>1.54</v>
      </c>
      <c r="D25" s="85">
        <v>2.36</v>
      </c>
      <c r="E25" s="85">
        <v>4.6500000000000004</v>
      </c>
      <c r="F25" s="85">
        <v>5.55</v>
      </c>
      <c r="G25" s="85"/>
      <c r="H25" s="85">
        <v>6.33</v>
      </c>
    </row>
    <row r="26" spans="1:8" x14ac:dyDescent="0.25">
      <c r="A26" t="s">
        <v>83</v>
      </c>
      <c r="B26" s="85">
        <v>0.41</v>
      </c>
      <c r="C26" s="85">
        <v>0.85</v>
      </c>
      <c r="D26" s="85">
        <v>1.33</v>
      </c>
      <c r="E26" s="85">
        <v>2.46</v>
      </c>
      <c r="F26" s="85">
        <v>3.35</v>
      </c>
      <c r="G26" s="85"/>
      <c r="H26" s="85">
        <v>5.4</v>
      </c>
    </row>
    <row r="27" spans="1:8" x14ac:dyDescent="0.25">
      <c r="A27" t="s">
        <v>82</v>
      </c>
      <c r="B27" s="85">
        <v>0.59</v>
      </c>
      <c r="C27" s="85">
        <v>1.3</v>
      </c>
      <c r="D27" s="85">
        <v>1.86</v>
      </c>
      <c r="E27" s="85">
        <v>2.52</v>
      </c>
      <c r="F27" s="85">
        <v>2.92</v>
      </c>
      <c r="G27" s="85"/>
      <c r="H27" s="85">
        <v>2.83</v>
      </c>
    </row>
    <row r="28" spans="1:8" x14ac:dyDescent="0.25">
      <c r="A28" t="s">
        <v>81</v>
      </c>
      <c r="B28" s="85">
        <v>0.32</v>
      </c>
      <c r="C28" s="85">
        <v>1.18</v>
      </c>
      <c r="D28" s="85">
        <v>1.9</v>
      </c>
      <c r="E28" s="85">
        <v>3.1</v>
      </c>
      <c r="F28" s="85">
        <v>4.13</v>
      </c>
      <c r="G28" s="85"/>
      <c r="H28" s="85">
        <v>4.12</v>
      </c>
    </row>
    <row r="29" spans="1:8" x14ac:dyDescent="0.25">
      <c r="A29" t="s">
        <v>80</v>
      </c>
      <c r="B29" s="85">
        <v>0.43</v>
      </c>
      <c r="C29" s="85">
        <v>1.36</v>
      </c>
      <c r="D29" s="85">
        <v>2.1</v>
      </c>
      <c r="E29" s="85">
        <v>2.86</v>
      </c>
      <c r="F29" s="85">
        <v>3.88</v>
      </c>
      <c r="G29" s="85"/>
      <c r="H29" s="85">
        <v>4.0999999999999996</v>
      </c>
    </row>
    <row r="30" spans="1:8" x14ac:dyDescent="0.25">
      <c r="A30" t="s">
        <v>79</v>
      </c>
      <c r="B30" s="85">
        <v>0.28999999999999998</v>
      </c>
      <c r="C30" s="85">
        <v>0.9</v>
      </c>
      <c r="D30" s="85">
        <v>1.45</v>
      </c>
      <c r="E30" s="85">
        <v>2.13</v>
      </c>
      <c r="F30" s="85">
        <v>2.1800000000000002</v>
      </c>
      <c r="G30" s="85"/>
      <c r="H30" s="85">
        <v>2.13</v>
      </c>
    </row>
    <row r="31" spans="1:8" x14ac:dyDescent="0.25">
      <c r="A31" t="s">
        <v>78</v>
      </c>
      <c r="B31" s="85">
        <v>0.4</v>
      </c>
      <c r="C31" s="85">
        <v>0.49</v>
      </c>
      <c r="D31" s="85">
        <v>0.81</v>
      </c>
      <c r="E31" s="85">
        <v>0.97</v>
      </c>
      <c r="F31" s="85">
        <v>1.38</v>
      </c>
      <c r="G31" s="85"/>
      <c r="H31" s="85">
        <v>1.23</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A71553-77B6-492D-A344-DE0BB154EB37}">
  <dimension ref="A1:B51"/>
  <sheetViews>
    <sheetView workbookViewId="0"/>
  </sheetViews>
  <sheetFormatPr defaultRowHeight="15" x14ac:dyDescent="0.25"/>
  <sheetData>
    <row r="1" spans="1:2" x14ac:dyDescent="0.25">
      <c r="A1" t="s">
        <v>136</v>
      </c>
      <c r="B1" t="s">
        <v>162</v>
      </c>
    </row>
    <row r="2" spans="1:2" x14ac:dyDescent="0.25">
      <c r="A2" t="s">
        <v>127</v>
      </c>
      <c r="B2" s="81">
        <v>9.8425196850393704</v>
      </c>
    </row>
    <row r="3" spans="1:2" x14ac:dyDescent="0.25">
      <c r="A3" t="s">
        <v>126</v>
      </c>
      <c r="B3" s="81">
        <v>9.8425196850393704</v>
      </c>
    </row>
    <row r="4" spans="1:2" x14ac:dyDescent="0.25">
      <c r="A4" t="s">
        <v>125</v>
      </c>
      <c r="B4" s="81">
        <v>9.8425196850393704</v>
      </c>
    </row>
    <row r="5" spans="1:2" x14ac:dyDescent="0.25">
      <c r="A5" t="s">
        <v>124</v>
      </c>
      <c r="B5" s="81">
        <v>12.795275590551181</v>
      </c>
    </row>
    <row r="6" spans="1:2" x14ac:dyDescent="0.25">
      <c r="A6" t="s">
        <v>123</v>
      </c>
      <c r="B6" s="81">
        <v>9.8425196850393704</v>
      </c>
    </row>
    <row r="7" spans="1:2" x14ac:dyDescent="0.25">
      <c r="A7" t="s">
        <v>122</v>
      </c>
      <c r="B7" s="81">
        <v>12.795275590551181</v>
      </c>
    </row>
    <row r="8" spans="1:2" x14ac:dyDescent="0.25">
      <c r="A8" t="s">
        <v>121</v>
      </c>
      <c r="B8" s="81">
        <v>10.826771653543307</v>
      </c>
    </row>
    <row r="9" spans="1:2" x14ac:dyDescent="0.25">
      <c r="A9" t="s">
        <v>120</v>
      </c>
      <c r="B9" s="81">
        <v>10.826771653543307</v>
      </c>
    </row>
    <row r="10" spans="1:2" x14ac:dyDescent="0.25">
      <c r="A10" t="s">
        <v>119</v>
      </c>
      <c r="B10" s="81">
        <v>9.8425196850393704</v>
      </c>
    </row>
    <row r="11" spans="1:2" x14ac:dyDescent="0.25">
      <c r="A11" t="s">
        <v>118</v>
      </c>
      <c r="B11" s="81">
        <v>9.8425196850393704</v>
      </c>
    </row>
    <row r="12" spans="1:2" x14ac:dyDescent="0.25">
      <c r="A12" t="s">
        <v>117</v>
      </c>
      <c r="B12" s="81">
        <v>6.8897637795275593</v>
      </c>
    </row>
    <row r="13" spans="1:2" x14ac:dyDescent="0.25">
      <c r="A13" t="s">
        <v>116</v>
      </c>
      <c r="B13" s="81">
        <v>9.8425196850393704</v>
      </c>
    </row>
    <row r="14" spans="1:2" x14ac:dyDescent="0.25">
      <c r="A14" t="s">
        <v>115</v>
      </c>
      <c r="B14" s="81">
        <v>9.8425196850393704</v>
      </c>
    </row>
    <row r="15" spans="1:2" x14ac:dyDescent="0.25">
      <c r="A15" t="s">
        <v>114</v>
      </c>
      <c r="B15" s="81">
        <v>10.826771653543307</v>
      </c>
    </row>
    <row r="16" spans="1:2" x14ac:dyDescent="0.25">
      <c r="A16" t="s">
        <v>113</v>
      </c>
      <c r="B16" s="81">
        <v>11.811023622047244</v>
      </c>
    </row>
    <row r="17" spans="1:2" x14ac:dyDescent="0.25">
      <c r="A17" t="s">
        <v>112</v>
      </c>
      <c r="B17" s="81">
        <v>7.8740157480314963</v>
      </c>
    </row>
    <row r="18" spans="1:2" x14ac:dyDescent="0.25">
      <c r="A18" t="s">
        <v>111</v>
      </c>
      <c r="B18" s="81">
        <v>11.811023622047244</v>
      </c>
    </row>
    <row r="19" spans="1:2" x14ac:dyDescent="0.25">
      <c r="A19" t="s">
        <v>110</v>
      </c>
      <c r="B19" s="81">
        <v>10.826771653543307</v>
      </c>
    </row>
    <row r="20" spans="1:2" x14ac:dyDescent="0.25">
      <c r="A20" t="s">
        <v>109</v>
      </c>
      <c r="B20" s="81">
        <v>11.811023622047244</v>
      </c>
    </row>
    <row r="21" spans="1:2" x14ac:dyDescent="0.25">
      <c r="A21" t="s">
        <v>108</v>
      </c>
      <c r="B21" s="81">
        <v>9.8425196850393704</v>
      </c>
    </row>
    <row r="22" spans="1:2" x14ac:dyDescent="0.25">
      <c r="A22" t="s">
        <v>107</v>
      </c>
      <c r="B22" s="81">
        <v>9.8425196850393704</v>
      </c>
    </row>
    <row r="23" spans="1:2" x14ac:dyDescent="0.25">
      <c r="A23" t="s">
        <v>106</v>
      </c>
      <c r="B23" s="81">
        <v>9.8425196850393704</v>
      </c>
    </row>
    <row r="24" spans="1:2" x14ac:dyDescent="0.25">
      <c r="A24" t="s">
        <v>105</v>
      </c>
      <c r="B24" s="81">
        <v>8.8582677165354333</v>
      </c>
    </row>
    <row r="25" spans="1:2" x14ac:dyDescent="0.25">
      <c r="A25" t="s">
        <v>104</v>
      </c>
      <c r="B25" s="81">
        <v>9.8425196850393704</v>
      </c>
    </row>
    <row r="26" spans="1:2" x14ac:dyDescent="0.25">
      <c r="A26" t="s">
        <v>103</v>
      </c>
      <c r="B26" s="81">
        <v>10.826771653543307</v>
      </c>
    </row>
    <row r="27" spans="1:2" x14ac:dyDescent="0.25">
      <c r="A27" t="s">
        <v>102</v>
      </c>
      <c r="B27" s="81">
        <v>10.826771653543307</v>
      </c>
    </row>
    <row r="28" spans="1:2" x14ac:dyDescent="0.25">
      <c r="A28" t="s">
        <v>101</v>
      </c>
      <c r="B28" s="81">
        <v>11.811023622047244</v>
      </c>
    </row>
    <row r="29" spans="1:2" x14ac:dyDescent="0.25">
      <c r="A29" t="s">
        <v>100</v>
      </c>
      <c r="B29" s="81">
        <v>8.8582677165354333</v>
      </c>
    </row>
    <row r="30" spans="1:2" x14ac:dyDescent="0.25">
      <c r="A30" t="s">
        <v>99</v>
      </c>
      <c r="B30" s="81">
        <v>11.811023622047244</v>
      </c>
    </row>
    <row r="31" spans="1:2" x14ac:dyDescent="0.25">
      <c r="A31" t="s">
        <v>98</v>
      </c>
      <c r="B31" s="81">
        <v>12.795275590551181</v>
      </c>
    </row>
    <row r="32" spans="1:2" x14ac:dyDescent="0.25">
      <c r="A32" t="s">
        <v>97</v>
      </c>
      <c r="B32" s="81">
        <v>6.8897637795275593</v>
      </c>
    </row>
    <row r="33" spans="1:2" x14ac:dyDescent="0.25">
      <c r="A33" t="s">
        <v>96</v>
      </c>
      <c r="B33" s="81">
        <v>11.811023622047244</v>
      </c>
    </row>
    <row r="34" spans="1:2" x14ac:dyDescent="0.25">
      <c r="A34" t="s">
        <v>95</v>
      </c>
      <c r="B34" s="81">
        <v>8.8582677165354333</v>
      </c>
    </row>
    <row r="35" spans="1:2" x14ac:dyDescent="0.25">
      <c r="A35" t="s">
        <v>94</v>
      </c>
      <c r="B35" s="81">
        <v>7.8740157480314963</v>
      </c>
    </row>
    <row r="36" spans="1:2" x14ac:dyDescent="0.25">
      <c r="A36" t="s">
        <v>93</v>
      </c>
      <c r="B36" s="81">
        <v>9.8425196850393704</v>
      </c>
    </row>
    <row r="37" spans="1:2" x14ac:dyDescent="0.25">
      <c r="A37" t="s">
        <v>92</v>
      </c>
      <c r="B37" s="81">
        <v>8.8582677165354333</v>
      </c>
    </row>
    <row r="38" spans="1:2" x14ac:dyDescent="0.25">
      <c r="A38" t="s">
        <v>91</v>
      </c>
      <c r="B38" s="81">
        <v>10.826771653543307</v>
      </c>
    </row>
    <row r="39" spans="1:2" x14ac:dyDescent="0.25">
      <c r="A39" t="s">
        <v>90</v>
      </c>
      <c r="B39" s="81">
        <v>9.8425196850393704</v>
      </c>
    </row>
    <row r="40" spans="1:2" x14ac:dyDescent="0.25">
      <c r="A40" t="s">
        <v>89</v>
      </c>
      <c r="B40" s="81">
        <v>8.8582677165354333</v>
      </c>
    </row>
    <row r="41" spans="1:2" x14ac:dyDescent="0.25">
      <c r="A41" t="s">
        <v>88</v>
      </c>
      <c r="B41" s="81">
        <v>8.8582677165354333</v>
      </c>
    </row>
    <row r="42" spans="1:2" x14ac:dyDescent="0.25">
      <c r="A42" t="s">
        <v>87</v>
      </c>
      <c r="B42" s="81">
        <v>8.8582677165354333</v>
      </c>
    </row>
    <row r="43" spans="1:2" x14ac:dyDescent="0.25">
      <c r="A43" t="s">
        <v>86</v>
      </c>
      <c r="B43" s="81">
        <v>9.8425196850393704</v>
      </c>
    </row>
    <row r="44" spans="1:2" x14ac:dyDescent="0.25">
      <c r="A44" t="s">
        <v>85</v>
      </c>
      <c r="B44" s="81">
        <v>8.8582677165354333</v>
      </c>
    </row>
    <row r="45" spans="1:2" x14ac:dyDescent="0.25">
      <c r="A45" t="s">
        <v>84</v>
      </c>
      <c r="B45" s="81">
        <v>11.811023622047244</v>
      </c>
    </row>
    <row r="46" spans="1:2" x14ac:dyDescent="0.25">
      <c r="A46" t="s">
        <v>83</v>
      </c>
      <c r="B46" s="81">
        <v>11.811023622047244</v>
      </c>
    </row>
    <row r="47" spans="1:2" x14ac:dyDescent="0.25">
      <c r="A47" t="s">
        <v>82</v>
      </c>
      <c r="B47" s="81">
        <v>11.811023622047244</v>
      </c>
    </row>
    <row r="48" spans="1:2" x14ac:dyDescent="0.25">
      <c r="A48" t="s">
        <v>81</v>
      </c>
      <c r="B48" s="81">
        <v>8.8582677165354333</v>
      </c>
    </row>
    <row r="49" spans="1:2" x14ac:dyDescent="0.25">
      <c r="A49" t="s">
        <v>80</v>
      </c>
      <c r="B49" s="81">
        <v>11.811023622047244</v>
      </c>
    </row>
    <row r="50" spans="1:2" x14ac:dyDescent="0.25">
      <c r="A50" t="s">
        <v>79</v>
      </c>
      <c r="B50" s="81">
        <v>10.826771653543307</v>
      </c>
    </row>
    <row r="51" spans="1:2" x14ac:dyDescent="0.25">
      <c r="A51" t="s">
        <v>78</v>
      </c>
      <c r="B51" s="81">
        <v>5.9055118110236222</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469584-4DF9-4B70-B327-86F536195554}">
  <dimension ref="A1:K51"/>
  <sheetViews>
    <sheetView tabSelected="1" workbookViewId="0"/>
  </sheetViews>
  <sheetFormatPr defaultRowHeight="15" x14ac:dyDescent="0.25"/>
  <cols>
    <col min="2" max="2" width="10.7109375" bestFit="1" customWidth="1"/>
  </cols>
  <sheetData>
    <row r="1" spans="1:11" x14ac:dyDescent="0.25">
      <c r="A1" t="s">
        <v>136</v>
      </c>
      <c r="B1" t="s">
        <v>224</v>
      </c>
      <c r="C1" t="s">
        <v>210</v>
      </c>
      <c r="D1" t="s">
        <v>220</v>
      </c>
      <c r="E1" t="s">
        <v>219</v>
      </c>
      <c r="F1" t="s">
        <v>218</v>
      </c>
      <c r="G1" t="s">
        <v>217</v>
      </c>
      <c r="H1" t="s">
        <v>216</v>
      </c>
      <c r="I1" t="s">
        <v>215</v>
      </c>
      <c r="J1" t="s">
        <v>214</v>
      </c>
      <c r="K1" t="s">
        <v>213</v>
      </c>
    </row>
    <row r="2" spans="1:11" x14ac:dyDescent="0.25">
      <c r="A2" t="s">
        <v>127</v>
      </c>
      <c r="B2" s="148">
        <v>42184</v>
      </c>
      <c r="C2" s="147">
        <v>180</v>
      </c>
      <c r="D2">
        <v>7</v>
      </c>
      <c r="E2">
        <v>6.5</v>
      </c>
      <c r="F2">
        <v>5</v>
      </c>
      <c r="G2">
        <v>4.5</v>
      </c>
      <c r="H2">
        <v>3.5</v>
      </c>
      <c r="I2">
        <v>3</v>
      </c>
      <c r="J2">
        <v>1.5</v>
      </c>
      <c r="K2">
        <v>2.5</v>
      </c>
    </row>
    <row r="3" spans="1:11" x14ac:dyDescent="0.25">
      <c r="A3" t="s">
        <v>126</v>
      </c>
      <c r="B3" s="148">
        <v>42188</v>
      </c>
      <c r="C3" s="147">
        <v>183.66666666666666</v>
      </c>
      <c r="D3">
        <v>6.5</v>
      </c>
      <c r="E3">
        <v>6.5</v>
      </c>
      <c r="F3">
        <v>5.5</v>
      </c>
      <c r="G3">
        <v>5</v>
      </c>
      <c r="H3">
        <v>3.5</v>
      </c>
      <c r="I3">
        <v>3.5</v>
      </c>
      <c r="J3">
        <v>1.5</v>
      </c>
      <c r="K3">
        <v>3.5</v>
      </c>
    </row>
    <row r="4" spans="1:11" x14ac:dyDescent="0.25">
      <c r="A4" t="s">
        <v>125</v>
      </c>
      <c r="B4" s="148">
        <v>42186</v>
      </c>
      <c r="C4" s="147">
        <v>182</v>
      </c>
      <c r="D4">
        <v>6.5</v>
      </c>
      <c r="E4">
        <v>6.5</v>
      </c>
      <c r="F4">
        <v>4.5</v>
      </c>
      <c r="G4">
        <v>5</v>
      </c>
      <c r="H4">
        <v>3</v>
      </c>
      <c r="I4">
        <v>3.5</v>
      </c>
      <c r="J4">
        <v>1.5</v>
      </c>
      <c r="K4">
        <v>3</v>
      </c>
    </row>
    <row r="5" spans="1:11" x14ac:dyDescent="0.25">
      <c r="A5" t="s">
        <v>124</v>
      </c>
      <c r="B5" s="148">
        <v>42186</v>
      </c>
      <c r="C5" s="147">
        <v>181.75</v>
      </c>
      <c r="D5">
        <v>6</v>
      </c>
      <c r="E5">
        <v>5.5</v>
      </c>
      <c r="G5">
        <v>4.5</v>
      </c>
      <c r="H5">
        <v>3.5</v>
      </c>
      <c r="I5">
        <v>4</v>
      </c>
      <c r="J5">
        <v>1.5</v>
      </c>
      <c r="K5">
        <v>1.5</v>
      </c>
    </row>
    <row r="6" spans="1:11" x14ac:dyDescent="0.25">
      <c r="A6" t="s">
        <v>123</v>
      </c>
      <c r="B6" s="148">
        <v>42182</v>
      </c>
      <c r="C6" s="147">
        <v>178.125</v>
      </c>
      <c r="E6">
        <v>5</v>
      </c>
      <c r="G6">
        <v>3.5</v>
      </c>
      <c r="H6">
        <v>4</v>
      </c>
      <c r="I6">
        <v>4.5</v>
      </c>
      <c r="J6">
        <v>2.5</v>
      </c>
      <c r="K6">
        <v>1.5</v>
      </c>
    </row>
    <row r="7" spans="1:11" x14ac:dyDescent="0.25">
      <c r="A7" t="s">
        <v>122</v>
      </c>
      <c r="B7" s="148">
        <v>42184</v>
      </c>
      <c r="C7" s="147">
        <v>179.58333333333334</v>
      </c>
      <c r="D7">
        <v>6.5</v>
      </c>
      <c r="E7">
        <v>6.5</v>
      </c>
      <c r="F7">
        <v>5</v>
      </c>
      <c r="G7">
        <v>6</v>
      </c>
      <c r="H7">
        <v>5</v>
      </c>
      <c r="I7">
        <v>4.5</v>
      </c>
      <c r="J7">
        <v>3</v>
      </c>
      <c r="K7">
        <v>2.5</v>
      </c>
    </row>
    <row r="8" spans="1:11" x14ac:dyDescent="0.25">
      <c r="A8" t="s">
        <v>121</v>
      </c>
      <c r="B8" s="148">
        <v>42184</v>
      </c>
      <c r="C8" s="147">
        <v>179.58333333333334</v>
      </c>
      <c r="D8">
        <v>7</v>
      </c>
      <c r="E8">
        <v>5.5</v>
      </c>
      <c r="F8">
        <v>7</v>
      </c>
      <c r="G8">
        <v>5.5</v>
      </c>
      <c r="H8">
        <v>4</v>
      </c>
      <c r="I8">
        <v>4.5</v>
      </c>
      <c r="J8">
        <v>3.5</v>
      </c>
      <c r="K8">
        <v>2</v>
      </c>
    </row>
    <row r="9" spans="1:11" x14ac:dyDescent="0.25">
      <c r="A9" t="s">
        <v>120</v>
      </c>
      <c r="B9" s="148">
        <v>42186</v>
      </c>
      <c r="C9" s="147">
        <v>181.66666666666666</v>
      </c>
      <c r="D9">
        <v>7</v>
      </c>
      <c r="E9">
        <v>6</v>
      </c>
      <c r="F9">
        <v>4</v>
      </c>
      <c r="G9">
        <v>6</v>
      </c>
      <c r="H9">
        <v>5</v>
      </c>
      <c r="I9">
        <v>4</v>
      </c>
      <c r="J9">
        <v>3.5</v>
      </c>
      <c r="K9">
        <v>2.5</v>
      </c>
    </row>
    <row r="10" spans="1:11" x14ac:dyDescent="0.25">
      <c r="A10" t="s">
        <v>119</v>
      </c>
      <c r="B10" s="148">
        <v>42183</v>
      </c>
      <c r="C10" s="147">
        <v>179.16666666666666</v>
      </c>
      <c r="D10">
        <v>7.5</v>
      </c>
      <c r="E10">
        <v>6</v>
      </c>
      <c r="G10">
        <v>4</v>
      </c>
      <c r="H10">
        <v>5</v>
      </c>
      <c r="I10">
        <v>4.5</v>
      </c>
      <c r="J10">
        <v>3</v>
      </c>
      <c r="K10">
        <v>2.5</v>
      </c>
    </row>
    <row r="11" spans="1:11" x14ac:dyDescent="0.25">
      <c r="A11" t="s">
        <v>118</v>
      </c>
      <c r="B11" s="148">
        <v>42184</v>
      </c>
      <c r="C11" s="147">
        <v>180</v>
      </c>
      <c r="D11">
        <v>7.5</v>
      </c>
      <c r="E11">
        <v>5.5</v>
      </c>
      <c r="G11">
        <v>4.5</v>
      </c>
      <c r="H11">
        <v>4.5</v>
      </c>
      <c r="I11">
        <v>5.5</v>
      </c>
      <c r="J11">
        <v>4.5</v>
      </c>
      <c r="K11">
        <v>3.5</v>
      </c>
    </row>
    <row r="12" spans="1:11" x14ac:dyDescent="0.25">
      <c r="A12" t="s">
        <v>117</v>
      </c>
      <c r="B12" s="148">
        <v>42185</v>
      </c>
      <c r="C12" s="147">
        <v>181</v>
      </c>
      <c r="E12">
        <v>6.5</v>
      </c>
      <c r="G12">
        <v>4</v>
      </c>
      <c r="H12">
        <v>4.5</v>
      </c>
      <c r="I12">
        <v>3.5</v>
      </c>
      <c r="J12">
        <v>2</v>
      </c>
      <c r="K12">
        <v>3</v>
      </c>
    </row>
    <row r="13" spans="1:11" x14ac:dyDescent="0.25">
      <c r="A13" t="s">
        <v>116</v>
      </c>
      <c r="B13" s="148">
        <v>42186</v>
      </c>
      <c r="C13" s="147">
        <v>182</v>
      </c>
      <c r="E13">
        <v>6.5</v>
      </c>
      <c r="G13">
        <v>5.5</v>
      </c>
      <c r="H13">
        <v>4.5</v>
      </c>
      <c r="I13">
        <v>4</v>
      </c>
      <c r="J13">
        <v>2.5</v>
      </c>
      <c r="K13">
        <v>3</v>
      </c>
    </row>
    <row r="14" spans="1:11" x14ac:dyDescent="0.25">
      <c r="A14" t="s">
        <v>115</v>
      </c>
      <c r="B14" s="148">
        <v>42183</v>
      </c>
      <c r="C14" s="147">
        <v>179.16666666666666</v>
      </c>
      <c r="E14">
        <v>5.5</v>
      </c>
      <c r="G14">
        <v>4</v>
      </c>
      <c r="H14">
        <v>5</v>
      </c>
      <c r="I14">
        <v>4</v>
      </c>
      <c r="J14">
        <v>2.5</v>
      </c>
      <c r="K14">
        <v>2.5</v>
      </c>
    </row>
    <row r="15" spans="1:11" x14ac:dyDescent="0.25">
      <c r="A15" t="s">
        <v>114</v>
      </c>
      <c r="B15" s="148">
        <v>42186</v>
      </c>
      <c r="C15" s="147">
        <v>181.5</v>
      </c>
      <c r="E15">
        <v>4.5</v>
      </c>
      <c r="G15">
        <v>4</v>
      </c>
      <c r="H15">
        <v>4</v>
      </c>
      <c r="I15">
        <v>4.5</v>
      </c>
      <c r="J15">
        <v>2</v>
      </c>
      <c r="K15">
        <v>3.5</v>
      </c>
    </row>
    <row r="16" spans="1:11" x14ac:dyDescent="0.25">
      <c r="A16" t="s">
        <v>113</v>
      </c>
      <c r="B16" s="148">
        <v>42187</v>
      </c>
      <c r="C16" s="147">
        <v>183</v>
      </c>
      <c r="E16">
        <v>6</v>
      </c>
      <c r="G16">
        <v>5</v>
      </c>
      <c r="H16">
        <v>3.5</v>
      </c>
      <c r="I16">
        <v>5</v>
      </c>
      <c r="J16">
        <v>3.5</v>
      </c>
      <c r="K16">
        <v>2</v>
      </c>
    </row>
    <row r="17" spans="1:11" x14ac:dyDescent="0.25">
      <c r="A17" t="s">
        <v>112</v>
      </c>
      <c r="B17" s="148">
        <v>42184</v>
      </c>
      <c r="C17" s="147">
        <v>180</v>
      </c>
      <c r="E17">
        <v>7</v>
      </c>
      <c r="G17">
        <v>5.5</v>
      </c>
      <c r="H17">
        <v>4</v>
      </c>
      <c r="I17">
        <v>3.5</v>
      </c>
      <c r="J17">
        <v>3.5</v>
      </c>
      <c r="K17">
        <v>2.5</v>
      </c>
    </row>
    <row r="18" spans="1:11" x14ac:dyDescent="0.25">
      <c r="A18" t="s">
        <v>111</v>
      </c>
      <c r="B18" s="148">
        <v>42186</v>
      </c>
      <c r="C18" s="147">
        <v>181.5</v>
      </c>
      <c r="E18">
        <v>6</v>
      </c>
      <c r="G18">
        <v>5</v>
      </c>
      <c r="H18">
        <v>4.5</v>
      </c>
      <c r="I18">
        <v>5</v>
      </c>
      <c r="J18">
        <v>2.5</v>
      </c>
      <c r="K18">
        <v>2</v>
      </c>
    </row>
    <row r="19" spans="1:11" x14ac:dyDescent="0.25">
      <c r="A19" t="s">
        <v>110</v>
      </c>
      <c r="B19" s="148">
        <v>42184</v>
      </c>
      <c r="C19" s="147">
        <v>179.58333333333334</v>
      </c>
      <c r="E19">
        <v>6</v>
      </c>
      <c r="G19">
        <v>4.5</v>
      </c>
      <c r="H19">
        <v>5</v>
      </c>
      <c r="I19">
        <v>3.5</v>
      </c>
      <c r="J19">
        <v>2.5</v>
      </c>
      <c r="K19">
        <v>2</v>
      </c>
    </row>
    <row r="20" spans="1:11" x14ac:dyDescent="0.25">
      <c r="A20" t="s">
        <v>109</v>
      </c>
      <c r="B20" s="148">
        <v>42184</v>
      </c>
      <c r="C20" s="147">
        <v>180</v>
      </c>
      <c r="E20">
        <v>6</v>
      </c>
      <c r="G20">
        <v>4.5</v>
      </c>
      <c r="H20">
        <v>4.5</v>
      </c>
      <c r="I20">
        <v>4.5</v>
      </c>
      <c r="J20">
        <v>4</v>
      </c>
      <c r="K20">
        <v>3.5</v>
      </c>
    </row>
    <row r="21" spans="1:11" x14ac:dyDescent="0.25">
      <c r="A21" t="s">
        <v>108</v>
      </c>
      <c r="B21" s="148">
        <v>42183</v>
      </c>
      <c r="C21" s="147">
        <v>178.57142857142858</v>
      </c>
      <c r="E21">
        <v>5</v>
      </c>
      <c r="G21">
        <v>3.5</v>
      </c>
      <c r="H21">
        <v>4.5</v>
      </c>
      <c r="I21">
        <v>5</v>
      </c>
      <c r="J21">
        <v>4</v>
      </c>
      <c r="K21">
        <v>2.5</v>
      </c>
    </row>
    <row r="22" spans="1:11" x14ac:dyDescent="0.25">
      <c r="A22" t="s">
        <v>107</v>
      </c>
      <c r="B22" s="148">
        <v>42186</v>
      </c>
      <c r="C22" s="147">
        <v>182</v>
      </c>
      <c r="D22">
        <v>7.5</v>
      </c>
      <c r="E22">
        <v>7</v>
      </c>
      <c r="F22">
        <v>5</v>
      </c>
      <c r="G22">
        <v>5</v>
      </c>
      <c r="H22">
        <v>4</v>
      </c>
      <c r="I22">
        <v>2.5</v>
      </c>
      <c r="J22">
        <v>1.5</v>
      </c>
      <c r="K22">
        <v>2</v>
      </c>
    </row>
    <row r="23" spans="1:11" x14ac:dyDescent="0.25">
      <c r="A23" t="s">
        <v>106</v>
      </c>
      <c r="B23" s="148">
        <v>42186</v>
      </c>
      <c r="C23" s="147">
        <v>182</v>
      </c>
      <c r="D23">
        <v>6.5</v>
      </c>
      <c r="E23">
        <v>6.5</v>
      </c>
      <c r="F23">
        <v>5</v>
      </c>
      <c r="G23">
        <v>4.5</v>
      </c>
      <c r="H23">
        <v>3</v>
      </c>
      <c r="I23">
        <v>2.5</v>
      </c>
      <c r="J23">
        <v>2</v>
      </c>
      <c r="K23">
        <v>2.5</v>
      </c>
    </row>
    <row r="24" spans="1:11" x14ac:dyDescent="0.25">
      <c r="A24" t="s">
        <v>105</v>
      </c>
      <c r="B24" s="148">
        <v>42184</v>
      </c>
      <c r="C24" s="147">
        <v>180.33333333333334</v>
      </c>
      <c r="D24">
        <v>6</v>
      </c>
      <c r="E24">
        <v>6</v>
      </c>
      <c r="F24">
        <v>4</v>
      </c>
      <c r="G24">
        <v>4</v>
      </c>
      <c r="H24">
        <v>3.5</v>
      </c>
      <c r="I24">
        <v>3</v>
      </c>
      <c r="J24">
        <v>2</v>
      </c>
      <c r="K24">
        <v>2.5</v>
      </c>
    </row>
    <row r="25" spans="1:11" x14ac:dyDescent="0.25">
      <c r="A25" t="s">
        <v>104</v>
      </c>
      <c r="B25" s="148">
        <v>42183</v>
      </c>
      <c r="C25" s="147">
        <v>178.57142857142858</v>
      </c>
      <c r="D25">
        <v>7.5</v>
      </c>
      <c r="E25">
        <v>5.5</v>
      </c>
      <c r="F25">
        <v>5</v>
      </c>
      <c r="G25">
        <v>3.5</v>
      </c>
      <c r="H25">
        <v>3</v>
      </c>
      <c r="I25">
        <v>2.5</v>
      </c>
      <c r="J25">
        <v>1</v>
      </c>
      <c r="K25">
        <v>1</v>
      </c>
    </row>
    <row r="26" spans="1:11" x14ac:dyDescent="0.25">
      <c r="A26" t="s">
        <v>103</v>
      </c>
      <c r="B26" s="148">
        <v>42184</v>
      </c>
      <c r="C26" s="147">
        <v>179.58333333333334</v>
      </c>
      <c r="D26">
        <v>7</v>
      </c>
      <c r="E26">
        <v>6</v>
      </c>
      <c r="G26">
        <v>4</v>
      </c>
      <c r="H26">
        <v>2.5</v>
      </c>
      <c r="I26">
        <v>2.5</v>
      </c>
      <c r="J26">
        <v>2</v>
      </c>
      <c r="K26">
        <v>2</v>
      </c>
    </row>
    <row r="27" spans="1:11" x14ac:dyDescent="0.25">
      <c r="A27" t="s">
        <v>102</v>
      </c>
      <c r="B27" s="148">
        <v>42184</v>
      </c>
      <c r="C27" s="147">
        <v>179.58333333333334</v>
      </c>
      <c r="D27">
        <v>8</v>
      </c>
      <c r="E27">
        <v>5</v>
      </c>
      <c r="F27">
        <v>5</v>
      </c>
      <c r="G27">
        <v>5.5</v>
      </c>
      <c r="H27">
        <v>5.5</v>
      </c>
      <c r="I27">
        <v>4.5</v>
      </c>
      <c r="J27">
        <v>4</v>
      </c>
      <c r="K27">
        <v>3</v>
      </c>
    </row>
    <row r="28" spans="1:11" x14ac:dyDescent="0.25">
      <c r="A28" t="s">
        <v>101</v>
      </c>
      <c r="B28" s="148">
        <v>42185</v>
      </c>
      <c r="C28" s="147">
        <v>181.33333333333334</v>
      </c>
      <c r="D28">
        <v>8</v>
      </c>
      <c r="E28">
        <v>7</v>
      </c>
      <c r="F28">
        <v>6.5</v>
      </c>
      <c r="G28">
        <v>6</v>
      </c>
      <c r="H28">
        <v>5</v>
      </c>
      <c r="I28">
        <v>4.5</v>
      </c>
      <c r="J28">
        <v>3</v>
      </c>
      <c r="K28">
        <v>2.5</v>
      </c>
    </row>
    <row r="29" spans="1:11" x14ac:dyDescent="0.25">
      <c r="A29" t="s">
        <v>100</v>
      </c>
      <c r="B29" s="148">
        <v>42185</v>
      </c>
      <c r="C29" s="147">
        <v>180.625</v>
      </c>
      <c r="D29">
        <v>7</v>
      </c>
      <c r="E29">
        <v>5</v>
      </c>
      <c r="F29">
        <v>6.5</v>
      </c>
      <c r="G29">
        <v>4</v>
      </c>
      <c r="H29">
        <v>4.5</v>
      </c>
      <c r="I29">
        <v>5</v>
      </c>
      <c r="J29">
        <v>4.5</v>
      </c>
      <c r="K29">
        <v>3.5</v>
      </c>
    </row>
    <row r="30" spans="1:11" x14ac:dyDescent="0.25">
      <c r="A30" t="s">
        <v>99</v>
      </c>
      <c r="B30" s="148">
        <v>42187</v>
      </c>
      <c r="C30" s="147">
        <v>183</v>
      </c>
      <c r="D30">
        <v>7</v>
      </c>
      <c r="E30">
        <v>7</v>
      </c>
      <c r="F30">
        <v>5.5</v>
      </c>
      <c r="G30">
        <v>5.5</v>
      </c>
      <c r="H30">
        <v>4.5</v>
      </c>
      <c r="I30">
        <v>5</v>
      </c>
      <c r="J30">
        <v>3</v>
      </c>
      <c r="K30">
        <v>2</v>
      </c>
    </row>
    <row r="31" spans="1:11" x14ac:dyDescent="0.25">
      <c r="A31" t="s">
        <v>98</v>
      </c>
      <c r="B31" s="148">
        <v>42184</v>
      </c>
      <c r="C31" s="147">
        <v>179.64285714285714</v>
      </c>
      <c r="E31">
        <v>4.5</v>
      </c>
      <c r="F31">
        <v>5.5</v>
      </c>
      <c r="G31">
        <v>4.5</v>
      </c>
      <c r="H31">
        <v>5</v>
      </c>
      <c r="I31">
        <v>4.5</v>
      </c>
      <c r="J31">
        <v>3.5</v>
      </c>
      <c r="K31">
        <v>1.5</v>
      </c>
    </row>
    <row r="32" spans="1:11" x14ac:dyDescent="0.25">
      <c r="A32" t="s">
        <v>97</v>
      </c>
      <c r="B32" s="148">
        <v>42187</v>
      </c>
      <c r="C32" s="147">
        <v>182.625</v>
      </c>
      <c r="E32">
        <v>6.5</v>
      </c>
      <c r="G32">
        <v>5.5</v>
      </c>
      <c r="H32">
        <v>4.5</v>
      </c>
      <c r="I32">
        <v>3.5</v>
      </c>
      <c r="J32">
        <v>3.5</v>
      </c>
      <c r="K32">
        <v>2.5</v>
      </c>
    </row>
    <row r="33" spans="1:11" x14ac:dyDescent="0.25">
      <c r="A33" t="s">
        <v>96</v>
      </c>
      <c r="B33" s="148">
        <v>42182</v>
      </c>
      <c r="C33" s="147">
        <v>178.25</v>
      </c>
      <c r="E33">
        <v>6.5</v>
      </c>
      <c r="G33">
        <v>6</v>
      </c>
      <c r="H33">
        <v>4.5</v>
      </c>
      <c r="I33">
        <v>4.5</v>
      </c>
      <c r="J33">
        <v>3</v>
      </c>
      <c r="K33">
        <v>2</v>
      </c>
    </row>
    <row r="34" spans="1:11" x14ac:dyDescent="0.25">
      <c r="A34" t="s">
        <v>95</v>
      </c>
      <c r="B34" s="148">
        <v>42186</v>
      </c>
      <c r="C34" s="147">
        <v>181.75</v>
      </c>
      <c r="E34">
        <v>6</v>
      </c>
      <c r="G34">
        <v>5</v>
      </c>
      <c r="H34">
        <v>4</v>
      </c>
      <c r="I34">
        <v>4.5</v>
      </c>
      <c r="J34">
        <v>4</v>
      </c>
      <c r="K34">
        <v>2.5</v>
      </c>
    </row>
    <row r="35" spans="1:11" x14ac:dyDescent="0.25">
      <c r="A35" t="s">
        <v>94</v>
      </c>
      <c r="B35" s="148">
        <v>42185</v>
      </c>
      <c r="C35" s="147">
        <v>181.4</v>
      </c>
      <c r="E35">
        <v>6</v>
      </c>
      <c r="G35">
        <v>5</v>
      </c>
      <c r="H35">
        <v>4.5</v>
      </c>
      <c r="I35">
        <v>4</v>
      </c>
      <c r="J35">
        <v>3</v>
      </c>
      <c r="K35">
        <v>2.5</v>
      </c>
    </row>
    <row r="36" spans="1:11" x14ac:dyDescent="0.25">
      <c r="A36" t="s">
        <v>93</v>
      </c>
      <c r="B36" s="148">
        <v>42187</v>
      </c>
      <c r="C36" s="147">
        <v>183</v>
      </c>
      <c r="E36">
        <v>4.5</v>
      </c>
      <c r="G36">
        <v>3.5</v>
      </c>
      <c r="H36">
        <v>4</v>
      </c>
      <c r="I36">
        <v>4.5</v>
      </c>
      <c r="J36">
        <v>4</v>
      </c>
      <c r="K36">
        <v>2</v>
      </c>
    </row>
    <row r="37" spans="1:11" x14ac:dyDescent="0.25">
      <c r="A37" t="s">
        <v>92</v>
      </c>
      <c r="B37" s="148">
        <v>42187</v>
      </c>
      <c r="C37" s="147">
        <v>182.83333333333334</v>
      </c>
      <c r="E37">
        <v>6.5</v>
      </c>
      <c r="G37">
        <v>5</v>
      </c>
      <c r="H37">
        <v>3.5</v>
      </c>
      <c r="I37">
        <v>4.5</v>
      </c>
      <c r="J37">
        <v>3.5</v>
      </c>
      <c r="K37">
        <v>3</v>
      </c>
    </row>
    <row r="38" spans="1:11" x14ac:dyDescent="0.25">
      <c r="A38" t="s">
        <v>91</v>
      </c>
      <c r="B38" s="148">
        <v>42184</v>
      </c>
      <c r="C38" s="147">
        <v>180.33333333333334</v>
      </c>
      <c r="E38">
        <v>6.5</v>
      </c>
      <c r="G38">
        <v>5.5</v>
      </c>
      <c r="H38">
        <v>4.5</v>
      </c>
      <c r="I38">
        <v>4.5</v>
      </c>
      <c r="J38">
        <v>3</v>
      </c>
      <c r="K38">
        <v>3</v>
      </c>
    </row>
    <row r="39" spans="1:11" x14ac:dyDescent="0.25">
      <c r="A39" t="s">
        <v>90</v>
      </c>
      <c r="B39" s="148">
        <v>42187</v>
      </c>
      <c r="C39" s="147">
        <v>182.8</v>
      </c>
      <c r="E39">
        <v>6</v>
      </c>
      <c r="G39">
        <v>4.5</v>
      </c>
      <c r="H39">
        <v>5</v>
      </c>
      <c r="I39">
        <v>4.5</v>
      </c>
      <c r="J39">
        <v>4</v>
      </c>
      <c r="K39">
        <v>3</v>
      </c>
    </row>
    <row r="40" spans="1:11" x14ac:dyDescent="0.25">
      <c r="A40" t="s">
        <v>89</v>
      </c>
      <c r="B40" s="148">
        <v>42185</v>
      </c>
      <c r="C40" s="147">
        <v>180.7</v>
      </c>
      <c r="E40">
        <v>6</v>
      </c>
      <c r="G40">
        <v>5.5</v>
      </c>
      <c r="H40">
        <v>4</v>
      </c>
      <c r="I40">
        <v>4.5</v>
      </c>
      <c r="J40">
        <v>3.5</v>
      </c>
      <c r="K40">
        <v>2</v>
      </c>
    </row>
    <row r="41" spans="1:11" x14ac:dyDescent="0.25">
      <c r="A41" t="s">
        <v>88</v>
      </c>
      <c r="B41" s="148">
        <v>42185</v>
      </c>
      <c r="C41" s="147">
        <v>180.7</v>
      </c>
      <c r="E41">
        <v>5.5</v>
      </c>
      <c r="G41">
        <v>3.5</v>
      </c>
      <c r="H41">
        <v>4</v>
      </c>
      <c r="I41">
        <v>3.5</v>
      </c>
      <c r="J41">
        <v>3</v>
      </c>
      <c r="K41">
        <v>2.5</v>
      </c>
    </row>
    <row r="42" spans="1:11" x14ac:dyDescent="0.25">
      <c r="A42" t="s">
        <v>87</v>
      </c>
      <c r="B42" s="148">
        <v>42188</v>
      </c>
      <c r="C42" s="147">
        <v>183.875</v>
      </c>
      <c r="D42">
        <v>6.5</v>
      </c>
      <c r="E42">
        <v>6</v>
      </c>
      <c r="F42">
        <v>4</v>
      </c>
      <c r="G42">
        <v>4.5</v>
      </c>
      <c r="H42">
        <v>4</v>
      </c>
      <c r="I42">
        <v>3</v>
      </c>
      <c r="J42">
        <v>3</v>
      </c>
      <c r="K42">
        <v>1.5</v>
      </c>
    </row>
    <row r="43" spans="1:11" x14ac:dyDescent="0.25">
      <c r="A43" t="s">
        <v>86</v>
      </c>
      <c r="B43" s="148">
        <v>42185</v>
      </c>
      <c r="C43" s="147">
        <v>181</v>
      </c>
      <c r="D43">
        <v>7</v>
      </c>
      <c r="E43">
        <v>6</v>
      </c>
      <c r="F43">
        <v>3.5</v>
      </c>
      <c r="G43">
        <v>4</v>
      </c>
      <c r="H43">
        <v>4</v>
      </c>
      <c r="I43">
        <v>3.5</v>
      </c>
      <c r="J43">
        <v>2.5</v>
      </c>
      <c r="K43">
        <v>2</v>
      </c>
    </row>
    <row r="44" spans="1:11" x14ac:dyDescent="0.25">
      <c r="A44" t="s">
        <v>85</v>
      </c>
      <c r="B44" s="148">
        <v>42187</v>
      </c>
      <c r="C44" s="147">
        <v>183.0625</v>
      </c>
      <c r="D44">
        <v>6</v>
      </c>
      <c r="E44">
        <v>7</v>
      </c>
      <c r="G44">
        <v>5</v>
      </c>
      <c r="H44">
        <v>4</v>
      </c>
      <c r="I44">
        <v>4.5</v>
      </c>
      <c r="J44">
        <v>3.5</v>
      </c>
      <c r="K44">
        <v>2</v>
      </c>
    </row>
    <row r="45" spans="1:11" x14ac:dyDescent="0.25">
      <c r="A45" t="s">
        <v>84</v>
      </c>
      <c r="B45" s="148">
        <v>42183</v>
      </c>
      <c r="C45" s="147">
        <v>179.28571428571428</v>
      </c>
      <c r="D45">
        <v>7</v>
      </c>
      <c r="E45">
        <v>6</v>
      </c>
      <c r="G45">
        <v>5</v>
      </c>
      <c r="H45">
        <v>4.5</v>
      </c>
      <c r="I45">
        <v>5</v>
      </c>
      <c r="J45">
        <v>3.5</v>
      </c>
      <c r="K45">
        <v>2.5</v>
      </c>
    </row>
    <row r="46" spans="1:11" x14ac:dyDescent="0.25">
      <c r="A46" t="s">
        <v>83</v>
      </c>
      <c r="B46" s="148">
        <v>42188</v>
      </c>
      <c r="C46" s="147">
        <v>183.5</v>
      </c>
      <c r="D46">
        <v>6.5</v>
      </c>
      <c r="E46">
        <v>5</v>
      </c>
      <c r="G46">
        <v>3.5</v>
      </c>
      <c r="H46">
        <v>3.5</v>
      </c>
      <c r="I46">
        <v>5</v>
      </c>
      <c r="J46">
        <v>4</v>
      </c>
      <c r="K46">
        <v>1.5</v>
      </c>
    </row>
    <row r="47" spans="1:11" x14ac:dyDescent="0.25">
      <c r="A47" t="s">
        <v>82</v>
      </c>
      <c r="B47" s="148">
        <v>42188</v>
      </c>
      <c r="C47" s="147">
        <v>184.22222222222223</v>
      </c>
      <c r="D47">
        <v>8.5</v>
      </c>
      <c r="E47">
        <v>6.5</v>
      </c>
      <c r="F47">
        <v>5.5</v>
      </c>
      <c r="G47">
        <v>3.5</v>
      </c>
      <c r="H47">
        <v>2.5</v>
      </c>
      <c r="I47">
        <v>1.5</v>
      </c>
      <c r="J47">
        <v>1</v>
      </c>
      <c r="K47">
        <v>1.5</v>
      </c>
    </row>
    <row r="48" spans="1:11" x14ac:dyDescent="0.25">
      <c r="A48" t="s">
        <v>81</v>
      </c>
      <c r="B48" s="148">
        <v>42188</v>
      </c>
      <c r="C48" s="147">
        <v>184.08333333333334</v>
      </c>
      <c r="D48">
        <v>7</v>
      </c>
      <c r="E48">
        <v>6.5</v>
      </c>
      <c r="F48">
        <v>6</v>
      </c>
      <c r="G48">
        <v>4</v>
      </c>
      <c r="H48">
        <v>3</v>
      </c>
      <c r="I48">
        <v>2</v>
      </c>
      <c r="J48">
        <v>2.5</v>
      </c>
      <c r="K48">
        <v>1.5</v>
      </c>
    </row>
    <row r="49" spans="1:11" x14ac:dyDescent="0.25">
      <c r="A49" t="s">
        <v>80</v>
      </c>
      <c r="B49" s="148">
        <v>42187</v>
      </c>
      <c r="C49" s="147">
        <v>182.8</v>
      </c>
      <c r="D49">
        <v>8</v>
      </c>
      <c r="E49">
        <v>7</v>
      </c>
      <c r="F49">
        <v>5</v>
      </c>
      <c r="G49">
        <v>4</v>
      </c>
      <c r="H49">
        <v>3</v>
      </c>
      <c r="I49">
        <v>2</v>
      </c>
      <c r="J49">
        <v>1.5</v>
      </c>
      <c r="K49">
        <v>1</v>
      </c>
    </row>
    <row r="50" spans="1:11" x14ac:dyDescent="0.25">
      <c r="A50" t="s">
        <v>79</v>
      </c>
      <c r="B50" s="148">
        <v>42186</v>
      </c>
      <c r="C50" s="147">
        <v>182.1</v>
      </c>
      <c r="D50">
        <v>7</v>
      </c>
      <c r="E50">
        <v>6</v>
      </c>
      <c r="G50">
        <v>3</v>
      </c>
      <c r="H50">
        <v>2.5</v>
      </c>
      <c r="I50">
        <v>2.5</v>
      </c>
      <c r="J50">
        <v>2</v>
      </c>
      <c r="K50">
        <v>1</v>
      </c>
    </row>
    <row r="51" spans="1:11" x14ac:dyDescent="0.25">
      <c r="A51" t="s">
        <v>78</v>
      </c>
      <c r="B51" s="148">
        <v>42188</v>
      </c>
      <c r="C51" s="147">
        <v>183.5</v>
      </c>
      <c r="D51">
        <v>7</v>
      </c>
      <c r="E51">
        <v>5.5</v>
      </c>
      <c r="G51">
        <v>2</v>
      </c>
      <c r="H51">
        <v>2</v>
      </c>
      <c r="I51">
        <v>2</v>
      </c>
      <c r="J51">
        <v>1.5</v>
      </c>
      <c r="K51">
        <v>1.5</v>
      </c>
    </row>
  </sheetData>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O66"/>
  <sheetViews>
    <sheetView zoomScale="85" zoomScaleNormal="85" workbookViewId="0">
      <selection activeCell="D61" sqref="D61:L63"/>
    </sheetView>
  </sheetViews>
  <sheetFormatPr defaultColWidth="8.85546875" defaultRowHeight="14.25" x14ac:dyDescent="0.2"/>
  <cols>
    <col min="1" max="4" width="8.85546875" style="29"/>
    <col min="5" max="15" width="8.85546875" style="31"/>
    <col min="16" max="16384" width="8.85546875" style="29"/>
  </cols>
  <sheetData>
    <row r="1" spans="1:15" ht="18" x14ac:dyDescent="0.25">
      <c r="A1" s="2">
        <v>2015</v>
      </c>
      <c r="B1" s="3" t="s">
        <v>17</v>
      </c>
      <c r="C1" s="4"/>
      <c r="D1" s="4"/>
    </row>
    <row r="2" spans="1:15" ht="18" x14ac:dyDescent="0.25">
      <c r="A2" s="4"/>
      <c r="B2" s="3" t="s">
        <v>10</v>
      </c>
      <c r="C2" s="6"/>
      <c r="D2" s="3" t="s">
        <v>11</v>
      </c>
    </row>
    <row r="3" spans="1:15" x14ac:dyDescent="0.2">
      <c r="J3" s="155" t="s">
        <v>62</v>
      </c>
    </row>
    <row r="4" spans="1:15" ht="15.75" x14ac:dyDescent="0.25">
      <c r="B4" s="4" t="s">
        <v>28</v>
      </c>
      <c r="C4" s="4"/>
      <c r="J4" s="156"/>
    </row>
    <row r="5" spans="1:15" ht="15.75" x14ac:dyDescent="0.25">
      <c r="B5" s="4"/>
      <c r="C5" s="4" t="s">
        <v>19</v>
      </c>
      <c r="J5" s="156"/>
    </row>
    <row r="6" spans="1:15" x14ac:dyDescent="0.2">
      <c r="J6" s="156"/>
    </row>
    <row r="7" spans="1:15" ht="15" x14ac:dyDescent="0.25">
      <c r="D7" s="10" t="s">
        <v>20</v>
      </c>
      <c r="E7" s="69">
        <v>42157</v>
      </c>
      <c r="F7" s="63">
        <v>42170</v>
      </c>
      <c r="G7" s="63">
        <v>42184</v>
      </c>
      <c r="H7" s="63">
        <v>42198</v>
      </c>
      <c r="I7" s="63">
        <v>42212</v>
      </c>
      <c r="J7" s="63">
        <v>42227</v>
      </c>
      <c r="K7" s="63">
        <v>42243</v>
      </c>
      <c r="L7" s="63">
        <v>42255</v>
      </c>
      <c r="M7" s="32"/>
      <c r="N7" s="32"/>
      <c r="O7" s="32"/>
    </row>
    <row r="8" spans="1:15" ht="15" x14ac:dyDescent="0.25">
      <c r="D8" s="10" t="s">
        <v>27</v>
      </c>
      <c r="E8" s="33">
        <v>153</v>
      </c>
      <c r="F8" s="32">
        <v>166</v>
      </c>
      <c r="G8" s="32">
        <v>180</v>
      </c>
      <c r="H8" s="32">
        <v>194</v>
      </c>
      <c r="I8" s="32">
        <v>208</v>
      </c>
      <c r="J8" s="32">
        <v>223</v>
      </c>
      <c r="K8" s="32">
        <v>236</v>
      </c>
      <c r="L8" s="32">
        <v>251</v>
      </c>
      <c r="M8" s="32"/>
      <c r="N8" s="32"/>
      <c r="O8" s="32"/>
    </row>
    <row r="9" spans="1:15" ht="23.25" thickBot="1" x14ac:dyDescent="0.3">
      <c r="D9" s="10"/>
      <c r="E9" s="30" t="s">
        <v>30</v>
      </c>
      <c r="F9" s="30" t="s">
        <v>30</v>
      </c>
      <c r="G9" s="30" t="s">
        <v>30</v>
      </c>
      <c r="H9" s="30" t="s">
        <v>30</v>
      </c>
      <c r="I9" s="30" t="s">
        <v>30</v>
      </c>
      <c r="J9" s="30" t="s">
        <v>30</v>
      </c>
      <c r="K9" s="30" t="s">
        <v>30</v>
      </c>
      <c r="L9" s="30" t="s">
        <v>30</v>
      </c>
      <c r="M9" s="30" t="s">
        <v>30</v>
      </c>
      <c r="N9" s="30" t="s">
        <v>30</v>
      </c>
      <c r="O9" s="30" t="s">
        <v>30</v>
      </c>
    </row>
    <row r="10" spans="1:15" s="34" customFormat="1" ht="16.899999999999999" customHeight="1" x14ac:dyDescent="0.25">
      <c r="B10" s="20" t="s">
        <v>0</v>
      </c>
      <c r="C10" s="20" t="s">
        <v>48</v>
      </c>
      <c r="D10" s="21" t="s">
        <v>13</v>
      </c>
      <c r="E10" s="35">
        <v>14</v>
      </c>
      <c r="F10" s="36">
        <v>33</v>
      </c>
      <c r="G10" s="36">
        <v>55</v>
      </c>
      <c r="H10" s="36">
        <v>74</v>
      </c>
      <c r="I10" s="36">
        <v>96</v>
      </c>
      <c r="J10" s="36">
        <v>97</v>
      </c>
      <c r="K10" s="36">
        <v>93</v>
      </c>
      <c r="L10" s="36">
        <v>98</v>
      </c>
      <c r="M10" s="36"/>
      <c r="N10" s="36"/>
      <c r="O10" s="36"/>
    </row>
    <row r="11" spans="1:15" s="34" customFormat="1" ht="16.899999999999999" customHeight="1" x14ac:dyDescent="0.25">
      <c r="B11" s="19"/>
      <c r="C11" s="19" t="s">
        <v>6</v>
      </c>
      <c r="D11" s="22" t="s">
        <v>26</v>
      </c>
      <c r="E11" s="37">
        <v>14</v>
      </c>
      <c r="F11" s="38">
        <v>30</v>
      </c>
      <c r="G11" s="38">
        <v>51</v>
      </c>
      <c r="H11" s="38">
        <v>64</v>
      </c>
      <c r="I11" s="38">
        <v>87</v>
      </c>
      <c r="J11" s="38">
        <v>96</v>
      </c>
      <c r="K11" s="38">
        <v>92</v>
      </c>
      <c r="L11" s="38">
        <v>95</v>
      </c>
      <c r="M11" s="38"/>
      <c r="N11" s="38"/>
      <c r="O11" s="38"/>
    </row>
    <row r="12" spans="1:15" s="34" customFormat="1" ht="16.899999999999999" customHeight="1" x14ac:dyDescent="0.25">
      <c r="B12" s="19"/>
      <c r="C12" s="19"/>
      <c r="D12" s="22" t="s">
        <v>14</v>
      </c>
      <c r="E12" s="37">
        <v>13</v>
      </c>
      <c r="F12" s="38">
        <v>29</v>
      </c>
      <c r="G12" s="38">
        <v>52</v>
      </c>
      <c r="H12" s="38">
        <v>72</v>
      </c>
      <c r="I12" s="38">
        <v>87</v>
      </c>
      <c r="J12" s="38">
        <v>95</v>
      </c>
      <c r="K12" s="38">
        <v>91</v>
      </c>
      <c r="L12" s="38">
        <v>84</v>
      </c>
      <c r="M12" s="38"/>
      <c r="N12" s="38"/>
      <c r="O12" s="38"/>
    </row>
    <row r="13" spans="1:15" s="34" customFormat="1" ht="16.899999999999999" customHeight="1" x14ac:dyDescent="0.25">
      <c r="B13" s="19"/>
      <c r="C13" s="19"/>
      <c r="D13" s="22" t="s">
        <v>15</v>
      </c>
      <c r="E13" s="37">
        <v>14</v>
      </c>
      <c r="F13" s="38">
        <v>37</v>
      </c>
      <c r="G13" s="38">
        <v>56</v>
      </c>
      <c r="H13" s="38">
        <v>69</v>
      </c>
      <c r="I13" s="38">
        <v>80</v>
      </c>
      <c r="J13" s="38">
        <v>89</v>
      </c>
      <c r="K13" s="38">
        <v>84</v>
      </c>
      <c r="L13" s="38">
        <v>92</v>
      </c>
      <c r="M13" s="38"/>
      <c r="N13" s="38"/>
      <c r="O13" s="38"/>
    </row>
    <row r="14" spans="1:15" s="34" customFormat="1" ht="16.899999999999999" customHeight="1" thickBot="1" x14ac:dyDescent="0.3">
      <c r="B14" s="19"/>
      <c r="C14" s="19"/>
      <c r="D14" s="22" t="s">
        <v>16</v>
      </c>
      <c r="E14" s="37">
        <v>12</v>
      </c>
      <c r="F14" s="38">
        <v>39</v>
      </c>
      <c r="G14" s="38">
        <v>50</v>
      </c>
      <c r="H14" s="38">
        <v>60</v>
      </c>
      <c r="I14" s="38">
        <v>69</v>
      </c>
      <c r="J14" s="38">
        <v>84</v>
      </c>
      <c r="K14" s="38">
        <v>94</v>
      </c>
      <c r="L14" s="38">
        <v>88</v>
      </c>
      <c r="M14" s="38"/>
      <c r="N14" s="38"/>
      <c r="O14" s="38"/>
    </row>
    <row r="15" spans="1:15" s="34" customFormat="1" ht="16.899999999999999" customHeight="1" x14ac:dyDescent="0.25">
      <c r="B15" s="20" t="s">
        <v>1</v>
      </c>
      <c r="C15" s="20" t="s">
        <v>49</v>
      </c>
      <c r="D15" s="21" t="s">
        <v>13</v>
      </c>
      <c r="E15" s="35">
        <v>12</v>
      </c>
      <c r="F15" s="36">
        <v>31</v>
      </c>
      <c r="G15" s="36">
        <v>53</v>
      </c>
      <c r="H15" s="36">
        <v>70</v>
      </c>
      <c r="I15" s="36">
        <v>84</v>
      </c>
      <c r="J15" s="36">
        <v>89</v>
      </c>
      <c r="K15" s="36">
        <v>91</v>
      </c>
      <c r="L15" s="36">
        <v>101</v>
      </c>
      <c r="M15" s="36"/>
      <c r="N15" s="36"/>
      <c r="O15" s="36"/>
    </row>
    <row r="16" spans="1:15" s="34" customFormat="1" ht="16.899999999999999" customHeight="1" x14ac:dyDescent="0.25">
      <c r="B16" s="19"/>
      <c r="C16" s="19" t="s">
        <v>7</v>
      </c>
      <c r="D16" s="22" t="s">
        <v>26</v>
      </c>
      <c r="E16" s="37">
        <v>14</v>
      </c>
      <c r="F16" s="38">
        <v>35</v>
      </c>
      <c r="G16" s="38">
        <v>55</v>
      </c>
      <c r="H16" s="38">
        <v>78</v>
      </c>
      <c r="I16" s="38">
        <v>87</v>
      </c>
      <c r="J16" s="38">
        <v>97</v>
      </c>
      <c r="K16" s="38">
        <v>99</v>
      </c>
      <c r="L16" s="38">
        <v>103</v>
      </c>
      <c r="M16" s="38"/>
      <c r="N16" s="38"/>
      <c r="O16" s="38"/>
    </row>
    <row r="17" spans="2:15" s="34" customFormat="1" ht="16.899999999999999" customHeight="1" x14ac:dyDescent="0.25">
      <c r="B17" s="19"/>
      <c r="C17" s="19"/>
      <c r="D17" s="22" t="s">
        <v>14</v>
      </c>
      <c r="E17" s="37">
        <v>13</v>
      </c>
      <c r="F17" s="38">
        <v>32</v>
      </c>
      <c r="G17" s="38">
        <v>47</v>
      </c>
      <c r="H17" s="38">
        <v>66</v>
      </c>
      <c r="I17" s="38">
        <v>80</v>
      </c>
      <c r="J17" s="38">
        <v>90</v>
      </c>
      <c r="K17" s="38">
        <v>85</v>
      </c>
      <c r="L17" s="38">
        <v>95</v>
      </c>
      <c r="M17" s="38"/>
      <c r="N17" s="38"/>
      <c r="O17" s="38"/>
    </row>
    <row r="18" spans="2:15" s="34" customFormat="1" ht="16.899999999999999" customHeight="1" x14ac:dyDescent="0.25">
      <c r="B18" s="19"/>
      <c r="C18" s="19"/>
      <c r="D18" s="22" t="s">
        <v>15</v>
      </c>
      <c r="E18" s="37">
        <v>12</v>
      </c>
      <c r="F18" s="38">
        <v>31</v>
      </c>
      <c r="G18" s="38">
        <v>43</v>
      </c>
      <c r="H18" s="38">
        <v>65</v>
      </c>
      <c r="I18" s="38">
        <v>80</v>
      </c>
      <c r="J18" s="38">
        <v>94</v>
      </c>
      <c r="K18" s="38">
        <v>99</v>
      </c>
      <c r="L18" s="38">
        <v>96</v>
      </c>
      <c r="M18" s="38"/>
      <c r="N18" s="38"/>
      <c r="O18" s="38"/>
    </row>
    <row r="19" spans="2:15" s="34" customFormat="1" ht="16.899999999999999" customHeight="1" thickBot="1" x14ac:dyDescent="0.3">
      <c r="B19" s="19"/>
      <c r="C19" s="19"/>
      <c r="D19" s="22" t="s">
        <v>16</v>
      </c>
      <c r="E19" s="37">
        <v>11</v>
      </c>
      <c r="F19" s="38">
        <v>31</v>
      </c>
      <c r="G19" s="38">
        <v>51</v>
      </c>
      <c r="H19" s="38">
        <v>66</v>
      </c>
      <c r="I19" s="38">
        <v>81</v>
      </c>
      <c r="J19" s="38">
        <v>91</v>
      </c>
      <c r="K19" s="38">
        <v>106</v>
      </c>
      <c r="L19" s="38">
        <v>108</v>
      </c>
      <c r="M19" s="38"/>
      <c r="N19" s="38"/>
      <c r="O19" s="38"/>
    </row>
    <row r="20" spans="2:15" s="34" customFormat="1" ht="16.899999999999999" customHeight="1" x14ac:dyDescent="0.25">
      <c r="B20" s="23" t="s">
        <v>1</v>
      </c>
      <c r="C20" s="23" t="s">
        <v>50</v>
      </c>
      <c r="D20" s="24" t="s">
        <v>13</v>
      </c>
      <c r="E20" s="35">
        <v>10</v>
      </c>
      <c r="F20" s="36">
        <v>30</v>
      </c>
      <c r="G20" s="36">
        <v>56</v>
      </c>
      <c r="H20" s="36">
        <v>73</v>
      </c>
      <c r="I20" s="36">
        <v>86</v>
      </c>
      <c r="J20" s="36">
        <v>97</v>
      </c>
      <c r="K20" s="36">
        <v>96</v>
      </c>
      <c r="L20" s="36">
        <v>96</v>
      </c>
      <c r="M20" s="36"/>
      <c r="N20" s="36"/>
      <c r="O20" s="36"/>
    </row>
    <row r="21" spans="2:15" s="34" customFormat="1" ht="16.899999999999999" customHeight="1" x14ac:dyDescent="0.25">
      <c r="B21" s="25"/>
      <c r="C21" s="25" t="s">
        <v>8</v>
      </c>
      <c r="D21" s="26" t="s">
        <v>26</v>
      </c>
      <c r="E21" s="37">
        <v>12</v>
      </c>
      <c r="F21" s="38">
        <v>28</v>
      </c>
      <c r="G21" s="38">
        <v>50</v>
      </c>
      <c r="H21" s="38">
        <v>71</v>
      </c>
      <c r="I21" s="38">
        <v>86</v>
      </c>
      <c r="J21" s="38">
        <v>97</v>
      </c>
      <c r="K21" s="38">
        <v>98</v>
      </c>
      <c r="L21" s="38">
        <v>95</v>
      </c>
      <c r="M21" s="38"/>
      <c r="N21" s="38"/>
      <c r="O21" s="38"/>
    </row>
    <row r="22" spans="2:15" s="34" customFormat="1" ht="16.899999999999999" customHeight="1" x14ac:dyDescent="0.25">
      <c r="B22" s="25"/>
      <c r="C22" s="25"/>
      <c r="D22" s="26" t="s">
        <v>14</v>
      </c>
      <c r="E22" s="37">
        <v>13</v>
      </c>
      <c r="F22" s="38">
        <v>35</v>
      </c>
      <c r="G22" s="38">
        <v>54</v>
      </c>
      <c r="H22" s="38">
        <v>69</v>
      </c>
      <c r="I22" s="38">
        <v>88</v>
      </c>
      <c r="J22" s="38">
        <v>98</v>
      </c>
      <c r="K22" s="38">
        <v>97</v>
      </c>
      <c r="L22" s="38">
        <v>92</v>
      </c>
      <c r="M22" s="38"/>
      <c r="N22" s="38"/>
      <c r="O22" s="38"/>
    </row>
    <row r="23" spans="2:15" s="34" customFormat="1" ht="16.899999999999999" customHeight="1" x14ac:dyDescent="0.25">
      <c r="B23" s="25"/>
      <c r="C23" s="25"/>
      <c r="D23" s="26" t="s">
        <v>15</v>
      </c>
      <c r="E23" s="37">
        <v>14</v>
      </c>
      <c r="F23" s="38">
        <v>31</v>
      </c>
      <c r="G23" s="38">
        <v>49</v>
      </c>
      <c r="H23" s="38">
        <v>62</v>
      </c>
      <c r="I23" s="38">
        <v>76</v>
      </c>
      <c r="J23" s="38">
        <v>92</v>
      </c>
      <c r="K23" s="38">
        <v>87</v>
      </c>
      <c r="L23" s="38">
        <v>98</v>
      </c>
      <c r="M23" s="38"/>
      <c r="N23" s="38"/>
      <c r="O23" s="38"/>
    </row>
    <row r="24" spans="2:15" s="34" customFormat="1" ht="16.899999999999999" customHeight="1" thickBot="1" x14ac:dyDescent="0.3">
      <c r="B24" s="25"/>
      <c r="C24" s="25"/>
      <c r="D24" s="26" t="s">
        <v>16</v>
      </c>
      <c r="E24" s="37">
        <v>11</v>
      </c>
      <c r="F24" s="38">
        <v>28</v>
      </c>
      <c r="G24" s="38">
        <v>47</v>
      </c>
      <c r="H24" s="38">
        <v>62</v>
      </c>
      <c r="I24" s="38">
        <v>79</v>
      </c>
      <c r="J24" s="38">
        <v>92</v>
      </c>
      <c r="K24" s="38">
        <v>98</v>
      </c>
      <c r="L24" s="38">
        <v>95</v>
      </c>
      <c r="M24" s="38"/>
      <c r="N24" s="38"/>
      <c r="O24" s="38"/>
    </row>
    <row r="25" spans="2:15" s="34" customFormat="1" ht="16.899999999999999" customHeight="1" x14ac:dyDescent="0.25">
      <c r="B25" s="23" t="s">
        <v>2</v>
      </c>
      <c r="C25" s="23" t="s">
        <v>51</v>
      </c>
      <c r="D25" s="24" t="s">
        <v>13</v>
      </c>
      <c r="E25" s="35">
        <v>11</v>
      </c>
      <c r="F25" s="36">
        <v>28</v>
      </c>
      <c r="G25" s="36">
        <v>47</v>
      </c>
      <c r="H25" s="36">
        <v>64</v>
      </c>
      <c r="I25" s="36">
        <v>80</v>
      </c>
      <c r="J25" s="36">
        <v>88</v>
      </c>
      <c r="K25" s="36">
        <v>85</v>
      </c>
      <c r="L25" s="36">
        <v>90</v>
      </c>
      <c r="M25" s="36"/>
      <c r="N25" s="36"/>
      <c r="O25" s="36"/>
    </row>
    <row r="26" spans="2:15" s="34" customFormat="1" ht="16.899999999999999" customHeight="1" x14ac:dyDescent="0.25">
      <c r="B26" s="25"/>
      <c r="C26" s="25" t="s">
        <v>9</v>
      </c>
      <c r="D26" s="26" t="s">
        <v>26</v>
      </c>
      <c r="E26" s="37">
        <v>13</v>
      </c>
      <c r="F26" s="38">
        <v>30</v>
      </c>
      <c r="G26" s="38">
        <v>48</v>
      </c>
      <c r="H26" s="38">
        <v>69</v>
      </c>
      <c r="I26" s="38">
        <v>80</v>
      </c>
      <c r="J26" s="38">
        <v>90</v>
      </c>
      <c r="K26" s="38">
        <v>91</v>
      </c>
      <c r="L26" s="38">
        <v>86</v>
      </c>
      <c r="M26" s="38"/>
      <c r="N26" s="38"/>
      <c r="O26" s="38"/>
    </row>
    <row r="27" spans="2:15" s="34" customFormat="1" ht="16.899999999999999" customHeight="1" x14ac:dyDescent="0.25">
      <c r="B27" s="25"/>
      <c r="C27" s="25"/>
      <c r="D27" s="26" t="s">
        <v>14</v>
      </c>
      <c r="E27" s="37">
        <v>13</v>
      </c>
      <c r="F27" s="38">
        <v>31</v>
      </c>
      <c r="G27" s="38">
        <v>53</v>
      </c>
      <c r="H27" s="38">
        <v>71</v>
      </c>
      <c r="I27" s="38">
        <v>83</v>
      </c>
      <c r="J27" s="38">
        <v>86</v>
      </c>
      <c r="K27" s="38">
        <v>86</v>
      </c>
      <c r="L27" s="38">
        <v>100</v>
      </c>
      <c r="M27" s="38"/>
      <c r="N27" s="38"/>
      <c r="O27" s="38"/>
    </row>
    <row r="28" spans="2:15" s="34" customFormat="1" ht="16.899999999999999" customHeight="1" x14ac:dyDescent="0.25">
      <c r="B28" s="25"/>
      <c r="C28" s="25"/>
      <c r="D28" s="26" t="s">
        <v>15</v>
      </c>
      <c r="E28" s="37">
        <v>12</v>
      </c>
      <c r="F28" s="38">
        <v>29</v>
      </c>
      <c r="G28" s="38">
        <v>52</v>
      </c>
      <c r="H28" s="38">
        <v>67</v>
      </c>
      <c r="I28" s="38">
        <v>81</v>
      </c>
      <c r="J28" s="38">
        <v>94</v>
      </c>
      <c r="K28" s="38">
        <v>95</v>
      </c>
      <c r="L28" s="38">
        <v>98</v>
      </c>
      <c r="M28" s="38"/>
      <c r="N28" s="38"/>
      <c r="O28" s="38"/>
    </row>
    <row r="29" spans="2:15" s="34" customFormat="1" ht="16.899999999999999" customHeight="1" thickBot="1" x14ac:dyDescent="0.3">
      <c r="B29" s="25"/>
      <c r="C29" s="25"/>
      <c r="D29" s="26" t="s">
        <v>16</v>
      </c>
      <c r="E29" s="37">
        <v>13</v>
      </c>
      <c r="F29" s="38">
        <v>30</v>
      </c>
      <c r="G29" s="38">
        <v>48</v>
      </c>
      <c r="H29" s="38">
        <v>59</v>
      </c>
      <c r="I29" s="38">
        <v>75</v>
      </c>
      <c r="J29" s="38">
        <v>80</v>
      </c>
      <c r="K29" s="38">
        <v>81</v>
      </c>
      <c r="L29" s="38">
        <v>108</v>
      </c>
      <c r="M29" s="38"/>
      <c r="N29" s="38"/>
      <c r="O29" s="38"/>
    </row>
    <row r="30" spans="2:15" s="34" customFormat="1" ht="16.899999999999999" customHeight="1" x14ac:dyDescent="0.25">
      <c r="B30" s="20" t="s">
        <v>2</v>
      </c>
      <c r="C30" s="20" t="s">
        <v>52</v>
      </c>
      <c r="D30" s="21" t="s">
        <v>13</v>
      </c>
      <c r="E30" s="35">
        <v>11</v>
      </c>
      <c r="F30" s="36">
        <v>30</v>
      </c>
      <c r="G30" s="36">
        <v>54</v>
      </c>
      <c r="H30" s="36">
        <v>68</v>
      </c>
      <c r="I30" s="36">
        <v>94</v>
      </c>
      <c r="J30" s="36">
        <v>98</v>
      </c>
      <c r="K30" s="36">
        <v>91</v>
      </c>
      <c r="L30" s="36">
        <v>98</v>
      </c>
      <c r="M30" s="36"/>
      <c r="N30" s="36"/>
      <c r="O30" s="36"/>
    </row>
    <row r="31" spans="2:15" s="34" customFormat="1" ht="16.899999999999999" customHeight="1" x14ac:dyDescent="0.25">
      <c r="B31" s="19"/>
      <c r="C31" s="19" t="s">
        <v>5</v>
      </c>
      <c r="D31" s="22" t="s">
        <v>26</v>
      </c>
      <c r="E31" s="37">
        <v>13</v>
      </c>
      <c r="F31" s="38">
        <v>32</v>
      </c>
      <c r="G31" s="38">
        <v>55</v>
      </c>
      <c r="H31" s="38">
        <v>73</v>
      </c>
      <c r="I31" s="38">
        <v>84</v>
      </c>
      <c r="J31" s="38">
        <v>86</v>
      </c>
      <c r="K31" s="38">
        <v>86</v>
      </c>
      <c r="L31" s="38">
        <v>92</v>
      </c>
      <c r="M31" s="38"/>
      <c r="N31" s="38"/>
      <c r="O31" s="38"/>
    </row>
    <row r="32" spans="2:15" s="34" customFormat="1" ht="16.899999999999999" customHeight="1" x14ac:dyDescent="0.25">
      <c r="B32" s="19"/>
      <c r="C32" s="19"/>
      <c r="D32" s="22" t="s">
        <v>14</v>
      </c>
      <c r="E32" s="37">
        <v>12</v>
      </c>
      <c r="F32" s="38">
        <v>35</v>
      </c>
      <c r="G32" s="38">
        <v>57</v>
      </c>
      <c r="H32" s="38">
        <v>69</v>
      </c>
      <c r="I32" s="38">
        <v>82</v>
      </c>
      <c r="J32" s="38">
        <v>89</v>
      </c>
      <c r="K32" s="38">
        <v>86</v>
      </c>
      <c r="L32" s="38">
        <v>88</v>
      </c>
      <c r="M32" s="38"/>
      <c r="N32" s="38"/>
      <c r="O32" s="38"/>
    </row>
    <row r="33" spans="2:15" s="34" customFormat="1" ht="16.899999999999999" customHeight="1" x14ac:dyDescent="0.25">
      <c r="B33" s="19"/>
      <c r="C33" s="19"/>
      <c r="D33" s="22" t="s">
        <v>15</v>
      </c>
      <c r="E33" s="37">
        <v>13</v>
      </c>
      <c r="F33" s="38">
        <v>36</v>
      </c>
      <c r="G33" s="38">
        <v>51</v>
      </c>
      <c r="H33" s="38">
        <v>59</v>
      </c>
      <c r="I33" s="38">
        <v>72</v>
      </c>
      <c r="J33" s="38">
        <v>76</v>
      </c>
      <c r="K33" s="38">
        <v>78</v>
      </c>
      <c r="L33" s="38">
        <v>79</v>
      </c>
      <c r="M33" s="38"/>
      <c r="N33" s="38"/>
      <c r="O33" s="38"/>
    </row>
    <row r="34" spans="2:15" s="34" customFormat="1" ht="16.899999999999999" customHeight="1" thickBot="1" x14ac:dyDescent="0.3">
      <c r="B34" s="19"/>
      <c r="C34" s="19"/>
      <c r="D34" s="22" t="s">
        <v>16</v>
      </c>
      <c r="E34" s="37">
        <v>12</v>
      </c>
      <c r="F34" s="38">
        <v>32</v>
      </c>
      <c r="G34" s="38">
        <v>57</v>
      </c>
      <c r="H34" s="38">
        <v>75</v>
      </c>
      <c r="I34" s="38">
        <v>83</v>
      </c>
      <c r="J34" s="38">
        <v>84</v>
      </c>
      <c r="K34" s="38">
        <v>80</v>
      </c>
      <c r="L34" s="38">
        <v>90</v>
      </c>
      <c r="M34" s="38"/>
      <c r="N34" s="38"/>
      <c r="O34" s="38"/>
    </row>
    <row r="35" spans="2:15" s="34" customFormat="1" ht="16.899999999999999" customHeight="1" x14ac:dyDescent="0.25">
      <c r="B35" s="20" t="s">
        <v>3</v>
      </c>
      <c r="C35" s="20" t="s">
        <v>53</v>
      </c>
      <c r="D35" s="21" t="s">
        <v>13</v>
      </c>
      <c r="E35" s="35">
        <v>11</v>
      </c>
      <c r="F35" s="36">
        <v>28</v>
      </c>
      <c r="G35" s="36">
        <v>48</v>
      </c>
      <c r="H35" s="36">
        <v>62</v>
      </c>
      <c r="I35" s="36">
        <v>75</v>
      </c>
      <c r="J35" s="36">
        <v>83</v>
      </c>
      <c r="K35" s="36">
        <v>93</v>
      </c>
      <c r="L35" s="36">
        <v>100</v>
      </c>
      <c r="M35" s="36"/>
      <c r="N35" s="36"/>
      <c r="O35" s="36"/>
    </row>
    <row r="36" spans="2:15" s="34" customFormat="1" ht="16.899999999999999" customHeight="1" x14ac:dyDescent="0.25">
      <c r="B36" s="19"/>
      <c r="C36" s="19" t="s">
        <v>7</v>
      </c>
      <c r="D36" s="22" t="s">
        <v>26</v>
      </c>
      <c r="E36" s="37">
        <v>12</v>
      </c>
      <c r="F36" s="38">
        <v>34</v>
      </c>
      <c r="G36" s="38">
        <v>51</v>
      </c>
      <c r="H36" s="38">
        <v>74</v>
      </c>
      <c r="I36" s="38">
        <v>89</v>
      </c>
      <c r="J36" s="38">
        <v>99</v>
      </c>
      <c r="K36" s="38">
        <v>107</v>
      </c>
      <c r="L36" s="38">
        <v>112</v>
      </c>
      <c r="M36" s="38"/>
      <c r="N36" s="38"/>
      <c r="O36" s="38"/>
    </row>
    <row r="37" spans="2:15" s="34" customFormat="1" ht="16.899999999999999" customHeight="1" x14ac:dyDescent="0.25">
      <c r="B37" s="19"/>
      <c r="C37" s="19"/>
      <c r="D37" s="22" t="s">
        <v>14</v>
      </c>
      <c r="E37" s="37">
        <v>12</v>
      </c>
      <c r="F37" s="38">
        <v>33</v>
      </c>
      <c r="G37" s="38">
        <v>48</v>
      </c>
      <c r="H37" s="38">
        <v>65</v>
      </c>
      <c r="I37" s="38">
        <v>79</v>
      </c>
      <c r="J37" s="38">
        <v>88</v>
      </c>
      <c r="K37" s="38">
        <v>98</v>
      </c>
      <c r="L37" s="38">
        <v>96</v>
      </c>
      <c r="M37" s="38"/>
      <c r="N37" s="38"/>
      <c r="O37" s="38"/>
    </row>
    <row r="38" spans="2:15" s="34" customFormat="1" ht="16.899999999999999" customHeight="1" x14ac:dyDescent="0.25">
      <c r="B38" s="19"/>
      <c r="C38" s="19"/>
      <c r="D38" s="22" t="s">
        <v>15</v>
      </c>
      <c r="E38" s="37">
        <v>11</v>
      </c>
      <c r="F38" s="38">
        <v>31</v>
      </c>
      <c r="G38" s="38">
        <v>50</v>
      </c>
      <c r="H38" s="38">
        <v>71</v>
      </c>
      <c r="I38" s="38">
        <v>88</v>
      </c>
      <c r="J38" s="38">
        <v>98</v>
      </c>
      <c r="K38" s="38">
        <v>98</v>
      </c>
      <c r="L38" s="38">
        <v>102</v>
      </c>
      <c r="M38" s="38"/>
      <c r="N38" s="38"/>
      <c r="O38" s="38"/>
    </row>
    <row r="39" spans="2:15" s="34" customFormat="1" ht="16.899999999999999" customHeight="1" thickBot="1" x14ac:dyDescent="0.3">
      <c r="B39" s="19"/>
      <c r="C39" s="19"/>
      <c r="D39" s="22" t="s">
        <v>16</v>
      </c>
      <c r="E39" s="37">
        <v>12</v>
      </c>
      <c r="F39" s="38">
        <v>29</v>
      </c>
      <c r="G39" s="38">
        <v>40</v>
      </c>
      <c r="H39" s="38">
        <v>46</v>
      </c>
      <c r="I39" s="38">
        <v>56</v>
      </c>
      <c r="J39" s="38">
        <v>77</v>
      </c>
      <c r="K39" s="38">
        <v>84</v>
      </c>
      <c r="L39" s="38">
        <v>94</v>
      </c>
      <c r="M39" s="38"/>
      <c r="N39" s="38"/>
      <c r="O39" s="38"/>
    </row>
    <row r="40" spans="2:15" s="34" customFormat="1" ht="16.899999999999999" customHeight="1" x14ac:dyDescent="0.25">
      <c r="B40" s="23" t="s">
        <v>3</v>
      </c>
      <c r="C40" s="23" t="s">
        <v>54</v>
      </c>
      <c r="D40" s="27" t="s">
        <v>13</v>
      </c>
      <c r="E40" s="35">
        <v>9</v>
      </c>
      <c r="F40" s="36">
        <v>33</v>
      </c>
      <c r="G40" s="36">
        <v>52</v>
      </c>
      <c r="H40" s="36">
        <v>71</v>
      </c>
      <c r="I40" s="36">
        <v>90</v>
      </c>
      <c r="J40" s="36">
        <v>89</v>
      </c>
      <c r="K40" s="36">
        <v>102</v>
      </c>
      <c r="L40" s="36">
        <v>99</v>
      </c>
      <c r="M40" s="36"/>
      <c r="N40" s="36"/>
      <c r="O40" s="36"/>
    </row>
    <row r="41" spans="2:15" s="34" customFormat="1" ht="16.899999999999999" customHeight="1" x14ac:dyDescent="0.25">
      <c r="B41" s="25"/>
      <c r="C41" s="25" t="s">
        <v>8</v>
      </c>
      <c r="D41" s="28" t="s">
        <v>26</v>
      </c>
      <c r="E41" s="37">
        <v>12</v>
      </c>
      <c r="F41" s="38">
        <v>36</v>
      </c>
      <c r="G41" s="38">
        <v>61</v>
      </c>
      <c r="H41" s="38">
        <v>80</v>
      </c>
      <c r="I41" s="38">
        <v>106</v>
      </c>
      <c r="J41" s="38">
        <v>121</v>
      </c>
      <c r="K41" s="38">
        <v>128</v>
      </c>
      <c r="L41" s="38">
        <v>115</v>
      </c>
      <c r="M41" s="38"/>
      <c r="N41" s="38"/>
      <c r="O41" s="38"/>
    </row>
    <row r="42" spans="2:15" s="34" customFormat="1" ht="16.899999999999999" customHeight="1" x14ac:dyDescent="0.25">
      <c r="B42" s="25"/>
      <c r="C42" s="25"/>
      <c r="D42" s="28" t="s">
        <v>14</v>
      </c>
      <c r="E42" s="37">
        <v>12</v>
      </c>
      <c r="F42" s="38">
        <v>37</v>
      </c>
      <c r="G42" s="38">
        <v>57</v>
      </c>
      <c r="H42" s="38">
        <v>72</v>
      </c>
      <c r="I42" s="38">
        <v>89</v>
      </c>
      <c r="J42" s="38">
        <v>97</v>
      </c>
      <c r="K42" s="38">
        <v>106</v>
      </c>
      <c r="L42" s="38">
        <v>109</v>
      </c>
      <c r="M42" s="38"/>
      <c r="N42" s="38"/>
      <c r="O42" s="38"/>
    </row>
    <row r="43" spans="2:15" s="34" customFormat="1" ht="16.899999999999999" customHeight="1" x14ac:dyDescent="0.25">
      <c r="B43" s="25"/>
      <c r="C43" s="25"/>
      <c r="D43" s="28" t="s">
        <v>15</v>
      </c>
      <c r="E43" s="37">
        <v>12</v>
      </c>
      <c r="F43" s="38">
        <v>33</v>
      </c>
      <c r="G43" s="38">
        <v>50</v>
      </c>
      <c r="H43" s="38">
        <v>66</v>
      </c>
      <c r="I43" s="38">
        <v>83</v>
      </c>
      <c r="J43" s="38">
        <v>98</v>
      </c>
      <c r="K43" s="38">
        <v>100</v>
      </c>
      <c r="L43" s="38">
        <v>99</v>
      </c>
      <c r="M43" s="38"/>
      <c r="N43" s="38"/>
      <c r="O43" s="38"/>
    </row>
    <row r="44" spans="2:15" s="34" customFormat="1" ht="16.899999999999999" customHeight="1" thickBot="1" x14ac:dyDescent="0.3">
      <c r="B44" s="25"/>
      <c r="C44" s="25"/>
      <c r="D44" s="28" t="s">
        <v>16</v>
      </c>
      <c r="E44" s="37">
        <v>11</v>
      </c>
      <c r="F44" s="38">
        <v>33</v>
      </c>
      <c r="G44" s="38">
        <v>50</v>
      </c>
      <c r="H44" s="38">
        <v>61</v>
      </c>
      <c r="I44" s="38">
        <v>68</v>
      </c>
      <c r="J44" s="38">
        <v>77</v>
      </c>
      <c r="K44" s="38">
        <v>84</v>
      </c>
      <c r="L44" s="38">
        <v>86</v>
      </c>
      <c r="M44" s="38"/>
      <c r="N44" s="38"/>
      <c r="O44" s="38"/>
    </row>
    <row r="45" spans="2:15" s="34" customFormat="1" ht="16.899999999999999" customHeight="1" x14ac:dyDescent="0.25">
      <c r="B45" s="23" t="s">
        <v>4</v>
      </c>
      <c r="C45" s="23" t="s">
        <v>55</v>
      </c>
      <c r="D45" s="27" t="s">
        <v>13</v>
      </c>
      <c r="E45" s="35">
        <v>11</v>
      </c>
      <c r="F45" s="36">
        <v>32</v>
      </c>
      <c r="G45" s="36">
        <v>56</v>
      </c>
      <c r="H45" s="36">
        <v>77</v>
      </c>
      <c r="I45" s="36">
        <v>96</v>
      </c>
      <c r="J45" s="36">
        <v>99</v>
      </c>
      <c r="K45" s="36">
        <v>90</v>
      </c>
      <c r="L45" s="36">
        <v>100</v>
      </c>
      <c r="M45" s="36"/>
      <c r="N45" s="36"/>
      <c r="O45" s="36"/>
    </row>
    <row r="46" spans="2:15" s="34" customFormat="1" ht="16.899999999999999" customHeight="1" x14ac:dyDescent="0.25">
      <c r="B46" s="25"/>
      <c r="C46" s="25" t="s">
        <v>9</v>
      </c>
      <c r="D46" s="28" t="s">
        <v>26</v>
      </c>
      <c r="E46" s="37">
        <v>12</v>
      </c>
      <c r="F46" s="38">
        <v>33</v>
      </c>
      <c r="G46" s="38">
        <v>54</v>
      </c>
      <c r="H46" s="38">
        <v>74</v>
      </c>
      <c r="I46" s="38">
        <v>88</v>
      </c>
      <c r="J46" s="38">
        <v>96</v>
      </c>
      <c r="K46" s="38">
        <v>104</v>
      </c>
      <c r="L46" s="38">
        <v>109</v>
      </c>
      <c r="M46" s="38"/>
      <c r="N46" s="38"/>
      <c r="O46" s="38"/>
    </row>
    <row r="47" spans="2:15" s="34" customFormat="1" ht="16.899999999999999" customHeight="1" x14ac:dyDescent="0.25">
      <c r="B47" s="25"/>
      <c r="C47" s="25"/>
      <c r="D47" s="28" t="s">
        <v>14</v>
      </c>
      <c r="E47" s="37">
        <v>11</v>
      </c>
      <c r="F47" s="38">
        <v>29</v>
      </c>
      <c r="G47" s="38">
        <v>49</v>
      </c>
      <c r="H47" s="38">
        <v>68</v>
      </c>
      <c r="I47" s="38">
        <v>82</v>
      </c>
      <c r="J47" s="38">
        <v>92</v>
      </c>
      <c r="K47" s="38">
        <v>102</v>
      </c>
      <c r="L47" s="38">
        <v>90</v>
      </c>
      <c r="M47" s="38"/>
      <c r="N47" s="38"/>
      <c r="O47" s="38"/>
    </row>
    <row r="48" spans="2:15" s="34" customFormat="1" ht="16.899999999999999" customHeight="1" x14ac:dyDescent="0.25">
      <c r="B48" s="25"/>
      <c r="C48" s="25"/>
      <c r="D48" s="28" t="s">
        <v>15</v>
      </c>
      <c r="E48" s="37">
        <v>12</v>
      </c>
      <c r="F48" s="38">
        <v>35</v>
      </c>
      <c r="G48" s="38">
        <v>47</v>
      </c>
      <c r="H48" s="38">
        <v>66</v>
      </c>
      <c r="I48" s="38">
        <v>78</v>
      </c>
      <c r="J48" s="38">
        <v>89</v>
      </c>
      <c r="K48" s="38">
        <v>94</v>
      </c>
      <c r="L48" s="38">
        <v>91</v>
      </c>
      <c r="M48" s="38"/>
      <c r="N48" s="38"/>
      <c r="O48" s="38"/>
    </row>
    <row r="49" spans="2:15" s="34" customFormat="1" ht="16.899999999999999" customHeight="1" thickBot="1" x14ac:dyDescent="0.3">
      <c r="B49" s="25"/>
      <c r="C49" s="25"/>
      <c r="D49" s="28" t="s">
        <v>16</v>
      </c>
      <c r="E49" s="37">
        <v>12</v>
      </c>
      <c r="F49" s="38">
        <v>35</v>
      </c>
      <c r="G49" s="38">
        <v>48</v>
      </c>
      <c r="H49" s="38">
        <v>67</v>
      </c>
      <c r="I49" s="38">
        <v>75</v>
      </c>
      <c r="J49" s="38">
        <v>92</v>
      </c>
      <c r="K49" s="38">
        <v>85</v>
      </c>
      <c r="L49" s="38">
        <v>83</v>
      </c>
      <c r="M49" s="38"/>
      <c r="N49" s="38"/>
      <c r="O49" s="38"/>
    </row>
    <row r="50" spans="2:15" s="34" customFormat="1" ht="16.899999999999999" customHeight="1" x14ac:dyDescent="0.25">
      <c r="B50" s="20" t="s">
        <v>4</v>
      </c>
      <c r="C50" s="20" t="s">
        <v>56</v>
      </c>
      <c r="D50" s="21" t="s">
        <v>13</v>
      </c>
      <c r="E50" s="35">
        <v>12</v>
      </c>
      <c r="F50" s="36">
        <v>34</v>
      </c>
      <c r="G50" s="36">
        <v>56</v>
      </c>
      <c r="H50" s="36">
        <v>71</v>
      </c>
      <c r="I50" s="36">
        <v>85</v>
      </c>
      <c r="J50" s="36">
        <v>96</v>
      </c>
      <c r="K50" s="36">
        <v>95</v>
      </c>
      <c r="L50" s="36">
        <v>95</v>
      </c>
      <c r="M50" s="36"/>
      <c r="N50" s="36"/>
      <c r="O50" s="36"/>
    </row>
    <row r="51" spans="2:15" s="34" customFormat="1" ht="16.899999999999999" customHeight="1" x14ac:dyDescent="0.25">
      <c r="B51" s="19"/>
      <c r="C51" s="19" t="s">
        <v>6</v>
      </c>
      <c r="D51" s="22" t="s">
        <v>26</v>
      </c>
      <c r="E51" s="37">
        <v>13</v>
      </c>
      <c r="F51" s="38">
        <v>37</v>
      </c>
      <c r="G51" s="38">
        <v>55</v>
      </c>
      <c r="H51" s="38">
        <v>69</v>
      </c>
      <c r="I51" s="38">
        <v>82</v>
      </c>
      <c r="J51" s="38">
        <v>93</v>
      </c>
      <c r="K51" s="38">
        <v>97</v>
      </c>
      <c r="L51" s="38">
        <v>102</v>
      </c>
      <c r="M51" s="38"/>
      <c r="N51" s="38"/>
      <c r="O51" s="38"/>
    </row>
    <row r="52" spans="2:15" s="34" customFormat="1" ht="16.899999999999999" customHeight="1" x14ac:dyDescent="0.25">
      <c r="B52" s="19"/>
      <c r="C52" s="19"/>
      <c r="D52" s="22" t="s">
        <v>14</v>
      </c>
      <c r="E52" s="37">
        <v>9</v>
      </c>
      <c r="F52" s="38">
        <v>28</v>
      </c>
      <c r="G52" s="38">
        <v>51</v>
      </c>
      <c r="H52" s="38">
        <v>72</v>
      </c>
      <c r="I52" s="38">
        <v>92</v>
      </c>
      <c r="J52" s="38">
        <v>106</v>
      </c>
      <c r="K52" s="38">
        <v>110</v>
      </c>
      <c r="L52" s="38">
        <v>107</v>
      </c>
      <c r="M52" s="38"/>
      <c r="N52" s="38"/>
      <c r="O52" s="38"/>
    </row>
    <row r="53" spans="2:15" s="34" customFormat="1" ht="16.899999999999999" customHeight="1" x14ac:dyDescent="0.25">
      <c r="B53" s="19"/>
      <c r="C53" s="19"/>
      <c r="D53" s="22" t="s">
        <v>15</v>
      </c>
      <c r="E53" s="37">
        <v>14</v>
      </c>
      <c r="F53" s="38">
        <v>38</v>
      </c>
      <c r="G53" s="38">
        <v>60</v>
      </c>
      <c r="H53" s="38">
        <v>78</v>
      </c>
      <c r="I53" s="38">
        <v>94</v>
      </c>
      <c r="J53" s="38">
        <v>105</v>
      </c>
      <c r="K53" s="38">
        <v>107</v>
      </c>
      <c r="L53" s="38">
        <v>109</v>
      </c>
      <c r="M53" s="38"/>
      <c r="N53" s="38"/>
      <c r="O53" s="38"/>
    </row>
    <row r="54" spans="2:15" s="34" customFormat="1" ht="16.899999999999999" customHeight="1" thickBot="1" x14ac:dyDescent="0.3">
      <c r="B54" s="19"/>
      <c r="C54" s="19"/>
      <c r="D54" s="22" t="s">
        <v>16</v>
      </c>
      <c r="E54" s="37">
        <v>12</v>
      </c>
      <c r="F54" s="38">
        <v>34</v>
      </c>
      <c r="G54" s="38">
        <v>51</v>
      </c>
      <c r="H54" s="38">
        <v>56</v>
      </c>
      <c r="I54" s="38">
        <v>62</v>
      </c>
      <c r="J54" s="38">
        <v>70</v>
      </c>
      <c r="K54" s="38">
        <v>89</v>
      </c>
      <c r="L54" s="38">
        <v>94</v>
      </c>
      <c r="M54" s="38"/>
      <c r="N54" s="38"/>
      <c r="O54" s="38"/>
    </row>
    <row r="55" spans="2:15" s="34" customFormat="1" ht="16.899999999999999" customHeight="1" x14ac:dyDescent="0.25">
      <c r="B55" s="20" t="s">
        <v>12</v>
      </c>
      <c r="C55" s="20" t="s">
        <v>57</v>
      </c>
      <c r="D55" s="21" t="s">
        <v>13</v>
      </c>
      <c r="E55" s="35">
        <v>11</v>
      </c>
      <c r="F55" s="36">
        <v>31</v>
      </c>
      <c r="G55" s="36">
        <v>55</v>
      </c>
      <c r="H55" s="36">
        <v>75</v>
      </c>
      <c r="I55" s="36">
        <v>83</v>
      </c>
      <c r="J55" s="36">
        <v>83</v>
      </c>
      <c r="K55" s="36">
        <v>86</v>
      </c>
      <c r="L55" s="36">
        <v>91</v>
      </c>
      <c r="M55" s="36"/>
      <c r="N55" s="36"/>
      <c r="O55" s="36"/>
    </row>
    <row r="56" spans="2:15" s="34" customFormat="1" ht="16.899999999999999" customHeight="1" x14ac:dyDescent="0.25">
      <c r="B56" s="19"/>
      <c r="C56" s="19" t="s">
        <v>5</v>
      </c>
      <c r="D56" s="22" t="s">
        <v>26</v>
      </c>
      <c r="E56" s="37">
        <v>10</v>
      </c>
      <c r="F56" s="38">
        <v>30</v>
      </c>
      <c r="G56" s="38">
        <v>56</v>
      </c>
      <c r="H56" s="38">
        <v>77</v>
      </c>
      <c r="I56" s="38">
        <v>85</v>
      </c>
      <c r="J56" s="38">
        <v>88</v>
      </c>
      <c r="K56" s="38">
        <v>89</v>
      </c>
      <c r="L56" s="38">
        <v>91</v>
      </c>
      <c r="M56" s="38"/>
      <c r="N56" s="38"/>
      <c r="O56" s="38"/>
    </row>
    <row r="57" spans="2:15" s="34" customFormat="1" ht="16.899999999999999" customHeight="1" x14ac:dyDescent="0.25">
      <c r="B57" s="19"/>
      <c r="C57" s="19"/>
      <c r="D57" s="22" t="s">
        <v>14</v>
      </c>
      <c r="E57" s="37">
        <v>12</v>
      </c>
      <c r="F57" s="38">
        <v>33</v>
      </c>
      <c r="G57" s="38">
        <v>57</v>
      </c>
      <c r="H57" s="38">
        <v>72</v>
      </c>
      <c r="I57" s="38">
        <v>85</v>
      </c>
      <c r="J57" s="38">
        <v>87</v>
      </c>
      <c r="K57" s="38">
        <v>91</v>
      </c>
      <c r="L57" s="38">
        <v>93</v>
      </c>
      <c r="M57" s="38"/>
      <c r="N57" s="38"/>
      <c r="O57" s="38"/>
    </row>
    <row r="58" spans="2:15" s="34" customFormat="1" ht="16.899999999999999" customHeight="1" x14ac:dyDescent="0.25">
      <c r="B58" s="19"/>
      <c r="C58" s="19"/>
      <c r="D58" s="22" t="s">
        <v>15</v>
      </c>
      <c r="E58" s="37">
        <v>10</v>
      </c>
      <c r="F58" s="38">
        <v>28</v>
      </c>
      <c r="G58" s="38">
        <v>47</v>
      </c>
      <c r="H58" s="38">
        <v>62</v>
      </c>
      <c r="I58" s="38">
        <v>70</v>
      </c>
      <c r="J58" s="38">
        <v>66</v>
      </c>
      <c r="K58" s="38">
        <v>68</v>
      </c>
      <c r="L58" s="38">
        <v>73</v>
      </c>
      <c r="M58" s="38"/>
      <c r="N58" s="38"/>
      <c r="O58" s="38"/>
    </row>
    <row r="59" spans="2:15" s="34" customFormat="1" ht="16.899999999999999" customHeight="1" x14ac:dyDescent="0.25">
      <c r="B59" s="19"/>
      <c r="C59" s="19"/>
      <c r="D59" s="22" t="s">
        <v>16</v>
      </c>
      <c r="E59" s="37">
        <v>9</v>
      </c>
      <c r="F59" s="38">
        <v>26</v>
      </c>
      <c r="G59" s="38">
        <v>38</v>
      </c>
      <c r="H59" s="38">
        <v>44</v>
      </c>
      <c r="I59" s="38">
        <v>49</v>
      </c>
      <c r="J59" s="38">
        <v>58</v>
      </c>
      <c r="K59" s="38">
        <v>56</v>
      </c>
      <c r="L59" s="38">
        <v>61</v>
      </c>
      <c r="M59" s="38"/>
      <c r="N59" s="38"/>
      <c r="O59" s="38"/>
    </row>
    <row r="61" spans="2:15" x14ac:dyDescent="0.2">
      <c r="D61" s="82" t="s">
        <v>76</v>
      </c>
      <c r="E61" s="83">
        <f>AVERAGE(E15:E19,E35:E39)/100</f>
        <v>0.12</v>
      </c>
      <c r="F61" s="83">
        <f t="shared" ref="F61:L61" si="0">AVERAGE(F15:F19,F35:F39)/100</f>
        <v>0.315</v>
      </c>
      <c r="G61" s="83">
        <f t="shared" si="0"/>
        <v>0.48599999999999999</v>
      </c>
      <c r="H61" s="83">
        <f t="shared" si="0"/>
        <v>0.66299999999999992</v>
      </c>
      <c r="I61" s="83">
        <f t="shared" si="0"/>
        <v>0.79900000000000004</v>
      </c>
      <c r="J61" s="83">
        <f t="shared" si="0"/>
        <v>0.90599999999999992</v>
      </c>
      <c r="K61" s="83">
        <f t="shared" si="0"/>
        <v>0.96</v>
      </c>
      <c r="L61" s="83">
        <f t="shared" si="0"/>
        <v>1.0070000000000001</v>
      </c>
    </row>
    <row r="62" spans="2:15" x14ac:dyDescent="0.2">
      <c r="D62" s="82" t="s">
        <v>6</v>
      </c>
      <c r="E62" s="83">
        <f>AVERAGE(E10:E14,E50:E54)/100</f>
        <v>0.127</v>
      </c>
      <c r="F62" s="83">
        <f t="shared" ref="F62:L62" si="1">AVERAGE(F10:F14,F50:F54)/100</f>
        <v>0.33899999999999997</v>
      </c>
      <c r="G62" s="83">
        <f t="shared" si="1"/>
        <v>0.53700000000000003</v>
      </c>
      <c r="H62" s="83">
        <f t="shared" si="1"/>
        <v>0.68500000000000005</v>
      </c>
      <c r="I62" s="83">
        <f t="shared" si="1"/>
        <v>0.83400000000000007</v>
      </c>
      <c r="J62" s="83">
        <f t="shared" si="1"/>
        <v>0.93099999999999994</v>
      </c>
      <c r="K62" s="83">
        <f t="shared" si="1"/>
        <v>0.95200000000000007</v>
      </c>
      <c r="L62" s="83">
        <f t="shared" si="1"/>
        <v>0.96400000000000008</v>
      </c>
    </row>
    <row r="63" spans="2:15" x14ac:dyDescent="0.2">
      <c r="D63" s="82" t="s">
        <v>77</v>
      </c>
      <c r="E63" s="83">
        <f>AVERAGE(E30:E34,E55:E59)/100</f>
        <v>0.113</v>
      </c>
      <c r="F63" s="83">
        <f t="shared" ref="F63:L63" si="2">AVERAGE(F30:F34,F55:F59)/100</f>
        <v>0.313</v>
      </c>
      <c r="G63" s="83">
        <f t="shared" si="2"/>
        <v>0.52700000000000002</v>
      </c>
      <c r="H63" s="83">
        <f t="shared" si="2"/>
        <v>0.67400000000000004</v>
      </c>
      <c r="I63" s="83">
        <f t="shared" si="2"/>
        <v>0.78700000000000003</v>
      </c>
      <c r="J63" s="83">
        <f t="shared" si="2"/>
        <v>0.81499999999999995</v>
      </c>
      <c r="K63" s="83">
        <f t="shared" si="2"/>
        <v>0.81099999999999994</v>
      </c>
      <c r="L63" s="83">
        <f t="shared" si="2"/>
        <v>0.85599999999999998</v>
      </c>
    </row>
    <row r="65" spans="4:12" ht="15" x14ac:dyDescent="0.25">
      <c r="D65" s="10" t="s">
        <v>20</v>
      </c>
      <c r="E65" s="69">
        <v>42157</v>
      </c>
      <c r="F65" s="63">
        <v>42170</v>
      </c>
      <c r="G65" s="63">
        <v>42184</v>
      </c>
      <c r="H65" s="63">
        <v>42198</v>
      </c>
      <c r="I65" s="63">
        <v>42212</v>
      </c>
      <c r="J65" s="63">
        <v>42227</v>
      </c>
      <c r="K65" s="63">
        <v>42243</v>
      </c>
      <c r="L65" s="63">
        <v>42255</v>
      </c>
    </row>
    <row r="66" spans="4:12" ht="15" x14ac:dyDescent="0.25">
      <c r="D66" s="10" t="s">
        <v>27</v>
      </c>
      <c r="E66" s="33">
        <v>153</v>
      </c>
      <c r="F66" s="32">
        <v>166</v>
      </c>
      <c r="G66" s="32">
        <v>180</v>
      </c>
      <c r="H66" s="32">
        <v>194</v>
      </c>
      <c r="I66" s="32">
        <v>208</v>
      </c>
      <c r="J66" s="32">
        <v>223</v>
      </c>
      <c r="K66" s="32">
        <v>236</v>
      </c>
      <c r="L66" s="32">
        <v>251</v>
      </c>
    </row>
  </sheetData>
  <mergeCells count="1">
    <mergeCell ref="J3:J6"/>
  </mergeCells>
  <pageMargins left="0.7" right="0.7" top="0.75" bottom="0.75" header="0.3" footer="0.3"/>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B59"/>
  <sheetViews>
    <sheetView zoomScale="85" zoomScaleNormal="85" workbookViewId="0"/>
  </sheetViews>
  <sheetFormatPr defaultColWidth="8.85546875" defaultRowHeight="14.25" x14ac:dyDescent="0.2"/>
  <cols>
    <col min="1" max="4" width="8.85546875" style="29"/>
    <col min="5" max="28" width="8.85546875" style="31"/>
    <col min="29" max="16384" width="8.85546875" style="29"/>
  </cols>
  <sheetData>
    <row r="1" spans="1:28" ht="18" x14ac:dyDescent="0.25">
      <c r="A1" s="2">
        <v>2015</v>
      </c>
      <c r="B1" s="3" t="s">
        <v>17</v>
      </c>
      <c r="C1" s="4"/>
      <c r="D1" s="4"/>
    </row>
    <row r="2" spans="1:28" ht="18" x14ac:dyDescent="0.25">
      <c r="A2" s="4"/>
      <c r="B2" s="3" t="s">
        <v>10</v>
      </c>
      <c r="C2" s="6"/>
      <c r="D2" s="3" t="s">
        <v>11</v>
      </c>
    </row>
    <row r="4" spans="1:28" ht="15.75" x14ac:dyDescent="0.25">
      <c r="B4" s="4" t="s">
        <v>32</v>
      </c>
      <c r="C4" s="4"/>
    </row>
    <row r="5" spans="1:28" ht="15.75" x14ac:dyDescent="0.25">
      <c r="B5" s="4"/>
      <c r="C5" s="4" t="s">
        <v>19</v>
      </c>
      <c r="O5" s="161"/>
      <c r="P5" s="162"/>
    </row>
    <row r="6" spans="1:28" ht="48" customHeight="1" x14ac:dyDescent="0.25">
      <c r="E6" s="165" t="s">
        <v>58</v>
      </c>
      <c r="F6" s="166"/>
      <c r="O6" s="162"/>
      <c r="P6" s="162"/>
    </row>
    <row r="7" spans="1:28" ht="15" x14ac:dyDescent="0.25">
      <c r="D7" s="10" t="s">
        <v>20</v>
      </c>
      <c r="E7" s="163">
        <v>42157</v>
      </c>
      <c r="F7" s="158"/>
      <c r="G7" s="167">
        <v>42170</v>
      </c>
      <c r="H7" s="168"/>
      <c r="I7" s="159">
        <v>42184</v>
      </c>
      <c r="J7" s="158"/>
      <c r="K7" s="159">
        <v>42198</v>
      </c>
      <c r="L7" s="158"/>
      <c r="M7" s="159">
        <v>42212</v>
      </c>
      <c r="N7" s="158"/>
      <c r="O7" s="159">
        <v>42227</v>
      </c>
      <c r="P7" s="158"/>
      <c r="Q7" s="159">
        <v>42243</v>
      </c>
      <c r="R7" s="158"/>
      <c r="S7" s="159">
        <v>42255</v>
      </c>
      <c r="T7" s="158"/>
      <c r="U7" s="157"/>
      <c r="V7" s="158"/>
      <c r="W7" s="157"/>
      <c r="X7" s="158"/>
      <c r="Y7" s="157"/>
      <c r="Z7" s="158"/>
      <c r="AA7" s="29"/>
      <c r="AB7" s="29"/>
    </row>
    <row r="8" spans="1:28" ht="15" x14ac:dyDescent="0.25">
      <c r="D8" s="10" t="s">
        <v>27</v>
      </c>
      <c r="E8" s="164">
        <v>153</v>
      </c>
      <c r="F8" s="158"/>
      <c r="G8" s="64">
        <v>166</v>
      </c>
      <c r="H8" s="64"/>
      <c r="I8" s="157">
        <v>180</v>
      </c>
      <c r="J8" s="158"/>
      <c r="K8" s="160">
        <v>194</v>
      </c>
      <c r="L8" s="158"/>
      <c r="M8" s="160">
        <v>208</v>
      </c>
      <c r="N8" s="158"/>
      <c r="O8" s="160">
        <v>223</v>
      </c>
      <c r="P8" s="158"/>
      <c r="Q8" s="160">
        <v>236</v>
      </c>
      <c r="R8" s="158"/>
      <c r="S8" s="160">
        <v>251</v>
      </c>
      <c r="T8" s="158"/>
      <c r="U8" s="157"/>
      <c r="V8" s="158"/>
      <c r="W8" s="157"/>
      <c r="X8" s="158"/>
      <c r="Y8" s="157"/>
      <c r="Z8" s="158"/>
      <c r="AA8" s="29"/>
      <c r="AB8" s="29"/>
    </row>
    <row r="9" spans="1:28" ht="34.5" thickBot="1" x14ac:dyDescent="0.3">
      <c r="D9" s="10"/>
      <c r="E9" s="44" t="s">
        <v>31</v>
      </c>
      <c r="F9" s="41" t="s">
        <v>33</v>
      </c>
      <c r="G9" s="44" t="s">
        <v>31</v>
      </c>
      <c r="H9" s="45" t="s">
        <v>33</v>
      </c>
      <c r="I9" s="44" t="s">
        <v>31</v>
      </c>
      <c r="J9" s="45" t="s">
        <v>33</v>
      </c>
      <c r="K9" s="44" t="s">
        <v>31</v>
      </c>
      <c r="L9" s="45" t="s">
        <v>33</v>
      </c>
      <c r="M9" s="44" t="s">
        <v>31</v>
      </c>
      <c r="N9" s="45" t="s">
        <v>33</v>
      </c>
      <c r="O9" s="30" t="s">
        <v>31</v>
      </c>
      <c r="P9" s="45" t="s">
        <v>33</v>
      </c>
      <c r="Q9" s="30" t="s">
        <v>31</v>
      </c>
      <c r="R9" s="41" t="s">
        <v>33</v>
      </c>
      <c r="S9" s="44" t="s">
        <v>31</v>
      </c>
      <c r="T9" s="45" t="s">
        <v>33</v>
      </c>
      <c r="U9" s="44" t="s">
        <v>31</v>
      </c>
      <c r="V9" s="45" t="s">
        <v>33</v>
      </c>
      <c r="W9" s="44" t="s">
        <v>31</v>
      </c>
      <c r="X9" s="45" t="s">
        <v>33</v>
      </c>
      <c r="Y9" s="44" t="s">
        <v>29</v>
      </c>
      <c r="Z9" s="45" t="s">
        <v>33</v>
      </c>
      <c r="AA9" s="29"/>
      <c r="AB9" s="29"/>
    </row>
    <row r="10" spans="1:28" s="34" customFormat="1" ht="16.899999999999999" customHeight="1" x14ac:dyDescent="0.25">
      <c r="B10" s="20" t="s">
        <v>0</v>
      </c>
      <c r="C10" s="20" t="s">
        <v>48</v>
      </c>
      <c r="D10" s="15" t="s">
        <v>13</v>
      </c>
      <c r="E10" s="35">
        <v>30</v>
      </c>
      <c r="F10" s="46">
        <f>E10-'Summary-Plant Heights'!E10</f>
        <v>16</v>
      </c>
      <c r="G10" s="35">
        <v>45</v>
      </c>
      <c r="H10" s="46">
        <f>G10-'Summary-Plant Heights'!F10</f>
        <v>12</v>
      </c>
      <c r="I10" s="35">
        <v>70</v>
      </c>
      <c r="J10" s="46">
        <f>I10-'Summary-Plant Heights'!G10</f>
        <v>15</v>
      </c>
      <c r="K10" s="35">
        <v>88</v>
      </c>
      <c r="L10" s="46">
        <f>K10-'Summary-Plant Heights'!H10</f>
        <v>14</v>
      </c>
      <c r="M10" s="35">
        <v>105</v>
      </c>
      <c r="N10" s="46">
        <f>M10-'Summary-Plant Heights'!I10</f>
        <v>9</v>
      </c>
      <c r="O10" s="39">
        <v>110</v>
      </c>
      <c r="P10" s="46">
        <f>O10-'Summary-Plant Heights'!J10</f>
        <v>13</v>
      </c>
      <c r="Q10" s="39">
        <v>107</v>
      </c>
      <c r="R10" s="46">
        <f>Q10-'Summary-Plant Heights'!K10</f>
        <v>14</v>
      </c>
      <c r="S10" s="35">
        <v>109</v>
      </c>
      <c r="T10" s="46">
        <f>S10-'Summary-Plant Heights'!L10</f>
        <v>11</v>
      </c>
      <c r="U10" s="35"/>
      <c r="V10" s="46"/>
      <c r="W10" s="35"/>
      <c r="X10" s="46"/>
      <c r="Y10" s="35"/>
      <c r="Z10" s="46"/>
    </row>
    <row r="11" spans="1:28" s="34" customFormat="1" ht="16.899999999999999" customHeight="1" x14ac:dyDescent="0.25">
      <c r="B11" s="19"/>
      <c r="C11" s="19" t="s">
        <v>6</v>
      </c>
      <c r="D11" s="16" t="s">
        <v>26</v>
      </c>
      <c r="E11" s="37">
        <v>32</v>
      </c>
      <c r="F11" s="47">
        <f>E11-'Summary-Plant Heights'!E11</f>
        <v>18</v>
      </c>
      <c r="G11" s="37">
        <v>45</v>
      </c>
      <c r="H11" s="47">
        <f>G11-'Summary-Plant Heights'!F11</f>
        <v>15</v>
      </c>
      <c r="I11" s="37">
        <v>65</v>
      </c>
      <c r="J11" s="47">
        <f>I11-'Summary-Plant Heights'!G11</f>
        <v>14</v>
      </c>
      <c r="K11" s="37">
        <v>82</v>
      </c>
      <c r="L11" s="47">
        <f>K11-'Summary-Plant Heights'!H11</f>
        <v>18</v>
      </c>
      <c r="M11" s="37">
        <v>96</v>
      </c>
      <c r="N11" s="47">
        <f>M11-'Summary-Plant Heights'!I11</f>
        <v>9</v>
      </c>
      <c r="O11" s="40">
        <v>105</v>
      </c>
      <c r="P11" s="47">
        <f>O11-'Summary-Plant Heights'!J11</f>
        <v>9</v>
      </c>
      <c r="Q11" s="40">
        <v>106</v>
      </c>
      <c r="R11" s="43">
        <f>Q11-'Summary-Plant Heights'!K11</f>
        <v>14</v>
      </c>
      <c r="S11" s="37">
        <v>107</v>
      </c>
      <c r="T11" s="47">
        <f>S11-'Summary-Plant Heights'!L11</f>
        <v>12</v>
      </c>
      <c r="U11" s="37"/>
      <c r="V11" s="47"/>
      <c r="W11" s="37"/>
      <c r="X11" s="47"/>
      <c r="Y11" s="37"/>
      <c r="Z11" s="47"/>
    </row>
    <row r="12" spans="1:28" s="34" customFormat="1" ht="16.899999999999999" customHeight="1" x14ac:dyDescent="0.25">
      <c r="B12" s="19"/>
      <c r="C12" s="19"/>
      <c r="D12" s="16" t="s">
        <v>14</v>
      </c>
      <c r="E12" s="37">
        <v>31</v>
      </c>
      <c r="F12" s="47">
        <f>E12-'Summary-Plant Heights'!E12</f>
        <v>18</v>
      </c>
      <c r="G12" s="37">
        <v>45</v>
      </c>
      <c r="H12" s="47">
        <f>G12-'Summary-Plant Heights'!F12</f>
        <v>16</v>
      </c>
      <c r="I12" s="37">
        <v>67</v>
      </c>
      <c r="J12" s="47">
        <f>I12-'Summary-Plant Heights'!G12</f>
        <v>15</v>
      </c>
      <c r="K12" s="37">
        <v>83</v>
      </c>
      <c r="L12" s="47">
        <f>K12-'Summary-Plant Heights'!H12</f>
        <v>11</v>
      </c>
      <c r="M12" s="37">
        <v>97</v>
      </c>
      <c r="N12" s="47">
        <f>M12-'Summary-Plant Heights'!I12</f>
        <v>10</v>
      </c>
      <c r="O12" s="40">
        <v>104</v>
      </c>
      <c r="P12" s="47">
        <f>O12-'Summary-Plant Heights'!J12</f>
        <v>9</v>
      </c>
      <c r="Q12" s="40">
        <v>102</v>
      </c>
      <c r="R12" s="43">
        <f>Q12-'Summary-Plant Heights'!K12</f>
        <v>11</v>
      </c>
      <c r="S12" s="37">
        <v>94</v>
      </c>
      <c r="T12" s="47">
        <f>S12-'Summary-Plant Heights'!L12</f>
        <v>10</v>
      </c>
      <c r="U12" s="37"/>
      <c r="V12" s="47"/>
      <c r="W12" s="37"/>
      <c r="X12" s="47"/>
      <c r="Y12" s="37"/>
      <c r="Z12" s="47"/>
    </row>
    <row r="13" spans="1:28" s="34" customFormat="1" ht="16.899999999999999" customHeight="1" x14ac:dyDescent="0.25">
      <c r="B13" s="19"/>
      <c r="C13" s="19"/>
      <c r="D13" s="16" t="s">
        <v>15</v>
      </c>
      <c r="E13" s="37">
        <v>31</v>
      </c>
      <c r="F13" s="47">
        <f>E13-'Summary-Plant Heights'!E13</f>
        <v>17</v>
      </c>
      <c r="G13" s="37">
        <v>53</v>
      </c>
      <c r="H13" s="47">
        <f>G13-'Summary-Plant Heights'!F13</f>
        <v>16</v>
      </c>
      <c r="I13" s="37">
        <v>66</v>
      </c>
      <c r="J13" s="47">
        <f>I13-'Summary-Plant Heights'!G13</f>
        <v>10</v>
      </c>
      <c r="K13" s="37">
        <v>80</v>
      </c>
      <c r="L13" s="47">
        <f>K13-'Summary-Plant Heights'!H13</f>
        <v>11</v>
      </c>
      <c r="M13" s="37">
        <v>91</v>
      </c>
      <c r="N13" s="47">
        <f>M13-'Summary-Plant Heights'!I13</f>
        <v>11</v>
      </c>
      <c r="O13" s="40">
        <v>98</v>
      </c>
      <c r="P13" s="47">
        <f>O13-'Summary-Plant Heights'!J13</f>
        <v>9</v>
      </c>
      <c r="Q13" s="40">
        <v>97</v>
      </c>
      <c r="R13" s="43">
        <f>Q13-'Summary-Plant Heights'!K13</f>
        <v>13</v>
      </c>
      <c r="S13" s="37">
        <v>103</v>
      </c>
      <c r="T13" s="47">
        <f>S13-'Summary-Plant Heights'!L13</f>
        <v>11</v>
      </c>
      <c r="U13" s="37"/>
      <c r="V13" s="47"/>
      <c r="W13" s="37"/>
      <c r="X13" s="47"/>
      <c r="Y13" s="37"/>
      <c r="Z13" s="47"/>
    </row>
    <row r="14" spans="1:28" s="34" customFormat="1" ht="16.899999999999999" customHeight="1" thickBot="1" x14ac:dyDescent="0.3">
      <c r="B14" s="19"/>
      <c r="C14" s="19"/>
      <c r="D14" s="16" t="s">
        <v>16</v>
      </c>
      <c r="E14" s="37">
        <v>30</v>
      </c>
      <c r="F14" s="70">
        <f>E14-'Summary-Plant Heights'!E14</f>
        <v>18</v>
      </c>
      <c r="G14" s="37">
        <v>56</v>
      </c>
      <c r="H14" s="70">
        <f>G14-'Summary-Plant Heights'!F14</f>
        <v>17</v>
      </c>
      <c r="I14" s="37">
        <v>63</v>
      </c>
      <c r="J14" s="47">
        <f>I14-'Summary-Plant Heights'!G14</f>
        <v>13</v>
      </c>
      <c r="K14" s="37">
        <v>73</v>
      </c>
      <c r="L14" s="47">
        <f>K14-'Summary-Plant Heights'!H14</f>
        <v>13</v>
      </c>
      <c r="M14" s="37">
        <v>81</v>
      </c>
      <c r="N14" s="47">
        <f>M14-'Summary-Plant Heights'!I14</f>
        <v>12</v>
      </c>
      <c r="O14" s="40">
        <v>96</v>
      </c>
      <c r="P14" s="47">
        <f>O14-'Summary-Plant Heights'!J14</f>
        <v>12</v>
      </c>
      <c r="Q14" s="40">
        <v>105</v>
      </c>
      <c r="R14" s="43">
        <f>Q14-'Summary-Plant Heights'!K14</f>
        <v>11</v>
      </c>
      <c r="S14" s="37">
        <v>102</v>
      </c>
      <c r="T14" s="47">
        <f>S14-'Summary-Plant Heights'!L14</f>
        <v>14</v>
      </c>
      <c r="U14" s="37"/>
      <c r="V14" s="47"/>
      <c r="W14" s="37"/>
      <c r="X14" s="47"/>
      <c r="Y14" s="37"/>
      <c r="Z14" s="47"/>
    </row>
    <row r="15" spans="1:28" s="34" customFormat="1" ht="16.899999999999999" customHeight="1" x14ac:dyDescent="0.25">
      <c r="B15" s="20" t="s">
        <v>1</v>
      </c>
      <c r="C15" s="20" t="s">
        <v>49</v>
      </c>
      <c r="D15" s="15" t="s">
        <v>13</v>
      </c>
      <c r="E15" s="35">
        <v>30</v>
      </c>
      <c r="F15" s="46">
        <f>E15-'Summary-Plant Heights'!E15</f>
        <v>18</v>
      </c>
      <c r="G15" s="35">
        <v>49</v>
      </c>
      <c r="H15" s="46">
        <f>G15-'Summary-Plant Heights'!F15</f>
        <v>18</v>
      </c>
      <c r="I15" s="35">
        <v>64</v>
      </c>
      <c r="J15" s="46">
        <f>I15-'Summary-Plant Heights'!G15</f>
        <v>11</v>
      </c>
      <c r="K15" s="35">
        <v>82</v>
      </c>
      <c r="L15" s="46">
        <f>K15-'Summary-Plant Heights'!H15</f>
        <v>12</v>
      </c>
      <c r="M15" s="35">
        <v>93</v>
      </c>
      <c r="N15" s="46">
        <f>M15-'Summary-Plant Heights'!I15</f>
        <v>9</v>
      </c>
      <c r="O15" s="39">
        <v>102</v>
      </c>
      <c r="P15" s="46">
        <f>O15-'Summary-Plant Heights'!J15</f>
        <v>13</v>
      </c>
      <c r="Q15" s="39">
        <v>105</v>
      </c>
      <c r="R15" s="42">
        <f>Q15-'Summary-Plant Heights'!K15</f>
        <v>14</v>
      </c>
      <c r="S15" s="35">
        <v>113</v>
      </c>
      <c r="T15" s="46">
        <f>S15-'Summary-Plant Heights'!L15</f>
        <v>12</v>
      </c>
      <c r="U15" s="35"/>
      <c r="V15" s="46"/>
      <c r="W15" s="35"/>
      <c r="X15" s="46"/>
      <c r="Y15" s="35"/>
      <c r="Z15" s="46"/>
    </row>
    <row r="16" spans="1:28" s="34" customFormat="1" ht="16.899999999999999" customHeight="1" x14ac:dyDescent="0.25">
      <c r="B16" s="19"/>
      <c r="C16" s="19" t="s">
        <v>7</v>
      </c>
      <c r="D16" s="16" t="s">
        <v>26</v>
      </c>
      <c r="E16" s="37">
        <v>31</v>
      </c>
      <c r="F16" s="47">
        <f>E16-'Summary-Plant Heights'!E16</f>
        <v>17</v>
      </c>
      <c r="G16" s="37">
        <v>52</v>
      </c>
      <c r="H16" s="47">
        <f>G16-'Summary-Plant Heights'!F16</f>
        <v>17</v>
      </c>
      <c r="I16" s="37">
        <v>67</v>
      </c>
      <c r="J16" s="47">
        <f>I16-'Summary-Plant Heights'!G16</f>
        <v>12</v>
      </c>
      <c r="K16" s="37">
        <v>90</v>
      </c>
      <c r="L16" s="47">
        <f>K16-'Summary-Plant Heights'!H16</f>
        <v>12</v>
      </c>
      <c r="M16" s="37">
        <v>100</v>
      </c>
      <c r="N16" s="47">
        <f>M16-'Summary-Plant Heights'!I16</f>
        <v>13</v>
      </c>
      <c r="O16" s="40">
        <v>110</v>
      </c>
      <c r="P16" s="47">
        <f>O16-'Summary-Plant Heights'!J16</f>
        <v>13</v>
      </c>
      <c r="Q16" s="40">
        <v>105</v>
      </c>
      <c r="R16" s="43">
        <f>Q16-'Summary-Plant Heights'!K16</f>
        <v>6</v>
      </c>
      <c r="S16" s="37">
        <v>114</v>
      </c>
      <c r="T16" s="47">
        <f>S16-'Summary-Plant Heights'!L16</f>
        <v>11</v>
      </c>
      <c r="U16" s="37"/>
      <c r="V16" s="47"/>
      <c r="W16" s="37"/>
      <c r="X16" s="47"/>
      <c r="Y16" s="37"/>
      <c r="Z16" s="47"/>
    </row>
    <row r="17" spans="2:26" s="34" customFormat="1" ht="16.899999999999999" customHeight="1" x14ac:dyDescent="0.25">
      <c r="B17" s="19"/>
      <c r="C17" s="19"/>
      <c r="D17" s="16" t="s">
        <v>14</v>
      </c>
      <c r="E17" s="37">
        <v>29</v>
      </c>
      <c r="F17" s="47">
        <f>E17-'Summary-Plant Heights'!E17</f>
        <v>16</v>
      </c>
      <c r="G17" s="37">
        <v>50</v>
      </c>
      <c r="H17" s="47">
        <f>G17-'Summary-Plant Heights'!F17</f>
        <v>18</v>
      </c>
      <c r="I17" s="37">
        <v>62</v>
      </c>
      <c r="J17" s="47">
        <f>I17-'Summary-Plant Heights'!G17</f>
        <v>15</v>
      </c>
      <c r="K17" s="37">
        <v>79</v>
      </c>
      <c r="L17" s="47">
        <f>K17-'Summary-Plant Heights'!H17</f>
        <v>13</v>
      </c>
      <c r="M17" s="37">
        <v>92</v>
      </c>
      <c r="N17" s="47">
        <f>M17-'Summary-Plant Heights'!I17</f>
        <v>12</v>
      </c>
      <c r="O17" s="40">
        <v>101</v>
      </c>
      <c r="P17" s="47">
        <f>O17-'Summary-Plant Heights'!J17</f>
        <v>11</v>
      </c>
      <c r="Q17" s="40">
        <v>97</v>
      </c>
      <c r="R17" s="43">
        <f>Q17-'Summary-Plant Heights'!K17</f>
        <v>12</v>
      </c>
      <c r="S17" s="37">
        <v>107</v>
      </c>
      <c r="T17" s="47">
        <f>S17-'Summary-Plant Heights'!L17</f>
        <v>12</v>
      </c>
      <c r="U17" s="37"/>
      <c r="V17" s="47"/>
      <c r="W17" s="37"/>
      <c r="X17" s="47"/>
      <c r="Y17" s="37"/>
      <c r="Z17" s="47"/>
    </row>
    <row r="18" spans="2:26" s="34" customFormat="1" ht="16.899999999999999" customHeight="1" x14ac:dyDescent="0.25">
      <c r="B18" s="19"/>
      <c r="C18" s="19"/>
      <c r="D18" s="16" t="s">
        <v>15</v>
      </c>
      <c r="E18" s="37">
        <v>29</v>
      </c>
      <c r="F18" s="47">
        <f>E18-'Summary-Plant Heights'!E18</f>
        <v>17</v>
      </c>
      <c r="G18" s="37">
        <v>49</v>
      </c>
      <c r="H18" s="47">
        <f>G18-'Summary-Plant Heights'!F18</f>
        <v>18</v>
      </c>
      <c r="I18" s="37">
        <v>60</v>
      </c>
      <c r="J18" s="47">
        <f>I18-'Summary-Plant Heights'!G18</f>
        <v>17</v>
      </c>
      <c r="K18" s="37">
        <v>79</v>
      </c>
      <c r="L18" s="47">
        <f>K18-'Summary-Plant Heights'!H18</f>
        <v>14</v>
      </c>
      <c r="M18" s="37">
        <v>92</v>
      </c>
      <c r="N18" s="47">
        <f>M18-'Summary-Plant Heights'!I18</f>
        <v>12</v>
      </c>
      <c r="O18" s="40">
        <v>106</v>
      </c>
      <c r="P18" s="47">
        <f>O18-'Summary-Plant Heights'!J18</f>
        <v>12</v>
      </c>
      <c r="Q18" s="40">
        <v>111</v>
      </c>
      <c r="R18" s="43">
        <f>Q18-'Summary-Plant Heights'!K18</f>
        <v>12</v>
      </c>
      <c r="S18" s="37">
        <v>106</v>
      </c>
      <c r="T18" s="47">
        <f>S18-'Summary-Plant Heights'!L18</f>
        <v>10</v>
      </c>
      <c r="U18" s="37"/>
      <c r="V18" s="47"/>
      <c r="W18" s="37"/>
      <c r="X18" s="47"/>
      <c r="Y18" s="37"/>
      <c r="Z18" s="47"/>
    </row>
    <row r="19" spans="2:26" s="34" customFormat="1" ht="16.899999999999999" customHeight="1" thickBot="1" x14ac:dyDescent="0.3">
      <c r="B19" s="19"/>
      <c r="C19" s="19"/>
      <c r="D19" s="16" t="s">
        <v>16</v>
      </c>
      <c r="E19" s="37">
        <v>31</v>
      </c>
      <c r="F19" s="70">
        <f>E19-'Summary-Plant Heights'!E19</f>
        <v>20</v>
      </c>
      <c r="G19" s="37">
        <v>50</v>
      </c>
      <c r="H19" s="70">
        <f>G19-'Summary-Plant Heights'!F19</f>
        <v>19</v>
      </c>
      <c r="I19" s="37">
        <v>63</v>
      </c>
      <c r="J19" s="47">
        <f>I19-'Summary-Plant Heights'!G19</f>
        <v>12</v>
      </c>
      <c r="K19" s="37">
        <v>81</v>
      </c>
      <c r="L19" s="47">
        <f>K19-'Summary-Plant Heights'!H19</f>
        <v>15</v>
      </c>
      <c r="M19" s="37">
        <v>91</v>
      </c>
      <c r="N19" s="47">
        <f>M19-'Summary-Plant Heights'!I19</f>
        <v>10</v>
      </c>
      <c r="O19" s="40">
        <v>101</v>
      </c>
      <c r="P19" s="47">
        <f>O19-'Summary-Plant Heights'!J19</f>
        <v>10</v>
      </c>
      <c r="Q19" s="40">
        <v>116</v>
      </c>
      <c r="R19" s="43">
        <f>Q19-'Summary-Plant Heights'!K19</f>
        <v>10</v>
      </c>
      <c r="S19" s="37">
        <v>120</v>
      </c>
      <c r="T19" s="47">
        <f>S19-'Summary-Plant Heights'!L19</f>
        <v>12</v>
      </c>
      <c r="U19" s="37"/>
      <c r="V19" s="47"/>
      <c r="W19" s="37"/>
      <c r="X19" s="47"/>
      <c r="Y19" s="37"/>
      <c r="Z19" s="47"/>
    </row>
    <row r="20" spans="2:26" s="34" customFormat="1" ht="16.899999999999999" customHeight="1" x14ac:dyDescent="0.25">
      <c r="B20" s="23" t="s">
        <v>1</v>
      </c>
      <c r="C20" s="23" t="s">
        <v>50</v>
      </c>
      <c r="D20" s="48" t="s">
        <v>13</v>
      </c>
      <c r="E20" s="35">
        <v>32</v>
      </c>
      <c r="F20" s="46">
        <f>E20-'Summary-Plant Heights'!E20</f>
        <v>22</v>
      </c>
      <c r="G20" s="35">
        <v>44</v>
      </c>
      <c r="H20" s="46">
        <f>G20-'Summary-Plant Heights'!F20</f>
        <v>14</v>
      </c>
      <c r="I20" s="35">
        <v>69</v>
      </c>
      <c r="J20" s="46">
        <f>I20-'Summary-Plant Heights'!G20</f>
        <v>13</v>
      </c>
      <c r="K20" s="35">
        <v>86</v>
      </c>
      <c r="L20" s="46">
        <f>K20-'Summary-Plant Heights'!H20</f>
        <v>13</v>
      </c>
      <c r="M20" s="35">
        <v>97</v>
      </c>
      <c r="N20" s="46">
        <f>M20-'Summary-Plant Heights'!I20</f>
        <v>11</v>
      </c>
      <c r="O20" s="39">
        <v>108</v>
      </c>
      <c r="P20" s="46">
        <f>O20-'Summary-Plant Heights'!J20</f>
        <v>11</v>
      </c>
      <c r="Q20" s="39">
        <v>107</v>
      </c>
      <c r="R20" s="42">
        <f>Q20-'Summary-Plant Heights'!K20</f>
        <v>11</v>
      </c>
      <c r="S20" s="35">
        <v>104</v>
      </c>
      <c r="T20" s="46">
        <f>S20-'Summary-Plant Heights'!L20</f>
        <v>8</v>
      </c>
      <c r="U20" s="35"/>
      <c r="V20" s="46"/>
      <c r="W20" s="35"/>
      <c r="X20" s="46"/>
      <c r="Y20" s="35"/>
      <c r="Z20" s="46"/>
    </row>
    <row r="21" spans="2:26" s="34" customFormat="1" ht="16.899999999999999" customHeight="1" x14ac:dyDescent="0.25">
      <c r="B21" s="25"/>
      <c r="C21" s="25" t="s">
        <v>8</v>
      </c>
      <c r="D21" s="49" t="s">
        <v>26</v>
      </c>
      <c r="E21" s="37">
        <v>29</v>
      </c>
      <c r="F21" s="47">
        <f>E21-'Summary-Plant Heights'!E21</f>
        <v>17</v>
      </c>
      <c r="G21" s="37">
        <v>43</v>
      </c>
      <c r="H21" s="47">
        <f>G21-'Summary-Plant Heights'!F21</f>
        <v>15</v>
      </c>
      <c r="I21" s="37">
        <v>65</v>
      </c>
      <c r="J21" s="47">
        <f>I21-'Summary-Plant Heights'!G21</f>
        <v>15</v>
      </c>
      <c r="K21" s="37">
        <v>85</v>
      </c>
      <c r="L21" s="47">
        <f>K21-'Summary-Plant Heights'!H21</f>
        <v>14</v>
      </c>
      <c r="M21" s="37">
        <v>96</v>
      </c>
      <c r="N21" s="47">
        <f>M21-'Summary-Plant Heights'!I21</f>
        <v>10</v>
      </c>
      <c r="O21" s="40">
        <v>109</v>
      </c>
      <c r="P21" s="47">
        <f>O21-'Summary-Plant Heights'!J21</f>
        <v>12</v>
      </c>
      <c r="Q21" s="40">
        <v>108</v>
      </c>
      <c r="R21" s="43">
        <f>Q21-'Summary-Plant Heights'!K21</f>
        <v>10</v>
      </c>
      <c r="S21" s="37">
        <v>106</v>
      </c>
      <c r="T21" s="47">
        <f>S21-'Summary-Plant Heights'!L21</f>
        <v>11</v>
      </c>
      <c r="U21" s="37"/>
      <c r="V21" s="47"/>
      <c r="W21" s="37"/>
      <c r="X21" s="47"/>
      <c r="Y21" s="37"/>
      <c r="Z21" s="47"/>
    </row>
    <row r="22" spans="2:26" s="34" customFormat="1" ht="16.899999999999999" customHeight="1" x14ac:dyDescent="0.25">
      <c r="B22" s="25"/>
      <c r="C22" s="25"/>
      <c r="D22" s="49" t="s">
        <v>14</v>
      </c>
      <c r="E22" s="37">
        <v>31</v>
      </c>
      <c r="F22" s="47">
        <f>E22-'Summary-Plant Heights'!E22</f>
        <v>18</v>
      </c>
      <c r="G22" s="37">
        <v>53</v>
      </c>
      <c r="H22" s="47">
        <f>G22-'Summary-Plant Heights'!F22</f>
        <v>18</v>
      </c>
      <c r="I22" s="37">
        <v>68</v>
      </c>
      <c r="J22" s="47">
        <f>I22-'Summary-Plant Heights'!G22</f>
        <v>14</v>
      </c>
      <c r="K22" s="37">
        <v>82</v>
      </c>
      <c r="L22" s="47">
        <f>K22-'Summary-Plant Heights'!H22</f>
        <v>13</v>
      </c>
      <c r="M22" s="37">
        <v>100</v>
      </c>
      <c r="N22" s="47">
        <f>M22-'Summary-Plant Heights'!I22</f>
        <v>12</v>
      </c>
      <c r="O22" s="40">
        <v>111</v>
      </c>
      <c r="P22" s="47">
        <f>O22-'Summary-Plant Heights'!J22</f>
        <v>13</v>
      </c>
      <c r="Q22" s="40">
        <v>104</v>
      </c>
      <c r="R22" s="43">
        <f>Q22-'Summary-Plant Heights'!K22</f>
        <v>7</v>
      </c>
      <c r="S22" s="37">
        <v>103</v>
      </c>
      <c r="T22" s="47">
        <f>S22-'Summary-Plant Heights'!L22</f>
        <v>11</v>
      </c>
      <c r="U22" s="37"/>
      <c r="V22" s="47"/>
      <c r="W22" s="37"/>
      <c r="X22" s="47"/>
      <c r="Y22" s="37"/>
      <c r="Z22" s="47"/>
    </row>
    <row r="23" spans="2:26" s="34" customFormat="1" ht="16.899999999999999" customHeight="1" x14ac:dyDescent="0.25">
      <c r="B23" s="25"/>
      <c r="C23" s="25"/>
      <c r="D23" s="49" t="s">
        <v>15</v>
      </c>
      <c r="E23" s="37">
        <v>31</v>
      </c>
      <c r="F23" s="47">
        <f>E23-'Summary-Plant Heights'!E23</f>
        <v>17</v>
      </c>
      <c r="G23" s="37">
        <v>48</v>
      </c>
      <c r="H23" s="47">
        <f>G23-'Summary-Plant Heights'!F23</f>
        <v>17</v>
      </c>
      <c r="I23" s="37">
        <v>64</v>
      </c>
      <c r="J23" s="47">
        <f>I23-'Summary-Plant Heights'!G23</f>
        <v>15</v>
      </c>
      <c r="K23" s="37">
        <v>75</v>
      </c>
      <c r="L23" s="47">
        <f>K23-'Summary-Plant Heights'!H23</f>
        <v>13</v>
      </c>
      <c r="M23" s="37">
        <v>89</v>
      </c>
      <c r="N23" s="47">
        <f>M23-'Summary-Plant Heights'!I23</f>
        <v>13</v>
      </c>
      <c r="O23" s="40">
        <v>102</v>
      </c>
      <c r="P23" s="47">
        <f>O23-'Summary-Plant Heights'!J23</f>
        <v>10</v>
      </c>
      <c r="Q23" s="40">
        <v>100</v>
      </c>
      <c r="R23" s="43">
        <f>Q23-'Summary-Plant Heights'!K23</f>
        <v>13</v>
      </c>
      <c r="S23" s="37">
        <v>108</v>
      </c>
      <c r="T23" s="47">
        <f>S23-'Summary-Plant Heights'!L23</f>
        <v>10</v>
      </c>
      <c r="U23" s="37"/>
      <c r="V23" s="47"/>
      <c r="W23" s="37"/>
      <c r="X23" s="47"/>
      <c r="Y23" s="37"/>
      <c r="Z23" s="47"/>
    </row>
    <row r="24" spans="2:26" s="34" customFormat="1" ht="16.899999999999999" customHeight="1" thickBot="1" x14ac:dyDescent="0.3">
      <c r="B24" s="25"/>
      <c r="C24" s="25"/>
      <c r="D24" s="49" t="s">
        <v>16</v>
      </c>
      <c r="E24" s="37">
        <v>32</v>
      </c>
      <c r="F24" s="70">
        <f>E24-'Summary-Plant Heights'!E24</f>
        <v>21</v>
      </c>
      <c r="G24" s="37">
        <v>43</v>
      </c>
      <c r="H24" s="70">
        <f>G24-'Summary-Plant Heights'!F24</f>
        <v>15</v>
      </c>
      <c r="I24" s="37">
        <v>61</v>
      </c>
      <c r="J24" s="47">
        <f>I24-'Summary-Plant Heights'!G24</f>
        <v>14</v>
      </c>
      <c r="K24" s="37">
        <v>76</v>
      </c>
      <c r="L24" s="47">
        <f>K24-'Summary-Plant Heights'!H24</f>
        <v>14</v>
      </c>
      <c r="M24" s="37">
        <v>91</v>
      </c>
      <c r="N24" s="47">
        <f>M24-'Summary-Plant Heights'!I24</f>
        <v>12</v>
      </c>
      <c r="O24" s="40">
        <v>104</v>
      </c>
      <c r="P24" s="47">
        <f>O24-'Summary-Plant Heights'!J24</f>
        <v>12</v>
      </c>
      <c r="Q24" s="40">
        <v>109</v>
      </c>
      <c r="R24" s="43">
        <f>Q24-'Summary-Plant Heights'!K24</f>
        <v>11</v>
      </c>
      <c r="S24" s="37">
        <v>107</v>
      </c>
      <c r="T24" s="47">
        <f>S24-'Summary-Plant Heights'!L24</f>
        <v>12</v>
      </c>
      <c r="U24" s="37"/>
      <c r="V24" s="47"/>
      <c r="W24" s="37"/>
      <c r="X24" s="47"/>
      <c r="Y24" s="37"/>
      <c r="Z24" s="47"/>
    </row>
    <row r="25" spans="2:26" s="34" customFormat="1" ht="16.899999999999999" customHeight="1" x14ac:dyDescent="0.25">
      <c r="B25" s="23" t="s">
        <v>2</v>
      </c>
      <c r="C25" s="23" t="s">
        <v>51</v>
      </c>
      <c r="D25" s="48" t="s">
        <v>13</v>
      </c>
      <c r="E25" s="35">
        <v>30</v>
      </c>
      <c r="F25" s="46">
        <f>E25-'Summary-Plant Heights'!E25</f>
        <v>19</v>
      </c>
      <c r="G25" s="35">
        <v>47</v>
      </c>
      <c r="H25" s="46">
        <f>G25-'Summary-Plant Heights'!F25</f>
        <v>19</v>
      </c>
      <c r="I25" s="35">
        <v>64</v>
      </c>
      <c r="J25" s="46">
        <f>I25-'Summary-Plant Heights'!G25</f>
        <v>17</v>
      </c>
      <c r="K25" s="35">
        <v>79</v>
      </c>
      <c r="L25" s="46">
        <f>K25-'Summary-Plant Heights'!H25</f>
        <v>15</v>
      </c>
      <c r="M25" s="35">
        <v>90</v>
      </c>
      <c r="N25" s="46">
        <f>M25-'Summary-Plant Heights'!I25</f>
        <v>10</v>
      </c>
      <c r="O25" s="39">
        <v>99</v>
      </c>
      <c r="P25" s="46">
        <f>O25-'Summary-Plant Heights'!J25</f>
        <v>11</v>
      </c>
      <c r="Q25" s="39">
        <v>102</v>
      </c>
      <c r="R25" s="42">
        <f>Q25-'Summary-Plant Heights'!K25</f>
        <v>17</v>
      </c>
      <c r="S25" s="35">
        <v>101</v>
      </c>
      <c r="T25" s="46">
        <f>S25-'Summary-Plant Heights'!L25</f>
        <v>11</v>
      </c>
      <c r="U25" s="35"/>
      <c r="V25" s="46"/>
      <c r="W25" s="35"/>
      <c r="X25" s="46"/>
      <c r="Y25" s="35"/>
      <c r="Z25" s="46"/>
    </row>
    <row r="26" spans="2:26" s="34" customFormat="1" ht="16.899999999999999" customHeight="1" x14ac:dyDescent="0.25">
      <c r="B26" s="25"/>
      <c r="C26" s="25" t="s">
        <v>9</v>
      </c>
      <c r="D26" s="49" t="s">
        <v>26</v>
      </c>
      <c r="E26" s="37">
        <v>31</v>
      </c>
      <c r="F26" s="47">
        <f>E26-'Summary-Plant Heights'!E26</f>
        <v>18</v>
      </c>
      <c r="G26" s="37">
        <v>48</v>
      </c>
      <c r="H26" s="47">
        <f>G26-'Summary-Plant Heights'!F26</f>
        <v>18</v>
      </c>
      <c r="I26" s="37">
        <v>63</v>
      </c>
      <c r="J26" s="47">
        <f>I26-'Summary-Plant Heights'!G26</f>
        <v>15</v>
      </c>
      <c r="K26" s="37">
        <v>82</v>
      </c>
      <c r="L26" s="47">
        <f>K26-'Summary-Plant Heights'!H26</f>
        <v>13</v>
      </c>
      <c r="M26" s="37">
        <v>93</v>
      </c>
      <c r="N26" s="47">
        <f>M26-'Summary-Plant Heights'!I26</f>
        <v>13</v>
      </c>
      <c r="O26" s="40">
        <v>102</v>
      </c>
      <c r="P26" s="47">
        <f>O26-'Summary-Plant Heights'!J26</f>
        <v>12</v>
      </c>
      <c r="Q26" s="40">
        <v>102</v>
      </c>
      <c r="R26" s="43">
        <f>Q26-'Summary-Plant Heights'!K26</f>
        <v>11</v>
      </c>
      <c r="S26" s="37">
        <v>98</v>
      </c>
      <c r="T26" s="47">
        <f>S26-'Summary-Plant Heights'!L26</f>
        <v>12</v>
      </c>
      <c r="U26" s="37"/>
      <c r="V26" s="47"/>
      <c r="W26" s="37"/>
      <c r="X26" s="47"/>
      <c r="Y26" s="37"/>
      <c r="Z26" s="47"/>
    </row>
    <row r="27" spans="2:26" s="34" customFormat="1" ht="16.899999999999999" customHeight="1" x14ac:dyDescent="0.25">
      <c r="B27" s="25"/>
      <c r="C27" s="25"/>
      <c r="D27" s="49" t="s">
        <v>14</v>
      </c>
      <c r="E27" s="37">
        <v>32</v>
      </c>
      <c r="F27" s="47">
        <f>E27-'Summary-Plant Heights'!E27</f>
        <v>19</v>
      </c>
      <c r="G27" s="37">
        <v>47</v>
      </c>
      <c r="H27" s="47">
        <f>G27-'Summary-Plant Heights'!F27</f>
        <v>16</v>
      </c>
      <c r="I27" s="37">
        <v>69</v>
      </c>
      <c r="J27" s="47">
        <f>I27-'Summary-Plant Heights'!G27</f>
        <v>16</v>
      </c>
      <c r="K27" s="37">
        <v>83</v>
      </c>
      <c r="L27" s="47">
        <f>K27-'Summary-Plant Heights'!H27</f>
        <v>12</v>
      </c>
      <c r="M27" s="37">
        <v>92</v>
      </c>
      <c r="N27" s="47">
        <f>M27-'Summary-Plant Heights'!I27</f>
        <v>9</v>
      </c>
      <c r="O27" s="40">
        <v>99</v>
      </c>
      <c r="P27" s="47">
        <f>O27-'Summary-Plant Heights'!J27</f>
        <v>13</v>
      </c>
      <c r="Q27" s="40">
        <v>98</v>
      </c>
      <c r="R27" s="43">
        <f>Q27-'Summary-Plant Heights'!K27</f>
        <v>12</v>
      </c>
      <c r="S27" s="37">
        <v>110</v>
      </c>
      <c r="T27" s="47">
        <f>S27-'Summary-Plant Heights'!L27</f>
        <v>10</v>
      </c>
      <c r="U27" s="37"/>
      <c r="V27" s="47"/>
      <c r="W27" s="37"/>
      <c r="X27" s="47"/>
      <c r="Y27" s="37"/>
      <c r="Z27" s="47"/>
    </row>
    <row r="28" spans="2:26" s="34" customFormat="1" ht="16.899999999999999" customHeight="1" x14ac:dyDescent="0.25">
      <c r="B28" s="25"/>
      <c r="C28" s="25"/>
      <c r="D28" s="49" t="s">
        <v>15</v>
      </c>
      <c r="E28" s="37">
        <v>31</v>
      </c>
      <c r="F28" s="47">
        <f>E28-'Summary-Plant Heights'!E28</f>
        <v>19</v>
      </c>
      <c r="G28" s="37">
        <v>47</v>
      </c>
      <c r="H28" s="47">
        <f>G28-'Summary-Plant Heights'!F28</f>
        <v>18</v>
      </c>
      <c r="I28" s="37">
        <v>64</v>
      </c>
      <c r="J28" s="47">
        <f>I28-'Summary-Plant Heights'!G28</f>
        <v>12</v>
      </c>
      <c r="K28" s="37">
        <v>81</v>
      </c>
      <c r="L28" s="47">
        <f>K28-'Summary-Plant Heights'!H28</f>
        <v>14</v>
      </c>
      <c r="M28" s="37">
        <v>95</v>
      </c>
      <c r="N28" s="47">
        <f>M28-'Summary-Plant Heights'!I28</f>
        <v>14</v>
      </c>
      <c r="O28" s="40">
        <v>103</v>
      </c>
      <c r="P28" s="47">
        <f>O28-'Summary-Plant Heights'!J28</f>
        <v>9</v>
      </c>
      <c r="Q28" s="40">
        <v>109</v>
      </c>
      <c r="R28" s="43">
        <f>Q28-'Summary-Plant Heights'!K28</f>
        <v>14</v>
      </c>
      <c r="S28" s="37">
        <v>112</v>
      </c>
      <c r="T28" s="47">
        <f>S28-'Summary-Plant Heights'!L28</f>
        <v>14</v>
      </c>
      <c r="U28" s="37"/>
      <c r="V28" s="47"/>
      <c r="W28" s="37"/>
      <c r="X28" s="47"/>
      <c r="Y28" s="37"/>
      <c r="Z28" s="47"/>
    </row>
    <row r="29" spans="2:26" s="34" customFormat="1" ht="16.899999999999999" customHeight="1" thickBot="1" x14ac:dyDescent="0.3">
      <c r="B29" s="25"/>
      <c r="C29" s="25"/>
      <c r="D29" s="49" t="s">
        <v>16</v>
      </c>
      <c r="E29" s="37">
        <v>31</v>
      </c>
      <c r="F29" s="70">
        <f>E29-'Summary-Plant Heights'!E29</f>
        <v>18</v>
      </c>
      <c r="G29" s="37">
        <v>49</v>
      </c>
      <c r="H29" s="70">
        <f>G29-'Summary-Plant Heights'!F29</f>
        <v>19</v>
      </c>
      <c r="I29" s="37">
        <v>65</v>
      </c>
      <c r="J29" s="47">
        <f>I29-'Summary-Plant Heights'!G29</f>
        <v>17</v>
      </c>
      <c r="K29" s="37">
        <v>74</v>
      </c>
      <c r="L29" s="47">
        <f>K29-'Summary-Plant Heights'!H29</f>
        <v>15</v>
      </c>
      <c r="M29" s="37">
        <v>82</v>
      </c>
      <c r="N29" s="47">
        <f>M29-'Summary-Plant Heights'!I29</f>
        <v>7</v>
      </c>
      <c r="O29" s="40">
        <v>91</v>
      </c>
      <c r="P29" s="47">
        <f>O29-'Summary-Plant Heights'!J29</f>
        <v>11</v>
      </c>
      <c r="Q29" s="40">
        <v>95</v>
      </c>
      <c r="R29" s="43">
        <f>Q29-'Summary-Plant Heights'!K29</f>
        <v>14</v>
      </c>
      <c r="S29" s="37">
        <v>121</v>
      </c>
      <c r="T29" s="47">
        <f>S29-'Summary-Plant Heights'!L29</f>
        <v>13</v>
      </c>
      <c r="U29" s="37"/>
      <c r="V29" s="47"/>
      <c r="W29" s="37"/>
      <c r="X29" s="47"/>
      <c r="Y29" s="37"/>
      <c r="Z29" s="47"/>
    </row>
    <row r="30" spans="2:26" s="34" customFormat="1" ht="16.899999999999999" customHeight="1" x14ac:dyDescent="0.25">
      <c r="B30" s="20" t="s">
        <v>2</v>
      </c>
      <c r="C30" s="20" t="s">
        <v>52</v>
      </c>
      <c r="D30" s="15" t="s">
        <v>13</v>
      </c>
      <c r="E30" s="35">
        <v>30</v>
      </c>
      <c r="F30" s="46">
        <f>E30-'Summary-Plant Heights'!E30</f>
        <v>19</v>
      </c>
      <c r="G30" s="35">
        <v>47</v>
      </c>
      <c r="H30" s="46">
        <f>G30-'Summary-Plant Heights'!F30</f>
        <v>17</v>
      </c>
      <c r="I30" s="35">
        <v>69</v>
      </c>
      <c r="J30" s="46">
        <f>I30-'Summary-Plant Heights'!G30</f>
        <v>15</v>
      </c>
      <c r="K30" s="35">
        <v>91</v>
      </c>
      <c r="L30" s="46">
        <f>K30-'Summary-Plant Heights'!H30</f>
        <v>23</v>
      </c>
      <c r="M30" s="35">
        <v>102</v>
      </c>
      <c r="N30" s="46">
        <f>M30-'Summary-Plant Heights'!I30</f>
        <v>8</v>
      </c>
      <c r="O30" s="39">
        <v>111</v>
      </c>
      <c r="P30" s="46">
        <f>O30-'Summary-Plant Heights'!J30</f>
        <v>13</v>
      </c>
      <c r="Q30" s="39">
        <v>102</v>
      </c>
      <c r="R30" s="42">
        <f>Q30-'Summary-Plant Heights'!K30</f>
        <v>11</v>
      </c>
      <c r="S30" s="35">
        <v>108</v>
      </c>
      <c r="T30" s="46">
        <f>S30-'Summary-Plant Heights'!L30</f>
        <v>10</v>
      </c>
      <c r="U30" s="35"/>
      <c r="V30" s="46"/>
      <c r="W30" s="35"/>
      <c r="X30" s="46"/>
      <c r="Y30" s="35"/>
      <c r="Z30" s="46"/>
    </row>
    <row r="31" spans="2:26" s="34" customFormat="1" ht="16.899999999999999" customHeight="1" x14ac:dyDescent="0.25">
      <c r="B31" s="19"/>
      <c r="C31" s="19" t="s">
        <v>5</v>
      </c>
      <c r="D31" s="16" t="s">
        <v>26</v>
      </c>
      <c r="E31" s="37">
        <v>32</v>
      </c>
      <c r="F31" s="47">
        <f>E31-'Summary-Plant Heights'!E31</f>
        <v>19</v>
      </c>
      <c r="G31" s="37">
        <v>48</v>
      </c>
      <c r="H31" s="47">
        <f>G31-'Summary-Plant Heights'!F31</f>
        <v>16</v>
      </c>
      <c r="I31" s="37">
        <v>71</v>
      </c>
      <c r="J31" s="47">
        <f>I31-'Summary-Plant Heights'!G31</f>
        <v>16</v>
      </c>
      <c r="K31" s="37">
        <v>88</v>
      </c>
      <c r="L31" s="47">
        <f>K31-'Summary-Plant Heights'!H31</f>
        <v>15</v>
      </c>
      <c r="M31" s="37">
        <v>95</v>
      </c>
      <c r="N31" s="47">
        <f>M31-'Summary-Plant Heights'!I31</f>
        <v>11</v>
      </c>
      <c r="O31" s="40">
        <v>97</v>
      </c>
      <c r="P31" s="47">
        <f>O31-'Summary-Plant Heights'!J31</f>
        <v>11</v>
      </c>
      <c r="Q31" s="40">
        <v>97</v>
      </c>
      <c r="R31" s="43">
        <f>Q31-'Summary-Plant Heights'!K31</f>
        <v>11</v>
      </c>
      <c r="S31" s="37">
        <v>102</v>
      </c>
      <c r="T31" s="47">
        <f>S31-'Summary-Plant Heights'!L31</f>
        <v>10</v>
      </c>
      <c r="U31" s="37"/>
      <c r="V31" s="47"/>
      <c r="W31" s="37"/>
      <c r="X31" s="47"/>
      <c r="Y31" s="37"/>
      <c r="Z31" s="47"/>
    </row>
    <row r="32" spans="2:26" s="34" customFormat="1" ht="16.899999999999999" customHeight="1" x14ac:dyDescent="0.25">
      <c r="B32" s="19"/>
      <c r="C32" s="19"/>
      <c r="D32" s="16" t="s">
        <v>14</v>
      </c>
      <c r="E32" s="37">
        <v>31</v>
      </c>
      <c r="F32" s="47">
        <f>E32-'Summary-Plant Heights'!E32</f>
        <v>19</v>
      </c>
      <c r="G32" s="37">
        <v>50</v>
      </c>
      <c r="H32" s="47">
        <f>G32-'Summary-Plant Heights'!F32</f>
        <v>15</v>
      </c>
      <c r="I32" s="37">
        <v>71</v>
      </c>
      <c r="J32" s="47">
        <f>I32-'Summary-Plant Heights'!G32</f>
        <v>14</v>
      </c>
      <c r="K32" s="37">
        <v>83</v>
      </c>
      <c r="L32" s="47">
        <f>K32-'Summary-Plant Heights'!H32</f>
        <v>14</v>
      </c>
      <c r="M32" s="37">
        <v>91</v>
      </c>
      <c r="N32" s="47">
        <f>M32-'Summary-Plant Heights'!I32</f>
        <v>9</v>
      </c>
      <c r="O32" s="40">
        <v>102</v>
      </c>
      <c r="P32" s="47">
        <f>O32-'Summary-Plant Heights'!J32</f>
        <v>13</v>
      </c>
      <c r="Q32" s="40">
        <v>98</v>
      </c>
      <c r="R32" s="43">
        <f>Q32-'Summary-Plant Heights'!K32</f>
        <v>12</v>
      </c>
      <c r="S32" s="37">
        <v>101</v>
      </c>
      <c r="T32" s="47">
        <f>S32-'Summary-Plant Heights'!L32</f>
        <v>13</v>
      </c>
      <c r="U32" s="37"/>
      <c r="V32" s="47"/>
      <c r="W32" s="37"/>
      <c r="X32" s="47"/>
      <c r="Y32" s="37"/>
      <c r="Z32" s="47"/>
    </row>
    <row r="33" spans="2:26" s="34" customFormat="1" ht="16.899999999999999" customHeight="1" x14ac:dyDescent="0.25">
      <c r="B33" s="19"/>
      <c r="C33" s="19"/>
      <c r="D33" s="16" t="s">
        <v>15</v>
      </c>
      <c r="E33" s="37">
        <v>31</v>
      </c>
      <c r="F33" s="47">
        <f>E33-'Summary-Plant Heights'!E33</f>
        <v>18</v>
      </c>
      <c r="G33" s="37">
        <v>48</v>
      </c>
      <c r="H33" s="47">
        <f>G33-'Summary-Plant Heights'!F33</f>
        <v>12</v>
      </c>
      <c r="I33" s="37">
        <v>70</v>
      </c>
      <c r="J33" s="47">
        <f>I33-'Summary-Plant Heights'!G33</f>
        <v>19</v>
      </c>
      <c r="K33" s="37">
        <v>73</v>
      </c>
      <c r="L33" s="47">
        <f>K33-'Summary-Plant Heights'!H33</f>
        <v>14</v>
      </c>
      <c r="M33" s="37">
        <v>82</v>
      </c>
      <c r="N33" s="47">
        <f>M33-'Summary-Plant Heights'!I33</f>
        <v>10</v>
      </c>
      <c r="O33" s="40">
        <v>86</v>
      </c>
      <c r="P33" s="47">
        <f>O33-'Summary-Plant Heights'!J33</f>
        <v>10</v>
      </c>
      <c r="Q33" s="40">
        <v>89</v>
      </c>
      <c r="R33" s="43">
        <f>Q33-'Summary-Plant Heights'!K33</f>
        <v>11</v>
      </c>
      <c r="S33" s="37">
        <v>91</v>
      </c>
      <c r="T33" s="47">
        <f>S33-'Summary-Plant Heights'!L33</f>
        <v>12</v>
      </c>
      <c r="U33" s="37"/>
      <c r="V33" s="47"/>
      <c r="W33" s="37"/>
      <c r="X33" s="47"/>
      <c r="Y33" s="37"/>
      <c r="Z33" s="47"/>
    </row>
    <row r="34" spans="2:26" s="34" customFormat="1" ht="16.899999999999999" customHeight="1" thickBot="1" x14ac:dyDescent="0.3">
      <c r="B34" s="19"/>
      <c r="C34" s="19"/>
      <c r="D34" s="16" t="s">
        <v>16</v>
      </c>
      <c r="E34" s="37">
        <v>30</v>
      </c>
      <c r="F34" s="70">
        <f>E34-'Summary-Plant Heights'!E34</f>
        <v>18</v>
      </c>
      <c r="G34" s="37">
        <v>47</v>
      </c>
      <c r="H34" s="70">
        <f>G34-'Summary-Plant Heights'!F34</f>
        <v>15</v>
      </c>
      <c r="I34" s="37">
        <v>74</v>
      </c>
      <c r="J34" s="47">
        <f>I34-'Summary-Plant Heights'!G34</f>
        <v>17</v>
      </c>
      <c r="K34" s="37">
        <v>91</v>
      </c>
      <c r="L34" s="47">
        <f>K34-'Summary-Plant Heights'!H34</f>
        <v>16</v>
      </c>
      <c r="M34" s="37">
        <v>93</v>
      </c>
      <c r="N34" s="47">
        <f>M34-'Summary-Plant Heights'!I34</f>
        <v>10</v>
      </c>
      <c r="O34" s="40">
        <v>97</v>
      </c>
      <c r="P34" s="47">
        <f>O34-'Summary-Plant Heights'!J34</f>
        <v>13</v>
      </c>
      <c r="Q34" s="40">
        <v>92</v>
      </c>
      <c r="R34" s="43">
        <f>Q34-'Summary-Plant Heights'!K34</f>
        <v>12</v>
      </c>
      <c r="S34" s="37">
        <v>102</v>
      </c>
      <c r="T34" s="47">
        <f>S34-'Summary-Plant Heights'!L34</f>
        <v>12</v>
      </c>
      <c r="U34" s="37"/>
      <c r="V34" s="47"/>
      <c r="W34" s="37"/>
      <c r="X34" s="47"/>
      <c r="Y34" s="37"/>
      <c r="Z34" s="47"/>
    </row>
    <row r="35" spans="2:26" s="34" customFormat="1" ht="16.899999999999999" customHeight="1" x14ac:dyDescent="0.25">
      <c r="B35" s="20" t="s">
        <v>3</v>
      </c>
      <c r="C35" s="20" t="s">
        <v>53</v>
      </c>
      <c r="D35" s="15" t="s">
        <v>13</v>
      </c>
      <c r="E35" s="35">
        <v>31</v>
      </c>
      <c r="F35" s="46">
        <f>E35-'Summary-Plant Heights'!E35</f>
        <v>20</v>
      </c>
      <c r="G35" s="35">
        <v>44</v>
      </c>
      <c r="H35" s="46">
        <f>G35-'Summary-Plant Heights'!F35</f>
        <v>16</v>
      </c>
      <c r="I35" s="35">
        <v>65</v>
      </c>
      <c r="J35" s="46">
        <f>I35-'Summary-Plant Heights'!G35</f>
        <v>17</v>
      </c>
      <c r="K35" s="35">
        <v>79</v>
      </c>
      <c r="L35" s="46">
        <f>K35-'Summary-Plant Heights'!H35</f>
        <v>17</v>
      </c>
      <c r="M35" s="35">
        <v>86</v>
      </c>
      <c r="N35" s="46">
        <f>M35-'Summary-Plant Heights'!I35</f>
        <v>11</v>
      </c>
      <c r="O35" s="39">
        <v>93</v>
      </c>
      <c r="P35" s="46">
        <f>O35-'Summary-Plant Heights'!J35</f>
        <v>10</v>
      </c>
      <c r="Q35" s="39">
        <v>107</v>
      </c>
      <c r="R35" s="42">
        <f>Q35-'Summary-Plant Heights'!K35</f>
        <v>14</v>
      </c>
      <c r="S35" s="35">
        <v>113</v>
      </c>
      <c r="T35" s="46">
        <f>S35-'Summary-Plant Heights'!L35</f>
        <v>13</v>
      </c>
      <c r="U35" s="35"/>
      <c r="V35" s="46"/>
      <c r="W35" s="35"/>
      <c r="X35" s="46"/>
      <c r="Y35" s="35"/>
      <c r="Z35" s="46"/>
    </row>
    <row r="36" spans="2:26" s="34" customFormat="1" ht="16.899999999999999" customHeight="1" x14ac:dyDescent="0.25">
      <c r="B36" s="19"/>
      <c r="C36" s="19" t="s">
        <v>7</v>
      </c>
      <c r="D36" s="16" t="s">
        <v>26</v>
      </c>
      <c r="E36" s="37">
        <v>33</v>
      </c>
      <c r="F36" s="47">
        <f>E36-'Summary-Plant Heights'!E36</f>
        <v>21</v>
      </c>
      <c r="G36" s="37">
        <v>53</v>
      </c>
      <c r="H36" s="47">
        <f>G36-'Summary-Plant Heights'!F36</f>
        <v>19</v>
      </c>
      <c r="I36" s="37">
        <v>67</v>
      </c>
      <c r="J36" s="47">
        <f>I36-'Summary-Plant Heights'!G36</f>
        <v>16</v>
      </c>
      <c r="K36" s="37">
        <v>91</v>
      </c>
      <c r="L36" s="47">
        <f>K36-'Summary-Plant Heights'!H36</f>
        <v>17</v>
      </c>
      <c r="M36" s="37">
        <v>102</v>
      </c>
      <c r="N36" s="47">
        <f>M36-'Summary-Plant Heights'!I36</f>
        <v>13</v>
      </c>
      <c r="O36" s="40">
        <v>111</v>
      </c>
      <c r="P36" s="47">
        <f>O36-'Summary-Plant Heights'!J36</f>
        <v>12</v>
      </c>
      <c r="Q36" s="40">
        <v>113</v>
      </c>
      <c r="R36" s="43">
        <f>Q36-'Summary-Plant Heights'!K36</f>
        <v>6</v>
      </c>
      <c r="S36" s="37">
        <v>125</v>
      </c>
      <c r="T36" s="47">
        <f>S36-'Summary-Plant Heights'!L36</f>
        <v>13</v>
      </c>
      <c r="U36" s="37"/>
      <c r="V36" s="47"/>
      <c r="W36" s="37"/>
      <c r="X36" s="47"/>
      <c r="Y36" s="37"/>
      <c r="Z36" s="47"/>
    </row>
    <row r="37" spans="2:26" s="34" customFormat="1" ht="16.899999999999999" customHeight="1" x14ac:dyDescent="0.25">
      <c r="B37" s="19"/>
      <c r="C37" s="19"/>
      <c r="D37" s="16" t="s">
        <v>14</v>
      </c>
      <c r="E37" s="37">
        <v>32</v>
      </c>
      <c r="F37" s="47">
        <f>E37-'Summary-Plant Heights'!E37</f>
        <v>20</v>
      </c>
      <c r="G37" s="37">
        <v>50</v>
      </c>
      <c r="H37" s="47">
        <f>G37-'Summary-Plant Heights'!F37</f>
        <v>17</v>
      </c>
      <c r="I37" s="37">
        <v>64</v>
      </c>
      <c r="J37" s="47">
        <f>I37-'Summary-Plant Heights'!G37</f>
        <v>16</v>
      </c>
      <c r="K37" s="37">
        <v>80</v>
      </c>
      <c r="L37" s="47">
        <f>K37-'Summary-Plant Heights'!H37</f>
        <v>15</v>
      </c>
      <c r="M37" s="37">
        <v>88</v>
      </c>
      <c r="N37" s="47">
        <f>M37-'Summary-Plant Heights'!I37</f>
        <v>9</v>
      </c>
      <c r="O37" s="40">
        <v>101</v>
      </c>
      <c r="P37" s="47">
        <f>O37-'Summary-Plant Heights'!J37</f>
        <v>13</v>
      </c>
      <c r="Q37" s="40">
        <v>113</v>
      </c>
      <c r="R37" s="43">
        <f>Q37-'Summary-Plant Heights'!K37</f>
        <v>15</v>
      </c>
      <c r="S37" s="37">
        <v>107</v>
      </c>
      <c r="T37" s="47">
        <f>S37-'Summary-Plant Heights'!L37</f>
        <v>11</v>
      </c>
      <c r="U37" s="37"/>
      <c r="V37" s="47"/>
      <c r="W37" s="37"/>
      <c r="X37" s="47"/>
      <c r="Y37" s="37"/>
      <c r="Z37" s="47"/>
    </row>
    <row r="38" spans="2:26" s="34" customFormat="1" ht="16.899999999999999" customHeight="1" x14ac:dyDescent="0.25">
      <c r="B38" s="19"/>
      <c r="C38" s="19"/>
      <c r="D38" s="16" t="s">
        <v>15</v>
      </c>
      <c r="E38" s="37">
        <v>30</v>
      </c>
      <c r="F38" s="47">
        <f>E38-'Summary-Plant Heights'!E38</f>
        <v>19</v>
      </c>
      <c r="G38" s="37">
        <v>44</v>
      </c>
      <c r="H38" s="47">
        <f>G38-'Summary-Plant Heights'!F38</f>
        <v>13</v>
      </c>
      <c r="I38" s="37">
        <v>68</v>
      </c>
      <c r="J38" s="47">
        <f>I38-'Summary-Plant Heights'!G38</f>
        <v>18</v>
      </c>
      <c r="K38" s="37">
        <v>88</v>
      </c>
      <c r="L38" s="47">
        <f>K38-'Summary-Plant Heights'!H38</f>
        <v>17</v>
      </c>
      <c r="M38" s="37">
        <v>100</v>
      </c>
      <c r="N38" s="47">
        <f>M38-'Summary-Plant Heights'!I38</f>
        <v>12</v>
      </c>
      <c r="O38" s="40">
        <v>111</v>
      </c>
      <c r="P38" s="47">
        <f>O38-'Summary-Plant Heights'!J38</f>
        <v>13</v>
      </c>
      <c r="Q38" s="40">
        <v>115</v>
      </c>
      <c r="R38" s="43">
        <f>Q38-'Summary-Plant Heights'!K38</f>
        <v>17</v>
      </c>
      <c r="S38" s="37">
        <v>113</v>
      </c>
      <c r="T38" s="47">
        <f>S38-'Summary-Plant Heights'!L38</f>
        <v>11</v>
      </c>
      <c r="U38" s="37"/>
      <c r="V38" s="47"/>
      <c r="W38" s="37"/>
      <c r="X38" s="47"/>
      <c r="Y38" s="37"/>
      <c r="Z38" s="47"/>
    </row>
    <row r="39" spans="2:26" s="34" customFormat="1" ht="16.899999999999999" customHeight="1" thickBot="1" x14ac:dyDescent="0.3">
      <c r="B39" s="19"/>
      <c r="C39" s="19"/>
      <c r="D39" s="16" t="s">
        <v>16</v>
      </c>
      <c r="E39" s="37">
        <v>32</v>
      </c>
      <c r="F39" s="70">
        <f>E39-'Summary-Plant Heights'!E39</f>
        <v>20</v>
      </c>
      <c r="G39" s="37">
        <v>45</v>
      </c>
      <c r="H39" s="70">
        <f>G39-'Summary-Plant Heights'!F39</f>
        <v>16</v>
      </c>
      <c r="I39" s="37">
        <v>56</v>
      </c>
      <c r="J39" s="47">
        <f>I39-'Summary-Plant Heights'!G39</f>
        <v>16</v>
      </c>
      <c r="K39" s="37">
        <v>59</v>
      </c>
      <c r="L39" s="47">
        <f>K39-'Summary-Plant Heights'!H39</f>
        <v>13</v>
      </c>
      <c r="M39" s="37">
        <v>68</v>
      </c>
      <c r="N39" s="47">
        <f>M39-'Summary-Plant Heights'!I39</f>
        <v>12</v>
      </c>
      <c r="O39" s="40">
        <v>90</v>
      </c>
      <c r="P39" s="47">
        <f>O39-'Summary-Plant Heights'!J39</f>
        <v>13</v>
      </c>
      <c r="Q39" s="40">
        <v>97</v>
      </c>
      <c r="R39" s="43">
        <f>Q39-'Summary-Plant Heights'!K39</f>
        <v>13</v>
      </c>
      <c r="S39" s="37">
        <v>106</v>
      </c>
      <c r="T39" s="47">
        <f>S39-'Summary-Plant Heights'!L39</f>
        <v>12</v>
      </c>
      <c r="U39" s="37"/>
      <c r="V39" s="47"/>
      <c r="W39" s="37"/>
      <c r="X39" s="47"/>
      <c r="Y39" s="37"/>
      <c r="Z39" s="47"/>
    </row>
    <row r="40" spans="2:26" s="34" customFormat="1" ht="16.899999999999999" customHeight="1" x14ac:dyDescent="0.25">
      <c r="B40" s="23" t="s">
        <v>3</v>
      </c>
      <c r="C40" s="23" t="s">
        <v>54</v>
      </c>
      <c r="D40" s="50" t="s">
        <v>13</v>
      </c>
      <c r="E40" s="35"/>
      <c r="F40" s="42"/>
      <c r="G40" s="35">
        <v>49</v>
      </c>
      <c r="H40" s="46">
        <f>G40-'Summary-Plant Heights'!F40</f>
        <v>16</v>
      </c>
      <c r="I40" s="35">
        <v>70</v>
      </c>
      <c r="J40" s="46">
        <f>I40-'Summary-Plant Heights'!G40</f>
        <v>18</v>
      </c>
      <c r="K40" s="35">
        <v>86</v>
      </c>
      <c r="L40" s="46">
        <f>K40-'Summary-Plant Heights'!H40</f>
        <v>15</v>
      </c>
      <c r="M40" s="35">
        <v>102</v>
      </c>
      <c r="N40" s="46">
        <f>M40-'Summary-Plant Heights'!I40</f>
        <v>12</v>
      </c>
      <c r="O40" s="39">
        <v>101</v>
      </c>
      <c r="P40" s="46">
        <f>O40-'Summary-Plant Heights'!J40</f>
        <v>12</v>
      </c>
      <c r="Q40" s="39">
        <v>112</v>
      </c>
      <c r="R40" s="42">
        <f>Q40-'Summary-Plant Heights'!K40</f>
        <v>10</v>
      </c>
      <c r="S40" s="35">
        <v>109</v>
      </c>
      <c r="T40" s="46">
        <f>S40-'Summary-Plant Heights'!L40</f>
        <v>10</v>
      </c>
      <c r="U40" s="35"/>
      <c r="V40" s="46"/>
      <c r="W40" s="35"/>
      <c r="X40" s="46"/>
      <c r="Y40" s="35"/>
      <c r="Z40" s="46"/>
    </row>
    <row r="41" spans="2:26" s="34" customFormat="1" ht="16.899999999999999" customHeight="1" x14ac:dyDescent="0.25">
      <c r="B41" s="25"/>
      <c r="C41" s="25" t="s">
        <v>8</v>
      </c>
      <c r="D41" s="51" t="s">
        <v>26</v>
      </c>
      <c r="E41" s="37"/>
      <c r="F41" s="43"/>
      <c r="G41" s="37">
        <v>51</v>
      </c>
      <c r="H41" s="47">
        <f>G41-'Summary-Plant Heights'!F41</f>
        <v>15</v>
      </c>
      <c r="I41" s="37">
        <v>76</v>
      </c>
      <c r="J41" s="47">
        <f>I41-'Summary-Plant Heights'!G41</f>
        <v>15</v>
      </c>
      <c r="K41" s="37">
        <v>96</v>
      </c>
      <c r="L41" s="47">
        <f>K41-'Summary-Plant Heights'!H41</f>
        <v>16</v>
      </c>
      <c r="M41" s="37">
        <v>119</v>
      </c>
      <c r="N41" s="47">
        <f>M41-'Summary-Plant Heights'!I41</f>
        <v>13</v>
      </c>
      <c r="O41" s="40">
        <v>134</v>
      </c>
      <c r="P41" s="47">
        <f>O41-'Summary-Plant Heights'!J41</f>
        <v>13</v>
      </c>
      <c r="Q41" s="40">
        <v>141</v>
      </c>
      <c r="R41" s="43">
        <f>Q41-'Summary-Plant Heights'!K41</f>
        <v>13</v>
      </c>
      <c r="S41" s="37">
        <v>128</v>
      </c>
      <c r="T41" s="47">
        <f>S41-'Summary-Plant Heights'!L41</f>
        <v>13</v>
      </c>
      <c r="U41" s="37"/>
      <c r="V41" s="47"/>
      <c r="W41" s="37"/>
      <c r="X41" s="47"/>
      <c r="Y41" s="37"/>
      <c r="Z41" s="47"/>
    </row>
    <row r="42" spans="2:26" s="34" customFormat="1" ht="16.899999999999999" customHeight="1" x14ac:dyDescent="0.25">
      <c r="B42" s="25"/>
      <c r="C42" s="25"/>
      <c r="D42" s="51" t="s">
        <v>14</v>
      </c>
      <c r="E42" s="37"/>
      <c r="F42" s="43"/>
      <c r="G42" s="37">
        <v>51</v>
      </c>
      <c r="H42" s="47">
        <f>G42-'Summary-Plant Heights'!F42</f>
        <v>14</v>
      </c>
      <c r="I42" s="37">
        <v>74</v>
      </c>
      <c r="J42" s="47">
        <f>I42-'Summary-Plant Heights'!G42</f>
        <v>17</v>
      </c>
      <c r="K42" s="37">
        <v>88</v>
      </c>
      <c r="L42" s="47">
        <f>K42-'Summary-Plant Heights'!H42</f>
        <v>16</v>
      </c>
      <c r="M42" s="37">
        <v>102</v>
      </c>
      <c r="N42" s="47">
        <f>M42-'Summary-Plant Heights'!I42</f>
        <v>13</v>
      </c>
      <c r="O42" s="40">
        <v>108</v>
      </c>
      <c r="P42" s="47">
        <f>O42-'Summary-Plant Heights'!J42</f>
        <v>11</v>
      </c>
      <c r="Q42" s="40">
        <v>117</v>
      </c>
      <c r="R42" s="43">
        <f>Q42-'Summary-Plant Heights'!K42</f>
        <v>11</v>
      </c>
      <c r="S42" s="37">
        <v>120</v>
      </c>
      <c r="T42" s="47">
        <f>S42-'Summary-Plant Heights'!L42</f>
        <v>11</v>
      </c>
      <c r="U42" s="37"/>
      <c r="V42" s="47"/>
      <c r="W42" s="37"/>
      <c r="X42" s="47"/>
      <c r="Y42" s="37"/>
      <c r="Z42" s="47"/>
    </row>
    <row r="43" spans="2:26" s="34" customFormat="1" ht="16.899999999999999" customHeight="1" x14ac:dyDescent="0.25">
      <c r="B43" s="25"/>
      <c r="C43" s="25"/>
      <c r="D43" s="51" t="s">
        <v>15</v>
      </c>
      <c r="E43" s="37"/>
      <c r="F43" s="43"/>
      <c r="G43" s="37">
        <v>50</v>
      </c>
      <c r="H43" s="47">
        <f>G43-'Summary-Plant Heights'!F43</f>
        <v>17</v>
      </c>
      <c r="I43" s="37">
        <v>69</v>
      </c>
      <c r="J43" s="47">
        <f>I43-'Summary-Plant Heights'!G43</f>
        <v>19</v>
      </c>
      <c r="K43" s="37">
        <v>80</v>
      </c>
      <c r="L43" s="47">
        <f>K43-'Summary-Plant Heights'!H43</f>
        <v>14</v>
      </c>
      <c r="M43" s="37">
        <v>98</v>
      </c>
      <c r="N43" s="47">
        <f>M43-'Summary-Plant Heights'!I43</f>
        <v>15</v>
      </c>
      <c r="O43" s="40">
        <v>108</v>
      </c>
      <c r="P43" s="47">
        <f>O43-'Summary-Plant Heights'!J43</f>
        <v>10</v>
      </c>
      <c r="Q43" s="40">
        <v>114</v>
      </c>
      <c r="R43" s="43">
        <f>Q43-'Summary-Plant Heights'!K43</f>
        <v>14</v>
      </c>
      <c r="S43" s="37">
        <v>112</v>
      </c>
      <c r="T43" s="47">
        <f>S43-'Summary-Plant Heights'!L43</f>
        <v>13</v>
      </c>
      <c r="U43" s="37"/>
      <c r="V43" s="47"/>
      <c r="W43" s="37"/>
      <c r="X43" s="47"/>
      <c r="Y43" s="37"/>
      <c r="Z43" s="47"/>
    </row>
    <row r="44" spans="2:26" s="34" customFormat="1" ht="16.899999999999999" customHeight="1" thickBot="1" x14ac:dyDescent="0.3">
      <c r="B44" s="25"/>
      <c r="C44" s="25"/>
      <c r="D44" s="51" t="s">
        <v>16</v>
      </c>
      <c r="E44" s="37"/>
      <c r="F44" s="43"/>
      <c r="G44" s="37">
        <v>51</v>
      </c>
      <c r="H44" s="70">
        <f>G44-'Summary-Plant Heights'!F44</f>
        <v>18</v>
      </c>
      <c r="I44" s="37">
        <v>67</v>
      </c>
      <c r="J44" s="47">
        <f>I44-'Summary-Plant Heights'!G44</f>
        <v>17</v>
      </c>
      <c r="K44" s="37">
        <v>77</v>
      </c>
      <c r="L44" s="47">
        <f>K44-'Summary-Plant Heights'!H44</f>
        <v>16</v>
      </c>
      <c r="M44" s="37">
        <v>82</v>
      </c>
      <c r="N44" s="47">
        <f>M44-'Summary-Plant Heights'!I44</f>
        <v>14</v>
      </c>
      <c r="O44" s="40">
        <v>92</v>
      </c>
      <c r="P44" s="47">
        <f>O44-'Summary-Plant Heights'!J44</f>
        <v>15</v>
      </c>
      <c r="Q44" s="40">
        <v>98</v>
      </c>
      <c r="R44" s="43">
        <f>Q44-'Summary-Plant Heights'!K44</f>
        <v>14</v>
      </c>
      <c r="S44" s="37">
        <v>96</v>
      </c>
      <c r="T44" s="47">
        <f>S44-'Summary-Plant Heights'!L44</f>
        <v>10</v>
      </c>
      <c r="U44" s="37"/>
      <c r="V44" s="47"/>
      <c r="W44" s="37"/>
      <c r="X44" s="47"/>
      <c r="Y44" s="37"/>
      <c r="Z44" s="47"/>
    </row>
    <row r="45" spans="2:26" s="34" customFormat="1" ht="16.899999999999999" customHeight="1" x14ac:dyDescent="0.25">
      <c r="B45" s="23" t="s">
        <v>4</v>
      </c>
      <c r="C45" s="23" t="s">
        <v>55</v>
      </c>
      <c r="D45" s="50" t="s">
        <v>13</v>
      </c>
      <c r="E45" s="35"/>
      <c r="F45" s="42"/>
      <c r="G45" s="35">
        <v>49</v>
      </c>
      <c r="H45" s="47">
        <f>G45-'Summary-Plant Heights'!F45</f>
        <v>17</v>
      </c>
      <c r="I45" s="35">
        <v>76</v>
      </c>
      <c r="J45" s="46">
        <f>I45-'Summary-Plant Heights'!G45</f>
        <v>20</v>
      </c>
      <c r="K45" s="35">
        <v>89</v>
      </c>
      <c r="L45" s="46">
        <f>K45-'Summary-Plant Heights'!H45</f>
        <v>12</v>
      </c>
      <c r="M45" s="35">
        <v>109</v>
      </c>
      <c r="N45" s="46">
        <f>M45-'Summary-Plant Heights'!I45</f>
        <v>13</v>
      </c>
      <c r="O45" s="39">
        <v>112</v>
      </c>
      <c r="P45" s="46">
        <f>O45-'Summary-Plant Heights'!J45</f>
        <v>13</v>
      </c>
      <c r="Q45" s="39">
        <v>108</v>
      </c>
      <c r="R45" s="42">
        <f>Q45-'Summary-Plant Heights'!K45</f>
        <v>18</v>
      </c>
      <c r="S45" s="35">
        <v>111</v>
      </c>
      <c r="T45" s="46">
        <f>S45-'Summary-Plant Heights'!L45</f>
        <v>11</v>
      </c>
      <c r="U45" s="35"/>
      <c r="V45" s="46"/>
      <c r="W45" s="35"/>
      <c r="X45" s="46"/>
      <c r="Y45" s="35"/>
      <c r="Z45" s="46"/>
    </row>
    <row r="46" spans="2:26" s="34" customFormat="1" ht="16.899999999999999" customHeight="1" x14ac:dyDescent="0.25">
      <c r="B46" s="25"/>
      <c r="C46" s="25" t="s">
        <v>9</v>
      </c>
      <c r="D46" s="51" t="s">
        <v>26</v>
      </c>
      <c r="E46" s="37"/>
      <c r="F46" s="43"/>
      <c r="G46" s="37">
        <v>52</v>
      </c>
      <c r="H46" s="47">
        <f>G46-'Summary-Plant Heights'!F46</f>
        <v>19</v>
      </c>
      <c r="I46" s="37">
        <v>74</v>
      </c>
      <c r="J46" s="47">
        <f>I46-'Summary-Plant Heights'!G46</f>
        <v>20</v>
      </c>
      <c r="K46" s="37">
        <v>85</v>
      </c>
      <c r="L46" s="47">
        <f>K46-'Summary-Plant Heights'!H46</f>
        <v>11</v>
      </c>
      <c r="M46" s="37">
        <v>102</v>
      </c>
      <c r="N46" s="47">
        <f>M46-'Summary-Plant Heights'!I46</f>
        <v>14</v>
      </c>
      <c r="O46" s="40">
        <v>108</v>
      </c>
      <c r="P46" s="47">
        <f>O46-'Summary-Plant Heights'!J46</f>
        <v>12</v>
      </c>
      <c r="Q46" s="40">
        <v>116</v>
      </c>
      <c r="R46" s="43">
        <f>Q46-'Summary-Plant Heights'!K46</f>
        <v>12</v>
      </c>
      <c r="S46" s="37">
        <v>120</v>
      </c>
      <c r="T46" s="47">
        <f>S46-'Summary-Plant Heights'!L46</f>
        <v>11</v>
      </c>
      <c r="U46" s="37"/>
      <c r="V46" s="47"/>
      <c r="W46" s="37"/>
      <c r="X46" s="47"/>
      <c r="Y46" s="37"/>
      <c r="Z46" s="47"/>
    </row>
    <row r="47" spans="2:26" s="34" customFormat="1" ht="16.899999999999999" customHeight="1" x14ac:dyDescent="0.25">
      <c r="B47" s="25"/>
      <c r="C47" s="25"/>
      <c r="D47" s="51" t="s">
        <v>14</v>
      </c>
      <c r="E47" s="37"/>
      <c r="F47" s="43"/>
      <c r="G47" s="37">
        <v>46</v>
      </c>
      <c r="H47" s="47">
        <f>G47-'Summary-Plant Heights'!F47</f>
        <v>17</v>
      </c>
      <c r="I47" s="37">
        <v>63</v>
      </c>
      <c r="J47" s="47">
        <f>I47-'Summary-Plant Heights'!G47</f>
        <v>14</v>
      </c>
      <c r="K47" s="37">
        <v>81</v>
      </c>
      <c r="L47" s="47">
        <f>K47-'Summary-Plant Heights'!H47</f>
        <v>13</v>
      </c>
      <c r="M47" s="37">
        <v>94</v>
      </c>
      <c r="N47" s="47">
        <f>M47-'Summary-Plant Heights'!I47</f>
        <v>12</v>
      </c>
      <c r="O47" s="40">
        <v>105</v>
      </c>
      <c r="P47" s="47">
        <f>O47-'Summary-Plant Heights'!J47</f>
        <v>13</v>
      </c>
      <c r="Q47" s="40">
        <v>113</v>
      </c>
      <c r="R47" s="43">
        <f>Q47-'Summary-Plant Heights'!K47</f>
        <v>11</v>
      </c>
      <c r="S47" s="37">
        <v>101</v>
      </c>
      <c r="T47" s="47">
        <f>S47-'Summary-Plant Heights'!L47</f>
        <v>11</v>
      </c>
      <c r="U47" s="37"/>
      <c r="V47" s="47"/>
      <c r="W47" s="37"/>
      <c r="X47" s="47"/>
      <c r="Y47" s="37"/>
      <c r="Z47" s="47"/>
    </row>
    <row r="48" spans="2:26" s="34" customFormat="1" ht="16.899999999999999" customHeight="1" x14ac:dyDescent="0.25">
      <c r="B48" s="25"/>
      <c r="C48" s="25"/>
      <c r="D48" s="51" t="s">
        <v>15</v>
      </c>
      <c r="E48" s="37"/>
      <c r="F48" s="43"/>
      <c r="G48" s="37">
        <v>52</v>
      </c>
      <c r="H48" s="71">
        <f>G48-'Summary-Plant Heights'!F48</f>
        <v>17</v>
      </c>
      <c r="I48" s="37">
        <v>63</v>
      </c>
      <c r="J48" s="47">
        <f>I48-'Summary-Plant Heights'!G48</f>
        <v>16</v>
      </c>
      <c r="K48" s="37">
        <v>78</v>
      </c>
      <c r="L48" s="47">
        <f>K48-'Summary-Plant Heights'!H48</f>
        <v>12</v>
      </c>
      <c r="M48" s="37">
        <v>91</v>
      </c>
      <c r="N48" s="47">
        <f>M48-'Summary-Plant Heights'!I48</f>
        <v>13</v>
      </c>
      <c r="O48" s="40">
        <v>100</v>
      </c>
      <c r="P48" s="47">
        <f>O48-'Summary-Plant Heights'!J48</f>
        <v>11</v>
      </c>
      <c r="Q48" s="40">
        <v>109</v>
      </c>
      <c r="R48" s="43">
        <f>Q48-'Summary-Plant Heights'!K48</f>
        <v>15</v>
      </c>
      <c r="S48" s="37">
        <v>105</v>
      </c>
      <c r="T48" s="47">
        <f>S48-'Summary-Plant Heights'!L48</f>
        <v>14</v>
      </c>
      <c r="U48" s="37"/>
      <c r="V48" s="47"/>
      <c r="W48" s="37"/>
      <c r="X48" s="47"/>
      <c r="Y48" s="37"/>
      <c r="Z48" s="47"/>
    </row>
    <row r="49" spans="2:26" s="34" customFormat="1" ht="16.899999999999999" customHeight="1" thickBot="1" x14ac:dyDescent="0.3">
      <c r="B49" s="25"/>
      <c r="C49" s="25"/>
      <c r="D49" s="51" t="s">
        <v>16</v>
      </c>
      <c r="E49" s="37"/>
      <c r="F49" s="43"/>
      <c r="G49" s="37">
        <v>51</v>
      </c>
      <c r="H49" s="70">
        <f>G49-'Summary-Plant Heights'!F49</f>
        <v>16</v>
      </c>
      <c r="I49" s="37">
        <v>68</v>
      </c>
      <c r="J49" s="47">
        <f>I49-'Summary-Plant Heights'!G49</f>
        <v>20</v>
      </c>
      <c r="K49" s="37">
        <v>80</v>
      </c>
      <c r="L49" s="47">
        <f>K49-'Summary-Plant Heights'!H49</f>
        <v>13</v>
      </c>
      <c r="M49" s="37">
        <v>86</v>
      </c>
      <c r="N49" s="47">
        <f>M49-'Summary-Plant Heights'!I49</f>
        <v>11</v>
      </c>
      <c r="O49" s="40">
        <v>102</v>
      </c>
      <c r="P49" s="47">
        <f>O49-'Summary-Plant Heights'!J49</f>
        <v>10</v>
      </c>
      <c r="Q49" s="40">
        <v>97</v>
      </c>
      <c r="R49" s="43">
        <f>Q49-'Summary-Plant Heights'!K49</f>
        <v>12</v>
      </c>
      <c r="S49" s="37">
        <v>95</v>
      </c>
      <c r="T49" s="47">
        <f>S49-'Summary-Plant Heights'!L49</f>
        <v>12</v>
      </c>
      <c r="U49" s="37"/>
      <c r="V49" s="47"/>
      <c r="W49" s="37"/>
      <c r="X49" s="47"/>
      <c r="Y49" s="37"/>
      <c r="Z49" s="47"/>
    </row>
    <row r="50" spans="2:26" s="34" customFormat="1" ht="16.899999999999999" customHeight="1" x14ac:dyDescent="0.25">
      <c r="B50" s="20" t="s">
        <v>4</v>
      </c>
      <c r="C50" s="20" t="s">
        <v>56</v>
      </c>
      <c r="D50" s="15" t="s">
        <v>13</v>
      </c>
      <c r="E50" s="35"/>
      <c r="F50" s="42"/>
      <c r="G50" s="35">
        <v>48</v>
      </c>
      <c r="H50" s="46">
        <f>G50-'Summary-Plant Heights'!F50</f>
        <v>14</v>
      </c>
      <c r="I50" s="35">
        <v>77</v>
      </c>
      <c r="J50" s="46">
        <f>I50-'Summary-Plant Heights'!G50</f>
        <v>21</v>
      </c>
      <c r="K50" s="35">
        <v>87</v>
      </c>
      <c r="L50" s="46">
        <f>K50-'Summary-Plant Heights'!H50</f>
        <v>16</v>
      </c>
      <c r="M50" s="35">
        <v>97</v>
      </c>
      <c r="N50" s="46">
        <f>M50-'Summary-Plant Heights'!I50</f>
        <v>12</v>
      </c>
      <c r="O50" s="39">
        <v>107</v>
      </c>
      <c r="P50" s="46">
        <f>O50-'Summary-Plant Heights'!J50</f>
        <v>11</v>
      </c>
      <c r="Q50" s="39">
        <v>111</v>
      </c>
      <c r="R50" s="42">
        <f>Q50-'Summary-Plant Heights'!K50</f>
        <v>16</v>
      </c>
      <c r="S50" s="35">
        <v>108</v>
      </c>
      <c r="T50" s="46">
        <f>S50-'Summary-Plant Heights'!L50</f>
        <v>13</v>
      </c>
      <c r="U50" s="35"/>
      <c r="V50" s="46"/>
      <c r="W50" s="35"/>
      <c r="X50" s="46"/>
      <c r="Y50" s="35"/>
      <c r="Z50" s="46"/>
    </row>
    <row r="51" spans="2:26" s="34" customFormat="1" ht="16.899999999999999" customHeight="1" x14ac:dyDescent="0.25">
      <c r="B51" s="19"/>
      <c r="C51" s="19" t="s">
        <v>6</v>
      </c>
      <c r="D51" s="16" t="s">
        <v>26</v>
      </c>
      <c r="E51" s="37"/>
      <c r="F51" s="43"/>
      <c r="G51" s="37">
        <v>54</v>
      </c>
      <c r="H51" s="47">
        <f>G51-'Summary-Plant Heights'!F51</f>
        <v>17</v>
      </c>
      <c r="I51" s="37">
        <v>69</v>
      </c>
      <c r="J51" s="47">
        <f>I51-'Summary-Plant Heights'!G51</f>
        <v>14</v>
      </c>
      <c r="K51" s="37">
        <v>85</v>
      </c>
      <c r="L51" s="47">
        <f>K51-'Summary-Plant Heights'!H51</f>
        <v>16</v>
      </c>
      <c r="M51" s="37">
        <v>95</v>
      </c>
      <c r="N51" s="47">
        <f>M51-'Summary-Plant Heights'!I51</f>
        <v>13</v>
      </c>
      <c r="O51" s="40">
        <v>101</v>
      </c>
      <c r="P51" s="47">
        <f>O51-'Summary-Plant Heights'!J51</f>
        <v>8</v>
      </c>
      <c r="Q51" s="40">
        <v>111</v>
      </c>
      <c r="R51" s="43">
        <f>Q51-'Summary-Plant Heights'!K51</f>
        <v>14</v>
      </c>
      <c r="S51" s="37">
        <v>111</v>
      </c>
      <c r="T51" s="47">
        <f>S51-'Summary-Plant Heights'!L51</f>
        <v>9</v>
      </c>
      <c r="U51" s="37"/>
      <c r="V51" s="47"/>
      <c r="W51" s="37"/>
      <c r="X51" s="47"/>
      <c r="Y51" s="37"/>
      <c r="Z51" s="47"/>
    </row>
    <row r="52" spans="2:26" s="34" customFormat="1" ht="16.899999999999999" customHeight="1" x14ac:dyDescent="0.25">
      <c r="B52" s="19"/>
      <c r="C52" s="19"/>
      <c r="D52" s="16" t="s">
        <v>14</v>
      </c>
      <c r="E52" s="37"/>
      <c r="F52" s="43"/>
      <c r="G52" s="37">
        <v>45</v>
      </c>
      <c r="H52" s="47">
        <f>G52-'Summary-Plant Heights'!F52</f>
        <v>17</v>
      </c>
      <c r="I52" s="37">
        <v>71</v>
      </c>
      <c r="J52" s="47">
        <f>I52-'Summary-Plant Heights'!G52</f>
        <v>20</v>
      </c>
      <c r="K52" s="37">
        <v>87</v>
      </c>
      <c r="L52" s="47">
        <f>K52-'Summary-Plant Heights'!H52</f>
        <v>15</v>
      </c>
      <c r="M52" s="37">
        <v>104</v>
      </c>
      <c r="N52" s="47">
        <f>M52-'Summary-Plant Heights'!I52</f>
        <v>12</v>
      </c>
      <c r="O52" s="40">
        <v>115</v>
      </c>
      <c r="P52" s="47">
        <f>O52-'Summary-Plant Heights'!J52</f>
        <v>9</v>
      </c>
      <c r="Q52" s="40">
        <v>121</v>
      </c>
      <c r="R52" s="43">
        <f>Q52-'Summary-Plant Heights'!K52</f>
        <v>11</v>
      </c>
      <c r="S52" s="37">
        <v>122</v>
      </c>
      <c r="T52" s="47">
        <f>S52-'Summary-Plant Heights'!L52</f>
        <v>15</v>
      </c>
      <c r="U52" s="37"/>
      <c r="V52" s="47"/>
      <c r="W52" s="37"/>
      <c r="X52" s="47"/>
      <c r="Y52" s="37"/>
      <c r="Z52" s="47"/>
    </row>
    <row r="53" spans="2:26" s="34" customFormat="1" ht="16.899999999999999" customHeight="1" x14ac:dyDescent="0.25">
      <c r="B53" s="19"/>
      <c r="C53" s="19"/>
      <c r="D53" s="16" t="s">
        <v>15</v>
      </c>
      <c r="E53" s="37"/>
      <c r="F53" s="43"/>
      <c r="G53" s="37">
        <v>52</v>
      </c>
      <c r="H53" s="47">
        <f>G53-'Summary-Plant Heights'!F53</f>
        <v>14</v>
      </c>
      <c r="I53" s="37">
        <v>76</v>
      </c>
      <c r="J53" s="47">
        <f>I53-'Summary-Plant Heights'!G53</f>
        <v>16</v>
      </c>
      <c r="K53" s="37">
        <v>93</v>
      </c>
      <c r="L53" s="47">
        <f>K53-'Summary-Plant Heights'!H53</f>
        <v>15</v>
      </c>
      <c r="M53" s="37">
        <v>104</v>
      </c>
      <c r="N53" s="47">
        <f>M53-'Summary-Plant Heights'!I53</f>
        <v>10</v>
      </c>
      <c r="O53" s="40">
        <v>114</v>
      </c>
      <c r="P53" s="47">
        <f>O53-'Summary-Plant Heights'!J53</f>
        <v>9</v>
      </c>
      <c r="Q53" s="40">
        <v>122</v>
      </c>
      <c r="R53" s="43">
        <f>Q53-'Summary-Plant Heights'!K53</f>
        <v>15</v>
      </c>
      <c r="S53" s="37">
        <v>118</v>
      </c>
      <c r="T53" s="47">
        <f>S53-'Summary-Plant Heights'!L53</f>
        <v>9</v>
      </c>
      <c r="U53" s="37"/>
      <c r="V53" s="47"/>
      <c r="W53" s="37"/>
      <c r="X53" s="47"/>
      <c r="Y53" s="37"/>
      <c r="Z53" s="47"/>
    </row>
    <row r="54" spans="2:26" s="34" customFormat="1" ht="16.899999999999999" customHeight="1" thickBot="1" x14ac:dyDescent="0.3">
      <c r="B54" s="19"/>
      <c r="C54" s="19"/>
      <c r="D54" s="16" t="s">
        <v>16</v>
      </c>
      <c r="E54" s="37"/>
      <c r="F54" s="43"/>
      <c r="G54" s="37">
        <v>51</v>
      </c>
      <c r="H54" s="70">
        <f>G54-'Summary-Plant Heights'!F54</f>
        <v>17</v>
      </c>
      <c r="I54" s="37">
        <v>68</v>
      </c>
      <c r="J54" s="47">
        <f>I54-'Summary-Plant Heights'!G54</f>
        <v>17</v>
      </c>
      <c r="K54" s="37">
        <v>69</v>
      </c>
      <c r="L54" s="47">
        <f>K54-'Summary-Plant Heights'!H54</f>
        <v>13</v>
      </c>
      <c r="M54" s="37">
        <v>78</v>
      </c>
      <c r="N54" s="47">
        <f>M54-'Summary-Plant Heights'!I54</f>
        <v>16</v>
      </c>
      <c r="O54" s="40">
        <v>82</v>
      </c>
      <c r="P54" s="47">
        <f>O54-'Summary-Plant Heights'!J54</f>
        <v>12</v>
      </c>
      <c r="Q54" s="40">
        <v>100</v>
      </c>
      <c r="R54" s="43">
        <f>Q54-'Summary-Plant Heights'!K54</f>
        <v>11</v>
      </c>
      <c r="S54" s="37">
        <v>106</v>
      </c>
      <c r="T54" s="47">
        <f>S54-'Summary-Plant Heights'!L54</f>
        <v>12</v>
      </c>
      <c r="U54" s="37"/>
      <c r="V54" s="47"/>
      <c r="W54" s="37"/>
      <c r="X54" s="47"/>
      <c r="Y54" s="37"/>
      <c r="Z54" s="47"/>
    </row>
    <row r="55" spans="2:26" s="34" customFormat="1" ht="16.899999999999999" customHeight="1" x14ac:dyDescent="0.25">
      <c r="B55" s="20" t="s">
        <v>12</v>
      </c>
      <c r="C55" s="20" t="s">
        <v>57</v>
      </c>
      <c r="D55" s="15" t="s">
        <v>13</v>
      </c>
      <c r="E55" s="35"/>
      <c r="F55" s="42"/>
      <c r="G55" s="35">
        <v>47</v>
      </c>
      <c r="H55" s="46">
        <f>G55-'Summary-Plant Heights'!F55</f>
        <v>16</v>
      </c>
      <c r="I55" s="35">
        <v>71</v>
      </c>
      <c r="J55" s="46">
        <f>I55-'Summary-Plant Heights'!G55</f>
        <v>16</v>
      </c>
      <c r="K55" s="35">
        <v>88</v>
      </c>
      <c r="L55" s="46">
        <f>K55-'Summary-Plant Heights'!H55</f>
        <v>13</v>
      </c>
      <c r="M55" s="35">
        <v>94</v>
      </c>
      <c r="N55" s="46">
        <f>M55-'Summary-Plant Heights'!I55</f>
        <v>11</v>
      </c>
      <c r="O55" s="39">
        <v>94</v>
      </c>
      <c r="P55" s="46">
        <f>O55-'Summary-Plant Heights'!J55</f>
        <v>11</v>
      </c>
      <c r="Q55" s="39">
        <v>96</v>
      </c>
      <c r="R55" s="42">
        <f>Q55-'Summary-Plant Heights'!K55</f>
        <v>10</v>
      </c>
      <c r="S55" s="35">
        <v>103</v>
      </c>
      <c r="T55" s="46">
        <f>S55-'Summary-Plant Heights'!L55</f>
        <v>12</v>
      </c>
      <c r="U55" s="35"/>
      <c r="V55" s="46"/>
      <c r="W55" s="35"/>
      <c r="X55" s="46"/>
      <c r="Y55" s="35"/>
      <c r="Z55" s="46"/>
    </row>
    <row r="56" spans="2:26" s="34" customFormat="1" ht="16.899999999999999" customHeight="1" x14ac:dyDescent="0.25">
      <c r="B56" s="19"/>
      <c r="C56" s="19" t="s">
        <v>5</v>
      </c>
      <c r="D56" s="16" t="s">
        <v>26</v>
      </c>
      <c r="E56" s="37"/>
      <c r="F56" s="43"/>
      <c r="G56" s="37">
        <v>46</v>
      </c>
      <c r="H56" s="47">
        <f>G56-'Summary-Plant Heights'!F56</f>
        <v>16</v>
      </c>
      <c r="I56" s="37">
        <v>73</v>
      </c>
      <c r="J56" s="47">
        <f>I56-'Summary-Plant Heights'!G56</f>
        <v>17</v>
      </c>
      <c r="K56" s="37">
        <v>89</v>
      </c>
      <c r="L56" s="47">
        <f>K56-'Summary-Plant Heights'!H56</f>
        <v>12</v>
      </c>
      <c r="M56" s="37">
        <v>98</v>
      </c>
      <c r="N56" s="47">
        <f>M56-'Summary-Plant Heights'!I56</f>
        <v>13</v>
      </c>
      <c r="O56" s="40">
        <v>99</v>
      </c>
      <c r="P56" s="47">
        <f>O56-'Summary-Plant Heights'!J56</f>
        <v>11</v>
      </c>
      <c r="Q56" s="40">
        <v>112</v>
      </c>
      <c r="R56" s="43">
        <f>Q56-'Summary-Plant Heights'!K56</f>
        <v>23</v>
      </c>
      <c r="S56" s="37">
        <v>102</v>
      </c>
      <c r="T56" s="47">
        <f>S56-'Summary-Plant Heights'!L56</f>
        <v>11</v>
      </c>
      <c r="U56" s="37"/>
      <c r="V56" s="47"/>
      <c r="W56" s="37"/>
      <c r="X56" s="47"/>
      <c r="Y56" s="37"/>
      <c r="Z56" s="47"/>
    </row>
    <row r="57" spans="2:26" s="34" customFormat="1" ht="16.899999999999999" customHeight="1" x14ac:dyDescent="0.25">
      <c r="B57" s="19"/>
      <c r="C57" s="19"/>
      <c r="D57" s="16" t="s">
        <v>14</v>
      </c>
      <c r="E57" s="37"/>
      <c r="F57" s="43"/>
      <c r="G57" s="37">
        <v>47</v>
      </c>
      <c r="H57" s="47">
        <f>G57-'Summary-Plant Heights'!F57</f>
        <v>14</v>
      </c>
      <c r="I57" s="37">
        <v>72</v>
      </c>
      <c r="J57" s="47">
        <f>I57-'Summary-Plant Heights'!G57</f>
        <v>15</v>
      </c>
      <c r="K57" s="37">
        <v>88</v>
      </c>
      <c r="L57" s="47">
        <f>K57-'Summary-Plant Heights'!H57</f>
        <v>16</v>
      </c>
      <c r="M57" s="37">
        <v>97</v>
      </c>
      <c r="N57" s="47">
        <f>M57-'Summary-Plant Heights'!I57</f>
        <v>12</v>
      </c>
      <c r="O57" s="40">
        <v>98</v>
      </c>
      <c r="P57" s="47">
        <f>O57-'Summary-Plant Heights'!J57</f>
        <v>11</v>
      </c>
      <c r="Q57" s="40">
        <v>112</v>
      </c>
      <c r="R57" s="43">
        <f>Q57-'Summary-Plant Heights'!K57</f>
        <v>21</v>
      </c>
      <c r="S57" s="37">
        <v>106</v>
      </c>
      <c r="T57" s="47">
        <f>S57-'Summary-Plant Heights'!L57</f>
        <v>13</v>
      </c>
      <c r="U57" s="37"/>
      <c r="V57" s="47"/>
      <c r="W57" s="37"/>
      <c r="X57" s="47"/>
      <c r="Y57" s="37"/>
      <c r="Z57" s="47"/>
    </row>
    <row r="58" spans="2:26" s="34" customFormat="1" ht="16.899999999999999" customHeight="1" x14ac:dyDescent="0.25">
      <c r="B58" s="19"/>
      <c r="C58" s="19"/>
      <c r="D58" s="16" t="s">
        <v>15</v>
      </c>
      <c r="E58" s="37"/>
      <c r="F58" s="43"/>
      <c r="G58" s="37">
        <v>42</v>
      </c>
      <c r="H58" s="47">
        <f>G58-'Summary-Plant Heights'!F58</f>
        <v>14</v>
      </c>
      <c r="I58" s="37">
        <v>65</v>
      </c>
      <c r="J58" s="47">
        <f>I58-'Summary-Plant Heights'!G58</f>
        <v>18</v>
      </c>
      <c r="K58" s="37">
        <v>74</v>
      </c>
      <c r="L58" s="47">
        <f>K58-'Summary-Plant Heights'!H58</f>
        <v>12</v>
      </c>
      <c r="M58" s="37">
        <v>80</v>
      </c>
      <c r="N58" s="47">
        <f>M58-'Summary-Plant Heights'!I58</f>
        <v>10</v>
      </c>
      <c r="O58" s="40">
        <v>75</v>
      </c>
      <c r="P58" s="47">
        <f>O58-'Summary-Plant Heights'!J58</f>
        <v>9</v>
      </c>
      <c r="Q58" s="40">
        <v>81</v>
      </c>
      <c r="R58" s="43">
        <f>Q58-'Summary-Plant Heights'!K58</f>
        <v>13</v>
      </c>
      <c r="S58" s="37">
        <v>84</v>
      </c>
      <c r="T58" s="47">
        <f>S58-'Summary-Plant Heights'!L58</f>
        <v>11</v>
      </c>
      <c r="U58" s="37"/>
      <c r="V58" s="47"/>
      <c r="W58" s="37"/>
      <c r="X58" s="47"/>
      <c r="Y58" s="37"/>
      <c r="Z58" s="47"/>
    </row>
    <row r="59" spans="2:26" s="34" customFormat="1" ht="16.899999999999999" customHeight="1" thickBot="1" x14ac:dyDescent="0.3">
      <c r="B59" s="19"/>
      <c r="C59" s="19"/>
      <c r="D59" s="16" t="s">
        <v>16</v>
      </c>
      <c r="E59" s="37"/>
      <c r="F59" s="43"/>
      <c r="G59" s="37">
        <v>43</v>
      </c>
      <c r="H59" s="70">
        <f>G59-'Summary-Plant Heights'!F59</f>
        <v>17</v>
      </c>
      <c r="I59" s="37">
        <v>55</v>
      </c>
      <c r="J59" s="47">
        <f>I59-'Summary-Plant Heights'!G59</f>
        <v>17</v>
      </c>
      <c r="K59" s="37">
        <v>57</v>
      </c>
      <c r="L59" s="47">
        <f>K59-'Summary-Plant Heights'!H59</f>
        <v>13</v>
      </c>
      <c r="M59" s="37">
        <v>54</v>
      </c>
      <c r="N59" s="47">
        <f>M59-'Summary-Plant Heights'!I59</f>
        <v>5</v>
      </c>
      <c r="O59" s="40">
        <v>67</v>
      </c>
      <c r="P59" s="47">
        <f>O59-'Summary-Plant Heights'!J59</f>
        <v>9</v>
      </c>
      <c r="Q59" s="40">
        <v>71</v>
      </c>
      <c r="R59" s="43">
        <f>Q59-'Summary-Plant Heights'!K59</f>
        <v>15</v>
      </c>
      <c r="S59" s="37">
        <v>71</v>
      </c>
      <c r="T59" s="47">
        <f>S59-'Summary-Plant Heights'!L59</f>
        <v>10</v>
      </c>
      <c r="U59" s="37"/>
      <c r="V59" s="47"/>
      <c r="W59" s="37"/>
      <c r="X59" s="47"/>
      <c r="Y59" s="37"/>
      <c r="Z59" s="47"/>
    </row>
  </sheetData>
  <mergeCells count="23">
    <mergeCell ref="O5:P6"/>
    <mergeCell ref="E7:F7"/>
    <mergeCell ref="E8:F8"/>
    <mergeCell ref="K7:L7"/>
    <mergeCell ref="K8:L8"/>
    <mergeCell ref="M7:N7"/>
    <mergeCell ref="M8:N8"/>
    <mergeCell ref="O7:P7"/>
    <mergeCell ref="O8:P8"/>
    <mergeCell ref="E6:F6"/>
    <mergeCell ref="G7:H7"/>
    <mergeCell ref="I7:J7"/>
    <mergeCell ref="I8:J8"/>
    <mergeCell ref="W7:X7"/>
    <mergeCell ref="W8:X8"/>
    <mergeCell ref="Y7:Z7"/>
    <mergeCell ref="Y8:Z8"/>
    <mergeCell ref="Q7:R7"/>
    <mergeCell ref="Q8:R8"/>
    <mergeCell ref="S7:T7"/>
    <mergeCell ref="S8:T8"/>
    <mergeCell ref="U7:V7"/>
    <mergeCell ref="U8:V8"/>
  </mergeCells>
  <pageMargins left="0.7" right="0.7" top="0.75" bottom="0.75" header="0.3" footer="0.3"/>
  <pageSetup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B66"/>
  <sheetViews>
    <sheetView topLeftCell="B40" zoomScale="85" zoomScaleNormal="85" workbookViewId="0">
      <selection activeCell="T61" sqref="T61"/>
    </sheetView>
  </sheetViews>
  <sheetFormatPr defaultColWidth="8.85546875" defaultRowHeight="14.25" x14ac:dyDescent="0.2"/>
  <cols>
    <col min="1" max="2" width="8.85546875" style="29"/>
    <col min="3" max="3" width="11" style="29" customWidth="1"/>
    <col min="4" max="4" width="8.85546875" style="29"/>
    <col min="5" max="28" width="8.85546875" style="31"/>
    <col min="29" max="16384" width="8.85546875" style="29"/>
  </cols>
  <sheetData>
    <row r="1" spans="1:28" ht="18" x14ac:dyDescent="0.25">
      <c r="A1" s="2">
        <v>2015</v>
      </c>
      <c r="B1" s="3" t="s">
        <v>17</v>
      </c>
      <c r="C1" s="4"/>
      <c r="D1" s="4"/>
    </row>
    <row r="2" spans="1:28" ht="18" x14ac:dyDescent="0.25">
      <c r="A2" s="4"/>
      <c r="B2" s="3" t="s">
        <v>10</v>
      </c>
      <c r="C2" s="6"/>
      <c r="D2" s="3" t="s">
        <v>11</v>
      </c>
    </row>
    <row r="3" spans="1:28" x14ac:dyDescent="0.2">
      <c r="O3" s="155" t="s">
        <v>62</v>
      </c>
      <c r="P3" s="169"/>
    </row>
    <row r="4" spans="1:28" ht="15.75" x14ac:dyDescent="0.25">
      <c r="B4" s="4" t="s">
        <v>43</v>
      </c>
      <c r="C4" s="4"/>
      <c r="O4" s="156"/>
      <c r="P4" s="169"/>
    </row>
    <row r="5" spans="1:28" ht="15.75" x14ac:dyDescent="0.25">
      <c r="B5" s="4"/>
      <c r="C5" s="4" t="s">
        <v>44</v>
      </c>
      <c r="O5" s="156"/>
      <c r="P5" s="169"/>
    </row>
    <row r="6" spans="1:28" x14ac:dyDescent="0.2">
      <c r="C6" s="65"/>
      <c r="K6" s="68" t="s">
        <v>45</v>
      </c>
      <c r="O6" s="156"/>
      <c r="P6" s="169"/>
    </row>
    <row r="7" spans="1:28" ht="15" x14ac:dyDescent="0.25">
      <c r="D7" s="10" t="s">
        <v>20</v>
      </c>
      <c r="E7" s="69">
        <v>42157</v>
      </c>
      <c r="F7" s="171" t="s">
        <v>59</v>
      </c>
      <c r="G7" s="159">
        <v>42170</v>
      </c>
      <c r="H7" s="158"/>
      <c r="I7" s="159">
        <v>42184</v>
      </c>
      <c r="J7" s="170"/>
      <c r="K7" s="159">
        <v>42198</v>
      </c>
      <c r="L7" s="170"/>
      <c r="M7" s="159">
        <v>42212</v>
      </c>
      <c r="N7" s="158"/>
      <c r="O7" s="159">
        <v>42227</v>
      </c>
      <c r="P7" s="158"/>
      <c r="Q7" s="159">
        <v>42243</v>
      </c>
      <c r="R7" s="158"/>
      <c r="S7" s="159">
        <v>42255</v>
      </c>
      <c r="T7" s="158"/>
      <c r="U7" s="157"/>
      <c r="V7" s="158"/>
      <c r="W7" s="157"/>
      <c r="X7" s="158"/>
      <c r="Y7" s="157"/>
      <c r="Z7" s="158"/>
      <c r="AA7" s="29"/>
      <c r="AB7" s="29"/>
    </row>
    <row r="8" spans="1:28" ht="15" x14ac:dyDescent="0.25">
      <c r="D8" s="10" t="s">
        <v>27</v>
      </c>
      <c r="E8" s="33">
        <v>153</v>
      </c>
      <c r="F8" s="172"/>
      <c r="G8" s="157">
        <v>166</v>
      </c>
      <c r="H8" s="158"/>
      <c r="I8" s="157">
        <v>180</v>
      </c>
      <c r="J8" s="173"/>
      <c r="K8" s="157">
        <v>194</v>
      </c>
      <c r="L8" s="173"/>
      <c r="M8" s="160">
        <v>208</v>
      </c>
      <c r="N8" s="158"/>
      <c r="O8" s="160">
        <v>223</v>
      </c>
      <c r="P8" s="158"/>
      <c r="Q8" s="160">
        <v>236</v>
      </c>
      <c r="R8" s="158"/>
      <c r="S8" s="160">
        <v>251</v>
      </c>
      <c r="T8" s="158"/>
      <c r="U8" s="157"/>
      <c r="V8" s="158"/>
      <c r="W8" s="157"/>
      <c r="X8" s="158"/>
      <c r="Y8" s="157"/>
      <c r="Z8" s="158"/>
      <c r="AA8" s="29"/>
      <c r="AB8" s="29"/>
    </row>
    <row r="9" spans="1:28" ht="42.6" customHeight="1" thickBot="1" x14ac:dyDescent="0.3">
      <c r="D9" s="10"/>
      <c r="E9" s="66" t="s">
        <v>41</v>
      </c>
      <c r="F9" s="67" t="s">
        <v>42</v>
      </c>
      <c r="G9" s="66" t="s">
        <v>41</v>
      </c>
      <c r="H9" s="67" t="s">
        <v>42</v>
      </c>
      <c r="I9" s="66" t="s">
        <v>41</v>
      </c>
      <c r="J9" s="67" t="s">
        <v>42</v>
      </c>
      <c r="K9" s="66" t="s">
        <v>41</v>
      </c>
      <c r="L9" s="67" t="s">
        <v>42</v>
      </c>
      <c r="M9" s="66" t="s">
        <v>41</v>
      </c>
      <c r="N9" s="67" t="s">
        <v>42</v>
      </c>
      <c r="O9" s="66" t="s">
        <v>41</v>
      </c>
      <c r="P9" s="67" t="s">
        <v>42</v>
      </c>
      <c r="Q9" s="66" t="s">
        <v>41</v>
      </c>
      <c r="R9" s="67" t="s">
        <v>42</v>
      </c>
      <c r="S9" s="66" t="s">
        <v>41</v>
      </c>
      <c r="T9" s="67" t="s">
        <v>42</v>
      </c>
      <c r="U9" s="66" t="s">
        <v>41</v>
      </c>
      <c r="V9" s="67" t="s">
        <v>42</v>
      </c>
      <c r="W9" s="66" t="s">
        <v>41</v>
      </c>
      <c r="X9" s="67" t="s">
        <v>42</v>
      </c>
      <c r="Y9" s="66" t="s">
        <v>41</v>
      </c>
      <c r="Z9" s="67" t="s">
        <v>42</v>
      </c>
      <c r="AA9" s="29"/>
      <c r="AB9" s="29"/>
    </row>
    <row r="10" spans="1:28" s="34" customFormat="1" ht="16.899999999999999" customHeight="1" thickBot="1" x14ac:dyDescent="0.3">
      <c r="B10" s="20" t="s">
        <v>0</v>
      </c>
      <c r="C10" s="20" t="s">
        <v>48</v>
      </c>
      <c r="D10" s="15" t="s">
        <v>13</v>
      </c>
      <c r="E10" s="35">
        <v>11</v>
      </c>
      <c r="F10" s="42"/>
      <c r="G10" s="35">
        <v>30</v>
      </c>
      <c r="H10" s="46">
        <v>76</v>
      </c>
      <c r="I10" s="35">
        <v>49</v>
      </c>
      <c r="J10" s="46">
        <v>50</v>
      </c>
      <c r="K10" s="35">
        <v>63</v>
      </c>
      <c r="L10" s="46">
        <v>40</v>
      </c>
      <c r="M10" s="35">
        <v>82</v>
      </c>
      <c r="N10" s="46">
        <v>25</v>
      </c>
      <c r="O10" s="39">
        <v>102</v>
      </c>
      <c r="P10" s="46"/>
      <c r="Q10" s="39">
        <v>89</v>
      </c>
      <c r="R10" s="42">
        <v>11</v>
      </c>
      <c r="S10" s="35">
        <v>102</v>
      </c>
      <c r="T10" s="46"/>
      <c r="U10" s="35"/>
      <c r="V10" s="46"/>
      <c r="W10" s="35"/>
      <c r="X10" s="46"/>
      <c r="Y10" s="35"/>
      <c r="Z10" s="46"/>
    </row>
    <row r="11" spans="1:28" s="34" customFormat="1" ht="16.899999999999999" customHeight="1" thickBot="1" x14ac:dyDescent="0.3">
      <c r="B11" s="19"/>
      <c r="C11" s="19" t="s">
        <v>6</v>
      </c>
      <c r="D11" s="16" t="s">
        <v>26</v>
      </c>
      <c r="E11" s="37">
        <v>11</v>
      </c>
      <c r="F11" s="43"/>
      <c r="G11" s="37">
        <v>28</v>
      </c>
      <c r="H11" s="47">
        <v>71</v>
      </c>
      <c r="I11" s="37">
        <v>43</v>
      </c>
      <c r="J11" s="47">
        <v>53</v>
      </c>
      <c r="K11" s="37">
        <v>64</v>
      </c>
      <c r="L11" s="47">
        <v>33</v>
      </c>
      <c r="M11" s="37">
        <v>85</v>
      </c>
      <c r="N11" s="47">
        <v>17</v>
      </c>
      <c r="O11" s="40">
        <v>102</v>
      </c>
      <c r="P11" s="47"/>
      <c r="Q11" s="40">
        <v>102</v>
      </c>
      <c r="R11" s="43"/>
      <c r="S11" s="35">
        <v>102</v>
      </c>
      <c r="T11" s="47"/>
      <c r="U11" s="37"/>
      <c r="V11" s="47"/>
      <c r="W11" s="37"/>
      <c r="X11" s="47"/>
      <c r="Y11" s="37"/>
      <c r="Z11" s="47"/>
    </row>
    <row r="12" spans="1:28" s="34" customFormat="1" ht="16.899999999999999" customHeight="1" thickBot="1" x14ac:dyDescent="0.3">
      <c r="B12" s="19"/>
      <c r="C12" s="19"/>
      <c r="D12" s="16" t="s">
        <v>14</v>
      </c>
      <c r="E12" s="37">
        <v>11</v>
      </c>
      <c r="F12" s="43"/>
      <c r="G12" s="37">
        <v>23</v>
      </c>
      <c r="H12" s="47">
        <v>78</v>
      </c>
      <c r="I12" s="37">
        <v>45</v>
      </c>
      <c r="J12" s="47">
        <v>54</v>
      </c>
      <c r="K12" s="37">
        <v>58</v>
      </c>
      <c r="L12" s="47">
        <v>32</v>
      </c>
      <c r="M12" s="37">
        <v>72</v>
      </c>
      <c r="N12" s="47">
        <v>25</v>
      </c>
      <c r="O12" s="40">
        <v>93</v>
      </c>
      <c r="P12" s="47">
        <v>8</v>
      </c>
      <c r="Q12" s="40">
        <v>102</v>
      </c>
      <c r="R12" s="43"/>
      <c r="S12" s="35">
        <v>102</v>
      </c>
      <c r="T12" s="47"/>
      <c r="U12" s="37"/>
      <c r="V12" s="47"/>
      <c r="W12" s="37"/>
      <c r="X12" s="47"/>
      <c r="Y12" s="37"/>
      <c r="Z12" s="47"/>
    </row>
    <row r="13" spans="1:28" s="34" customFormat="1" ht="16.899999999999999" customHeight="1" thickBot="1" x14ac:dyDescent="0.3">
      <c r="B13" s="19"/>
      <c r="C13" s="19"/>
      <c r="D13" s="16" t="s">
        <v>15</v>
      </c>
      <c r="E13" s="37">
        <v>12</v>
      </c>
      <c r="F13" s="43"/>
      <c r="G13" s="37">
        <v>34</v>
      </c>
      <c r="H13" s="47">
        <v>70</v>
      </c>
      <c r="I13" s="37">
        <v>49</v>
      </c>
      <c r="J13" s="47">
        <v>51</v>
      </c>
      <c r="K13" s="37">
        <v>62</v>
      </c>
      <c r="L13" s="47">
        <v>39</v>
      </c>
      <c r="M13" s="37">
        <v>77</v>
      </c>
      <c r="N13" s="47">
        <v>20</v>
      </c>
      <c r="O13" s="40">
        <v>96</v>
      </c>
      <c r="P13" s="47">
        <v>5</v>
      </c>
      <c r="Q13" s="40">
        <v>102</v>
      </c>
      <c r="R13" s="43"/>
      <c r="S13" s="35">
        <v>102</v>
      </c>
      <c r="T13" s="47"/>
      <c r="U13" s="37"/>
      <c r="V13" s="47"/>
      <c r="W13" s="37"/>
      <c r="X13" s="47"/>
      <c r="Y13" s="37"/>
      <c r="Z13" s="47"/>
    </row>
    <row r="14" spans="1:28" s="34" customFormat="1" ht="16.899999999999999" customHeight="1" thickBot="1" x14ac:dyDescent="0.3">
      <c r="B14" s="19"/>
      <c r="C14" s="19"/>
      <c r="D14" s="16" t="s">
        <v>16</v>
      </c>
      <c r="E14" s="37">
        <v>13</v>
      </c>
      <c r="F14" s="43"/>
      <c r="G14" s="37">
        <v>28</v>
      </c>
      <c r="H14" s="47">
        <v>74</v>
      </c>
      <c r="I14" s="37">
        <v>45</v>
      </c>
      <c r="J14" s="47">
        <v>55</v>
      </c>
      <c r="K14" s="37">
        <v>48</v>
      </c>
      <c r="L14" s="47">
        <v>49</v>
      </c>
      <c r="M14" s="37">
        <v>70</v>
      </c>
      <c r="N14" s="47">
        <v>31</v>
      </c>
      <c r="O14" s="40">
        <v>79</v>
      </c>
      <c r="P14" s="47">
        <v>20</v>
      </c>
      <c r="Q14" s="40">
        <v>102</v>
      </c>
      <c r="R14" s="43"/>
      <c r="S14" s="35">
        <v>102</v>
      </c>
      <c r="T14" s="47"/>
      <c r="U14" s="37"/>
      <c r="V14" s="47"/>
      <c r="W14" s="37"/>
      <c r="X14" s="47"/>
      <c r="Y14" s="37"/>
      <c r="Z14" s="47"/>
    </row>
    <row r="15" spans="1:28" s="34" customFormat="1" ht="16.899999999999999" customHeight="1" thickBot="1" x14ac:dyDescent="0.3">
      <c r="B15" s="20" t="s">
        <v>1</v>
      </c>
      <c r="C15" s="20" t="s">
        <v>49</v>
      </c>
      <c r="D15" s="15" t="s">
        <v>13</v>
      </c>
      <c r="E15" s="35">
        <v>11</v>
      </c>
      <c r="F15" s="42"/>
      <c r="G15" s="35">
        <v>26</v>
      </c>
      <c r="H15" s="46">
        <v>72</v>
      </c>
      <c r="I15" s="35">
        <v>44</v>
      </c>
      <c r="J15" s="46">
        <v>53</v>
      </c>
      <c r="K15" s="35">
        <v>59</v>
      </c>
      <c r="L15" s="46">
        <v>38</v>
      </c>
      <c r="M15" s="35">
        <v>78</v>
      </c>
      <c r="N15" s="46">
        <v>23</v>
      </c>
      <c r="O15" s="39">
        <v>102</v>
      </c>
      <c r="P15" s="46"/>
      <c r="Q15" s="39">
        <v>102</v>
      </c>
      <c r="R15" s="42"/>
      <c r="S15" s="35">
        <v>102</v>
      </c>
      <c r="T15" s="46"/>
      <c r="U15" s="35"/>
      <c r="V15" s="46"/>
      <c r="W15" s="35"/>
      <c r="X15" s="46"/>
      <c r="Y15" s="35"/>
      <c r="Z15" s="46"/>
    </row>
    <row r="16" spans="1:28" s="34" customFormat="1" ht="16.899999999999999" customHeight="1" thickBot="1" x14ac:dyDescent="0.3">
      <c r="B16" s="19"/>
      <c r="C16" s="19" t="s">
        <v>7</v>
      </c>
      <c r="D16" s="16" t="s">
        <v>26</v>
      </c>
      <c r="E16" s="37">
        <v>12</v>
      </c>
      <c r="F16" s="43"/>
      <c r="G16" s="37">
        <v>32</v>
      </c>
      <c r="H16" s="47">
        <v>71</v>
      </c>
      <c r="I16" s="37">
        <v>44</v>
      </c>
      <c r="J16" s="47">
        <v>55</v>
      </c>
      <c r="K16" s="37">
        <v>72</v>
      </c>
      <c r="L16" s="47">
        <v>33</v>
      </c>
      <c r="M16" s="37">
        <v>82</v>
      </c>
      <c r="N16" s="47">
        <v>21</v>
      </c>
      <c r="O16" s="40">
        <v>102</v>
      </c>
      <c r="P16" s="47"/>
      <c r="Q16" s="40">
        <v>102</v>
      </c>
      <c r="R16" s="43"/>
      <c r="S16" s="35">
        <v>102</v>
      </c>
      <c r="T16" s="47"/>
      <c r="U16" s="37"/>
      <c r="V16" s="47"/>
      <c r="W16" s="37"/>
      <c r="X16" s="47"/>
      <c r="Y16" s="37"/>
      <c r="Z16" s="47"/>
    </row>
    <row r="17" spans="2:26" s="34" customFormat="1" ht="16.899999999999999" customHeight="1" thickBot="1" x14ac:dyDescent="0.3">
      <c r="B17" s="19"/>
      <c r="C17" s="19"/>
      <c r="D17" s="16" t="s">
        <v>14</v>
      </c>
      <c r="E17" s="37">
        <v>12</v>
      </c>
      <c r="F17" s="43"/>
      <c r="G17" s="37">
        <v>29</v>
      </c>
      <c r="H17" s="47">
        <v>70</v>
      </c>
      <c r="I17" s="37">
        <v>43</v>
      </c>
      <c r="J17" s="47">
        <v>56</v>
      </c>
      <c r="K17" s="37">
        <v>56</v>
      </c>
      <c r="L17" s="47">
        <v>52</v>
      </c>
      <c r="M17" s="37">
        <v>77</v>
      </c>
      <c r="N17" s="47">
        <v>12</v>
      </c>
      <c r="O17" s="40">
        <v>86</v>
      </c>
      <c r="P17" s="47">
        <v>18</v>
      </c>
      <c r="Q17" s="40">
        <v>96</v>
      </c>
      <c r="R17" s="43">
        <v>7</v>
      </c>
      <c r="S17" s="35">
        <v>102</v>
      </c>
      <c r="T17" s="47"/>
      <c r="U17" s="37"/>
      <c r="V17" s="47"/>
      <c r="W17" s="37"/>
      <c r="X17" s="47"/>
      <c r="Y17" s="37"/>
      <c r="Z17" s="47"/>
    </row>
    <row r="18" spans="2:26" s="34" customFormat="1" ht="16.899999999999999" customHeight="1" thickBot="1" x14ac:dyDescent="0.3">
      <c r="B18" s="19"/>
      <c r="C18" s="19"/>
      <c r="D18" s="16" t="s">
        <v>15</v>
      </c>
      <c r="E18" s="37">
        <v>11</v>
      </c>
      <c r="F18" s="43"/>
      <c r="G18" s="37">
        <v>25</v>
      </c>
      <c r="H18" s="47">
        <v>73</v>
      </c>
      <c r="I18" s="37">
        <v>42</v>
      </c>
      <c r="J18" s="47">
        <v>61</v>
      </c>
      <c r="K18" s="37">
        <v>57</v>
      </c>
      <c r="L18" s="47">
        <v>42</v>
      </c>
      <c r="M18" s="37">
        <v>80</v>
      </c>
      <c r="N18" s="47">
        <v>22</v>
      </c>
      <c r="O18" s="40">
        <v>102</v>
      </c>
      <c r="P18" s="47"/>
      <c r="Q18" s="40">
        <v>102</v>
      </c>
      <c r="R18" s="43"/>
      <c r="S18" s="35">
        <v>102</v>
      </c>
      <c r="T18" s="47"/>
      <c r="U18" s="37"/>
      <c r="V18" s="47"/>
      <c r="W18" s="37"/>
      <c r="X18" s="47"/>
      <c r="Y18" s="37"/>
      <c r="Z18" s="47"/>
    </row>
    <row r="19" spans="2:26" s="34" customFormat="1" ht="16.899999999999999" customHeight="1" thickBot="1" x14ac:dyDescent="0.3">
      <c r="B19" s="19"/>
      <c r="C19" s="19"/>
      <c r="D19" s="16" t="s">
        <v>16</v>
      </c>
      <c r="E19" s="37">
        <v>11</v>
      </c>
      <c r="F19" s="43"/>
      <c r="G19" s="37">
        <v>27</v>
      </c>
      <c r="H19" s="47">
        <v>76</v>
      </c>
      <c r="I19" s="37">
        <v>42</v>
      </c>
      <c r="J19" s="47">
        <v>56</v>
      </c>
      <c r="K19" s="37">
        <v>52</v>
      </c>
      <c r="L19" s="47">
        <v>47</v>
      </c>
      <c r="M19" s="37">
        <v>66</v>
      </c>
      <c r="N19" s="47">
        <v>38</v>
      </c>
      <c r="O19" s="40">
        <v>84</v>
      </c>
      <c r="P19" s="47">
        <v>18</v>
      </c>
      <c r="Q19" s="40">
        <v>102</v>
      </c>
      <c r="R19" s="43"/>
      <c r="S19" s="35">
        <v>102</v>
      </c>
      <c r="T19" s="47"/>
      <c r="U19" s="37"/>
      <c r="V19" s="47"/>
      <c r="W19" s="37"/>
      <c r="X19" s="47"/>
      <c r="Y19" s="37"/>
      <c r="Z19" s="47"/>
    </row>
    <row r="20" spans="2:26" s="34" customFormat="1" ht="16.899999999999999" customHeight="1" thickBot="1" x14ac:dyDescent="0.3">
      <c r="B20" s="23" t="s">
        <v>1</v>
      </c>
      <c r="C20" s="23" t="s">
        <v>50</v>
      </c>
      <c r="D20" s="48" t="s">
        <v>13</v>
      </c>
      <c r="E20" s="35">
        <v>11</v>
      </c>
      <c r="F20" s="42"/>
      <c r="G20" s="35">
        <v>25</v>
      </c>
      <c r="H20" s="46">
        <v>72</v>
      </c>
      <c r="I20" s="35">
        <v>49</v>
      </c>
      <c r="J20" s="46">
        <v>53</v>
      </c>
      <c r="K20" s="35">
        <v>65</v>
      </c>
      <c r="L20" s="46">
        <v>34</v>
      </c>
      <c r="M20" s="35">
        <v>82</v>
      </c>
      <c r="N20" s="46">
        <v>17</v>
      </c>
      <c r="O20" s="39">
        <v>102</v>
      </c>
      <c r="P20" s="46"/>
      <c r="Q20" s="39">
        <v>102</v>
      </c>
      <c r="R20" s="42"/>
      <c r="S20" s="35">
        <v>102</v>
      </c>
      <c r="T20" s="46"/>
      <c r="U20" s="35"/>
      <c r="V20" s="46"/>
      <c r="W20" s="35"/>
      <c r="X20" s="46"/>
      <c r="Y20" s="35"/>
      <c r="Z20" s="46"/>
    </row>
    <row r="21" spans="2:26" s="34" customFormat="1" ht="16.899999999999999" customHeight="1" thickBot="1" x14ac:dyDescent="0.3">
      <c r="B21" s="25"/>
      <c r="C21" s="25" t="s">
        <v>8</v>
      </c>
      <c r="D21" s="49" t="s">
        <v>26</v>
      </c>
      <c r="E21" s="37">
        <v>11</v>
      </c>
      <c r="F21" s="43"/>
      <c r="G21" s="37">
        <v>25</v>
      </c>
      <c r="H21" s="47">
        <v>76</v>
      </c>
      <c r="I21" s="37">
        <v>51</v>
      </c>
      <c r="J21" s="47">
        <v>52</v>
      </c>
      <c r="K21" s="37">
        <v>66</v>
      </c>
      <c r="L21" s="47">
        <v>35</v>
      </c>
      <c r="M21" s="37">
        <v>81</v>
      </c>
      <c r="N21" s="47">
        <v>18</v>
      </c>
      <c r="O21" s="40">
        <v>102</v>
      </c>
      <c r="P21" s="47"/>
      <c r="Q21" s="39">
        <v>102</v>
      </c>
      <c r="R21" s="43"/>
      <c r="S21" s="35">
        <v>102</v>
      </c>
      <c r="T21" s="47"/>
      <c r="U21" s="37"/>
      <c r="V21" s="47"/>
      <c r="W21" s="37"/>
      <c r="X21" s="47"/>
      <c r="Y21" s="37"/>
      <c r="Z21" s="47"/>
    </row>
    <row r="22" spans="2:26" s="34" customFormat="1" ht="16.899999999999999" customHeight="1" thickBot="1" x14ac:dyDescent="0.3">
      <c r="B22" s="25"/>
      <c r="C22" s="25"/>
      <c r="D22" s="49" t="s">
        <v>14</v>
      </c>
      <c r="E22" s="37">
        <v>13</v>
      </c>
      <c r="F22" s="43"/>
      <c r="G22" s="37">
        <v>26</v>
      </c>
      <c r="H22" s="47">
        <v>73</v>
      </c>
      <c r="I22" s="37">
        <v>53</v>
      </c>
      <c r="J22" s="47">
        <v>47</v>
      </c>
      <c r="K22" s="37">
        <v>65</v>
      </c>
      <c r="L22" s="47">
        <v>33</v>
      </c>
      <c r="M22" s="37">
        <v>88</v>
      </c>
      <c r="N22" s="47">
        <v>16</v>
      </c>
      <c r="O22" s="40">
        <v>96</v>
      </c>
      <c r="P22" s="47">
        <v>5</v>
      </c>
      <c r="Q22" s="39">
        <v>102</v>
      </c>
      <c r="R22" s="43"/>
      <c r="S22" s="35">
        <v>102</v>
      </c>
      <c r="T22" s="47"/>
      <c r="U22" s="37"/>
      <c r="V22" s="47"/>
      <c r="W22" s="37"/>
      <c r="X22" s="47"/>
      <c r="Y22" s="37"/>
      <c r="Z22" s="47"/>
    </row>
    <row r="23" spans="2:26" s="34" customFormat="1" ht="16.899999999999999" customHeight="1" thickBot="1" x14ac:dyDescent="0.3">
      <c r="B23" s="25"/>
      <c r="C23" s="25"/>
      <c r="D23" s="49" t="s">
        <v>15</v>
      </c>
      <c r="E23" s="37">
        <v>13</v>
      </c>
      <c r="F23" s="43"/>
      <c r="G23" s="37">
        <v>31</v>
      </c>
      <c r="H23" s="47">
        <v>72</v>
      </c>
      <c r="I23" s="37">
        <v>46</v>
      </c>
      <c r="J23" s="47">
        <v>55</v>
      </c>
      <c r="K23" s="37">
        <v>61</v>
      </c>
      <c r="L23" s="47">
        <v>41</v>
      </c>
      <c r="M23" s="37">
        <v>85</v>
      </c>
      <c r="N23" s="47">
        <v>16</v>
      </c>
      <c r="O23" s="40">
        <v>97</v>
      </c>
      <c r="P23" s="47">
        <v>5</v>
      </c>
      <c r="Q23" s="39">
        <v>102</v>
      </c>
      <c r="R23" s="43"/>
      <c r="S23" s="35">
        <v>102</v>
      </c>
      <c r="T23" s="47"/>
      <c r="U23" s="37"/>
      <c r="V23" s="47"/>
      <c r="W23" s="37"/>
      <c r="X23" s="47"/>
      <c r="Y23" s="37"/>
      <c r="Z23" s="47"/>
    </row>
    <row r="24" spans="2:26" s="34" customFormat="1" ht="16.899999999999999" customHeight="1" thickBot="1" x14ac:dyDescent="0.3">
      <c r="B24" s="25"/>
      <c r="C24" s="25"/>
      <c r="D24" s="49" t="s">
        <v>16</v>
      </c>
      <c r="E24" s="37">
        <v>10</v>
      </c>
      <c r="F24" s="43"/>
      <c r="G24" s="37">
        <v>26</v>
      </c>
      <c r="H24" s="47">
        <v>76</v>
      </c>
      <c r="I24" s="37">
        <v>45</v>
      </c>
      <c r="J24" s="47">
        <v>56</v>
      </c>
      <c r="K24" s="37">
        <v>55</v>
      </c>
      <c r="L24" s="47">
        <v>47</v>
      </c>
      <c r="M24" s="37">
        <v>72</v>
      </c>
      <c r="N24" s="47">
        <v>27</v>
      </c>
      <c r="O24" s="40">
        <v>92</v>
      </c>
      <c r="P24" s="47">
        <v>10</v>
      </c>
      <c r="Q24" s="39">
        <v>102</v>
      </c>
      <c r="R24" s="43"/>
      <c r="S24" s="35">
        <v>102</v>
      </c>
      <c r="T24" s="47"/>
      <c r="U24" s="37"/>
      <c r="V24" s="47"/>
      <c r="W24" s="37"/>
      <c r="X24" s="47"/>
      <c r="Y24" s="37"/>
      <c r="Z24" s="47"/>
    </row>
    <row r="25" spans="2:26" s="34" customFormat="1" ht="16.899999999999999" customHeight="1" thickBot="1" x14ac:dyDescent="0.3">
      <c r="B25" s="23" t="s">
        <v>2</v>
      </c>
      <c r="C25" s="23" t="s">
        <v>51</v>
      </c>
      <c r="D25" s="48" t="s">
        <v>13</v>
      </c>
      <c r="E25" s="35">
        <v>11</v>
      </c>
      <c r="F25" s="42"/>
      <c r="G25" s="35">
        <v>25</v>
      </c>
      <c r="H25" s="46">
        <v>73</v>
      </c>
      <c r="I25" s="35">
        <v>44</v>
      </c>
      <c r="J25" s="46">
        <v>57</v>
      </c>
      <c r="K25" s="35">
        <v>59</v>
      </c>
      <c r="L25" s="46">
        <v>37</v>
      </c>
      <c r="M25" s="35">
        <v>73</v>
      </c>
      <c r="N25" s="46">
        <v>20</v>
      </c>
      <c r="O25" s="39">
        <v>102</v>
      </c>
      <c r="P25" s="46"/>
      <c r="Q25" s="39">
        <v>102</v>
      </c>
      <c r="R25" s="42"/>
      <c r="S25" s="35">
        <v>102</v>
      </c>
      <c r="T25" s="46"/>
      <c r="U25" s="35"/>
      <c r="V25" s="46"/>
      <c r="W25" s="35"/>
      <c r="X25" s="46"/>
      <c r="Y25" s="35"/>
      <c r="Z25" s="46"/>
    </row>
    <row r="26" spans="2:26" s="34" customFormat="1" ht="16.899999999999999" customHeight="1" thickBot="1" x14ac:dyDescent="0.3">
      <c r="B26" s="25"/>
      <c r="C26" s="25" t="s">
        <v>9</v>
      </c>
      <c r="D26" s="49" t="s">
        <v>26</v>
      </c>
      <c r="E26" s="37">
        <v>12</v>
      </c>
      <c r="F26" s="43"/>
      <c r="G26" s="37">
        <v>27</v>
      </c>
      <c r="H26" s="47">
        <v>73</v>
      </c>
      <c r="I26" s="37">
        <v>47</v>
      </c>
      <c r="J26" s="47">
        <v>50</v>
      </c>
      <c r="K26" s="37">
        <v>56</v>
      </c>
      <c r="L26" s="47">
        <v>38</v>
      </c>
      <c r="M26" s="37">
        <v>71</v>
      </c>
      <c r="N26" s="47">
        <v>27</v>
      </c>
      <c r="O26" s="40">
        <v>102</v>
      </c>
      <c r="P26" s="47"/>
      <c r="Q26" s="39">
        <v>102</v>
      </c>
      <c r="R26" s="43"/>
      <c r="S26" s="35">
        <v>102</v>
      </c>
      <c r="T26" s="47"/>
      <c r="U26" s="37"/>
      <c r="V26" s="47"/>
      <c r="W26" s="37"/>
      <c r="X26" s="47"/>
      <c r="Y26" s="37"/>
      <c r="Z26" s="47"/>
    </row>
    <row r="27" spans="2:26" s="34" customFormat="1" ht="16.899999999999999" customHeight="1" thickBot="1" x14ac:dyDescent="0.3">
      <c r="B27" s="25"/>
      <c r="C27" s="25"/>
      <c r="D27" s="49" t="s">
        <v>14</v>
      </c>
      <c r="E27" s="37">
        <v>11</v>
      </c>
      <c r="F27" s="43"/>
      <c r="G27" s="37">
        <v>26</v>
      </c>
      <c r="H27" s="47">
        <v>72</v>
      </c>
      <c r="I27" s="37">
        <v>46</v>
      </c>
      <c r="J27" s="47">
        <v>53</v>
      </c>
      <c r="K27" s="37">
        <v>53</v>
      </c>
      <c r="L27" s="47">
        <v>45</v>
      </c>
      <c r="M27" s="37">
        <v>75</v>
      </c>
      <c r="N27" s="47">
        <v>23</v>
      </c>
      <c r="O27" s="40">
        <v>92</v>
      </c>
      <c r="P27" s="47">
        <v>8</v>
      </c>
      <c r="Q27" s="39">
        <v>102</v>
      </c>
      <c r="R27" s="43"/>
      <c r="S27" s="35">
        <v>102</v>
      </c>
      <c r="T27" s="47"/>
      <c r="U27" s="37"/>
      <c r="V27" s="47"/>
      <c r="W27" s="37"/>
      <c r="X27" s="47"/>
      <c r="Y27" s="37"/>
      <c r="Z27" s="47"/>
    </row>
    <row r="28" spans="2:26" s="34" customFormat="1" ht="16.899999999999999" customHeight="1" thickBot="1" x14ac:dyDescent="0.3">
      <c r="B28" s="25"/>
      <c r="C28" s="25"/>
      <c r="D28" s="49" t="s">
        <v>15</v>
      </c>
      <c r="E28" s="37">
        <v>11</v>
      </c>
      <c r="F28" s="43"/>
      <c r="G28" s="37">
        <v>27</v>
      </c>
      <c r="H28" s="47">
        <v>74</v>
      </c>
      <c r="I28" s="37">
        <v>43</v>
      </c>
      <c r="J28" s="47">
        <v>56</v>
      </c>
      <c r="K28" s="37">
        <v>55</v>
      </c>
      <c r="L28" s="47">
        <v>42</v>
      </c>
      <c r="M28" s="37">
        <v>65</v>
      </c>
      <c r="N28" s="47">
        <v>29</v>
      </c>
      <c r="O28" s="40">
        <v>91</v>
      </c>
      <c r="P28" s="47">
        <v>10</v>
      </c>
      <c r="Q28" s="39">
        <v>102</v>
      </c>
      <c r="R28" s="43"/>
      <c r="S28" s="35">
        <v>102</v>
      </c>
      <c r="T28" s="47"/>
      <c r="U28" s="37"/>
      <c r="V28" s="47"/>
      <c r="W28" s="37"/>
      <c r="X28" s="47"/>
      <c r="Y28" s="37"/>
      <c r="Z28" s="47"/>
    </row>
    <row r="29" spans="2:26" s="34" customFormat="1" ht="16.899999999999999" customHeight="1" thickBot="1" x14ac:dyDescent="0.3">
      <c r="B29" s="25"/>
      <c r="C29" s="25"/>
      <c r="D29" s="49" t="s">
        <v>16</v>
      </c>
      <c r="E29" s="37">
        <v>11</v>
      </c>
      <c r="F29" s="43"/>
      <c r="G29" s="37">
        <v>25</v>
      </c>
      <c r="H29" s="47">
        <v>74</v>
      </c>
      <c r="I29" s="37">
        <v>46</v>
      </c>
      <c r="J29" s="47">
        <v>52</v>
      </c>
      <c r="K29" s="37">
        <v>51</v>
      </c>
      <c r="L29" s="47">
        <v>50</v>
      </c>
      <c r="M29" s="37">
        <v>67</v>
      </c>
      <c r="N29" s="47">
        <v>35</v>
      </c>
      <c r="O29" s="40">
        <v>85</v>
      </c>
      <c r="P29" s="47">
        <v>18</v>
      </c>
      <c r="Q29" s="39">
        <v>102</v>
      </c>
      <c r="R29" s="43"/>
      <c r="S29" s="35">
        <v>102</v>
      </c>
      <c r="T29" s="47"/>
      <c r="U29" s="37"/>
      <c r="V29" s="47"/>
      <c r="W29" s="37"/>
      <c r="X29" s="47"/>
      <c r="Y29" s="37"/>
      <c r="Z29" s="47"/>
    </row>
    <row r="30" spans="2:26" s="34" customFormat="1" ht="16.899999999999999" customHeight="1" thickBot="1" x14ac:dyDescent="0.3">
      <c r="B30" s="20" t="s">
        <v>2</v>
      </c>
      <c r="C30" s="20" t="s">
        <v>52</v>
      </c>
      <c r="D30" s="15" t="s">
        <v>13</v>
      </c>
      <c r="E30" s="35">
        <v>11</v>
      </c>
      <c r="F30" s="42"/>
      <c r="G30" s="35">
        <v>26</v>
      </c>
      <c r="H30" s="46">
        <v>75</v>
      </c>
      <c r="I30" s="35">
        <v>52</v>
      </c>
      <c r="J30" s="46">
        <v>51</v>
      </c>
      <c r="K30" s="35">
        <v>61</v>
      </c>
      <c r="L30" s="46">
        <v>32</v>
      </c>
      <c r="M30" s="35">
        <v>86</v>
      </c>
      <c r="N30" s="46">
        <v>17</v>
      </c>
      <c r="O30" s="39">
        <v>102</v>
      </c>
      <c r="P30" s="46"/>
      <c r="Q30" s="39">
        <v>102</v>
      </c>
      <c r="R30" s="42"/>
      <c r="S30" s="35">
        <v>102</v>
      </c>
      <c r="T30" s="46"/>
      <c r="U30" s="35"/>
      <c r="V30" s="46"/>
      <c r="W30" s="35"/>
      <c r="X30" s="46"/>
      <c r="Y30" s="35"/>
      <c r="Z30" s="46"/>
    </row>
    <row r="31" spans="2:26" s="34" customFormat="1" ht="16.899999999999999" customHeight="1" thickBot="1" x14ac:dyDescent="0.3">
      <c r="B31" s="19"/>
      <c r="C31" s="19" t="s">
        <v>5</v>
      </c>
      <c r="D31" s="16" t="s">
        <v>26</v>
      </c>
      <c r="E31" s="37">
        <v>12</v>
      </c>
      <c r="F31" s="43"/>
      <c r="G31" s="37">
        <v>26</v>
      </c>
      <c r="H31" s="47">
        <v>78</v>
      </c>
      <c r="I31" s="37">
        <v>53</v>
      </c>
      <c r="J31" s="47">
        <v>50</v>
      </c>
      <c r="K31" s="37">
        <v>65</v>
      </c>
      <c r="L31" s="47">
        <v>29</v>
      </c>
      <c r="M31" s="37">
        <v>86</v>
      </c>
      <c r="N31" s="47">
        <v>17</v>
      </c>
      <c r="O31" s="40">
        <v>102</v>
      </c>
      <c r="P31" s="47"/>
      <c r="Q31" s="39">
        <v>102</v>
      </c>
      <c r="R31" s="43"/>
      <c r="S31" s="35">
        <v>102</v>
      </c>
      <c r="T31" s="47"/>
      <c r="U31" s="37"/>
      <c r="V31" s="47"/>
      <c r="W31" s="37"/>
      <c r="X31" s="47"/>
      <c r="Y31" s="37"/>
      <c r="Z31" s="47"/>
    </row>
    <row r="32" spans="2:26" s="34" customFormat="1" ht="16.899999999999999" customHeight="1" thickBot="1" x14ac:dyDescent="0.3">
      <c r="B32" s="19"/>
      <c r="C32" s="19"/>
      <c r="D32" s="16" t="s">
        <v>14</v>
      </c>
      <c r="E32" s="37">
        <v>11</v>
      </c>
      <c r="F32" s="43"/>
      <c r="G32" s="37">
        <v>26</v>
      </c>
      <c r="H32" s="47">
        <v>76</v>
      </c>
      <c r="I32" s="37">
        <v>46</v>
      </c>
      <c r="J32" s="47">
        <v>53</v>
      </c>
      <c r="K32" s="37">
        <v>46</v>
      </c>
      <c r="L32" s="47">
        <v>48</v>
      </c>
      <c r="M32" s="37">
        <v>70</v>
      </c>
      <c r="N32" s="47">
        <v>28</v>
      </c>
      <c r="O32" s="40">
        <v>102</v>
      </c>
      <c r="P32" s="47"/>
      <c r="Q32" s="39">
        <v>102</v>
      </c>
      <c r="R32" s="43"/>
      <c r="S32" s="35">
        <v>102</v>
      </c>
      <c r="T32" s="47"/>
      <c r="U32" s="37"/>
      <c r="V32" s="47"/>
      <c r="W32" s="37"/>
      <c r="X32" s="47"/>
      <c r="Y32" s="37"/>
      <c r="Z32" s="47"/>
    </row>
    <row r="33" spans="2:26" s="34" customFormat="1" ht="16.899999999999999" customHeight="1" thickBot="1" x14ac:dyDescent="0.3">
      <c r="B33" s="19"/>
      <c r="C33" s="19"/>
      <c r="D33" s="16" t="s">
        <v>15</v>
      </c>
      <c r="E33" s="37">
        <v>12</v>
      </c>
      <c r="F33" s="43"/>
      <c r="G33" s="37">
        <v>28</v>
      </c>
      <c r="H33" s="47">
        <v>70</v>
      </c>
      <c r="I33" s="37">
        <v>46</v>
      </c>
      <c r="J33" s="47">
        <v>52</v>
      </c>
      <c r="K33" s="37">
        <v>49</v>
      </c>
      <c r="L33" s="47">
        <v>48</v>
      </c>
      <c r="M33" s="37">
        <v>61</v>
      </c>
      <c r="N33" s="47">
        <v>38</v>
      </c>
      <c r="O33" s="40">
        <v>66</v>
      </c>
      <c r="P33" s="47">
        <v>35</v>
      </c>
      <c r="Q33" s="40">
        <v>68</v>
      </c>
      <c r="R33" s="43">
        <v>24</v>
      </c>
      <c r="S33" s="35">
        <v>102</v>
      </c>
      <c r="T33" s="47"/>
      <c r="U33" s="37"/>
      <c r="V33" s="47"/>
      <c r="W33" s="37"/>
      <c r="X33" s="47"/>
      <c r="Y33" s="37"/>
      <c r="Z33" s="47"/>
    </row>
    <row r="34" spans="2:26" s="34" customFormat="1" ht="16.899999999999999" customHeight="1" thickBot="1" x14ac:dyDescent="0.3">
      <c r="B34" s="19"/>
      <c r="C34" s="19"/>
      <c r="D34" s="16" t="s">
        <v>16</v>
      </c>
      <c r="E34" s="37">
        <v>12</v>
      </c>
      <c r="F34" s="43"/>
      <c r="G34" s="37">
        <v>29</v>
      </c>
      <c r="H34" s="47">
        <v>76</v>
      </c>
      <c r="I34" s="37">
        <v>54</v>
      </c>
      <c r="J34" s="47">
        <v>50</v>
      </c>
      <c r="K34" s="37">
        <v>57</v>
      </c>
      <c r="L34" s="47">
        <v>43</v>
      </c>
      <c r="M34" s="37">
        <v>82</v>
      </c>
      <c r="N34" s="47">
        <v>21</v>
      </c>
      <c r="O34" s="40">
        <v>91</v>
      </c>
      <c r="P34" s="47">
        <v>10</v>
      </c>
      <c r="Q34" s="40">
        <v>102</v>
      </c>
      <c r="R34" s="43"/>
      <c r="S34" s="35">
        <v>102</v>
      </c>
      <c r="T34" s="47"/>
      <c r="U34" s="37"/>
      <c r="V34" s="47"/>
      <c r="W34" s="37"/>
      <c r="X34" s="47"/>
      <c r="Y34" s="37"/>
      <c r="Z34" s="47"/>
    </row>
    <row r="35" spans="2:26" s="34" customFormat="1" ht="16.899999999999999" customHeight="1" thickBot="1" x14ac:dyDescent="0.3">
      <c r="B35" s="20" t="s">
        <v>3</v>
      </c>
      <c r="C35" s="20" t="s">
        <v>53</v>
      </c>
      <c r="D35" s="15" t="s">
        <v>13</v>
      </c>
      <c r="E35" s="35">
        <v>12</v>
      </c>
      <c r="F35" s="42"/>
      <c r="G35" s="35">
        <v>24</v>
      </c>
      <c r="H35" s="46">
        <v>75</v>
      </c>
      <c r="I35" s="35">
        <v>44</v>
      </c>
      <c r="J35" s="46">
        <v>55</v>
      </c>
      <c r="K35" s="35">
        <v>52</v>
      </c>
      <c r="L35" s="46">
        <v>50</v>
      </c>
      <c r="M35" s="35">
        <v>79</v>
      </c>
      <c r="N35" s="46">
        <v>23</v>
      </c>
      <c r="O35" s="39">
        <v>102</v>
      </c>
      <c r="P35" s="46"/>
      <c r="Q35" s="39">
        <v>102</v>
      </c>
      <c r="R35" s="42"/>
      <c r="S35" s="35">
        <v>102</v>
      </c>
      <c r="T35" s="46"/>
      <c r="U35" s="35"/>
      <c r="V35" s="46"/>
      <c r="W35" s="35"/>
      <c r="X35" s="46"/>
      <c r="Y35" s="35"/>
      <c r="Z35" s="46"/>
    </row>
    <row r="36" spans="2:26" s="34" customFormat="1" ht="16.899999999999999" customHeight="1" thickBot="1" x14ac:dyDescent="0.3">
      <c r="B36" s="19"/>
      <c r="C36" s="19" t="s">
        <v>7</v>
      </c>
      <c r="D36" s="16" t="s">
        <v>26</v>
      </c>
      <c r="E36" s="37">
        <v>13</v>
      </c>
      <c r="F36" s="43"/>
      <c r="G36" s="37">
        <v>26</v>
      </c>
      <c r="H36" s="47">
        <v>75</v>
      </c>
      <c r="I36" s="37">
        <v>51</v>
      </c>
      <c r="J36" s="47">
        <v>51</v>
      </c>
      <c r="K36" s="37">
        <v>73</v>
      </c>
      <c r="L36" s="47">
        <v>30</v>
      </c>
      <c r="M36" s="37">
        <v>95</v>
      </c>
      <c r="N36" s="47">
        <v>8</v>
      </c>
      <c r="O36" s="40">
        <v>102</v>
      </c>
      <c r="P36" s="47"/>
      <c r="Q36" s="40">
        <v>102</v>
      </c>
      <c r="R36" s="43"/>
      <c r="S36" s="35">
        <v>102</v>
      </c>
      <c r="T36" s="47"/>
      <c r="U36" s="37"/>
      <c r="V36" s="47"/>
      <c r="W36" s="37"/>
      <c r="X36" s="47"/>
      <c r="Y36" s="37"/>
      <c r="Z36" s="47"/>
    </row>
    <row r="37" spans="2:26" s="34" customFormat="1" ht="16.899999999999999" customHeight="1" thickBot="1" x14ac:dyDescent="0.3">
      <c r="B37" s="19"/>
      <c r="C37" s="19"/>
      <c r="D37" s="16" t="s">
        <v>14</v>
      </c>
      <c r="E37" s="37">
        <v>12</v>
      </c>
      <c r="F37" s="43"/>
      <c r="G37" s="37">
        <v>30</v>
      </c>
      <c r="H37" s="47">
        <v>73</v>
      </c>
      <c r="I37" s="37">
        <v>43</v>
      </c>
      <c r="J37" s="47">
        <v>58</v>
      </c>
      <c r="K37" s="37">
        <v>51</v>
      </c>
      <c r="L37" s="47">
        <v>48</v>
      </c>
      <c r="M37" s="37">
        <v>69</v>
      </c>
      <c r="N37" s="47">
        <v>31</v>
      </c>
      <c r="O37" s="40">
        <v>102</v>
      </c>
      <c r="P37" s="47"/>
      <c r="Q37" s="40">
        <v>102</v>
      </c>
      <c r="R37" s="43"/>
      <c r="S37" s="35">
        <v>102</v>
      </c>
      <c r="T37" s="47"/>
      <c r="U37" s="37"/>
      <c r="V37" s="47"/>
      <c r="W37" s="37"/>
      <c r="X37" s="47"/>
      <c r="Y37" s="37"/>
      <c r="Z37" s="47"/>
    </row>
    <row r="38" spans="2:26" s="34" customFormat="1" ht="16.899999999999999" customHeight="1" thickBot="1" x14ac:dyDescent="0.3">
      <c r="B38" s="19"/>
      <c r="C38" s="19"/>
      <c r="D38" s="16" t="s">
        <v>15</v>
      </c>
      <c r="E38" s="37">
        <v>11</v>
      </c>
      <c r="F38" s="43"/>
      <c r="G38" s="37">
        <v>23</v>
      </c>
      <c r="H38" s="47">
        <v>79</v>
      </c>
      <c r="I38" s="37">
        <v>48</v>
      </c>
      <c r="J38" s="47">
        <v>54</v>
      </c>
      <c r="K38" s="37">
        <v>65</v>
      </c>
      <c r="L38" s="47">
        <v>34</v>
      </c>
      <c r="M38" s="37">
        <v>82</v>
      </c>
      <c r="N38" s="47">
        <v>21</v>
      </c>
      <c r="O38" s="40">
        <v>95</v>
      </c>
      <c r="P38" s="47">
        <v>6</v>
      </c>
      <c r="Q38" s="40">
        <v>102</v>
      </c>
      <c r="R38" s="43"/>
      <c r="S38" s="35">
        <v>102</v>
      </c>
      <c r="T38" s="47"/>
      <c r="U38" s="37"/>
      <c r="V38" s="47"/>
      <c r="W38" s="37"/>
      <c r="X38" s="47"/>
      <c r="Y38" s="37"/>
      <c r="Z38" s="47"/>
    </row>
    <row r="39" spans="2:26" s="34" customFormat="1" ht="16.899999999999999" customHeight="1" thickBot="1" x14ac:dyDescent="0.3">
      <c r="B39" s="19"/>
      <c r="C39" s="19"/>
      <c r="D39" s="16" t="s">
        <v>16</v>
      </c>
      <c r="E39" s="37">
        <v>12</v>
      </c>
      <c r="F39" s="43"/>
      <c r="G39" s="37">
        <v>22</v>
      </c>
      <c r="H39" s="47">
        <v>79</v>
      </c>
      <c r="I39" s="37">
        <v>38</v>
      </c>
      <c r="J39" s="47">
        <v>63</v>
      </c>
      <c r="K39" s="37">
        <v>43</v>
      </c>
      <c r="L39" s="47">
        <v>57</v>
      </c>
      <c r="M39" s="37">
        <v>56</v>
      </c>
      <c r="N39" s="47">
        <v>47</v>
      </c>
      <c r="O39" s="40">
        <v>74</v>
      </c>
      <c r="P39" s="47">
        <v>22</v>
      </c>
      <c r="Q39" s="40">
        <v>86</v>
      </c>
      <c r="R39" s="43">
        <v>13</v>
      </c>
      <c r="S39" s="35">
        <v>102</v>
      </c>
      <c r="T39" s="47"/>
      <c r="U39" s="37"/>
      <c r="V39" s="47"/>
      <c r="W39" s="37"/>
      <c r="X39" s="47"/>
      <c r="Y39" s="37"/>
      <c r="Z39" s="47"/>
    </row>
    <row r="40" spans="2:26" s="34" customFormat="1" ht="16.899999999999999" customHeight="1" thickBot="1" x14ac:dyDescent="0.3">
      <c r="B40" s="23" t="s">
        <v>3</v>
      </c>
      <c r="C40" s="23" t="s">
        <v>54</v>
      </c>
      <c r="D40" s="50" t="s">
        <v>13</v>
      </c>
      <c r="E40" s="35">
        <v>10</v>
      </c>
      <c r="F40" s="42"/>
      <c r="G40" s="35">
        <v>30</v>
      </c>
      <c r="H40" s="46">
        <v>71</v>
      </c>
      <c r="I40" s="35">
        <v>53</v>
      </c>
      <c r="J40" s="46">
        <v>57</v>
      </c>
      <c r="K40" s="35">
        <v>62</v>
      </c>
      <c r="L40" s="46">
        <v>42</v>
      </c>
      <c r="M40" s="35">
        <v>78</v>
      </c>
      <c r="N40" s="46">
        <v>28</v>
      </c>
      <c r="O40" s="39">
        <v>102</v>
      </c>
      <c r="P40" s="46"/>
      <c r="Q40" s="39">
        <v>102</v>
      </c>
      <c r="R40" s="42"/>
      <c r="S40" s="35">
        <v>102</v>
      </c>
      <c r="T40" s="46"/>
      <c r="U40" s="35"/>
      <c r="V40" s="46"/>
      <c r="W40" s="35"/>
      <c r="X40" s="46"/>
      <c r="Y40" s="35"/>
      <c r="Z40" s="46"/>
    </row>
    <row r="41" spans="2:26" s="34" customFormat="1" ht="16.899999999999999" customHeight="1" thickBot="1" x14ac:dyDescent="0.3">
      <c r="B41" s="25"/>
      <c r="C41" s="25" t="s">
        <v>8</v>
      </c>
      <c r="D41" s="51" t="s">
        <v>26</v>
      </c>
      <c r="E41" s="37">
        <v>11</v>
      </c>
      <c r="F41" s="43"/>
      <c r="G41" s="37">
        <v>32</v>
      </c>
      <c r="H41" s="47">
        <v>67</v>
      </c>
      <c r="I41" s="37">
        <v>57</v>
      </c>
      <c r="J41" s="47">
        <v>42</v>
      </c>
      <c r="K41" s="37">
        <v>72</v>
      </c>
      <c r="L41" s="47">
        <v>33</v>
      </c>
      <c r="M41" s="37">
        <v>95</v>
      </c>
      <c r="N41" s="47">
        <v>7</v>
      </c>
      <c r="O41" s="40">
        <v>102</v>
      </c>
      <c r="P41" s="47"/>
      <c r="Q41" s="40">
        <v>102</v>
      </c>
      <c r="R41" s="43"/>
      <c r="S41" s="35">
        <v>102</v>
      </c>
      <c r="T41" s="47"/>
      <c r="U41" s="37"/>
      <c r="V41" s="47"/>
      <c r="W41" s="37"/>
      <c r="X41" s="47"/>
      <c r="Y41" s="37"/>
      <c r="Z41" s="47"/>
    </row>
    <row r="42" spans="2:26" s="34" customFormat="1" ht="16.899999999999999" customHeight="1" thickBot="1" x14ac:dyDescent="0.3">
      <c r="B42" s="25"/>
      <c r="C42" s="25"/>
      <c r="D42" s="51" t="s">
        <v>14</v>
      </c>
      <c r="E42" s="37">
        <v>13</v>
      </c>
      <c r="F42" s="43"/>
      <c r="G42" s="37">
        <v>30</v>
      </c>
      <c r="H42" s="47">
        <v>73</v>
      </c>
      <c r="I42" s="37">
        <v>53</v>
      </c>
      <c r="J42" s="47">
        <v>45</v>
      </c>
      <c r="K42" s="37">
        <v>69</v>
      </c>
      <c r="L42" s="47">
        <v>28</v>
      </c>
      <c r="M42" s="37">
        <v>88</v>
      </c>
      <c r="N42" s="47">
        <v>11</v>
      </c>
      <c r="O42" s="40">
        <v>102</v>
      </c>
      <c r="P42" s="47"/>
      <c r="Q42" s="40">
        <v>102</v>
      </c>
      <c r="R42" s="43"/>
      <c r="S42" s="35">
        <v>102</v>
      </c>
      <c r="T42" s="47"/>
      <c r="U42" s="37"/>
      <c r="V42" s="47"/>
      <c r="W42" s="37"/>
      <c r="X42" s="47"/>
      <c r="Y42" s="37"/>
      <c r="Z42" s="47"/>
    </row>
    <row r="43" spans="2:26" s="34" customFormat="1" ht="16.899999999999999" customHeight="1" x14ac:dyDescent="0.25">
      <c r="B43" s="25"/>
      <c r="C43" s="25"/>
      <c r="D43" s="51" t="s">
        <v>15</v>
      </c>
      <c r="E43" s="37">
        <v>10</v>
      </c>
      <c r="F43" s="43"/>
      <c r="G43" s="37">
        <v>26</v>
      </c>
      <c r="H43" s="47">
        <v>68</v>
      </c>
      <c r="I43" s="37">
        <v>49</v>
      </c>
      <c r="J43" s="47">
        <v>50</v>
      </c>
      <c r="K43" s="37">
        <v>57</v>
      </c>
      <c r="L43" s="47">
        <v>40</v>
      </c>
      <c r="M43" s="37">
        <v>77</v>
      </c>
      <c r="N43" s="47">
        <v>20</v>
      </c>
      <c r="O43" s="40">
        <v>102</v>
      </c>
      <c r="P43" s="47"/>
      <c r="Q43" s="40">
        <v>102</v>
      </c>
      <c r="R43" s="43"/>
      <c r="S43" s="35">
        <v>102</v>
      </c>
      <c r="T43" s="47"/>
      <c r="U43" s="37"/>
      <c r="V43" s="47"/>
      <c r="W43" s="37"/>
      <c r="X43" s="47"/>
      <c r="Y43" s="37"/>
      <c r="Z43" s="47"/>
    </row>
    <row r="44" spans="2:26" s="34" customFormat="1" ht="16.899999999999999" customHeight="1" thickBot="1" x14ac:dyDescent="0.3">
      <c r="B44" s="25"/>
      <c r="C44" s="25"/>
      <c r="D44" s="51" t="s">
        <v>16</v>
      </c>
      <c r="E44" s="37">
        <v>10</v>
      </c>
      <c r="F44" s="43"/>
      <c r="G44" s="37">
        <v>31</v>
      </c>
      <c r="H44" s="47">
        <v>68</v>
      </c>
      <c r="I44" s="37">
        <v>48</v>
      </c>
      <c r="J44" s="47">
        <v>51</v>
      </c>
      <c r="K44" s="37">
        <v>57</v>
      </c>
      <c r="L44" s="47">
        <v>43</v>
      </c>
      <c r="M44" s="37">
        <v>68</v>
      </c>
      <c r="N44" s="47">
        <v>30</v>
      </c>
      <c r="O44" s="40">
        <v>80</v>
      </c>
      <c r="P44" s="47">
        <v>21</v>
      </c>
      <c r="Q44" s="40">
        <v>92</v>
      </c>
      <c r="R44" s="43">
        <v>17</v>
      </c>
      <c r="S44" s="37">
        <v>87</v>
      </c>
      <c r="T44" s="47">
        <v>10</v>
      </c>
      <c r="U44" s="37"/>
      <c r="V44" s="47"/>
      <c r="W44" s="37"/>
      <c r="X44" s="47"/>
      <c r="Y44" s="37"/>
      <c r="Z44" s="47"/>
    </row>
    <row r="45" spans="2:26" s="34" customFormat="1" ht="16.899999999999999" customHeight="1" thickBot="1" x14ac:dyDescent="0.3">
      <c r="B45" s="23" t="s">
        <v>4</v>
      </c>
      <c r="C45" s="23" t="s">
        <v>55</v>
      </c>
      <c r="D45" s="50" t="s">
        <v>13</v>
      </c>
      <c r="E45" s="35">
        <v>9</v>
      </c>
      <c r="F45" s="42"/>
      <c r="G45" s="35">
        <v>29</v>
      </c>
      <c r="H45" s="46">
        <v>73</v>
      </c>
      <c r="I45" s="35">
        <v>56</v>
      </c>
      <c r="J45" s="46">
        <v>47</v>
      </c>
      <c r="K45" s="35">
        <v>55</v>
      </c>
      <c r="L45" s="46">
        <v>42</v>
      </c>
      <c r="M45" s="35">
        <v>86</v>
      </c>
      <c r="N45" s="46">
        <v>18</v>
      </c>
      <c r="O45" s="39">
        <v>102</v>
      </c>
      <c r="P45" s="46"/>
      <c r="Q45" s="39">
        <v>102</v>
      </c>
      <c r="R45" s="42"/>
      <c r="S45" s="35">
        <v>102</v>
      </c>
      <c r="T45" s="46"/>
      <c r="U45" s="35"/>
      <c r="V45" s="46"/>
      <c r="W45" s="35"/>
      <c r="X45" s="46"/>
      <c r="Y45" s="35"/>
      <c r="Z45" s="46"/>
    </row>
    <row r="46" spans="2:26" s="34" customFormat="1" ht="16.899999999999999" customHeight="1" thickBot="1" x14ac:dyDescent="0.3">
      <c r="B46" s="25"/>
      <c r="C46" s="25" t="s">
        <v>9</v>
      </c>
      <c r="D46" s="51" t="s">
        <v>26</v>
      </c>
      <c r="E46" s="37">
        <v>12</v>
      </c>
      <c r="F46" s="43"/>
      <c r="G46" s="37">
        <v>30</v>
      </c>
      <c r="H46" s="47">
        <v>68</v>
      </c>
      <c r="I46" s="37">
        <v>52</v>
      </c>
      <c r="J46" s="47">
        <v>47</v>
      </c>
      <c r="K46" s="37">
        <v>64</v>
      </c>
      <c r="L46" s="47">
        <v>32</v>
      </c>
      <c r="M46" s="37">
        <v>88</v>
      </c>
      <c r="N46" s="47">
        <v>15</v>
      </c>
      <c r="O46" s="40">
        <v>102</v>
      </c>
      <c r="P46" s="47"/>
      <c r="Q46" s="39">
        <v>102</v>
      </c>
      <c r="R46" s="43"/>
      <c r="S46" s="35">
        <v>102</v>
      </c>
      <c r="T46" s="47"/>
      <c r="U46" s="37"/>
      <c r="V46" s="47"/>
      <c r="W46" s="37"/>
      <c r="X46" s="47"/>
      <c r="Y46" s="37"/>
      <c r="Z46" s="47"/>
    </row>
    <row r="47" spans="2:26" s="34" customFormat="1" ht="16.899999999999999" customHeight="1" thickBot="1" x14ac:dyDescent="0.3">
      <c r="B47" s="25"/>
      <c r="C47" s="25"/>
      <c r="D47" s="51" t="s">
        <v>14</v>
      </c>
      <c r="E47" s="37">
        <v>11</v>
      </c>
      <c r="F47" s="43"/>
      <c r="G47" s="37">
        <v>27</v>
      </c>
      <c r="H47" s="47">
        <v>74</v>
      </c>
      <c r="I47" s="37">
        <v>45</v>
      </c>
      <c r="J47" s="47">
        <v>57</v>
      </c>
      <c r="K47" s="37">
        <v>53</v>
      </c>
      <c r="L47" s="47">
        <v>44</v>
      </c>
      <c r="M47" s="37">
        <v>79</v>
      </c>
      <c r="N47" s="47">
        <v>22</v>
      </c>
      <c r="O47" s="40">
        <v>90</v>
      </c>
      <c r="P47" s="47">
        <v>11</v>
      </c>
      <c r="Q47" s="39">
        <v>102</v>
      </c>
      <c r="R47" s="43"/>
      <c r="S47" s="35">
        <v>102</v>
      </c>
      <c r="T47" s="47"/>
      <c r="U47" s="37"/>
      <c r="V47" s="47"/>
      <c r="W47" s="37"/>
      <c r="X47" s="47"/>
      <c r="Y47" s="37"/>
      <c r="Z47" s="47"/>
    </row>
    <row r="48" spans="2:26" s="34" customFormat="1" ht="16.899999999999999" customHeight="1" thickBot="1" x14ac:dyDescent="0.3">
      <c r="B48" s="25"/>
      <c r="C48" s="25"/>
      <c r="D48" s="51" t="s">
        <v>15</v>
      </c>
      <c r="E48" s="37">
        <v>11</v>
      </c>
      <c r="F48" s="43"/>
      <c r="G48" s="37">
        <v>26</v>
      </c>
      <c r="H48" s="47">
        <v>75</v>
      </c>
      <c r="I48" s="37">
        <v>47</v>
      </c>
      <c r="J48" s="47">
        <v>52</v>
      </c>
      <c r="K48" s="37">
        <v>54</v>
      </c>
      <c r="L48" s="47">
        <v>41</v>
      </c>
      <c r="M48" s="37">
        <v>76</v>
      </c>
      <c r="N48" s="47">
        <v>29</v>
      </c>
      <c r="O48" s="40">
        <v>86</v>
      </c>
      <c r="P48" s="47">
        <v>12</v>
      </c>
      <c r="Q48" s="39">
        <v>102</v>
      </c>
      <c r="R48" s="43"/>
      <c r="S48" s="35">
        <v>102</v>
      </c>
      <c r="T48" s="47"/>
      <c r="U48" s="37"/>
      <c r="V48" s="47"/>
      <c r="W48" s="37"/>
      <c r="X48" s="47"/>
      <c r="Y48" s="37"/>
      <c r="Z48" s="47"/>
    </row>
    <row r="49" spans="2:26" s="34" customFormat="1" ht="16.899999999999999" customHeight="1" thickBot="1" x14ac:dyDescent="0.3">
      <c r="B49" s="25"/>
      <c r="C49" s="25"/>
      <c r="D49" s="51" t="s">
        <v>16</v>
      </c>
      <c r="E49" s="37">
        <v>13</v>
      </c>
      <c r="F49" s="43"/>
      <c r="G49" s="37">
        <v>28</v>
      </c>
      <c r="H49" s="47">
        <v>71</v>
      </c>
      <c r="I49" s="37">
        <v>48</v>
      </c>
      <c r="J49" s="47">
        <v>54</v>
      </c>
      <c r="K49" s="37">
        <v>54</v>
      </c>
      <c r="L49" s="47">
        <v>45</v>
      </c>
      <c r="M49" s="37">
        <v>77</v>
      </c>
      <c r="N49" s="47">
        <v>27</v>
      </c>
      <c r="O49" s="40">
        <v>90</v>
      </c>
      <c r="P49" s="47">
        <v>12</v>
      </c>
      <c r="Q49" s="39">
        <v>102</v>
      </c>
      <c r="R49" s="43"/>
      <c r="S49" s="35">
        <v>102</v>
      </c>
      <c r="T49" s="47"/>
      <c r="U49" s="37"/>
      <c r="V49" s="47"/>
      <c r="W49" s="37"/>
      <c r="X49" s="47"/>
      <c r="Y49" s="37"/>
      <c r="Z49" s="47"/>
    </row>
    <row r="50" spans="2:26" s="34" customFormat="1" ht="16.899999999999999" customHeight="1" thickBot="1" x14ac:dyDescent="0.3">
      <c r="B50" s="20" t="s">
        <v>4</v>
      </c>
      <c r="C50" s="20" t="s">
        <v>56</v>
      </c>
      <c r="D50" s="15" t="s">
        <v>13</v>
      </c>
      <c r="E50" s="35">
        <v>11</v>
      </c>
      <c r="F50" s="42"/>
      <c r="G50" s="35">
        <v>27</v>
      </c>
      <c r="H50" s="46">
        <v>72</v>
      </c>
      <c r="I50" s="35">
        <v>55</v>
      </c>
      <c r="J50" s="46">
        <v>46</v>
      </c>
      <c r="K50" s="35">
        <v>56</v>
      </c>
      <c r="L50" s="46">
        <v>38</v>
      </c>
      <c r="M50" s="35">
        <v>76</v>
      </c>
      <c r="N50" s="46">
        <v>20</v>
      </c>
      <c r="O50" s="39">
        <v>102</v>
      </c>
      <c r="P50" s="46"/>
      <c r="Q50" s="39">
        <v>102</v>
      </c>
      <c r="R50" s="42"/>
      <c r="S50" s="35">
        <v>102</v>
      </c>
      <c r="T50" s="46"/>
      <c r="U50" s="35"/>
      <c r="V50" s="46"/>
      <c r="W50" s="35"/>
      <c r="X50" s="46"/>
      <c r="Y50" s="35"/>
      <c r="Z50" s="46"/>
    </row>
    <row r="51" spans="2:26" s="34" customFormat="1" ht="16.899999999999999" customHeight="1" thickBot="1" x14ac:dyDescent="0.3">
      <c r="B51" s="19"/>
      <c r="C51" s="19" t="s">
        <v>6</v>
      </c>
      <c r="D51" s="16" t="s">
        <v>26</v>
      </c>
      <c r="E51" s="37">
        <v>15</v>
      </c>
      <c r="F51" s="43"/>
      <c r="G51" s="37">
        <v>31</v>
      </c>
      <c r="H51" s="47">
        <v>68</v>
      </c>
      <c r="I51" s="37">
        <v>51</v>
      </c>
      <c r="J51" s="47">
        <v>52</v>
      </c>
      <c r="K51" s="37">
        <v>58</v>
      </c>
      <c r="L51" s="47">
        <v>39</v>
      </c>
      <c r="M51" s="37">
        <v>85</v>
      </c>
      <c r="N51" s="47">
        <v>20</v>
      </c>
      <c r="O51" s="40">
        <v>102</v>
      </c>
      <c r="P51" s="47"/>
      <c r="Q51" s="39">
        <v>102</v>
      </c>
      <c r="R51" s="43"/>
      <c r="S51" s="35">
        <v>102</v>
      </c>
      <c r="T51" s="47"/>
      <c r="U51" s="37"/>
      <c r="V51" s="47"/>
      <c r="W51" s="37"/>
      <c r="X51" s="47"/>
      <c r="Y51" s="37"/>
      <c r="Z51" s="47"/>
    </row>
    <row r="52" spans="2:26" s="34" customFormat="1" ht="16.899999999999999" customHeight="1" thickBot="1" x14ac:dyDescent="0.3">
      <c r="B52" s="19"/>
      <c r="C52" s="19"/>
      <c r="D52" s="16" t="s">
        <v>14</v>
      </c>
      <c r="E52" s="37">
        <v>9</v>
      </c>
      <c r="F52" s="43"/>
      <c r="G52" s="37">
        <v>25</v>
      </c>
      <c r="H52" s="47">
        <v>77</v>
      </c>
      <c r="I52" s="37">
        <v>50</v>
      </c>
      <c r="J52" s="47">
        <v>49</v>
      </c>
      <c r="K52" s="37">
        <v>62</v>
      </c>
      <c r="L52" s="47">
        <v>28</v>
      </c>
      <c r="M52" s="37">
        <v>84</v>
      </c>
      <c r="N52" s="47">
        <v>14</v>
      </c>
      <c r="O52" s="40">
        <v>102</v>
      </c>
      <c r="P52" s="47"/>
      <c r="Q52" s="39">
        <v>102</v>
      </c>
      <c r="R52" s="43"/>
      <c r="S52" s="35">
        <v>102</v>
      </c>
      <c r="T52" s="47"/>
      <c r="U52" s="37"/>
      <c r="V52" s="47"/>
      <c r="W52" s="37"/>
      <c r="X52" s="47"/>
      <c r="Y52" s="37"/>
      <c r="Z52" s="47"/>
    </row>
    <row r="53" spans="2:26" s="34" customFormat="1" ht="16.899999999999999" customHeight="1" thickBot="1" x14ac:dyDescent="0.3">
      <c r="B53" s="19"/>
      <c r="C53" s="19"/>
      <c r="D53" s="16" t="s">
        <v>15</v>
      </c>
      <c r="E53" s="37">
        <v>12</v>
      </c>
      <c r="F53" s="43"/>
      <c r="G53" s="37">
        <v>32</v>
      </c>
      <c r="H53" s="47">
        <v>70</v>
      </c>
      <c r="I53" s="37">
        <v>59</v>
      </c>
      <c r="J53" s="47">
        <v>46</v>
      </c>
      <c r="K53" s="37">
        <v>69</v>
      </c>
      <c r="L53" s="47">
        <v>30</v>
      </c>
      <c r="M53" s="37">
        <v>98</v>
      </c>
      <c r="N53" s="47">
        <v>4</v>
      </c>
      <c r="O53" s="40">
        <v>102</v>
      </c>
      <c r="P53" s="47"/>
      <c r="Q53" s="39">
        <v>102</v>
      </c>
      <c r="R53" s="43"/>
      <c r="S53" s="35">
        <v>102</v>
      </c>
      <c r="T53" s="47"/>
      <c r="U53" s="37"/>
      <c r="V53" s="47"/>
      <c r="W53" s="37"/>
      <c r="X53" s="47"/>
      <c r="Y53" s="37"/>
      <c r="Z53" s="47"/>
    </row>
    <row r="54" spans="2:26" s="34" customFormat="1" ht="16.899999999999999" customHeight="1" thickBot="1" x14ac:dyDescent="0.3">
      <c r="B54" s="19"/>
      <c r="C54" s="19"/>
      <c r="D54" s="16" t="s">
        <v>16</v>
      </c>
      <c r="E54" s="37">
        <v>13</v>
      </c>
      <c r="F54" s="43"/>
      <c r="G54" s="37">
        <v>29</v>
      </c>
      <c r="H54" s="47">
        <v>74</v>
      </c>
      <c r="I54" s="37">
        <v>47</v>
      </c>
      <c r="J54" s="47">
        <v>51</v>
      </c>
      <c r="K54" s="37">
        <v>47</v>
      </c>
      <c r="L54" s="47">
        <v>49</v>
      </c>
      <c r="M54" s="37">
        <v>67</v>
      </c>
      <c r="N54" s="47">
        <v>31</v>
      </c>
      <c r="O54" s="40">
        <v>82</v>
      </c>
      <c r="P54" s="47">
        <v>21</v>
      </c>
      <c r="Q54" s="40">
        <v>90</v>
      </c>
      <c r="R54" s="43">
        <v>9</v>
      </c>
      <c r="S54" s="35">
        <v>102</v>
      </c>
      <c r="T54" s="47"/>
      <c r="U54" s="37"/>
      <c r="V54" s="47"/>
      <c r="W54" s="37"/>
      <c r="X54" s="47"/>
      <c r="Y54" s="37"/>
      <c r="Z54" s="47"/>
    </row>
    <row r="55" spans="2:26" s="34" customFormat="1" ht="16.899999999999999" customHeight="1" x14ac:dyDescent="0.25">
      <c r="B55" s="20" t="s">
        <v>12</v>
      </c>
      <c r="C55" s="20" t="s">
        <v>57</v>
      </c>
      <c r="D55" s="15" t="s">
        <v>13</v>
      </c>
      <c r="E55" s="35">
        <v>10</v>
      </c>
      <c r="F55" s="42"/>
      <c r="G55" s="35">
        <v>31</v>
      </c>
      <c r="H55" s="46">
        <v>71</v>
      </c>
      <c r="I55" s="35">
        <v>50</v>
      </c>
      <c r="J55" s="46">
        <v>51</v>
      </c>
      <c r="K55" s="35">
        <v>58</v>
      </c>
      <c r="L55" s="46">
        <v>45</v>
      </c>
      <c r="M55" s="35">
        <v>72</v>
      </c>
      <c r="N55" s="46">
        <v>31</v>
      </c>
      <c r="O55" s="39">
        <v>81</v>
      </c>
      <c r="P55" s="46">
        <v>18</v>
      </c>
      <c r="Q55" s="39">
        <v>84</v>
      </c>
      <c r="R55" s="42">
        <v>22</v>
      </c>
      <c r="S55" s="35">
        <v>89</v>
      </c>
      <c r="T55" s="46">
        <v>16</v>
      </c>
      <c r="U55" s="35"/>
      <c r="V55" s="46"/>
      <c r="W55" s="35"/>
      <c r="X55" s="46"/>
      <c r="Y55" s="35"/>
      <c r="Z55" s="46"/>
    </row>
    <row r="56" spans="2:26" s="34" customFormat="1" ht="16.899999999999999" customHeight="1" x14ac:dyDescent="0.25">
      <c r="B56" s="19"/>
      <c r="C56" s="19" t="s">
        <v>5</v>
      </c>
      <c r="D56" s="16" t="s">
        <v>26</v>
      </c>
      <c r="E56" s="37">
        <v>9</v>
      </c>
      <c r="F56" s="43"/>
      <c r="G56" s="37">
        <v>29</v>
      </c>
      <c r="H56" s="47">
        <v>72</v>
      </c>
      <c r="I56" s="37">
        <v>53</v>
      </c>
      <c r="J56" s="47">
        <v>45</v>
      </c>
      <c r="K56" s="37">
        <v>62</v>
      </c>
      <c r="L56" s="47">
        <v>36</v>
      </c>
      <c r="M56" s="37">
        <v>75</v>
      </c>
      <c r="N56" s="47">
        <v>19</v>
      </c>
      <c r="O56" s="40">
        <v>93</v>
      </c>
      <c r="P56" s="47">
        <v>5</v>
      </c>
      <c r="Q56" s="40">
        <v>102</v>
      </c>
      <c r="R56" s="43"/>
      <c r="S56" s="37">
        <v>102</v>
      </c>
      <c r="T56" s="47"/>
      <c r="U56" s="37"/>
      <c r="V56" s="47"/>
      <c r="W56" s="37"/>
      <c r="X56" s="47"/>
      <c r="Y56" s="37"/>
      <c r="Z56" s="47"/>
    </row>
    <row r="57" spans="2:26" s="34" customFormat="1" ht="16.899999999999999" customHeight="1" x14ac:dyDescent="0.25">
      <c r="B57" s="19"/>
      <c r="C57" s="19"/>
      <c r="D57" s="16" t="s">
        <v>14</v>
      </c>
      <c r="E57" s="37">
        <v>12</v>
      </c>
      <c r="F57" s="43"/>
      <c r="G57" s="37">
        <v>31</v>
      </c>
      <c r="H57" s="47">
        <v>70</v>
      </c>
      <c r="I57" s="37">
        <v>51</v>
      </c>
      <c r="J57" s="47">
        <v>51</v>
      </c>
      <c r="K57" s="37">
        <v>58</v>
      </c>
      <c r="L57" s="47">
        <v>45</v>
      </c>
      <c r="M57" s="37">
        <v>78</v>
      </c>
      <c r="N57" s="47">
        <v>21</v>
      </c>
      <c r="O57" s="40">
        <v>89</v>
      </c>
      <c r="P57" s="47">
        <v>14</v>
      </c>
      <c r="Q57" s="40">
        <v>87</v>
      </c>
      <c r="R57" s="43">
        <v>15</v>
      </c>
      <c r="S57" s="37">
        <v>84</v>
      </c>
      <c r="T57" s="47">
        <v>12</v>
      </c>
      <c r="U57" s="37"/>
      <c r="V57" s="47"/>
      <c r="W57" s="37"/>
      <c r="X57" s="47"/>
      <c r="Y57" s="37"/>
      <c r="Z57" s="47"/>
    </row>
    <row r="58" spans="2:26" s="34" customFormat="1" ht="16.899999999999999" customHeight="1" x14ac:dyDescent="0.25">
      <c r="B58" s="19"/>
      <c r="C58" s="19"/>
      <c r="D58" s="16" t="s">
        <v>15</v>
      </c>
      <c r="E58" s="37">
        <v>10</v>
      </c>
      <c r="F58" s="43"/>
      <c r="G58" s="37">
        <v>24</v>
      </c>
      <c r="H58" s="47">
        <v>78</v>
      </c>
      <c r="I58" s="37">
        <v>45</v>
      </c>
      <c r="J58" s="47">
        <v>54</v>
      </c>
      <c r="K58" s="37">
        <v>53</v>
      </c>
      <c r="L58" s="47">
        <v>50</v>
      </c>
      <c r="M58" s="37">
        <v>63</v>
      </c>
      <c r="N58" s="47">
        <v>40</v>
      </c>
      <c r="O58" s="40">
        <v>67</v>
      </c>
      <c r="P58" s="47">
        <v>25</v>
      </c>
      <c r="Q58" s="40">
        <v>73</v>
      </c>
      <c r="R58" s="43">
        <v>38</v>
      </c>
      <c r="S58" s="37">
        <v>69</v>
      </c>
      <c r="T58" s="47">
        <v>34</v>
      </c>
      <c r="U58" s="37"/>
      <c r="V58" s="47"/>
      <c r="W58" s="37"/>
      <c r="X58" s="47"/>
      <c r="Y58" s="37"/>
      <c r="Z58" s="47"/>
    </row>
    <row r="59" spans="2:26" s="34" customFormat="1" ht="16.899999999999999" customHeight="1" x14ac:dyDescent="0.25">
      <c r="B59" s="19"/>
      <c r="C59" s="19"/>
      <c r="D59" s="16" t="s">
        <v>16</v>
      </c>
      <c r="E59" s="37">
        <v>7</v>
      </c>
      <c r="F59" s="43"/>
      <c r="G59" s="37">
        <v>23</v>
      </c>
      <c r="H59" s="47">
        <v>80</v>
      </c>
      <c r="I59" s="37">
        <v>38</v>
      </c>
      <c r="J59" s="47">
        <v>60</v>
      </c>
      <c r="K59" s="37">
        <v>35</v>
      </c>
      <c r="L59" s="47">
        <v>68</v>
      </c>
      <c r="M59" s="37">
        <v>42</v>
      </c>
      <c r="N59" s="47">
        <v>61</v>
      </c>
      <c r="O59" s="40">
        <v>53</v>
      </c>
      <c r="P59" s="47">
        <v>51</v>
      </c>
      <c r="Q59" s="40">
        <v>50</v>
      </c>
      <c r="R59" s="43">
        <v>47</v>
      </c>
      <c r="S59" s="37">
        <v>60</v>
      </c>
      <c r="T59" s="47">
        <v>42</v>
      </c>
      <c r="U59" s="37"/>
      <c r="V59" s="47"/>
      <c r="W59" s="37"/>
      <c r="X59" s="47"/>
      <c r="Y59" s="37"/>
      <c r="Z59" s="47"/>
    </row>
    <row r="61" spans="2:26" x14ac:dyDescent="0.2">
      <c r="D61" s="82" t="s">
        <v>76</v>
      </c>
      <c r="E61" s="83">
        <f>AVERAGE(E15:E19,E35:E39)/100</f>
        <v>0.11699999999999999</v>
      </c>
      <c r="F61" s="83"/>
      <c r="G61" s="83">
        <f t="shared" ref="G61:S61" si="0">AVERAGE(G15:G19,G35:G39)/100</f>
        <v>0.26400000000000001</v>
      </c>
      <c r="H61" s="83">
        <f t="shared" si="0"/>
        <v>0.74299999999999999</v>
      </c>
      <c r="I61" s="83">
        <f t="shared" si="0"/>
        <v>0.439</v>
      </c>
      <c r="J61" s="83">
        <f t="shared" si="0"/>
        <v>0.56200000000000006</v>
      </c>
      <c r="K61" s="83">
        <f t="shared" si="0"/>
        <v>0.57999999999999996</v>
      </c>
      <c r="L61" s="83">
        <f t="shared" si="0"/>
        <v>0.43099999999999999</v>
      </c>
      <c r="M61" s="83">
        <f t="shared" si="0"/>
        <v>0.76400000000000001</v>
      </c>
      <c r="N61" s="83">
        <f t="shared" si="0"/>
        <v>0.24600000000000002</v>
      </c>
      <c r="O61" s="83">
        <f t="shared" si="0"/>
        <v>0.95099999999999996</v>
      </c>
      <c r="P61" s="83">
        <f t="shared" si="0"/>
        <v>0.16</v>
      </c>
      <c r="Q61" s="83">
        <f t="shared" si="0"/>
        <v>0.998</v>
      </c>
      <c r="R61" s="83">
        <f t="shared" si="0"/>
        <v>0.1</v>
      </c>
      <c r="S61" s="83">
        <f t="shared" si="0"/>
        <v>1.02</v>
      </c>
      <c r="T61" s="83"/>
    </row>
    <row r="62" spans="2:26" x14ac:dyDescent="0.2">
      <c r="D62" s="82" t="s">
        <v>6</v>
      </c>
      <c r="E62" s="83">
        <f>AVERAGE(E10:E14,E50:E54)/100</f>
        <v>0.11800000000000001</v>
      </c>
      <c r="F62" s="83"/>
      <c r="G62" s="83">
        <f t="shared" ref="G62:S62" si="1">AVERAGE(G10:G14,G50:G54)/100</f>
        <v>0.28699999999999998</v>
      </c>
      <c r="H62" s="83">
        <f t="shared" si="1"/>
        <v>0.73</v>
      </c>
      <c r="I62" s="83">
        <f t="shared" si="1"/>
        <v>0.49299999999999999</v>
      </c>
      <c r="J62" s="83">
        <f t="shared" si="1"/>
        <v>0.50700000000000001</v>
      </c>
      <c r="K62" s="83">
        <f t="shared" si="1"/>
        <v>0.58700000000000008</v>
      </c>
      <c r="L62" s="83">
        <f t="shared" si="1"/>
        <v>0.377</v>
      </c>
      <c r="M62" s="83">
        <f t="shared" si="1"/>
        <v>0.79599999999999993</v>
      </c>
      <c r="N62" s="83">
        <f t="shared" si="1"/>
        <v>0.20699999999999999</v>
      </c>
      <c r="O62" s="83">
        <f t="shared" si="1"/>
        <v>0.96200000000000008</v>
      </c>
      <c r="P62" s="83">
        <f t="shared" si="1"/>
        <v>0.13500000000000001</v>
      </c>
      <c r="Q62" s="83">
        <f t="shared" si="1"/>
        <v>0.995</v>
      </c>
      <c r="R62" s="83">
        <f t="shared" si="1"/>
        <v>0.1</v>
      </c>
      <c r="S62" s="83">
        <f t="shared" si="1"/>
        <v>1.02</v>
      </c>
      <c r="T62" s="83"/>
    </row>
    <row r="63" spans="2:26" x14ac:dyDescent="0.2">
      <c r="D63" s="82" t="s">
        <v>77</v>
      </c>
      <c r="E63" s="83">
        <f>AVERAGE(E30:E34,E55:E59)/100</f>
        <v>0.106</v>
      </c>
      <c r="F63" s="83"/>
      <c r="G63" s="83">
        <f t="shared" ref="G63:T63" si="2">AVERAGE(G30:G34,G55:G59)/100</f>
        <v>0.27300000000000002</v>
      </c>
      <c r="H63" s="83">
        <f t="shared" si="2"/>
        <v>0.746</v>
      </c>
      <c r="I63" s="83">
        <f t="shared" si="2"/>
        <v>0.48799999999999999</v>
      </c>
      <c r="J63" s="83">
        <f t="shared" si="2"/>
        <v>0.51700000000000002</v>
      </c>
      <c r="K63" s="83">
        <f t="shared" si="2"/>
        <v>0.54400000000000004</v>
      </c>
      <c r="L63" s="83">
        <f t="shared" si="2"/>
        <v>0.44400000000000001</v>
      </c>
      <c r="M63" s="83">
        <f t="shared" si="2"/>
        <v>0.71499999999999997</v>
      </c>
      <c r="N63" s="83">
        <f t="shared" si="2"/>
        <v>0.29299999999999998</v>
      </c>
      <c r="O63" s="83">
        <f t="shared" si="2"/>
        <v>0.84599999999999997</v>
      </c>
      <c r="P63" s="83">
        <f t="shared" si="2"/>
        <v>0.22571428571428573</v>
      </c>
      <c r="Q63" s="83">
        <f t="shared" si="2"/>
        <v>0.872</v>
      </c>
      <c r="R63" s="83">
        <f t="shared" si="2"/>
        <v>0.29199999999999998</v>
      </c>
      <c r="S63" s="83">
        <f t="shared" si="2"/>
        <v>0.91400000000000003</v>
      </c>
      <c r="T63" s="83">
        <f t="shared" si="2"/>
        <v>0.26</v>
      </c>
    </row>
    <row r="65" spans="4:20" ht="15" x14ac:dyDescent="0.25">
      <c r="D65" s="10" t="s">
        <v>20</v>
      </c>
      <c r="E65" s="69">
        <v>42157</v>
      </c>
      <c r="F65" s="171" t="s">
        <v>59</v>
      </c>
      <c r="G65" s="159">
        <v>42170</v>
      </c>
      <c r="H65" s="158"/>
      <c r="I65" s="159">
        <v>42184</v>
      </c>
      <c r="J65" s="170"/>
      <c r="K65" s="159">
        <v>42198</v>
      </c>
      <c r="L65" s="170"/>
      <c r="M65" s="159">
        <v>42212</v>
      </c>
      <c r="N65" s="158"/>
      <c r="O65" s="159">
        <v>42227</v>
      </c>
      <c r="P65" s="158"/>
      <c r="Q65" s="159">
        <v>42243</v>
      </c>
      <c r="R65" s="158"/>
      <c r="S65" s="159">
        <v>42255</v>
      </c>
      <c r="T65" s="158"/>
    </row>
    <row r="66" spans="4:20" ht="15" x14ac:dyDescent="0.25">
      <c r="D66" s="10" t="s">
        <v>27</v>
      </c>
      <c r="E66" s="33">
        <v>153</v>
      </c>
      <c r="F66" s="172"/>
      <c r="G66" s="157">
        <v>166</v>
      </c>
      <c r="H66" s="158"/>
      <c r="I66" s="157">
        <v>180</v>
      </c>
      <c r="J66" s="173"/>
      <c r="K66" s="157">
        <v>194</v>
      </c>
      <c r="L66" s="173"/>
      <c r="M66" s="160">
        <v>208</v>
      </c>
      <c r="N66" s="158"/>
      <c r="O66" s="160">
        <v>223</v>
      </c>
      <c r="P66" s="158"/>
      <c r="Q66" s="160">
        <v>236</v>
      </c>
      <c r="R66" s="158"/>
      <c r="S66" s="160">
        <v>251</v>
      </c>
      <c r="T66" s="158"/>
    </row>
  </sheetData>
  <mergeCells count="37">
    <mergeCell ref="O65:P65"/>
    <mergeCell ref="Q65:R65"/>
    <mergeCell ref="S65:T65"/>
    <mergeCell ref="G66:H66"/>
    <mergeCell ref="I66:J66"/>
    <mergeCell ref="K66:L66"/>
    <mergeCell ref="M66:N66"/>
    <mergeCell ref="O66:P66"/>
    <mergeCell ref="Q66:R66"/>
    <mergeCell ref="S66:T66"/>
    <mergeCell ref="F65:F66"/>
    <mergeCell ref="G65:H65"/>
    <mergeCell ref="I65:J65"/>
    <mergeCell ref="K65:L65"/>
    <mergeCell ref="M65:N65"/>
    <mergeCell ref="F7:F8"/>
    <mergeCell ref="Y8:Z8"/>
    <mergeCell ref="Q7:R7"/>
    <mergeCell ref="S7:T7"/>
    <mergeCell ref="U7:V7"/>
    <mergeCell ref="W7:X7"/>
    <mergeCell ref="Y7:Z7"/>
    <mergeCell ref="Q8:R8"/>
    <mergeCell ref="S8:T8"/>
    <mergeCell ref="U8:V8"/>
    <mergeCell ref="W8:X8"/>
    <mergeCell ref="O7:P7"/>
    <mergeCell ref="G8:H8"/>
    <mergeCell ref="I8:J8"/>
    <mergeCell ref="K8:L8"/>
    <mergeCell ref="M8:N8"/>
    <mergeCell ref="O8:P8"/>
    <mergeCell ref="O3:P6"/>
    <mergeCell ref="G7:H7"/>
    <mergeCell ref="I7:J7"/>
    <mergeCell ref="K7:L7"/>
    <mergeCell ref="M7:N7"/>
  </mergeCells>
  <pageMargins left="0.7" right="0.7" top="0.75" bottom="0.75" header="0.3" footer="0.3"/>
  <pageSetup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V74"/>
  <sheetViews>
    <sheetView zoomScale="55" zoomScaleNormal="55" zoomScaleSheetLayoutView="70" workbookViewId="0">
      <selection activeCell="I14" sqref="I14"/>
    </sheetView>
  </sheetViews>
  <sheetFormatPr defaultColWidth="8.85546875" defaultRowHeight="15" x14ac:dyDescent="0.25"/>
  <cols>
    <col min="1" max="1" width="7.42578125" style="5" customWidth="1"/>
    <col min="2" max="2" width="8.140625" style="6" customWidth="1"/>
    <col min="3" max="4" width="9.7109375" style="6" customWidth="1"/>
    <col min="5" max="22" width="9.7109375" style="5" customWidth="1"/>
    <col min="23" max="24" width="8.7109375" style="5" customWidth="1"/>
    <col min="25" max="16384" width="8.85546875" style="5"/>
  </cols>
  <sheetData>
    <row r="1" spans="1:22" ht="18" x14ac:dyDescent="0.25">
      <c r="A1" s="2">
        <v>2015</v>
      </c>
      <c r="B1" s="3" t="s">
        <v>17</v>
      </c>
      <c r="C1" s="4"/>
      <c r="D1" s="4"/>
      <c r="E1" s="4"/>
      <c r="F1" s="4"/>
      <c r="G1" s="4"/>
      <c r="H1" s="4"/>
      <c r="I1" s="4"/>
      <c r="J1" s="4"/>
      <c r="K1" s="4"/>
      <c r="L1" s="4"/>
      <c r="M1" s="4"/>
      <c r="N1" s="4"/>
      <c r="O1" s="4"/>
      <c r="P1" s="4"/>
    </row>
    <row r="2" spans="1:22" ht="18" x14ac:dyDescent="0.25">
      <c r="A2" s="4"/>
      <c r="B2" s="3" t="s">
        <v>10</v>
      </c>
      <c r="D2" s="3" t="s">
        <v>11</v>
      </c>
      <c r="E2" s="4"/>
      <c r="F2" s="4"/>
      <c r="G2" s="4"/>
      <c r="H2" s="4"/>
      <c r="I2" s="4"/>
      <c r="J2" s="4"/>
      <c r="M2" s="4"/>
      <c r="N2" s="4"/>
      <c r="O2" s="4"/>
      <c r="P2" s="4"/>
    </row>
    <row r="3" spans="1:22" ht="18" x14ac:dyDescent="0.25">
      <c r="B3" s="3"/>
    </row>
    <row r="4" spans="1:22" ht="27" x14ac:dyDescent="0.25">
      <c r="A4" s="3" t="s">
        <v>25</v>
      </c>
      <c r="E4" s="7"/>
      <c r="F4" s="8" t="s">
        <v>20</v>
      </c>
      <c r="G4" s="9"/>
      <c r="H4" s="10" t="s">
        <v>21</v>
      </c>
      <c r="I4" s="9"/>
      <c r="L4" s="11"/>
      <c r="P4" s="1" t="s">
        <v>18</v>
      </c>
    </row>
    <row r="5" spans="1:22" ht="23.25" x14ac:dyDescent="0.25">
      <c r="B5" s="3"/>
      <c r="C5" s="3" t="s">
        <v>46</v>
      </c>
      <c r="E5" s="7"/>
      <c r="F5" s="7"/>
      <c r="H5" s="10" t="s">
        <v>22</v>
      </c>
      <c r="I5" s="12"/>
      <c r="K5" s="11"/>
      <c r="L5" s="11"/>
    </row>
    <row r="6" spans="1:22" ht="17.45" customHeight="1" x14ac:dyDescent="0.25">
      <c r="B6" s="3"/>
      <c r="C6" s="3" t="s">
        <v>47</v>
      </c>
      <c r="E6" s="7"/>
      <c r="F6" s="7"/>
      <c r="G6" s="52"/>
      <c r="H6" s="52"/>
      <c r="J6" s="10"/>
      <c r="M6" s="11"/>
      <c r="N6" s="11"/>
    </row>
    <row r="7" spans="1:22" ht="17.45" customHeight="1" x14ac:dyDescent="0.25">
      <c r="B7" s="3"/>
      <c r="C7" s="3"/>
      <c r="E7" s="7"/>
      <c r="F7" s="7"/>
      <c r="G7" s="52"/>
      <c r="H7" s="52"/>
      <c r="J7" s="10"/>
      <c r="M7" s="11"/>
      <c r="N7" s="11"/>
    </row>
    <row r="8" spans="1:22" ht="20.25" x14ac:dyDescent="0.3">
      <c r="C8" s="13" t="s">
        <v>36</v>
      </c>
      <c r="D8" s="54"/>
      <c r="E8" s="61"/>
      <c r="F8" s="62"/>
      <c r="G8" s="13" t="s">
        <v>40</v>
      </c>
      <c r="H8" s="54"/>
      <c r="I8" s="61"/>
      <c r="J8" s="62"/>
      <c r="K8" s="13" t="s">
        <v>39</v>
      </c>
      <c r="L8" s="54"/>
      <c r="M8" s="61"/>
      <c r="N8" s="62"/>
      <c r="O8" s="13" t="s">
        <v>38</v>
      </c>
      <c r="P8" s="54"/>
      <c r="Q8" s="61"/>
      <c r="R8" s="62"/>
      <c r="S8" s="13" t="s">
        <v>37</v>
      </c>
      <c r="T8" s="54"/>
      <c r="U8" s="61"/>
      <c r="V8" s="62"/>
    </row>
    <row r="9" spans="1:22" ht="40.15" customHeight="1" thickBot="1" x14ac:dyDescent="0.3">
      <c r="C9" s="14" t="s">
        <v>23</v>
      </c>
      <c r="D9" s="57" t="s">
        <v>24</v>
      </c>
      <c r="E9" s="53" t="s">
        <v>34</v>
      </c>
      <c r="F9" s="60" t="s">
        <v>35</v>
      </c>
      <c r="G9" s="14" t="s">
        <v>23</v>
      </c>
      <c r="H9" s="57" t="s">
        <v>24</v>
      </c>
      <c r="I9" s="53" t="s">
        <v>34</v>
      </c>
      <c r="J9" s="60" t="s">
        <v>35</v>
      </c>
      <c r="K9" s="14" t="s">
        <v>23</v>
      </c>
      <c r="L9" s="57" t="s">
        <v>24</v>
      </c>
      <c r="M9" s="53" t="s">
        <v>34</v>
      </c>
      <c r="N9" s="60" t="s">
        <v>35</v>
      </c>
      <c r="O9" s="14" t="s">
        <v>23</v>
      </c>
      <c r="P9" s="57" t="s">
        <v>24</v>
      </c>
      <c r="Q9" s="53" t="s">
        <v>34</v>
      </c>
      <c r="R9" s="60" t="s">
        <v>35</v>
      </c>
      <c r="S9" s="14" t="s">
        <v>23</v>
      </c>
      <c r="T9" s="57" t="s">
        <v>24</v>
      </c>
      <c r="U9" s="53" t="s">
        <v>34</v>
      </c>
      <c r="V9" s="60" t="s">
        <v>35</v>
      </c>
    </row>
    <row r="10" spans="1:22" ht="49.9" customHeight="1" x14ac:dyDescent="0.2">
      <c r="B10" s="16" t="s">
        <v>48</v>
      </c>
      <c r="C10" s="17"/>
      <c r="D10" s="58"/>
      <c r="E10" s="38"/>
      <c r="F10" s="59"/>
      <c r="G10" s="17"/>
      <c r="H10" s="58"/>
      <c r="I10" s="38"/>
      <c r="J10" s="59"/>
      <c r="K10" s="17"/>
      <c r="L10" s="58"/>
      <c r="M10" s="38"/>
      <c r="N10" s="59"/>
      <c r="O10" s="17"/>
      <c r="P10" s="58"/>
      <c r="Q10" s="38"/>
      <c r="R10" s="59"/>
      <c r="S10" s="17"/>
      <c r="T10" s="58"/>
      <c r="U10" s="38"/>
      <c r="V10" s="59"/>
    </row>
    <row r="11" spans="1:22" ht="49.9" customHeight="1" x14ac:dyDescent="0.2">
      <c r="B11" s="16" t="s">
        <v>49</v>
      </c>
      <c r="C11" s="17"/>
      <c r="D11" s="58"/>
      <c r="E11" s="38"/>
      <c r="F11" s="59"/>
      <c r="G11" s="17"/>
      <c r="H11" s="58"/>
      <c r="I11" s="38"/>
      <c r="J11" s="59"/>
      <c r="K11" s="17"/>
      <c r="L11" s="58"/>
      <c r="M11" s="38"/>
      <c r="N11" s="59"/>
      <c r="O11" s="17"/>
      <c r="P11" s="58"/>
      <c r="Q11" s="38"/>
      <c r="R11" s="59"/>
      <c r="S11" s="17"/>
      <c r="T11" s="58"/>
      <c r="U11" s="38"/>
      <c r="V11" s="59"/>
    </row>
    <row r="12" spans="1:22" ht="49.9" customHeight="1" x14ac:dyDescent="0.2">
      <c r="B12" s="18" t="s">
        <v>50</v>
      </c>
      <c r="C12" s="17"/>
      <c r="D12" s="58"/>
      <c r="E12" s="38"/>
      <c r="F12" s="59"/>
      <c r="G12" s="17"/>
      <c r="H12" s="58"/>
      <c r="I12" s="38"/>
      <c r="J12" s="59"/>
      <c r="K12" s="17"/>
      <c r="L12" s="58"/>
      <c r="M12" s="38"/>
      <c r="N12" s="59"/>
      <c r="O12" s="17"/>
      <c r="P12" s="58"/>
      <c r="Q12" s="38"/>
      <c r="R12" s="59"/>
      <c r="S12" s="17"/>
      <c r="T12" s="58"/>
      <c r="U12" s="38"/>
      <c r="V12" s="59"/>
    </row>
    <row r="13" spans="1:22" ht="49.9" customHeight="1" x14ac:dyDescent="0.2">
      <c r="B13" s="18" t="s">
        <v>51</v>
      </c>
      <c r="C13" s="17"/>
      <c r="D13" s="58"/>
      <c r="E13" s="38"/>
      <c r="F13" s="59"/>
      <c r="G13" s="17"/>
      <c r="H13" s="58"/>
      <c r="I13" s="38"/>
      <c r="J13" s="59"/>
      <c r="K13" s="17"/>
      <c r="L13" s="58"/>
      <c r="M13" s="38"/>
      <c r="N13" s="59"/>
      <c r="O13" s="17"/>
      <c r="P13" s="58"/>
      <c r="Q13" s="38"/>
      <c r="R13" s="59"/>
      <c r="S13" s="17"/>
      <c r="T13" s="58"/>
      <c r="U13" s="38"/>
      <c r="V13" s="59"/>
    </row>
    <row r="14" spans="1:22" ht="49.9" customHeight="1" x14ac:dyDescent="0.2">
      <c r="B14" s="16" t="s">
        <v>52</v>
      </c>
      <c r="C14" s="17"/>
      <c r="D14" s="58"/>
      <c r="E14" s="38"/>
      <c r="F14" s="59"/>
      <c r="G14" s="17"/>
      <c r="H14" s="58"/>
      <c r="I14" s="38"/>
      <c r="J14" s="59"/>
      <c r="K14" s="17"/>
      <c r="L14" s="58"/>
      <c r="M14" s="38"/>
      <c r="N14" s="59"/>
      <c r="O14" s="17"/>
      <c r="P14" s="58"/>
      <c r="Q14" s="38"/>
      <c r="R14" s="59"/>
      <c r="S14" s="17"/>
      <c r="T14" s="58"/>
      <c r="U14" s="38"/>
      <c r="V14" s="59"/>
    </row>
    <row r="15" spans="1:22" ht="49.9" customHeight="1" x14ac:dyDescent="0.2">
      <c r="B15" s="16" t="s">
        <v>53</v>
      </c>
      <c r="C15" s="17"/>
      <c r="D15" s="58"/>
      <c r="E15" s="38"/>
      <c r="F15" s="59"/>
      <c r="G15" s="17"/>
      <c r="H15" s="58"/>
      <c r="I15" s="38"/>
      <c r="J15" s="59"/>
      <c r="K15" s="17"/>
      <c r="L15" s="58"/>
      <c r="M15" s="38"/>
      <c r="N15" s="59"/>
      <c r="O15" s="17"/>
      <c r="P15" s="58"/>
      <c r="Q15" s="38"/>
      <c r="R15" s="59"/>
      <c r="S15" s="17"/>
      <c r="T15" s="58"/>
      <c r="U15" s="38"/>
      <c r="V15" s="59"/>
    </row>
    <row r="16" spans="1:22" ht="49.9" customHeight="1" x14ac:dyDescent="0.2">
      <c r="B16" s="18" t="s">
        <v>54</v>
      </c>
      <c r="C16" s="17"/>
      <c r="D16" s="58"/>
      <c r="E16" s="38"/>
      <c r="F16" s="59"/>
      <c r="G16" s="17"/>
      <c r="H16" s="58"/>
      <c r="I16" s="38"/>
      <c r="J16" s="59"/>
      <c r="K16" s="17"/>
      <c r="L16" s="58"/>
      <c r="M16" s="38"/>
      <c r="N16" s="59"/>
      <c r="O16" s="17"/>
      <c r="P16" s="58"/>
      <c r="Q16" s="38"/>
      <c r="R16" s="59"/>
      <c r="S16" s="17"/>
      <c r="T16" s="58"/>
      <c r="U16" s="38"/>
      <c r="V16" s="59"/>
    </row>
    <row r="17" spans="2:22" ht="49.9" customHeight="1" x14ac:dyDescent="0.2">
      <c r="B17" s="18" t="s">
        <v>55</v>
      </c>
      <c r="C17" s="17"/>
      <c r="D17" s="58"/>
      <c r="E17" s="38"/>
      <c r="F17" s="59"/>
      <c r="G17" s="17"/>
      <c r="H17" s="58"/>
      <c r="I17" s="38"/>
      <c r="J17" s="59"/>
      <c r="K17" s="17"/>
      <c r="L17" s="58"/>
      <c r="M17" s="38"/>
      <c r="N17" s="59"/>
      <c r="O17" s="17"/>
      <c r="P17" s="58"/>
      <c r="Q17" s="38"/>
      <c r="R17" s="59"/>
      <c r="S17" s="17"/>
      <c r="T17" s="58"/>
      <c r="U17" s="38"/>
      <c r="V17" s="59"/>
    </row>
    <row r="18" spans="2:22" ht="49.9" customHeight="1" x14ac:dyDescent="0.2">
      <c r="B18" s="16" t="s">
        <v>56</v>
      </c>
      <c r="C18" s="17"/>
      <c r="D18" s="58"/>
      <c r="E18" s="38"/>
      <c r="F18" s="59"/>
      <c r="G18" s="17"/>
      <c r="H18" s="58"/>
      <c r="I18" s="38"/>
      <c r="J18" s="59"/>
      <c r="K18" s="17"/>
      <c r="L18" s="58"/>
      <c r="M18" s="38"/>
      <c r="N18" s="59"/>
      <c r="O18" s="17"/>
      <c r="P18" s="58"/>
      <c r="Q18" s="38"/>
      <c r="R18" s="59"/>
      <c r="S18" s="17"/>
      <c r="T18" s="58"/>
      <c r="U18" s="38"/>
      <c r="V18" s="59"/>
    </row>
    <row r="19" spans="2:22" ht="49.9" customHeight="1" x14ac:dyDescent="0.2">
      <c r="B19" s="16" t="s">
        <v>57</v>
      </c>
      <c r="C19" s="17"/>
      <c r="D19" s="58"/>
      <c r="E19" s="38"/>
      <c r="F19" s="59"/>
      <c r="G19" s="17"/>
      <c r="H19" s="58"/>
      <c r="I19" s="38"/>
      <c r="J19" s="59"/>
      <c r="K19" s="17"/>
      <c r="L19" s="58"/>
      <c r="M19" s="38"/>
      <c r="N19" s="59"/>
      <c r="O19" s="17"/>
      <c r="P19" s="58"/>
      <c r="Q19" s="38"/>
      <c r="R19" s="59"/>
      <c r="S19" s="17"/>
      <c r="T19" s="58"/>
      <c r="U19" s="38"/>
      <c r="V19" s="59"/>
    </row>
    <row r="20" spans="2:22" x14ac:dyDescent="0.25">
      <c r="G20" s="55"/>
      <c r="H20" s="55"/>
    </row>
    <row r="21" spans="2:22" x14ac:dyDescent="0.25">
      <c r="G21" s="56"/>
      <c r="H21" s="56"/>
    </row>
    <row r="22" spans="2:22" x14ac:dyDescent="0.25">
      <c r="G22" s="56"/>
      <c r="H22" s="56"/>
    </row>
    <row r="23" spans="2:22" x14ac:dyDescent="0.25">
      <c r="G23" s="56"/>
      <c r="H23" s="56"/>
    </row>
    <row r="24" spans="2:22" x14ac:dyDescent="0.25">
      <c r="G24" s="56"/>
      <c r="H24" s="56"/>
    </row>
    <row r="25" spans="2:22" x14ac:dyDescent="0.25">
      <c r="G25" s="56"/>
      <c r="H25" s="56"/>
    </row>
    <row r="26" spans="2:22" x14ac:dyDescent="0.25">
      <c r="G26" s="56"/>
      <c r="H26" s="56"/>
    </row>
    <row r="27" spans="2:22" x14ac:dyDescent="0.25">
      <c r="G27" s="56"/>
      <c r="H27" s="56"/>
    </row>
    <row r="28" spans="2:22" x14ac:dyDescent="0.25">
      <c r="G28" s="56"/>
      <c r="H28" s="56"/>
    </row>
    <row r="29" spans="2:22" x14ac:dyDescent="0.25">
      <c r="G29" s="56"/>
      <c r="H29" s="56"/>
    </row>
    <row r="30" spans="2:22" x14ac:dyDescent="0.25">
      <c r="G30" s="56"/>
      <c r="H30" s="56"/>
    </row>
    <row r="31" spans="2:22" x14ac:dyDescent="0.25">
      <c r="G31" s="56"/>
      <c r="H31" s="56"/>
    </row>
    <row r="32" spans="2:22" x14ac:dyDescent="0.25">
      <c r="G32" s="56"/>
      <c r="H32" s="56"/>
    </row>
    <row r="33" spans="7:8" x14ac:dyDescent="0.25">
      <c r="G33" s="56"/>
      <c r="H33" s="56"/>
    </row>
    <row r="34" spans="7:8" x14ac:dyDescent="0.25">
      <c r="G34" s="56"/>
      <c r="H34" s="56"/>
    </row>
    <row r="35" spans="7:8" x14ac:dyDescent="0.25">
      <c r="G35" s="56"/>
      <c r="H35" s="56"/>
    </row>
    <row r="36" spans="7:8" x14ac:dyDescent="0.25">
      <c r="G36" s="56"/>
      <c r="H36" s="56"/>
    </row>
    <row r="37" spans="7:8" x14ac:dyDescent="0.25">
      <c r="G37" s="56"/>
      <c r="H37" s="56"/>
    </row>
    <row r="38" spans="7:8" x14ac:dyDescent="0.25">
      <c r="G38" s="56"/>
      <c r="H38" s="56"/>
    </row>
    <row r="39" spans="7:8" x14ac:dyDescent="0.25">
      <c r="G39" s="56"/>
      <c r="H39" s="56"/>
    </row>
    <row r="40" spans="7:8" x14ac:dyDescent="0.25">
      <c r="G40" s="56"/>
      <c r="H40" s="56"/>
    </row>
    <row r="41" spans="7:8" x14ac:dyDescent="0.25">
      <c r="G41" s="56"/>
      <c r="H41" s="56"/>
    </row>
    <row r="42" spans="7:8" x14ac:dyDescent="0.25">
      <c r="G42" s="56"/>
      <c r="H42" s="56"/>
    </row>
    <row r="43" spans="7:8" x14ac:dyDescent="0.25">
      <c r="G43" s="56"/>
      <c r="H43" s="56"/>
    </row>
    <row r="44" spans="7:8" x14ac:dyDescent="0.25">
      <c r="G44" s="56"/>
      <c r="H44" s="56"/>
    </row>
    <row r="45" spans="7:8" x14ac:dyDescent="0.25">
      <c r="G45" s="56"/>
      <c r="H45" s="56"/>
    </row>
    <row r="46" spans="7:8" x14ac:dyDescent="0.25">
      <c r="G46" s="56"/>
      <c r="H46" s="56"/>
    </row>
    <row r="47" spans="7:8" x14ac:dyDescent="0.25">
      <c r="G47" s="56"/>
      <c r="H47" s="56"/>
    </row>
    <row r="48" spans="7:8" x14ac:dyDescent="0.25">
      <c r="G48" s="56"/>
      <c r="H48" s="56"/>
    </row>
    <row r="49" spans="7:8" x14ac:dyDescent="0.25">
      <c r="G49" s="56"/>
      <c r="H49" s="56"/>
    </row>
    <row r="50" spans="7:8" x14ac:dyDescent="0.25">
      <c r="G50" s="56"/>
      <c r="H50" s="56"/>
    </row>
    <row r="51" spans="7:8" x14ac:dyDescent="0.25">
      <c r="G51" s="56"/>
      <c r="H51" s="56"/>
    </row>
    <row r="52" spans="7:8" x14ac:dyDescent="0.25">
      <c r="G52" s="56"/>
      <c r="H52" s="56"/>
    </row>
    <row r="53" spans="7:8" x14ac:dyDescent="0.25">
      <c r="G53" s="56"/>
      <c r="H53" s="56"/>
    </row>
    <row r="54" spans="7:8" x14ac:dyDescent="0.25">
      <c r="G54" s="56"/>
      <c r="H54" s="56"/>
    </row>
    <row r="55" spans="7:8" x14ac:dyDescent="0.25">
      <c r="G55" s="56"/>
      <c r="H55" s="56"/>
    </row>
    <row r="56" spans="7:8" x14ac:dyDescent="0.25">
      <c r="G56" s="56"/>
      <c r="H56" s="56"/>
    </row>
    <row r="57" spans="7:8" x14ac:dyDescent="0.25">
      <c r="G57" s="56"/>
      <c r="H57" s="56"/>
    </row>
    <row r="58" spans="7:8" x14ac:dyDescent="0.25">
      <c r="G58" s="56"/>
      <c r="H58" s="56"/>
    </row>
    <row r="59" spans="7:8" x14ac:dyDescent="0.25">
      <c r="G59" s="56"/>
      <c r="H59" s="56"/>
    </row>
    <row r="60" spans="7:8" x14ac:dyDescent="0.25">
      <c r="G60" s="56"/>
      <c r="H60" s="56"/>
    </row>
    <row r="61" spans="7:8" x14ac:dyDescent="0.25">
      <c r="G61" s="56"/>
      <c r="H61" s="56"/>
    </row>
    <row r="62" spans="7:8" x14ac:dyDescent="0.25">
      <c r="G62" s="56"/>
      <c r="H62" s="56"/>
    </row>
    <row r="63" spans="7:8" x14ac:dyDescent="0.25">
      <c r="G63" s="56"/>
      <c r="H63" s="56"/>
    </row>
    <row r="64" spans="7:8" x14ac:dyDescent="0.25">
      <c r="G64" s="56"/>
      <c r="H64" s="56"/>
    </row>
    <row r="65" spans="7:8" x14ac:dyDescent="0.25">
      <c r="G65" s="56"/>
      <c r="H65" s="56"/>
    </row>
    <row r="66" spans="7:8" x14ac:dyDescent="0.25">
      <c r="G66" s="56"/>
      <c r="H66" s="56"/>
    </row>
    <row r="67" spans="7:8" x14ac:dyDescent="0.25">
      <c r="G67" s="56"/>
      <c r="H67" s="56"/>
    </row>
    <row r="68" spans="7:8" x14ac:dyDescent="0.25">
      <c r="G68" s="56"/>
      <c r="H68" s="56"/>
    </row>
    <row r="69" spans="7:8" x14ac:dyDescent="0.25">
      <c r="G69" s="56"/>
      <c r="H69" s="56"/>
    </row>
    <row r="70" spans="7:8" x14ac:dyDescent="0.25">
      <c r="G70" s="56"/>
      <c r="H70" s="56"/>
    </row>
    <row r="71" spans="7:8" x14ac:dyDescent="0.25">
      <c r="G71" s="56"/>
      <c r="H71" s="56"/>
    </row>
    <row r="72" spans="7:8" x14ac:dyDescent="0.25">
      <c r="G72" s="56"/>
      <c r="H72" s="56"/>
    </row>
    <row r="73" spans="7:8" x14ac:dyDescent="0.25">
      <c r="G73" s="56"/>
      <c r="H73" s="56"/>
    </row>
    <row r="74" spans="7:8" x14ac:dyDescent="0.25">
      <c r="G74" s="56"/>
      <c r="H74" s="56"/>
    </row>
  </sheetData>
  <pageMargins left="0.25" right="0.25" top="0.5" bottom="1" header="0.3" footer="0.53"/>
  <pageSetup scale="63" orientation="landscape" r:id="rId1"/>
  <headerFooter>
    <oddFooter>&amp;R&amp;Z&amp;F
&amp;P of &amp;N
smm</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T14"/>
  <sheetViews>
    <sheetView workbookViewId="0">
      <selection activeCell="Q41" sqref="Q41"/>
    </sheetView>
  </sheetViews>
  <sheetFormatPr defaultRowHeight="15" x14ac:dyDescent="0.25"/>
  <sheetData>
    <row r="1" spans="1:20" ht="24.6" customHeight="1" x14ac:dyDescent="0.25">
      <c r="A1" s="80">
        <v>2015</v>
      </c>
      <c r="B1" s="80"/>
      <c r="M1" s="80">
        <v>2014</v>
      </c>
      <c r="N1" s="80"/>
    </row>
    <row r="2" spans="1:20" x14ac:dyDescent="0.25">
      <c r="A2" s="77" t="s">
        <v>20</v>
      </c>
      <c r="B2" s="77"/>
      <c r="C2" s="74">
        <v>42157</v>
      </c>
      <c r="D2" s="75">
        <v>42170</v>
      </c>
      <c r="E2" s="75">
        <v>42184</v>
      </c>
      <c r="F2" s="75">
        <v>42198</v>
      </c>
      <c r="G2" s="75">
        <v>42212</v>
      </c>
      <c r="H2" s="75">
        <v>42227</v>
      </c>
      <c r="I2" s="75">
        <v>42243</v>
      </c>
      <c r="M2" s="77" t="s">
        <v>20</v>
      </c>
      <c r="N2" s="77"/>
      <c r="O2" s="74" t="s">
        <v>74</v>
      </c>
      <c r="P2" s="75">
        <v>41806</v>
      </c>
      <c r="Q2" s="75">
        <v>41820</v>
      </c>
      <c r="R2" s="75">
        <v>41834</v>
      </c>
      <c r="S2" s="75">
        <v>41848</v>
      </c>
      <c r="T2" s="75">
        <v>41863</v>
      </c>
    </row>
    <row r="3" spans="1:20" x14ac:dyDescent="0.25">
      <c r="A3" s="77" t="s">
        <v>27</v>
      </c>
      <c r="B3" s="77"/>
      <c r="C3" s="76">
        <v>153</v>
      </c>
      <c r="D3" s="76">
        <v>166</v>
      </c>
      <c r="E3" s="76">
        <v>180</v>
      </c>
      <c r="F3" s="76">
        <v>194</v>
      </c>
      <c r="G3" s="76">
        <v>208</v>
      </c>
      <c r="H3" s="76">
        <v>223</v>
      </c>
      <c r="I3" s="76">
        <v>236</v>
      </c>
      <c r="M3" s="77" t="s">
        <v>27</v>
      </c>
      <c r="N3" s="77"/>
      <c r="O3" s="73">
        <v>154</v>
      </c>
      <c r="P3" s="73">
        <v>167</v>
      </c>
      <c r="Q3" s="73">
        <v>181</v>
      </c>
      <c r="R3" s="73">
        <v>195</v>
      </c>
      <c r="S3" s="73">
        <v>209</v>
      </c>
      <c r="T3" s="73">
        <v>224</v>
      </c>
    </row>
    <row r="4" spans="1:20" x14ac:dyDescent="0.25">
      <c r="A4" s="78" t="s">
        <v>64</v>
      </c>
      <c r="B4" s="78" t="s">
        <v>6</v>
      </c>
      <c r="C4" s="81">
        <f>AVERAGE('Summary-Plant Heights'!E10:E14)</f>
        <v>13.4</v>
      </c>
      <c r="D4">
        <f>AVERAGE('Summary-Plant Heights'!F10:F14)</f>
        <v>33.6</v>
      </c>
      <c r="E4">
        <f>AVERAGE('Summary-Plant Heights'!G10:G14)</f>
        <v>52.8</v>
      </c>
      <c r="F4">
        <f>AVERAGE('Summary-Plant Heights'!H10:H14)</f>
        <v>67.8</v>
      </c>
      <c r="G4">
        <f>AVERAGE('Summary-Plant Heights'!I10:I14)</f>
        <v>83.8</v>
      </c>
      <c r="H4">
        <f>AVERAGE('Summary-Plant Heights'!J10:J14)</f>
        <v>92.2</v>
      </c>
      <c r="I4">
        <f>AVERAGE('Summary-Plant Heights'!K10:K14)</f>
        <v>90.8</v>
      </c>
      <c r="M4" s="78" t="s">
        <v>63</v>
      </c>
      <c r="N4" s="78" t="s">
        <v>5</v>
      </c>
      <c r="O4" s="81">
        <v>18.3333333333333</v>
      </c>
      <c r="P4" s="81">
        <v>37.5</v>
      </c>
      <c r="Q4" s="81">
        <v>50.666666666666664</v>
      </c>
      <c r="R4" s="81">
        <v>67.333333333333329</v>
      </c>
      <c r="S4" s="81">
        <v>66.666666666666671</v>
      </c>
      <c r="T4" s="81">
        <v>71.333333333333329</v>
      </c>
    </row>
    <row r="5" spans="1:20" x14ac:dyDescent="0.25">
      <c r="A5" s="78" t="s">
        <v>65</v>
      </c>
      <c r="B5" s="78" t="s">
        <v>7</v>
      </c>
      <c r="C5" s="81">
        <f>AVERAGE('Summary-Plant Heights'!E15:E19)</f>
        <v>12.4</v>
      </c>
      <c r="D5">
        <f>AVERAGE('Summary-Plant Heights'!F15:F19)</f>
        <v>32</v>
      </c>
      <c r="E5">
        <f>AVERAGE('Summary-Plant Heights'!G15:G19)</f>
        <v>49.8</v>
      </c>
      <c r="F5">
        <f>AVERAGE('Summary-Plant Heights'!H15:H19)</f>
        <v>69</v>
      </c>
      <c r="G5">
        <f>AVERAGE('Summary-Plant Heights'!I15:I19)</f>
        <v>82.4</v>
      </c>
      <c r="H5">
        <f>AVERAGE('Summary-Plant Heights'!J15:J19)</f>
        <v>92.2</v>
      </c>
      <c r="I5">
        <f>AVERAGE('Summary-Plant Heights'!K15:K19)</f>
        <v>96</v>
      </c>
      <c r="M5" s="78" t="s">
        <v>64</v>
      </c>
      <c r="N5" s="78" t="s">
        <v>6</v>
      </c>
      <c r="O5" s="81">
        <v>17</v>
      </c>
      <c r="P5" s="81">
        <v>34.5</v>
      </c>
      <c r="Q5" s="81">
        <v>63.833333333333336</v>
      </c>
      <c r="R5" s="81">
        <v>90</v>
      </c>
      <c r="S5" s="81">
        <v>98.166666666666671</v>
      </c>
      <c r="T5" s="81">
        <v>98.833333333333329</v>
      </c>
    </row>
    <row r="6" spans="1:20" x14ac:dyDescent="0.25">
      <c r="A6" s="78" t="s">
        <v>66</v>
      </c>
      <c r="B6" s="78" t="s">
        <v>8</v>
      </c>
      <c r="C6" s="81">
        <f>AVERAGE('Summary-Plant Heights'!E20:E24)</f>
        <v>12</v>
      </c>
      <c r="D6">
        <f>AVERAGE('Summary-Plant Heights'!F20:F24)</f>
        <v>30.4</v>
      </c>
      <c r="E6">
        <f>AVERAGE('Summary-Plant Heights'!G20:G24)</f>
        <v>51.2</v>
      </c>
      <c r="F6">
        <f>AVERAGE('Summary-Plant Heights'!H20:H24)</f>
        <v>67.400000000000006</v>
      </c>
      <c r="G6">
        <f>AVERAGE('Summary-Plant Heights'!I20:I24)</f>
        <v>83</v>
      </c>
      <c r="H6">
        <f>AVERAGE('Summary-Plant Heights'!J20:J24)</f>
        <v>95.2</v>
      </c>
      <c r="I6">
        <f>AVERAGE('Summary-Plant Heights'!K20:K24)</f>
        <v>95.2</v>
      </c>
      <c r="M6" s="78" t="s">
        <v>65</v>
      </c>
      <c r="N6" s="78" t="s">
        <v>7</v>
      </c>
      <c r="O6" s="81">
        <v>19.5</v>
      </c>
      <c r="P6" s="81">
        <v>34.666666666666664</v>
      </c>
      <c r="Q6" s="81">
        <v>59.833333333333336</v>
      </c>
      <c r="R6" s="81">
        <v>91</v>
      </c>
      <c r="S6" s="81">
        <v>104</v>
      </c>
      <c r="T6" s="81">
        <v>105</v>
      </c>
    </row>
    <row r="7" spans="1:20" x14ac:dyDescent="0.25">
      <c r="A7" s="78" t="s">
        <v>67</v>
      </c>
      <c r="B7" s="78" t="s">
        <v>9</v>
      </c>
      <c r="C7" s="81">
        <f>AVERAGE('Summary-Plant Heights'!E25:E29)</f>
        <v>12.4</v>
      </c>
      <c r="D7">
        <f>AVERAGE('Summary-Plant Heights'!F25:F29)</f>
        <v>29.6</v>
      </c>
      <c r="E7">
        <f>AVERAGE('Summary-Plant Heights'!G25:G29)</f>
        <v>49.6</v>
      </c>
      <c r="F7">
        <f>AVERAGE('Summary-Plant Heights'!H25:H29)</f>
        <v>66</v>
      </c>
      <c r="G7">
        <f>AVERAGE('Summary-Plant Heights'!I25:I29)</f>
        <v>79.8</v>
      </c>
      <c r="H7">
        <f>AVERAGE('Summary-Plant Heights'!J25:J29)</f>
        <v>87.6</v>
      </c>
      <c r="I7">
        <f>AVERAGE('Summary-Plant Heights'!K25:K29)</f>
        <v>87.6</v>
      </c>
      <c r="M7" s="78" t="s">
        <v>66</v>
      </c>
      <c r="N7" s="78" t="s">
        <v>8</v>
      </c>
      <c r="O7" s="81">
        <v>20.166666666666668</v>
      </c>
      <c r="P7" s="81">
        <v>37.833333333333336</v>
      </c>
      <c r="Q7" s="81">
        <v>67.166666666666671</v>
      </c>
      <c r="R7" s="81">
        <v>90.5</v>
      </c>
      <c r="S7" s="81">
        <v>98.166666666666671</v>
      </c>
      <c r="T7" s="81">
        <v>101.66666666666667</v>
      </c>
    </row>
    <row r="8" spans="1:20" x14ac:dyDescent="0.25">
      <c r="A8" s="78" t="s">
        <v>68</v>
      </c>
      <c r="B8" s="78" t="s">
        <v>5</v>
      </c>
      <c r="C8" s="81">
        <f>AVERAGE('Summary-Plant Heights'!E30:E34)</f>
        <v>12.2</v>
      </c>
      <c r="D8">
        <f>AVERAGE('Summary-Plant Heights'!F30:F34)</f>
        <v>33</v>
      </c>
      <c r="E8">
        <f>AVERAGE('Summary-Plant Heights'!G30:G34)</f>
        <v>54.8</v>
      </c>
      <c r="F8">
        <f>AVERAGE('Summary-Plant Heights'!H30:H34)</f>
        <v>68.8</v>
      </c>
      <c r="G8">
        <f>AVERAGE('Summary-Plant Heights'!I30:I34)</f>
        <v>83</v>
      </c>
      <c r="H8">
        <f>AVERAGE('Summary-Plant Heights'!J30:J34)</f>
        <v>86.6</v>
      </c>
      <c r="I8">
        <f>AVERAGE('Summary-Plant Heights'!K30:K34)</f>
        <v>84.2</v>
      </c>
      <c r="M8" s="78" t="s">
        <v>67</v>
      </c>
      <c r="N8" s="78" t="s">
        <v>9</v>
      </c>
      <c r="O8" s="81">
        <v>21.666666666666668</v>
      </c>
      <c r="P8" s="81">
        <v>38.166666666666664</v>
      </c>
      <c r="Q8" s="81">
        <v>68.333333333333329</v>
      </c>
      <c r="R8" s="81">
        <v>97.166666666666671</v>
      </c>
      <c r="S8" s="81">
        <v>102.16666666666667</v>
      </c>
      <c r="T8" s="81">
        <v>108</v>
      </c>
    </row>
    <row r="9" spans="1:20" x14ac:dyDescent="0.25">
      <c r="A9" s="78" t="s">
        <v>69</v>
      </c>
      <c r="B9" s="78" t="s">
        <v>7</v>
      </c>
      <c r="C9" s="81">
        <f>AVERAGE('Summary-Plant Heights'!E35:E39)</f>
        <v>11.6</v>
      </c>
      <c r="D9">
        <f>AVERAGE('Summary-Plant Heights'!F35:F39)</f>
        <v>31</v>
      </c>
      <c r="E9">
        <f>AVERAGE('Summary-Plant Heights'!G35:G39)</f>
        <v>47.4</v>
      </c>
      <c r="F9">
        <f>AVERAGE('Summary-Plant Heights'!H35:H39)</f>
        <v>63.6</v>
      </c>
      <c r="G9">
        <f>AVERAGE('Summary-Plant Heights'!I35:I39)</f>
        <v>77.400000000000006</v>
      </c>
      <c r="H9">
        <f>AVERAGE('Summary-Plant Heights'!J35:J39)</f>
        <v>89</v>
      </c>
      <c r="I9">
        <f>AVERAGE('Summary-Plant Heights'!K35:K39)</f>
        <v>96</v>
      </c>
      <c r="M9" s="78" t="s">
        <v>68</v>
      </c>
      <c r="N9" s="78" t="s">
        <v>5</v>
      </c>
      <c r="O9" s="81">
        <v>19.666666666666668</v>
      </c>
      <c r="P9" s="81">
        <v>33.666666666666664</v>
      </c>
      <c r="Q9" s="81">
        <v>51.5</v>
      </c>
      <c r="R9" s="81">
        <v>68.333333333333329</v>
      </c>
      <c r="S9" s="81">
        <v>70.5</v>
      </c>
      <c r="T9" s="81">
        <v>75.833333333333329</v>
      </c>
    </row>
    <row r="10" spans="1:20" x14ac:dyDescent="0.25">
      <c r="A10" s="78" t="s">
        <v>70</v>
      </c>
      <c r="B10" s="78" t="s">
        <v>8</v>
      </c>
      <c r="C10" s="81">
        <f>AVERAGE('Summary-Plant Heights'!E40:E44)</f>
        <v>11.2</v>
      </c>
      <c r="D10">
        <f>AVERAGE('Summary-Plant Heights'!F40:F44)</f>
        <v>34.4</v>
      </c>
      <c r="E10">
        <f>AVERAGE('Summary-Plant Heights'!G40:G44)</f>
        <v>54</v>
      </c>
      <c r="F10">
        <f>AVERAGE('Summary-Plant Heights'!H40:H44)</f>
        <v>70</v>
      </c>
      <c r="G10">
        <f>AVERAGE('Summary-Plant Heights'!I40:I44)</f>
        <v>87.2</v>
      </c>
      <c r="H10">
        <f>AVERAGE('Summary-Plant Heights'!J40:J44)</f>
        <v>96.4</v>
      </c>
      <c r="I10">
        <f>AVERAGE('Summary-Plant Heights'!K40:K44)</f>
        <v>104</v>
      </c>
      <c r="M10" s="78" t="s">
        <v>69</v>
      </c>
      <c r="N10" s="78" t="s">
        <v>7</v>
      </c>
      <c r="O10" s="81">
        <v>20.666666666666668</v>
      </c>
      <c r="P10" s="81">
        <v>31.666666666666668</v>
      </c>
      <c r="Q10" s="81">
        <v>58.166666666666664</v>
      </c>
      <c r="R10" s="81">
        <v>85.833333333333329</v>
      </c>
      <c r="S10" s="81">
        <v>102.16666666666667</v>
      </c>
      <c r="T10" s="81">
        <v>108.5</v>
      </c>
    </row>
    <row r="11" spans="1:20" x14ac:dyDescent="0.25">
      <c r="A11" s="78" t="s">
        <v>71</v>
      </c>
      <c r="B11" s="78" t="s">
        <v>9</v>
      </c>
      <c r="C11" s="81">
        <f>AVERAGE('Summary-Plant Heights'!E45:E49)</f>
        <v>11.6</v>
      </c>
      <c r="D11">
        <f>AVERAGE('Summary-Plant Heights'!F45:F49)</f>
        <v>32.799999999999997</v>
      </c>
      <c r="E11">
        <f>AVERAGE('Summary-Plant Heights'!G45:G49)</f>
        <v>50.8</v>
      </c>
      <c r="F11">
        <f>AVERAGE('Summary-Plant Heights'!H45:H49)</f>
        <v>70.400000000000006</v>
      </c>
      <c r="G11">
        <f>AVERAGE('Summary-Plant Heights'!I45:I49)</f>
        <v>83.8</v>
      </c>
      <c r="H11">
        <f>AVERAGE('Summary-Plant Heights'!J45:J49)</f>
        <v>93.6</v>
      </c>
      <c r="I11">
        <f>AVERAGE('Summary-Plant Heights'!K45:K49)</f>
        <v>95</v>
      </c>
      <c r="M11" s="78" t="s">
        <v>70</v>
      </c>
      <c r="N11" s="78" t="s">
        <v>8</v>
      </c>
      <c r="O11" s="81">
        <v>19.833333333333332</v>
      </c>
      <c r="P11" s="81">
        <v>36.5</v>
      </c>
      <c r="Q11" s="81">
        <v>61</v>
      </c>
      <c r="R11" s="81">
        <v>87.666666666666671</v>
      </c>
      <c r="S11" s="81">
        <v>92</v>
      </c>
      <c r="T11" s="81">
        <v>95.833333333333329</v>
      </c>
    </row>
    <row r="12" spans="1:20" x14ac:dyDescent="0.25">
      <c r="A12" s="78" t="s">
        <v>72</v>
      </c>
      <c r="B12" s="78" t="s">
        <v>6</v>
      </c>
      <c r="C12" s="81">
        <f>AVERAGE('Summary-Plant Heights'!E50:E54)</f>
        <v>12</v>
      </c>
      <c r="D12">
        <f>AVERAGE('Summary-Plant Heights'!F50:F54)</f>
        <v>34.200000000000003</v>
      </c>
      <c r="E12">
        <f>AVERAGE('Summary-Plant Heights'!G50:G54)</f>
        <v>54.6</v>
      </c>
      <c r="F12">
        <f>AVERAGE('Summary-Plant Heights'!H50:H54)</f>
        <v>69.2</v>
      </c>
      <c r="G12">
        <f>AVERAGE('Summary-Plant Heights'!I50:I54)</f>
        <v>83</v>
      </c>
      <c r="H12">
        <f>AVERAGE('Summary-Plant Heights'!J50:J54)</f>
        <v>94</v>
      </c>
      <c r="I12">
        <f>AVERAGE('Summary-Plant Heights'!K50:K54)</f>
        <v>99.6</v>
      </c>
      <c r="M12" s="78" t="s">
        <v>71</v>
      </c>
      <c r="N12" s="78" t="s">
        <v>9</v>
      </c>
      <c r="O12" s="81">
        <v>20.666666666666668</v>
      </c>
      <c r="P12" s="81">
        <v>35.333333333333336</v>
      </c>
      <c r="Q12" s="81">
        <v>58.166666666666664</v>
      </c>
      <c r="R12" s="81">
        <v>86.166666666666671</v>
      </c>
      <c r="S12" s="81">
        <v>97.833333333333329</v>
      </c>
      <c r="T12" s="81">
        <v>105</v>
      </c>
    </row>
    <row r="13" spans="1:20" x14ac:dyDescent="0.25">
      <c r="A13" s="78" t="s">
        <v>73</v>
      </c>
      <c r="B13" s="78" t="s">
        <v>5</v>
      </c>
      <c r="C13" s="81">
        <f>AVERAGE('Summary-Plant Heights'!E55:E59)</f>
        <v>10.4</v>
      </c>
      <c r="D13">
        <f>AVERAGE('Summary-Plant Heights'!F55:F59)</f>
        <v>29.6</v>
      </c>
      <c r="E13">
        <f>AVERAGE('Summary-Plant Heights'!G55:G59)</f>
        <v>50.6</v>
      </c>
      <c r="F13">
        <f>AVERAGE('Summary-Plant Heights'!H55:H59)</f>
        <v>66</v>
      </c>
      <c r="G13">
        <f>AVERAGE('Summary-Plant Heights'!I55:I59)</f>
        <v>74.400000000000006</v>
      </c>
      <c r="H13">
        <f>AVERAGE('Summary-Plant Heights'!J55:J59)</f>
        <v>76.400000000000006</v>
      </c>
      <c r="I13">
        <f>AVERAGE('Summary-Plant Heights'!K55:K59)</f>
        <v>78</v>
      </c>
      <c r="M13" s="78" t="s">
        <v>72</v>
      </c>
      <c r="N13" s="78" t="s">
        <v>6</v>
      </c>
      <c r="O13" s="81">
        <v>22.166666666666668</v>
      </c>
      <c r="P13" s="81">
        <v>37.333333333333336</v>
      </c>
      <c r="Q13" s="81">
        <v>61.666666666666664</v>
      </c>
      <c r="R13" s="81">
        <v>79.5</v>
      </c>
      <c r="S13" s="81">
        <v>84.166666666666671</v>
      </c>
      <c r="T13" s="81">
        <v>91.666666666666671</v>
      </c>
    </row>
    <row r="14" spans="1:20" x14ac:dyDescent="0.25">
      <c r="A14" s="79"/>
      <c r="B14" s="79"/>
      <c r="M14" s="78" t="s">
        <v>73</v>
      </c>
      <c r="N14" s="78" t="s">
        <v>75</v>
      </c>
      <c r="O14" s="81">
        <v>19.5</v>
      </c>
      <c r="P14" s="81">
        <v>35</v>
      </c>
      <c r="Q14" s="81">
        <v>53</v>
      </c>
      <c r="R14" s="81">
        <v>76.166666666666671</v>
      </c>
      <c r="S14" s="81">
        <v>89.333333333333329</v>
      </c>
      <c r="T14" s="81">
        <v>94</v>
      </c>
    </row>
  </sheetData>
  <pageMargins left="0.7" right="0.7" top="0.75" bottom="0.75" header="0.3" footer="0.3"/>
  <pageSetup orientation="portrait" r:id="rId1"/>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99F068-8A00-448C-B013-7CB7EF546F08}">
  <dimension ref="A1:N23"/>
  <sheetViews>
    <sheetView workbookViewId="0">
      <selection activeCell="H31" sqref="H31"/>
    </sheetView>
  </sheetViews>
  <sheetFormatPr defaultRowHeight="15" x14ac:dyDescent="0.25"/>
  <cols>
    <col min="1" max="1" width="7.28515625" customWidth="1"/>
    <col min="2" max="2" width="9.42578125" customWidth="1"/>
  </cols>
  <sheetData>
    <row r="1" spans="1:14" ht="22.15" customHeight="1" x14ac:dyDescent="0.3">
      <c r="A1" s="125">
        <v>2015</v>
      </c>
      <c r="B1" s="114" t="s">
        <v>180</v>
      </c>
      <c r="C1" s="125" t="s">
        <v>179</v>
      </c>
    </row>
    <row r="3" spans="1:14" x14ac:dyDescent="0.25">
      <c r="B3" s="73" t="s">
        <v>178</v>
      </c>
    </row>
    <row r="4" spans="1:14" x14ac:dyDescent="0.25">
      <c r="B4" s="73"/>
    </row>
    <row r="5" spans="1:14" x14ac:dyDescent="0.25">
      <c r="B5" s="133">
        <v>42129</v>
      </c>
      <c r="C5" s="133">
        <v>42130</v>
      </c>
      <c r="D5" s="133">
        <v>42131</v>
      </c>
      <c r="E5" s="133">
        <v>42132</v>
      </c>
      <c r="F5" s="133">
        <v>42135</v>
      </c>
      <c r="G5" s="133">
        <v>42137</v>
      </c>
      <c r="H5" s="133">
        <v>42139</v>
      </c>
      <c r="I5" s="133">
        <v>42143</v>
      </c>
      <c r="J5" s="133">
        <v>42144</v>
      </c>
      <c r="K5" s="132"/>
      <c r="L5" s="132"/>
      <c r="M5" s="132"/>
    </row>
    <row r="6" spans="1:14" x14ac:dyDescent="0.25">
      <c r="B6" s="132" t="s">
        <v>177</v>
      </c>
      <c r="C6" s="132" t="s">
        <v>176</v>
      </c>
      <c r="D6" s="132" t="s">
        <v>175</v>
      </c>
      <c r="E6" s="132" t="s">
        <v>174</v>
      </c>
      <c r="F6" s="132" t="s">
        <v>173</v>
      </c>
      <c r="G6" s="132" t="s">
        <v>172</v>
      </c>
      <c r="H6" s="132">
        <v>135</v>
      </c>
      <c r="I6" s="132">
        <v>139</v>
      </c>
      <c r="J6" s="132">
        <v>140</v>
      </c>
      <c r="K6" s="132"/>
      <c r="L6" s="132"/>
      <c r="M6" s="132"/>
    </row>
    <row r="7" spans="1:14" x14ac:dyDescent="0.25">
      <c r="A7" s="102" t="s">
        <v>171</v>
      </c>
      <c r="B7" s="131" t="s">
        <v>170</v>
      </c>
      <c r="C7" s="131" t="s">
        <v>169</v>
      </c>
      <c r="D7" s="131" t="s">
        <v>168</v>
      </c>
      <c r="E7" s="131" t="s">
        <v>167</v>
      </c>
      <c r="F7" s="131" t="s">
        <v>166</v>
      </c>
      <c r="G7" s="131" t="s">
        <v>166</v>
      </c>
      <c r="H7" s="131" t="s">
        <v>165</v>
      </c>
      <c r="I7" s="131" t="s">
        <v>164</v>
      </c>
      <c r="J7" s="131" t="s">
        <v>163</v>
      </c>
      <c r="K7" s="131"/>
      <c r="L7" s="131"/>
      <c r="M7" s="130"/>
      <c r="N7" s="129"/>
    </row>
    <row r="8" spans="1:14" x14ac:dyDescent="0.25">
      <c r="A8" s="127">
        <v>2</v>
      </c>
      <c r="B8" s="126">
        <v>12</v>
      </c>
      <c r="C8" s="126">
        <v>13</v>
      </c>
      <c r="D8" s="126">
        <v>13</v>
      </c>
      <c r="E8" s="126">
        <v>13</v>
      </c>
      <c r="F8" s="126">
        <v>14</v>
      </c>
      <c r="G8" s="126">
        <v>14</v>
      </c>
      <c r="H8" s="126">
        <v>14</v>
      </c>
      <c r="I8" s="126">
        <v>14</v>
      </c>
      <c r="J8" s="126">
        <v>14</v>
      </c>
      <c r="K8" s="126"/>
      <c r="L8" s="126"/>
      <c r="M8" s="126"/>
      <c r="N8" s="128"/>
    </row>
    <row r="9" spans="1:14" x14ac:dyDescent="0.25">
      <c r="A9" s="127">
        <v>3</v>
      </c>
      <c r="B9" s="126">
        <v>3</v>
      </c>
      <c r="C9" s="126">
        <v>4</v>
      </c>
      <c r="D9" s="126">
        <v>4</v>
      </c>
      <c r="E9" s="126">
        <v>4</v>
      </c>
      <c r="F9" s="126">
        <v>5</v>
      </c>
      <c r="G9" s="126">
        <v>7</v>
      </c>
      <c r="H9" s="126">
        <v>7</v>
      </c>
      <c r="I9" s="126">
        <v>7</v>
      </c>
      <c r="J9" s="126">
        <v>7</v>
      </c>
      <c r="K9" s="126"/>
      <c r="L9" s="126"/>
      <c r="M9" s="126"/>
      <c r="N9" s="126"/>
    </row>
    <row r="10" spans="1:14" x14ac:dyDescent="0.25">
      <c r="A10" s="127">
        <v>4</v>
      </c>
      <c r="B10" s="126">
        <v>9</v>
      </c>
      <c r="C10" s="126">
        <v>9</v>
      </c>
      <c r="D10" s="126">
        <v>10</v>
      </c>
      <c r="E10" s="126">
        <v>10</v>
      </c>
      <c r="F10" s="126">
        <v>10</v>
      </c>
      <c r="G10" s="126">
        <v>10</v>
      </c>
      <c r="H10" s="126">
        <v>11</v>
      </c>
      <c r="I10" s="126">
        <v>11</v>
      </c>
      <c r="J10" s="126">
        <v>11</v>
      </c>
      <c r="K10" s="126"/>
      <c r="L10" s="126"/>
      <c r="M10" s="126"/>
      <c r="N10" s="126"/>
    </row>
    <row r="11" spans="1:14" x14ac:dyDescent="0.25">
      <c r="A11" s="127">
        <v>5</v>
      </c>
      <c r="B11" s="126">
        <v>1</v>
      </c>
      <c r="C11" s="126">
        <v>3</v>
      </c>
      <c r="D11" s="126">
        <v>6</v>
      </c>
      <c r="E11" s="126">
        <v>7</v>
      </c>
      <c r="F11" s="126">
        <v>8</v>
      </c>
      <c r="G11" s="126">
        <v>8</v>
      </c>
      <c r="H11" s="126">
        <v>8</v>
      </c>
      <c r="I11" s="126">
        <v>9</v>
      </c>
      <c r="J11" s="126">
        <v>9</v>
      </c>
      <c r="K11" s="126"/>
      <c r="L11" s="126"/>
      <c r="M11" s="126"/>
      <c r="N11" s="126"/>
    </row>
    <row r="12" spans="1:14" x14ac:dyDescent="0.25">
      <c r="A12" s="127">
        <v>6</v>
      </c>
      <c r="B12" s="126">
        <v>3</v>
      </c>
      <c r="C12" s="126">
        <v>6</v>
      </c>
      <c r="D12" s="126">
        <v>7</v>
      </c>
      <c r="E12" s="126">
        <v>7</v>
      </c>
      <c r="F12" s="126">
        <v>9</v>
      </c>
      <c r="G12" s="126">
        <v>9</v>
      </c>
      <c r="H12" s="126">
        <v>9</v>
      </c>
      <c r="I12" s="126">
        <v>10</v>
      </c>
      <c r="J12" s="126">
        <v>10</v>
      </c>
      <c r="K12" s="126"/>
      <c r="L12" s="126"/>
      <c r="M12" s="126"/>
      <c r="N12" s="126"/>
    </row>
    <row r="13" spans="1:14" x14ac:dyDescent="0.25">
      <c r="A13" s="127">
        <v>7</v>
      </c>
      <c r="B13" s="126">
        <v>5</v>
      </c>
      <c r="C13" s="126">
        <v>8</v>
      </c>
      <c r="D13" s="126">
        <v>8</v>
      </c>
      <c r="E13" s="126">
        <v>8</v>
      </c>
      <c r="F13" s="126">
        <v>10</v>
      </c>
      <c r="G13" s="126">
        <v>10</v>
      </c>
      <c r="H13" s="126">
        <v>10</v>
      </c>
      <c r="I13" s="126">
        <v>9</v>
      </c>
      <c r="J13" s="126">
        <v>9</v>
      </c>
      <c r="K13" s="126"/>
      <c r="L13" s="126"/>
      <c r="M13" s="126"/>
      <c r="N13" s="126"/>
    </row>
    <row r="14" spans="1:14" x14ac:dyDescent="0.25">
      <c r="A14" s="127">
        <v>8</v>
      </c>
      <c r="B14" s="126">
        <v>4</v>
      </c>
      <c r="C14" s="126">
        <v>6</v>
      </c>
      <c r="D14" s="126">
        <v>8</v>
      </c>
      <c r="E14" s="126">
        <v>9</v>
      </c>
      <c r="F14" s="126">
        <v>10</v>
      </c>
      <c r="G14" s="126">
        <v>11</v>
      </c>
      <c r="H14" s="126">
        <v>11</v>
      </c>
      <c r="I14" s="126">
        <v>12</v>
      </c>
      <c r="J14" s="126">
        <v>12</v>
      </c>
      <c r="K14" s="126"/>
      <c r="L14" s="126"/>
      <c r="M14" s="126"/>
      <c r="N14" s="126"/>
    </row>
    <row r="15" spans="1:14" x14ac:dyDescent="0.25">
      <c r="A15" s="127">
        <v>9</v>
      </c>
      <c r="B15" s="126">
        <v>4</v>
      </c>
      <c r="C15" s="126">
        <v>5</v>
      </c>
      <c r="D15" s="126">
        <v>6</v>
      </c>
      <c r="E15" s="126">
        <v>7</v>
      </c>
      <c r="F15" s="126">
        <v>8</v>
      </c>
      <c r="G15" s="126">
        <v>8</v>
      </c>
      <c r="H15" s="126">
        <v>9</v>
      </c>
      <c r="I15" s="126">
        <v>9</v>
      </c>
      <c r="J15" s="126">
        <v>9</v>
      </c>
      <c r="K15" s="126"/>
      <c r="L15" s="126"/>
      <c r="M15" s="126"/>
      <c r="N15" s="126"/>
    </row>
    <row r="16" spans="1:14" x14ac:dyDescent="0.25">
      <c r="A16" s="127">
        <v>10</v>
      </c>
      <c r="B16" s="126">
        <v>4</v>
      </c>
      <c r="C16" s="126">
        <v>7</v>
      </c>
      <c r="D16" s="126">
        <v>7</v>
      </c>
      <c r="E16" s="126">
        <v>7</v>
      </c>
      <c r="F16" s="126">
        <v>7</v>
      </c>
      <c r="G16" s="126">
        <v>7</v>
      </c>
      <c r="H16" s="126">
        <v>8</v>
      </c>
      <c r="I16" s="126">
        <v>8</v>
      </c>
      <c r="J16" s="126">
        <v>8</v>
      </c>
      <c r="K16" s="126"/>
      <c r="L16" s="126"/>
      <c r="M16" s="126"/>
      <c r="N16" s="126"/>
    </row>
    <row r="17" spans="1:14" x14ac:dyDescent="0.25">
      <c r="A17" s="127">
        <v>11</v>
      </c>
      <c r="B17" s="126">
        <v>6</v>
      </c>
      <c r="C17" s="126">
        <v>7</v>
      </c>
      <c r="D17" s="126">
        <v>8</v>
      </c>
      <c r="E17" s="126">
        <v>8</v>
      </c>
      <c r="F17" s="126">
        <v>9</v>
      </c>
      <c r="G17" s="126">
        <v>9</v>
      </c>
      <c r="H17" s="126">
        <v>9</v>
      </c>
      <c r="I17" s="126">
        <v>9</v>
      </c>
      <c r="J17" s="126">
        <v>9</v>
      </c>
      <c r="K17" s="126"/>
      <c r="L17" s="126"/>
      <c r="M17" s="126"/>
      <c r="N17" s="126"/>
    </row>
    <row r="19" spans="1:14" x14ac:dyDescent="0.25">
      <c r="B19">
        <f t="shared" ref="B19:J19" si="0">AVERAGE(B8:B17)</f>
        <v>5.0999999999999996</v>
      </c>
      <c r="C19">
        <f t="shared" si="0"/>
        <v>6.8</v>
      </c>
      <c r="D19">
        <f t="shared" si="0"/>
        <v>7.7</v>
      </c>
      <c r="E19">
        <f t="shared" si="0"/>
        <v>8</v>
      </c>
      <c r="F19">
        <f t="shared" si="0"/>
        <v>9</v>
      </c>
      <c r="G19">
        <f t="shared" si="0"/>
        <v>9.3000000000000007</v>
      </c>
      <c r="H19">
        <f t="shared" si="0"/>
        <v>9.6</v>
      </c>
      <c r="I19">
        <f t="shared" si="0"/>
        <v>9.8000000000000007</v>
      </c>
      <c r="J19">
        <f t="shared" si="0"/>
        <v>9.8000000000000007</v>
      </c>
    </row>
    <row r="23" spans="1:14" x14ac:dyDescent="0.25">
      <c r="J23">
        <f>J19/1.02</f>
        <v>9.6078431372549034</v>
      </c>
    </row>
  </sheetData>
  <pageMargins left="0.7" right="0.7" top="0.75" bottom="0.75" header="0.3" footer="0.3"/>
  <pageSetup orientation="portrait" horizontalDpi="1200" verticalDpi="1200"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E670D2-AEBC-4BBD-8B69-FC36645F2013}">
  <dimension ref="A1:N24"/>
  <sheetViews>
    <sheetView workbookViewId="0">
      <selection activeCell="K21" sqref="K21"/>
    </sheetView>
  </sheetViews>
  <sheetFormatPr defaultRowHeight="15" x14ac:dyDescent="0.25"/>
  <cols>
    <col min="1" max="1" width="7.28515625" customWidth="1"/>
    <col min="2" max="2" width="9.42578125" customWidth="1"/>
  </cols>
  <sheetData>
    <row r="1" spans="1:14" ht="22.15" customHeight="1" x14ac:dyDescent="0.3">
      <c r="A1" s="125">
        <v>2015</v>
      </c>
      <c r="B1" s="114" t="s">
        <v>180</v>
      </c>
      <c r="C1" s="125" t="s">
        <v>179</v>
      </c>
    </row>
    <row r="3" spans="1:14" x14ac:dyDescent="0.25">
      <c r="B3" s="73" t="s">
        <v>203</v>
      </c>
    </row>
    <row r="4" spans="1:14" x14ac:dyDescent="0.25">
      <c r="B4" s="73"/>
    </row>
    <row r="5" spans="1:14" x14ac:dyDescent="0.25">
      <c r="B5" s="133">
        <v>42139</v>
      </c>
      <c r="C5" s="133">
        <v>42143</v>
      </c>
      <c r="D5" s="133">
        <v>42144</v>
      </c>
    </row>
    <row r="6" spans="1:14" x14ac:dyDescent="0.25">
      <c r="B6" s="132">
        <v>135</v>
      </c>
      <c r="C6" s="132">
        <v>139</v>
      </c>
      <c r="D6" s="132">
        <v>140</v>
      </c>
      <c r="E6" s="133"/>
      <c r="F6" s="133"/>
      <c r="G6" s="133"/>
      <c r="K6" s="132"/>
      <c r="L6" s="132"/>
      <c r="M6" s="132"/>
    </row>
    <row r="7" spans="1:14" x14ac:dyDescent="0.25">
      <c r="B7" s="131" t="s">
        <v>165</v>
      </c>
      <c r="C7" s="131" t="s">
        <v>164</v>
      </c>
      <c r="D7" s="131" t="s">
        <v>163</v>
      </c>
      <c r="E7" s="132"/>
      <c r="F7" s="132"/>
      <c r="G7" s="132"/>
      <c r="K7" s="132"/>
      <c r="L7" s="132"/>
      <c r="M7" s="132"/>
    </row>
    <row r="8" spans="1:14" ht="18" customHeight="1" x14ac:dyDescent="0.25">
      <c r="A8" s="102" t="s">
        <v>171</v>
      </c>
      <c r="B8" s="137" t="s">
        <v>202</v>
      </c>
      <c r="C8" s="137" t="s">
        <v>202</v>
      </c>
      <c r="D8" s="137" t="s">
        <v>202</v>
      </c>
      <c r="E8" s="136"/>
      <c r="F8" s="136"/>
      <c r="G8" s="136">
        <v>135</v>
      </c>
      <c r="H8" s="137"/>
      <c r="I8" s="137">
        <v>139</v>
      </c>
      <c r="J8" s="137"/>
      <c r="K8" s="136">
        <v>140</v>
      </c>
      <c r="L8" s="131"/>
      <c r="M8" s="131"/>
      <c r="N8" s="79"/>
    </row>
    <row r="9" spans="1:14" x14ac:dyDescent="0.25">
      <c r="A9" s="127">
        <v>2</v>
      </c>
      <c r="B9" s="135" t="s">
        <v>201</v>
      </c>
      <c r="C9" s="135" t="s">
        <v>200</v>
      </c>
      <c r="D9" s="135" t="s">
        <v>199</v>
      </c>
      <c r="E9" s="135"/>
      <c r="F9" s="135">
        <v>4</v>
      </c>
      <c r="G9" s="135">
        <v>14</v>
      </c>
      <c r="H9" s="135">
        <v>11</v>
      </c>
      <c r="I9">
        <v>14</v>
      </c>
      <c r="J9" s="135">
        <v>13</v>
      </c>
      <c r="K9" s="126">
        <v>14</v>
      </c>
      <c r="L9" s="126"/>
      <c r="M9" s="126"/>
      <c r="N9" s="126"/>
    </row>
    <row r="10" spans="1:14" x14ac:dyDescent="0.25">
      <c r="A10" s="127">
        <v>3</v>
      </c>
      <c r="B10" s="135" t="s">
        <v>198</v>
      </c>
      <c r="C10" s="135" t="s">
        <v>197</v>
      </c>
      <c r="D10" s="135" t="s">
        <v>197</v>
      </c>
      <c r="E10" s="135"/>
      <c r="F10" s="135">
        <v>0</v>
      </c>
      <c r="G10" s="135">
        <v>7</v>
      </c>
      <c r="H10" s="135">
        <v>3</v>
      </c>
      <c r="I10">
        <v>7</v>
      </c>
      <c r="J10" s="135">
        <v>3</v>
      </c>
      <c r="K10" s="126">
        <v>7</v>
      </c>
      <c r="L10" s="126"/>
      <c r="M10" s="126"/>
      <c r="N10" s="126"/>
    </row>
    <row r="11" spans="1:14" x14ac:dyDescent="0.25">
      <c r="A11" s="127">
        <v>4</v>
      </c>
      <c r="B11" s="135" t="s">
        <v>191</v>
      </c>
      <c r="C11" s="135" t="s">
        <v>196</v>
      </c>
      <c r="D11" s="135" t="s">
        <v>195</v>
      </c>
      <c r="E11" s="135"/>
      <c r="F11" s="135">
        <v>1</v>
      </c>
      <c r="G11" s="135">
        <v>11</v>
      </c>
      <c r="H11" s="135">
        <v>8</v>
      </c>
      <c r="I11">
        <v>11</v>
      </c>
      <c r="J11" s="135">
        <v>10</v>
      </c>
      <c r="K11" s="126">
        <v>11</v>
      </c>
      <c r="L11" s="126"/>
      <c r="M11" s="126"/>
      <c r="N11" s="126"/>
    </row>
    <row r="12" spans="1:14" x14ac:dyDescent="0.25">
      <c r="A12" s="127">
        <v>5</v>
      </c>
      <c r="B12" s="135" t="s">
        <v>186</v>
      </c>
      <c r="C12" s="135" t="s">
        <v>182</v>
      </c>
      <c r="D12" s="135" t="s">
        <v>187</v>
      </c>
      <c r="E12" s="135"/>
      <c r="F12" s="135">
        <v>0</v>
      </c>
      <c r="G12" s="135">
        <v>8</v>
      </c>
      <c r="H12" s="135">
        <v>5</v>
      </c>
      <c r="I12">
        <v>9</v>
      </c>
      <c r="J12" s="135">
        <v>6</v>
      </c>
      <c r="K12" s="126">
        <v>9</v>
      </c>
      <c r="L12" s="126"/>
      <c r="M12" s="126"/>
      <c r="N12" s="126"/>
    </row>
    <row r="13" spans="1:14" x14ac:dyDescent="0.25">
      <c r="A13" s="127">
        <v>6</v>
      </c>
      <c r="B13" s="135" t="s">
        <v>194</v>
      </c>
      <c r="C13" s="135" t="s">
        <v>193</v>
      </c>
      <c r="D13" s="135" t="s">
        <v>192</v>
      </c>
      <c r="E13" s="135"/>
      <c r="F13" s="135">
        <v>1</v>
      </c>
      <c r="G13" s="135">
        <v>9</v>
      </c>
      <c r="H13" s="135">
        <v>1</v>
      </c>
      <c r="I13">
        <v>10</v>
      </c>
      <c r="J13" s="135">
        <v>2</v>
      </c>
      <c r="K13" s="126">
        <v>10</v>
      </c>
      <c r="L13" s="126"/>
      <c r="M13" s="126"/>
      <c r="N13" s="126"/>
    </row>
    <row r="14" spans="1:14" x14ac:dyDescent="0.25">
      <c r="A14" s="127">
        <v>7</v>
      </c>
      <c r="B14" s="135" t="s">
        <v>192</v>
      </c>
      <c r="C14" s="135" t="s">
        <v>187</v>
      </c>
      <c r="D14" s="135" t="s">
        <v>187</v>
      </c>
      <c r="E14" s="135"/>
      <c r="F14" s="135">
        <v>2</v>
      </c>
      <c r="G14" s="135">
        <v>10</v>
      </c>
      <c r="H14" s="135">
        <v>6</v>
      </c>
      <c r="I14">
        <v>9</v>
      </c>
      <c r="J14" s="135">
        <v>6</v>
      </c>
      <c r="K14" s="126">
        <v>9</v>
      </c>
      <c r="L14" s="126"/>
      <c r="M14" s="126"/>
      <c r="N14" s="126"/>
    </row>
    <row r="15" spans="1:14" x14ac:dyDescent="0.25">
      <c r="A15" s="127">
        <v>8</v>
      </c>
      <c r="B15" s="135" t="s">
        <v>191</v>
      </c>
      <c r="C15" s="135" t="s">
        <v>190</v>
      </c>
      <c r="D15" s="135" t="s">
        <v>189</v>
      </c>
      <c r="E15" s="135"/>
      <c r="F15" s="135">
        <v>1</v>
      </c>
      <c r="G15" s="135">
        <v>11</v>
      </c>
      <c r="H15" s="135">
        <v>4</v>
      </c>
      <c r="I15">
        <v>12</v>
      </c>
      <c r="J15" s="135">
        <v>6</v>
      </c>
      <c r="K15" s="126">
        <v>12</v>
      </c>
      <c r="L15" s="126"/>
      <c r="M15" s="126"/>
      <c r="N15" s="126"/>
    </row>
    <row r="16" spans="1:14" x14ac:dyDescent="0.25">
      <c r="A16" s="127">
        <v>9</v>
      </c>
      <c r="B16" s="135" t="s">
        <v>188</v>
      </c>
      <c r="C16" s="135" t="s">
        <v>182</v>
      </c>
      <c r="D16" s="135" t="s">
        <v>187</v>
      </c>
      <c r="E16" s="135"/>
      <c r="F16" s="135">
        <v>2</v>
      </c>
      <c r="G16" s="135">
        <v>9</v>
      </c>
      <c r="H16" s="135">
        <v>5</v>
      </c>
      <c r="I16">
        <v>9</v>
      </c>
      <c r="J16" s="135">
        <v>6</v>
      </c>
      <c r="K16" s="126">
        <v>9</v>
      </c>
      <c r="L16" s="126"/>
      <c r="M16" s="126"/>
      <c r="N16" s="126"/>
    </row>
    <row r="17" spans="1:14" x14ac:dyDescent="0.25">
      <c r="A17" s="127">
        <v>10</v>
      </c>
      <c r="B17" s="135" t="s">
        <v>186</v>
      </c>
      <c r="C17" s="135" t="s">
        <v>185</v>
      </c>
      <c r="D17" s="135" t="s">
        <v>184</v>
      </c>
      <c r="E17" s="135"/>
      <c r="F17" s="135">
        <v>0</v>
      </c>
      <c r="G17" s="135">
        <v>8</v>
      </c>
      <c r="H17" s="135">
        <v>3</v>
      </c>
      <c r="I17">
        <v>8</v>
      </c>
      <c r="J17" s="135">
        <v>5</v>
      </c>
      <c r="K17" s="126">
        <v>8</v>
      </c>
      <c r="L17" s="126"/>
      <c r="M17" s="126"/>
      <c r="N17" s="126"/>
    </row>
    <row r="18" spans="1:14" x14ac:dyDescent="0.25">
      <c r="A18" s="127">
        <v>11</v>
      </c>
      <c r="B18" s="135" t="s">
        <v>183</v>
      </c>
      <c r="C18" s="135" t="s">
        <v>182</v>
      </c>
      <c r="D18" s="135" t="s">
        <v>181</v>
      </c>
      <c r="E18" s="135"/>
      <c r="F18" s="135">
        <v>0</v>
      </c>
      <c r="G18" s="135">
        <v>9</v>
      </c>
      <c r="H18" s="135">
        <v>5</v>
      </c>
      <c r="I18">
        <v>9</v>
      </c>
      <c r="J18" s="135">
        <v>7</v>
      </c>
      <c r="K18" s="126">
        <v>9</v>
      </c>
      <c r="L18" s="126"/>
      <c r="M18" s="126"/>
      <c r="N18" s="126"/>
    </row>
    <row r="19" spans="1:14" x14ac:dyDescent="0.25">
      <c r="F19" s="134">
        <f>SUM(F9:F18)</f>
        <v>11</v>
      </c>
      <c r="G19" s="134">
        <f t="shared" ref="G19:K19" si="0">SUM(G9:G18)</f>
        <v>96</v>
      </c>
      <c r="H19" s="134">
        <f t="shared" si="0"/>
        <v>51</v>
      </c>
      <c r="I19" s="134">
        <f t="shared" si="0"/>
        <v>98</v>
      </c>
      <c r="J19" s="134">
        <f t="shared" si="0"/>
        <v>64</v>
      </c>
      <c r="K19" s="134">
        <f t="shared" si="0"/>
        <v>98</v>
      </c>
    </row>
    <row r="20" spans="1:14" x14ac:dyDescent="0.25">
      <c r="F20" s="134"/>
      <c r="G20" s="134"/>
      <c r="H20" s="134"/>
      <c r="I20" s="134"/>
      <c r="J20" s="134"/>
      <c r="K20" s="134"/>
    </row>
    <row r="21" spans="1:14" x14ac:dyDescent="0.25">
      <c r="G21" s="134">
        <f>F19/G19*100</f>
        <v>11.458333333333332</v>
      </c>
      <c r="I21" s="134">
        <f>H19/I19*100</f>
        <v>52.040816326530617</v>
      </c>
      <c r="K21" s="134">
        <f>J19/K19*100</f>
        <v>65.306122448979593</v>
      </c>
    </row>
    <row r="22" spans="1:14" x14ac:dyDescent="0.25">
      <c r="G22" s="134"/>
      <c r="I22" s="134"/>
      <c r="K22" s="134"/>
    </row>
    <row r="24" spans="1:14" x14ac:dyDescent="0.25">
      <c r="I24" s="134"/>
    </row>
  </sheetData>
  <pageMargins left="0.7" right="0.7" top="0.75" bottom="0.75" header="0.3" footer="0.3"/>
  <pageSetup orientation="portrait" horizontalDpi="1200" verticalDpi="1200"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59"/>
  <sheetViews>
    <sheetView zoomScale="85" zoomScaleNormal="85" workbookViewId="0">
      <selection activeCell="G10" sqref="G10:G59"/>
    </sheetView>
  </sheetViews>
  <sheetFormatPr defaultColWidth="8.85546875" defaultRowHeight="14.25" x14ac:dyDescent="0.2"/>
  <cols>
    <col min="1" max="4" width="8.85546875" style="29"/>
    <col min="5" max="5" width="11.85546875" style="31" customWidth="1"/>
    <col min="6" max="16384" width="8.85546875" style="29"/>
  </cols>
  <sheetData>
    <row r="1" spans="1:7" ht="18" x14ac:dyDescent="0.25">
      <c r="A1" s="2">
        <v>2015</v>
      </c>
      <c r="B1" s="3" t="s">
        <v>17</v>
      </c>
      <c r="C1" s="4"/>
      <c r="D1" s="4"/>
    </row>
    <row r="2" spans="1:7" ht="18" x14ac:dyDescent="0.25">
      <c r="A2" s="4"/>
      <c r="B2" s="3" t="s">
        <v>10</v>
      </c>
      <c r="C2" s="6"/>
      <c r="D2" s="3" t="s">
        <v>11</v>
      </c>
    </row>
    <row r="4" spans="1:7" ht="15.75" x14ac:dyDescent="0.25">
      <c r="B4" s="4" t="s">
        <v>60</v>
      </c>
      <c r="C4" s="4"/>
    </row>
    <row r="5" spans="1:7" ht="15.75" x14ac:dyDescent="0.25">
      <c r="B5" s="4"/>
      <c r="C5" s="4"/>
    </row>
    <row r="7" spans="1:7" ht="15" x14ac:dyDescent="0.25">
      <c r="D7" s="10" t="s">
        <v>20</v>
      </c>
      <c r="E7" s="69">
        <v>42157</v>
      </c>
    </row>
    <row r="8" spans="1:7" ht="15" x14ac:dyDescent="0.25">
      <c r="D8" s="10" t="s">
        <v>27</v>
      </c>
      <c r="E8" s="33">
        <v>153</v>
      </c>
    </row>
    <row r="9" spans="1:7" ht="48.6" customHeight="1" thickBot="1" x14ac:dyDescent="0.3">
      <c r="D9" s="10"/>
      <c r="E9" s="72" t="s">
        <v>61</v>
      </c>
    </row>
    <row r="10" spans="1:7" s="34" customFormat="1" ht="16.899999999999999" customHeight="1" x14ac:dyDescent="0.25">
      <c r="B10" s="20" t="s">
        <v>0</v>
      </c>
      <c r="C10" s="20" t="s">
        <v>48</v>
      </c>
      <c r="D10" s="21" t="s">
        <v>13</v>
      </c>
      <c r="E10" s="35">
        <v>10</v>
      </c>
      <c r="G10" s="84">
        <f>E10/1.016</f>
        <v>9.8425196850393704</v>
      </c>
    </row>
    <row r="11" spans="1:7" s="34" customFormat="1" ht="16.899999999999999" customHeight="1" x14ac:dyDescent="0.25">
      <c r="B11" s="19"/>
      <c r="C11" s="19" t="s">
        <v>6</v>
      </c>
      <c r="D11" s="22" t="s">
        <v>26</v>
      </c>
      <c r="E11" s="37">
        <v>10</v>
      </c>
      <c r="G11" s="84">
        <f t="shared" ref="G11:G59" si="0">E11/1.016</f>
        <v>9.8425196850393704</v>
      </c>
    </row>
    <row r="12" spans="1:7" s="34" customFormat="1" ht="16.899999999999999" customHeight="1" x14ac:dyDescent="0.25">
      <c r="B12" s="19"/>
      <c r="C12" s="19"/>
      <c r="D12" s="22" t="s">
        <v>14</v>
      </c>
      <c r="E12" s="37">
        <v>10</v>
      </c>
      <c r="G12" s="84">
        <f t="shared" si="0"/>
        <v>9.8425196850393704</v>
      </c>
    </row>
    <row r="13" spans="1:7" s="34" customFormat="1" ht="16.899999999999999" customHeight="1" x14ac:dyDescent="0.25">
      <c r="B13" s="19"/>
      <c r="C13" s="19"/>
      <c r="D13" s="22" t="s">
        <v>15</v>
      </c>
      <c r="E13" s="37">
        <v>13</v>
      </c>
      <c r="G13" s="84">
        <f t="shared" si="0"/>
        <v>12.795275590551181</v>
      </c>
    </row>
    <row r="14" spans="1:7" s="34" customFormat="1" ht="16.899999999999999" customHeight="1" thickBot="1" x14ac:dyDescent="0.3">
      <c r="B14" s="19"/>
      <c r="C14" s="19"/>
      <c r="D14" s="22" t="s">
        <v>16</v>
      </c>
      <c r="E14" s="37">
        <v>10</v>
      </c>
      <c r="G14" s="84">
        <f t="shared" si="0"/>
        <v>9.8425196850393704</v>
      </c>
    </row>
    <row r="15" spans="1:7" s="34" customFormat="1" ht="16.899999999999999" customHeight="1" x14ac:dyDescent="0.25">
      <c r="B15" s="20" t="s">
        <v>1</v>
      </c>
      <c r="C15" s="20" t="s">
        <v>49</v>
      </c>
      <c r="D15" s="21" t="s">
        <v>13</v>
      </c>
      <c r="E15" s="35">
        <v>13</v>
      </c>
      <c r="G15" s="84">
        <f t="shared" si="0"/>
        <v>12.795275590551181</v>
      </c>
    </row>
    <row r="16" spans="1:7" s="34" customFormat="1" ht="16.899999999999999" customHeight="1" x14ac:dyDescent="0.25">
      <c r="B16" s="19"/>
      <c r="C16" s="19" t="s">
        <v>7</v>
      </c>
      <c r="D16" s="22" t="s">
        <v>26</v>
      </c>
      <c r="E16" s="37">
        <v>11</v>
      </c>
      <c r="G16" s="84">
        <f t="shared" si="0"/>
        <v>10.826771653543307</v>
      </c>
    </row>
    <row r="17" spans="2:7" s="34" customFormat="1" ht="16.899999999999999" customHeight="1" x14ac:dyDescent="0.25">
      <c r="B17" s="19"/>
      <c r="C17" s="19"/>
      <c r="D17" s="22" t="s">
        <v>14</v>
      </c>
      <c r="E17" s="37">
        <v>11</v>
      </c>
      <c r="G17" s="84">
        <f t="shared" si="0"/>
        <v>10.826771653543307</v>
      </c>
    </row>
    <row r="18" spans="2:7" s="34" customFormat="1" ht="16.899999999999999" customHeight="1" x14ac:dyDescent="0.25">
      <c r="B18" s="19"/>
      <c r="C18" s="19"/>
      <c r="D18" s="22" t="s">
        <v>15</v>
      </c>
      <c r="E18" s="37">
        <v>10</v>
      </c>
      <c r="G18" s="84">
        <f t="shared" si="0"/>
        <v>9.8425196850393704</v>
      </c>
    </row>
    <row r="19" spans="2:7" s="34" customFormat="1" ht="16.899999999999999" customHeight="1" thickBot="1" x14ac:dyDescent="0.3">
      <c r="B19" s="19"/>
      <c r="C19" s="19"/>
      <c r="D19" s="22" t="s">
        <v>16</v>
      </c>
      <c r="E19" s="37">
        <v>10</v>
      </c>
      <c r="G19" s="84">
        <f t="shared" si="0"/>
        <v>9.8425196850393704</v>
      </c>
    </row>
    <row r="20" spans="2:7" s="34" customFormat="1" ht="16.899999999999999" customHeight="1" x14ac:dyDescent="0.25">
      <c r="B20" s="23" t="s">
        <v>1</v>
      </c>
      <c r="C20" s="23" t="s">
        <v>50</v>
      </c>
      <c r="D20" s="24" t="s">
        <v>13</v>
      </c>
      <c r="E20" s="35">
        <v>7</v>
      </c>
      <c r="G20" s="84">
        <f t="shared" si="0"/>
        <v>6.8897637795275593</v>
      </c>
    </row>
    <row r="21" spans="2:7" s="34" customFormat="1" ht="16.899999999999999" customHeight="1" x14ac:dyDescent="0.25">
      <c r="B21" s="25"/>
      <c r="C21" s="25" t="s">
        <v>8</v>
      </c>
      <c r="D21" s="26" t="s">
        <v>26</v>
      </c>
      <c r="E21" s="37">
        <v>10</v>
      </c>
      <c r="G21" s="84">
        <f t="shared" si="0"/>
        <v>9.8425196850393704</v>
      </c>
    </row>
    <row r="22" spans="2:7" s="34" customFormat="1" ht="16.899999999999999" customHeight="1" x14ac:dyDescent="0.25">
      <c r="B22" s="25"/>
      <c r="C22" s="25"/>
      <c r="D22" s="26" t="s">
        <v>14</v>
      </c>
      <c r="E22" s="37">
        <v>10</v>
      </c>
      <c r="G22" s="84">
        <f t="shared" si="0"/>
        <v>9.8425196850393704</v>
      </c>
    </row>
    <row r="23" spans="2:7" s="34" customFormat="1" ht="16.899999999999999" customHeight="1" x14ac:dyDescent="0.25">
      <c r="B23" s="25"/>
      <c r="C23" s="25"/>
      <c r="D23" s="26" t="s">
        <v>15</v>
      </c>
      <c r="E23" s="37">
        <v>11</v>
      </c>
      <c r="G23" s="84">
        <f t="shared" si="0"/>
        <v>10.826771653543307</v>
      </c>
    </row>
    <row r="24" spans="2:7" s="34" customFormat="1" ht="16.899999999999999" customHeight="1" thickBot="1" x14ac:dyDescent="0.3">
      <c r="B24" s="25"/>
      <c r="C24" s="25"/>
      <c r="D24" s="26" t="s">
        <v>16</v>
      </c>
      <c r="E24" s="37">
        <v>12</v>
      </c>
      <c r="G24" s="84">
        <f t="shared" si="0"/>
        <v>11.811023622047244</v>
      </c>
    </row>
    <row r="25" spans="2:7" s="34" customFormat="1" ht="16.899999999999999" customHeight="1" x14ac:dyDescent="0.25">
      <c r="B25" s="23" t="s">
        <v>2</v>
      </c>
      <c r="C25" s="23" t="s">
        <v>51</v>
      </c>
      <c r="D25" s="24" t="s">
        <v>13</v>
      </c>
      <c r="E25" s="35">
        <v>8</v>
      </c>
      <c r="G25" s="84">
        <f t="shared" si="0"/>
        <v>7.8740157480314963</v>
      </c>
    </row>
    <row r="26" spans="2:7" s="34" customFormat="1" ht="16.899999999999999" customHeight="1" x14ac:dyDescent="0.25">
      <c r="B26" s="25"/>
      <c r="C26" s="25" t="s">
        <v>9</v>
      </c>
      <c r="D26" s="26" t="s">
        <v>26</v>
      </c>
      <c r="E26" s="37">
        <v>12</v>
      </c>
      <c r="G26" s="84">
        <f t="shared" si="0"/>
        <v>11.811023622047244</v>
      </c>
    </row>
    <row r="27" spans="2:7" s="34" customFormat="1" ht="16.899999999999999" customHeight="1" x14ac:dyDescent="0.25">
      <c r="B27" s="25"/>
      <c r="C27" s="25"/>
      <c r="D27" s="26" t="s">
        <v>14</v>
      </c>
      <c r="E27" s="37">
        <v>11</v>
      </c>
      <c r="G27" s="84">
        <f t="shared" si="0"/>
        <v>10.826771653543307</v>
      </c>
    </row>
    <row r="28" spans="2:7" s="34" customFormat="1" ht="16.899999999999999" customHeight="1" x14ac:dyDescent="0.25">
      <c r="B28" s="25"/>
      <c r="C28" s="25"/>
      <c r="D28" s="26" t="s">
        <v>15</v>
      </c>
      <c r="E28" s="37">
        <v>12</v>
      </c>
      <c r="G28" s="84">
        <f t="shared" si="0"/>
        <v>11.811023622047244</v>
      </c>
    </row>
    <row r="29" spans="2:7" s="34" customFormat="1" ht="16.899999999999999" customHeight="1" thickBot="1" x14ac:dyDescent="0.3">
      <c r="B29" s="25"/>
      <c r="C29" s="25"/>
      <c r="D29" s="26" t="s">
        <v>16</v>
      </c>
      <c r="E29" s="37">
        <v>10</v>
      </c>
      <c r="G29" s="84">
        <f t="shared" si="0"/>
        <v>9.8425196850393704</v>
      </c>
    </row>
    <row r="30" spans="2:7" s="34" customFormat="1" ht="16.899999999999999" customHeight="1" x14ac:dyDescent="0.25">
      <c r="B30" s="20" t="s">
        <v>2</v>
      </c>
      <c r="C30" s="20" t="s">
        <v>52</v>
      </c>
      <c r="D30" s="21" t="s">
        <v>13</v>
      </c>
      <c r="E30" s="35">
        <v>10</v>
      </c>
      <c r="G30" s="84">
        <f t="shared" si="0"/>
        <v>9.8425196850393704</v>
      </c>
    </row>
    <row r="31" spans="2:7" s="34" customFormat="1" ht="16.899999999999999" customHeight="1" x14ac:dyDescent="0.25">
      <c r="B31" s="19"/>
      <c r="C31" s="19" t="s">
        <v>5</v>
      </c>
      <c r="D31" s="22" t="s">
        <v>26</v>
      </c>
      <c r="E31" s="37">
        <v>10</v>
      </c>
      <c r="G31" s="84">
        <f t="shared" si="0"/>
        <v>9.8425196850393704</v>
      </c>
    </row>
    <row r="32" spans="2:7" s="34" customFormat="1" ht="16.899999999999999" customHeight="1" x14ac:dyDescent="0.25">
      <c r="B32" s="19"/>
      <c r="C32" s="19"/>
      <c r="D32" s="22" t="s">
        <v>14</v>
      </c>
      <c r="E32" s="37">
        <v>9</v>
      </c>
      <c r="G32" s="84">
        <f t="shared" si="0"/>
        <v>8.8582677165354333</v>
      </c>
    </row>
    <row r="33" spans="2:7" s="34" customFormat="1" ht="16.899999999999999" customHeight="1" x14ac:dyDescent="0.25">
      <c r="B33" s="19"/>
      <c r="C33" s="19"/>
      <c r="D33" s="22" t="s">
        <v>15</v>
      </c>
      <c r="E33" s="37">
        <v>10</v>
      </c>
      <c r="G33" s="84">
        <f t="shared" si="0"/>
        <v>9.8425196850393704</v>
      </c>
    </row>
    <row r="34" spans="2:7" s="34" customFormat="1" ht="16.899999999999999" customHeight="1" thickBot="1" x14ac:dyDescent="0.3">
      <c r="B34" s="19"/>
      <c r="C34" s="19"/>
      <c r="D34" s="22" t="s">
        <v>16</v>
      </c>
      <c r="E34" s="37">
        <v>11</v>
      </c>
      <c r="G34" s="84">
        <f t="shared" si="0"/>
        <v>10.826771653543307</v>
      </c>
    </row>
    <row r="35" spans="2:7" s="34" customFormat="1" ht="16.899999999999999" customHeight="1" x14ac:dyDescent="0.25">
      <c r="B35" s="20" t="s">
        <v>3</v>
      </c>
      <c r="C35" s="20" t="s">
        <v>53</v>
      </c>
      <c r="D35" s="21" t="s">
        <v>13</v>
      </c>
      <c r="E35" s="35">
        <v>11</v>
      </c>
      <c r="G35" s="84">
        <f t="shared" si="0"/>
        <v>10.826771653543307</v>
      </c>
    </row>
    <row r="36" spans="2:7" s="34" customFormat="1" ht="16.899999999999999" customHeight="1" x14ac:dyDescent="0.25">
      <c r="B36" s="19"/>
      <c r="C36" s="19" t="s">
        <v>7</v>
      </c>
      <c r="D36" s="22" t="s">
        <v>26</v>
      </c>
      <c r="E36" s="37">
        <v>12</v>
      </c>
      <c r="G36" s="84">
        <f t="shared" si="0"/>
        <v>11.811023622047244</v>
      </c>
    </row>
    <row r="37" spans="2:7" s="34" customFormat="1" ht="16.899999999999999" customHeight="1" x14ac:dyDescent="0.25">
      <c r="B37" s="19"/>
      <c r="C37" s="19"/>
      <c r="D37" s="22" t="s">
        <v>14</v>
      </c>
      <c r="E37" s="37">
        <v>9</v>
      </c>
      <c r="G37" s="84">
        <f t="shared" si="0"/>
        <v>8.8582677165354333</v>
      </c>
    </row>
    <row r="38" spans="2:7" s="34" customFormat="1" ht="16.899999999999999" customHeight="1" x14ac:dyDescent="0.25">
      <c r="B38" s="19"/>
      <c r="C38" s="19"/>
      <c r="D38" s="22" t="s">
        <v>15</v>
      </c>
      <c r="E38" s="37">
        <v>12</v>
      </c>
      <c r="G38" s="84">
        <f t="shared" si="0"/>
        <v>11.811023622047244</v>
      </c>
    </row>
    <row r="39" spans="2:7" s="34" customFormat="1" ht="16.899999999999999" customHeight="1" thickBot="1" x14ac:dyDescent="0.3">
      <c r="B39" s="19"/>
      <c r="C39" s="19"/>
      <c r="D39" s="22" t="s">
        <v>16</v>
      </c>
      <c r="E39" s="37">
        <v>13</v>
      </c>
      <c r="G39" s="84">
        <f t="shared" si="0"/>
        <v>12.795275590551181</v>
      </c>
    </row>
    <row r="40" spans="2:7" s="34" customFormat="1" ht="16.899999999999999" customHeight="1" x14ac:dyDescent="0.25">
      <c r="B40" s="23" t="s">
        <v>3</v>
      </c>
      <c r="C40" s="23" t="s">
        <v>54</v>
      </c>
      <c r="D40" s="27" t="s">
        <v>13</v>
      </c>
      <c r="E40" s="35">
        <v>7</v>
      </c>
      <c r="G40" s="84">
        <f t="shared" si="0"/>
        <v>6.8897637795275593</v>
      </c>
    </row>
    <row r="41" spans="2:7" s="34" customFormat="1" ht="16.899999999999999" customHeight="1" x14ac:dyDescent="0.25">
      <c r="B41" s="25"/>
      <c r="C41" s="25" t="s">
        <v>8</v>
      </c>
      <c r="D41" s="28" t="s">
        <v>26</v>
      </c>
      <c r="E41" s="37">
        <v>12</v>
      </c>
      <c r="G41" s="84">
        <f t="shared" si="0"/>
        <v>11.811023622047244</v>
      </c>
    </row>
    <row r="42" spans="2:7" s="34" customFormat="1" ht="16.899999999999999" customHeight="1" x14ac:dyDescent="0.25">
      <c r="B42" s="25"/>
      <c r="C42" s="25"/>
      <c r="D42" s="28" t="s">
        <v>14</v>
      </c>
      <c r="E42" s="37">
        <v>9</v>
      </c>
      <c r="G42" s="84">
        <f t="shared" si="0"/>
        <v>8.8582677165354333</v>
      </c>
    </row>
    <row r="43" spans="2:7" s="34" customFormat="1" ht="16.899999999999999" customHeight="1" x14ac:dyDescent="0.25">
      <c r="B43" s="25"/>
      <c r="C43" s="25"/>
      <c r="D43" s="28" t="s">
        <v>15</v>
      </c>
      <c r="E43" s="37">
        <v>8</v>
      </c>
      <c r="G43" s="84">
        <f t="shared" si="0"/>
        <v>7.8740157480314963</v>
      </c>
    </row>
    <row r="44" spans="2:7" s="34" customFormat="1" ht="16.899999999999999" customHeight="1" thickBot="1" x14ac:dyDescent="0.3">
      <c r="B44" s="25"/>
      <c r="C44" s="25"/>
      <c r="D44" s="28" t="s">
        <v>16</v>
      </c>
      <c r="E44" s="37">
        <v>10</v>
      </c>
      <c r="G44" s="84">
        <f t="shared" si="0"/>
        <v>9.8425196850393704</v>
      </c>
    </row>
    <row r="45" spans="2:7" s="34" customFormat="1" ht="16.899999999999999" customHeight="1" x14ac:dyDescent="0.25">
      <c r="B45" s="23" t="s">
        <v>4</v>
      </c>
      <c r="C45" s="23" t="s">
        <v>55</v>
      </c>
      <c r="D45" s="27" t="s">
        <v>13</v>
      </c>
      <c r="E45" s="35">
        <v>9</v>
      </c>
      <c r="G45" s="84">
        <f t="shared" si="0"/>
        <v>8.8582677165354333</v>
      </c>
    </row>
    <row r="46" spans="2:7" s="34" customFormat="1" ht="16.899999999999999" customHeight="1" x14ac:dyDescent="0.25">
      <c r="B46" s="25"/>
      <c r="C46" s="25" t="s">
        <v>9</v>
      </c>
      <c r="D46" s="28" t="s">
        <v>26</v>
      </c>
      <c r="E46" s="37">
        <v>11</v>
      </c>
      <c r="G46" s="84">
        <f t="shared" si="0"/>
        <v>10.826771653543307</v>
      </c>
    </row>
    <row r="47" spans="2:7" s="34" customFormat="1" ht="16.899999999999999" customHeight="1" x14ac:dyDescent="0.25">
      <c r="B47" s="25"/>
      <c r="C47" s="25"/>
      <c r="D47" s="28" t="s">
        <v>14</v>
      </c>
      <c r="E47" s="37">
        <v>10</v>
      </c>
      <c r="G47" s="84">
        <f t="shared" si="0"/>
        <v>9.8425196850393704</v>
      </c>
    </row>
    <row r="48" spans="2:7" s="34" customFormat="1" ht="16.899999999999999" customHeight="1" x14ac:dyDescent="0.25">
      <c r="B48" s="25"/>
      <c r="C48" s="25"/>
      <c r="D48" s="28" t="s">
        <v>15</v>
      </c>
      <c r="E48" s="37">
        <v>9</v>
      </c>
      <c r="G48" s="84">
        <f t="shared" si="0"/>
        <v>8.8582677165354333</v>
      </c>
    </row>
    <row r="49" spans="2:7" s="34" customFormat="1" ht="16.899999999999999" customHeight="1" thickBot="1" x14ac:dyDescent="0.3">
      <c r="B49" s="25"/>
      <c r="C49" s="25"/>
      <c r="D49" s="28" t="s">
        <v>16</v>
      </c>
      <c r="E49" s="37">
        <v>9</v>
      </c>
      <c r="G49" s="84">
        <f t="shared" si="0"/>
        <v>8.8582677165354333</v>
      </c>
    </row>
    <row r="50" spans="2:7" s="34" customFormat="1" ht="16.899999999999999" customHeight="1" x14ac:dyDescent="0.25">
      <c r="B50" s="20" t="s">
        <v>4</v>
      </c>
      <c r="C50" s="20" t="s">
        <v>56</v>
      </c>
      <c r="D50" s="21" t="s">
        <v>13</v>
      </c>
      <c r="E50" s="35">
        <v>9</v>
      </c>
      <c r="G50" s="84">
        <f t="shared" si="0"/>
        <v>8.8582677165354333</v>
      </c>
    </row>
    <row r="51" spans="2:7" s="34" customFormat="1" ht="16.899999999999999" customHeight="1" x14ac:dyDescent="0.25">
      <c r="B51" s="19"/>
      <c r="C51" s="19" t="s">
        <v>6</v>
      </c>
      <c r="D51" s="22" t="s">
        <v>26</v>
      </c>
      <c r="E51" s="37">
        <v>10</v>
      </c>
      <c r="G51" s="84">
        <f t="shared" si="0"/>
        <v>9.8425196850393704</v>
      </c>
    </row>
    <row r="52" spans="2:7" s="34" customFormat="1" ht="16.899999999999999" customHeight="1" x14ac:dyDescent="0.25">
      <c r="B52" s="19"/>
      <c r="C52" s="19"/>
      <c r="D52" s="22" t="s">
        <v>14</v>
      </c>
      <c r="E52" s="37">
        <v>9</v>
      </c>
      <c r="G52" s="84">
        <f t="shared" si="0"/>
        <v>8.8582677165354333</v>
      </c>
    </row>
    <row r="53" spans="2:7" s="34" customFormat="1" ht="16.899999999999999" customHeight="1" x14ac:dyDescent="0.25">
      <c r="B53" s="19"/>
      <c r="C53" s="19"/>
      <c r="D53" s="22" t="s">
        <v>15</v>
      </c>
      <c r="E53" s="37">
        <v>12</v>
      </c>
      <c r="G53" s="84">
        <f t="shared" si="0"/>
        <v>11.811023622047244</v>
      </c>
    </row>
    <row r="54" spans="2:7" s="34" customFormat="1" ht="16.899999999999999" customHeight="1" thickBot="1" x14ac:dyDescent="0.3">
      <c r="B54" s="19"/>
      <c r="C54" s="19"/>
      <c r="D54" s="22" t="s">
        <v>16</v>
      </c>
      <c r="E54" s="37">
        <v>12</v>
      </c>
      <c r="G54" s="84">
        <f t="shared" si="0"/>
        <v>11.811023622047244</v>
      </c>
    </row>
    <row r="55" spans="2:7" s="34" customFormat="1" ht="16.899999999999999" customHeight="1" x14ac:dyDescent="0.25">
      <c r="B55" s="20" t="s">
        <v>12</v>
      </c>
      <c r="C55" s="20" t="s">
        <v>57</v>
      </c>
      <c r="D55" s="21" t="s">
        <v>13</v>
      </c>
      <c r="E55" s="35">
        <v>12</v>
      </c>
      <c r="G55" s="84">
        <f t="shared" si="0"/>
        <v>11.811023622047244</v>
      </c>
    </row>
    <row r="56" spans="2:7" s="34" customFormat="1" ht="16.899999999999999" customHeight="1" x14ac:dyDescent="0.25">
      <c r="B56" s="19"/>
      <c r="C56" s="19" t="s">
        <v>5</v>
      </c>
      <c r="D56" s="22" t="s">
        <v>26</v>
      </c>
      <c r="E56" s="37">
        <v>9</v>
      </c>
      <c r="G56" s="84">
        <f t="shared" si="0"/>
        <v>8.8582677165354333</v>
      </c>
    </row>
    <row r="57" spans="2:7" s="34" customFormat="1" ht="16.899999999999999" customHeight="1" x14ac:dyDescent="0.25">
      <c r="B57" s="19"/>
      <c r="C57" s="19"/>
      <c r="D57" s="22" t="s">
        <v>14</v>
      </c>
      <c r="E57" s="37">
        <v>12</v>
      </c>
      <c r="G57" s="84">
        <f t="shared" si="0"/>
        <v>11.811023622047244</v>
      </c>
    </row>
    <row r="58" spans="2:7" s="34" customFormat="1" ht="16.899999999999999" customHeight="1" x14ac:dyDescent="0.25">
      <c r="B58" s="19"/>
      <c r="C58" s="19"/>
      <c r="D58" s="22" t="s">
        <v>15</v>
      </c>
      <c r="E58" s="37">
        <v>11</v>
      </c>
      <c r="G58" s="84">
        <f t="shared" si="0"/>
        <v>10.826771653543307</v>
      </c>
    </row>
    <row r="59" spans="2:7" s="34" customFormat="1" ht="16.899999999999999" customHeight="1" x14ac:dyDescent="0.25">
      <c r="B59" s="19"/>
      <c r="C59" s="19"/>
      <c r="D59" s="22" t="s">
        <v>16</v>
      </c>
      <c r="E59" s="37">
        <v>6</v>
      </c>
      <c r="G59" s="84">
        <f t="shared" si="0"/>
        <v>5.9055118110236222</v>
      </c>
    </row>
  </sheetData>
  <pageMargins left="0.7" right="0.7" top="0.75" bottom="0.75" header="0.3" footer="0.3"/>
  <pageSetup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ABADD5-C32A-4868-8C2D-1D19989B2060}">
  <dimension ref="A1:O180"/>
  <sheetViews>
    <sheetView topLeftCell="A2" zoomScale="70" zoomScaleNormal="70" zoomScaleSheetLayoutView="70" workbookViewId="0">
      <selection activeCell="M13" sqref="M13"/>
    </sheetView>
  </sheetViews>
  <sheetFormatPr defaultRowHeight="15" x14ac:dyDescent="0.25"/>
  <cols>
    <col min="1" max="1" width="7.42578125" customWidth="1"/>
    <col min="2" max="2" width="11" style="73" customWidth="1"/>
    <col min="3" max="3" width="9.5703125" style="73" customWidth="1"/>
    <col min="4" max="4" width="11.85546875" style="73" customWidth="1"/>
    <col min="6" max="8" width="15.7109375" customWidth="1"/>
    <col min="9" max="9" width="12.28515625" customWidth="1"/>
    <col min="10" max="10" width="11.7109375" style="73" customWidth="1"/>
  </cols>
  <sheetData>
    <row r="1" spans="1:15" ht="18.75" x14ac:dyDescent="0.3">
      <c r="A1" s="125">
        <v>2015</v>
      </c>
      <c r="B1" s="123" t="s">
        <v>17</v>
      </c>
      <c r="C1" s="119"/>
      <c r="D1" s="119"/>
      <c r="E1" s="119"/>
      <c r="F1" s="119"/>
      <c r="G1" s="119"/>
      <c r="H1" s="119"/>
    </row>
    <row r="2" spans="1:15" ht="18.75" x14ac:dyDescent="0.3">
      <c r="A2" s="119"/>
      <c r="B2" s="123" t="s">
        <v>10</v>
      </c>
      <c r="D2" s="123" t="s">
        <v>11</v>
      </c>
      <c r="E2" s="119"/>
      <c r="F2" s="119"/>
      <c r="G2" s="119"/>
      <c r="H2" s="119"/>
    </row>
    <row r="3" spans="1:15" ht="18.75" x14ac:dyDescent="0.3">
      <c r="B3" s="123"/>
    </row>
    <row r="4" spans="1:15" ht="18.75" x14ac:dyDescent="0.3">
      <c r="B4" s="123" t="s">
        <v>161</v>
      </c>
      <c r="F4" s="124"/>
    </row>
    <row r="5" spans="1:15" ht="57.6" customHeight="1" x14ac:dyDescent="0.3">
      <c r="B5" s="123"/>
      <c r="C5" s="122" t="s">
        <v>160</v>
      </c>
      <c r="D5" s="122"/>
      <c r="E5" s="120"/>
      <c r="F5" s="121"/>
      <c r="G5" s="120"/>
      <c r="H5" s="120"/>
    </row>
    <row r="6" spans="1:15" ht="18.75" x14ac:dyDescent="0.3">
      <c r="B6" s="119"/>
      <c r="G6" s="118" t="s">
        <v>159</v>
      </c>
    </row>
    <row r="7" spans="1:15" ht="49.9" customHeight="1" thickBot="1" x14ac:dyDescent="0.4">
      <c r="E7" s="117" t="s">
        <v>158</v>
      </c>
      <c r="F7" s="117" t="s">
        <v>157</v>
      </c>
      <c r="G7" s="117" t="s">
        <v>14</v>
      </c>
      <c r="H7" s="117" t="s">
        <v>156</v>
      </c>
      <c r="J7" s="116" t="s">
        <v>155</v>
      </c>
    </row>
    <row r="8" spans="1:15" ht="33" customHeight="1" thickTop="1" x14ac:dyDescent="0.3">
      <c r="B8" s="105" t="s">
        <v>0</v>
      </c>
      <c r="C8" s="105" t="s">
        <v>154</v>
      </c>
      <c r="D8" s="105" t="s">
        <v>6</v>
      </c>
      <c r="E8" s="104">
        <v>3</v>
      </c>
      <c r="F8" s="103">
        <v>15</v>
      </c>
      <c r="G8" s="103">
        <v>16</v>
      </c>
      <c r="H8" s="103">
        <v>18</v>
      </c>
      <c r="J8" s="102" t="str">
        <f>"Ave "&amp;TEXT(C8,)&amp;" "&amp;"("&amp;TEXT(D8,)&amp;")="</f>
        <v>Ave Trt 2 (FAO)=</v>
      </c>
      <c r="K8" s="101">
        <f>AVERAGE(F8:H11)/1.5</f>
        <v>11.222222222222221</v>
      </c>
      <c r="N8" s="114" t="s">
        <v>153</v>
      </c>
      <c r="O8" s="115">
        <f>AVERAGE(F8:H47)/1.5</f>
        <v>10.166666666666666</v>
      </c>
    </row>
    <row r="9" spans="1:15" ht="33" customHeight="1" x14ac:dyDescent="0.3">
      <c r="B9" s="112">
        <v>42151</v>
      </c>
      <c r="C9" s="99"/>
      <c r="D9" s="94"/>
      <c r="E9" s="96">
        <v>9</v>
      </c>
      <c r="F9" s="95">
        <v>16</v>
      </c>
      <c r="G9" s="95">
        <v>17</v>
      </c>
      <c r="H9" s="95">
        <v>18</v>
      </c>
      <c r="N9" s="114" t="s">
        <v>152</v>
      </c>
    </row>
    <row r="10" spans="1:15" ht="33" customHeight="1" x14ac:dyDescent="0.25">
      <c r="B10" s="99"/>
      <c r="C10" s="99"/>
      <c r="D10" s="94"/>
      <c r="E10" s="96">
        <v>15</v>
      </c>
      <c r="F10" s="95">
        <v>17</v>
      </c>
      <c r="G10" s="95">
        <v>15</v>
      </c>
      <c r="H10" s="95">
        <v>17</v>
      </c>
    </row>
    <row r="11" spans="1:15" ht="33" customHeight="1" thickBot="1" x14ac:dyDescent="0.3">
      <c r="B11" s="94"/>
      <c r="C11" s="94"/>
      <c r="D11" s="94"/>
      <c r="E11" s="93">
        <v>21</v>
      </c>
      <c r="F11" s="92">
        <v>18</v>
      </c>
      <c r="G11" s="92">
        <v>17</v>
      </c>
      <c r="H11" s="92">
        <v>18</v>
      </c>
    </row>
    <row r="12" spans="1:15" ht="33" customHeight="1" thickTop="1" x14ac:dyDescent="0.3">
      <c r="B12" s="105" t="s">
        <v>1</v>
      </c>
      <c r="C12" s="105" t="s">
        <v>151</v>
      </c>
      <c r="D12" s="105" t="s">
        <v>7</v>
      </c>
      <c r="E12" s="104">
        <v>3</v>
      </c>
      <c r="F12" s="103">
        <v>17</v>
      </c>
      <c r="G12" s="103">
        <v>16</v>
      </c>
      <c r="H12" s="103">
        <v>18</v>
      </c>
      <c r="J12" s="102" t="str">
        <f>"Ave "&amp;TEXT(C12,)&amp;" "&amp;"("&amp;TEXT(D12,)&amp;")="</f>
        <v>Ave Trt 3 (CropMod)=</v>
      </c>
      <c r="K12" s="101">
        <f>AVERAGE(F12:H15)/1.5</f>
        <v>10.944444444444445</v>
      </c>
    </row>
    <row r="13" spans="1:15" ht="33" customHeight="1" x14ac:dyDescent="0.25">
      <c r="B13" s="112">
        <v>42151</v>
      </c>
      <c r="C13" s="99"/>
      <c r="D13" s="94"/>
      <c r="E13" s="96">
        <v>9</v>
      </c>
      <c r="F13" s="95">
        <v>16</v>
      </c>
      <c r="G13" s="95">
        <v>19</v>
      </c>
      <c r="H13" s="95">
        <v>16</v>
      </c>
    </row>
    <row r="14" spans="1:15" ht="33" customHeight="1" x14ac:dyDescent="0.25">
      <c r="B14" s="99"/>
      <c r="C14" s="99"/>
      <c r="D14" s="94"/>
      <c r="E14" s="96">
        <v>15</v>
      </c>
      <c r="F14" s="95">
        <v>15</v>
      </c>
      <c r="G14" s="95">
        <v>17</v>
      </c>
      <c r="H14" s="95">
        <v>17</v>
      </c>
    </row>
    <row r="15" spans="1:15" ht="33" customHeight="1" thickBot="1" x14ac:dyDescent="0.3">
      <c r="B15" s="94"/>
      <c r="C15" s="94"/>
      <c r="D15" s="94"/>
      <c r="E15" s="93">
        <v>21</v>
      </c>
      <c r="F15" s="92">
        <v>16</v>
      </c>
      <c r="G15" s="92">
        <v>15</v>
      </c>
      <c r="H15" s="92">
        <v>15</v>
      </c>
    </row>
    <row r="16" spans="1:15" ht="33" customHeight="1" thickTop="1" x14ac:dyDescent="0.3">
      <c r="B16" s="109" t="s">
        <v>1</v>
      </c>
      <c r="C16" s="109" t="s">
        <v>150</v>
      </c>
      <c r="D16" s="109" t="s">
        <v>8</v>
      </c>
      <c r="E16" s="104">
        <v>3</v>
      </c>
      <c r="F16" s="103">
        <v>19</v>
      </c>
      <c r="G16" s="103">
        <v>17</v>
      </c>
      <c r="H16" s="103">
        <v>12</v>
      </c>
      <c r="J16" s="102" t="str">
        <f>"Ave "&amp;TEXT(C16,)&amp;" "&amp;"("&amp;TEXT(D16,)&amp;")="</f>
        <v>Ave Trt 4 (SEB)=</v>
      </c>
      <c r="K16" s="101">
        <f>AVERAGE(F16:H19)/1.5</f>
        <v>10.111111111111111</v>
      </c>
    </row>
    <row r="17" spans="2:11" ht="33" customHeight="1" x14ac:dyDescent="0.25">
      <c r="B17" s="112">
        <v>42151</v>
      </c>
      <c r="C17" s="106"/>
      <c r="D17" s="106"/>
      <c r="E17" s="96">
        <v>9</v>
      </c>
      <c r="F17" s="95">
        <v>15</v>
      </c>
      <c r="G17" s="95">
        <v>15</v>
      </c>
      <c r="H17" s="95">
        <v>16</v>
      </c>
    </row>
    <row r="18" spans="2:11" ht="33" customHeight="1" x14ac:dyDescent="0.25">
      <c r="B18" s="106"/>
      <c r="C18" s="106"/>
      <c r="D18" s="106"/>
      <c r="E18" s="96">
        <v>15</v>
      </c>
      <c r="F18" s="95">
        <v>15</v>
      </c>
      <c r="G18" s="95">
        <v>10</v>
      </c>
      <c r="H18" s="95">
        <v>10</v>
      </c>
    </row>
    <row r="19" spans="2:11" ht="33" customHeight="1" thickBot="1" x14ac:dyDescent="0.3">
      <c r="B19" s="106"/>
      <c r="C19" s="106"/>
      <c r="D19" s="106"/>
      <c r="E19" s="93">
        <v>21</v>
      </c>
      <c r="F19" s="92">
        <v>18</v>
      </c>
      <c r="G19" s="92">
        <v>19</v>
      </c>
      <c r="H19" s="92">
        <v>16</v>
      </c>
    </row>
    <row r="20" spans="2:11" ht="33" customHeight="1" thickTop="1" x14ac:dyDescent="0.3">
      <c r="B20" s="109" t="s">
        <v>2</v>
      </c>
      <c r="C20" s="109" t="s">
        <v>149</v>
      </c>
      <c r="D20" s="109" t="s">
        <v>9</v>
      </c>
      <c r="E20" s="104">
        <v>3</v>
      </c>
      <c r="F20" s="103">
        <v>15</v>
      </c>
      <c r="G20" s="103">
        <v>16</v>
      </c>
      <c r="H20" s="103">
        <v>16</v>
      </c>
      <c r="J20" s="102" t="str">
        <f>"Ave "&amp;TEXT(C20,)&amp;" "&amp;"("&amp;TEXT(D20,)&amp;")="</f>
        <v>Ave Trt 5 (NDVI)=</v>
      </c>
      <c r="K20" s="101">
        <f>AVERAGE(F20:H23)/1.5</f>
        <v>10.222222222222223</v>
      </c>
    </row>
    <row r="21" spans="2:11" ht="33" customHeight="1" x14ac:dyDescent="0.25">
      <c r="B21" s="112">
        <v>42151</v>
      </c>
      <c r="C21" s="106"/>
      <c r="D21" s="106"/>
      <c r="E21" s="96">
        <v>9</v>
      </c>
      <c r="F21" s="95">
        <v>12</v>
      </c>
      <c r="G21" s="95">
        <v>12</v>
      </c>
      <c r="H21" s="95">
        <v>16</v>
      </c>
    </row>
    <row r="22" spans="2:11" ht="33" customHeight="1" x14ac:dyDescent="0.25">
      <c r="B22" s="106"/>
      <c r="C22" s="106"/>
      <c r="D22" s="106"/>
      <c r="E22" s="96">
        <v>15</v>
      </c>
      <c r="F22" s="95">
        <v>15</v>
      </c>
      <c r="G22" s="95">
        <v>17</v>
      </c>
      <c r="H22" s="95">
        <v>18</v>
      </c>
    </row>
    <row r="23" spans="2:11" ht="33" customHeight="1" thickBot="1" x14ac:dyDescent="0.3">
      <c r="B23" s="106"/>
      <c r="C23" s="106"/>
      <c r="D23" s="106"/>
      <c r="E23" s="93">
        <v>21</v>
      </c>
      <c r="F23" s="92">
        <v>16</v>
      </c>
      <c r="G23" s="92">
        <v>15</v>
      </c>
      <c r="H23" s="92">
        <v>16</v>
      </c>
    </row>
    <row r="24" spans="2:11" ht="33" customHeight="1" thickTop="1" x14ac:dyDescent="0.3">
      <c r="B24" s="105" t="s">
        <v>2</v>
      </c>
      <c r="C24" s="105" t="s">
        <v>148</v>
      </c>
      <c r="D24" s="105" t="s">
        <v>5</v>
      </c>
      <c r="E24" s="104">
        <v>3</v>
      </c>
      <c r="F24" s="103">
        <v>15</v>
      </c>
      <c r="G24" s="113">
        <v>13</v>
      </c>
      <c r="H24" s="103">
        <v>13</v>
      </c>
      <c r="J24" s="102" t="str">
        <f>"Ave "&amp;TEXT(C24,)&amp;" "&amp;"("&amp;TEXT(D24,)&amp;")="</f>
        <v>Ave Trt 6 (Stress)=</v>
      </c>
      <c r="K24" s="101">
        <f>AVERAGE(F24:H27)/1.5</f>
        <v>9.9444444444444446</v>
      </c>
    </row>
    <row r="25" spans="2:11" ht="33" customHeight="1" x14ac:dyDescent="0.25">
      <c r="B25" s="112">
        <v>42151</v>
      </c>
      <c r="C25" s="99"/>
      <c r="D25" s="94"/>
      <c r="E25" s="96">
        <v>9</v>
      </c>
      <c r="F25" s="95">
        <v>17</v>
      </c>
      <c r="G25" s="95">
        <v>13</v>
      </c>
      <c r="H25" s="95">
        <v>17</v>
      </c>
    </row>
    <row r="26" spans="2:11" ht="33" customHeight="1" x14ac:dyDescent="0.25">
      <c r="B26" s="99"/>
      <c r="C26" s="99"/>
      <c r="D26" s="94"/>
      <c r="E26" s="96">
        <v>15</v>
      </c>
      <c r="F26" s="95">
        <v>11</v>
      </c>
      <c r="G26" s="95">
        <v>19</v>
      </c>
      <c r="H26" s="95">
        <v>14</v>
      </c>
    </row>
    <row r="27" spans="2:11" ht="33" customHeight="1" thickBot="1" x14ac:dyDescent="0.3">
      <c r="B27" s="94"/>
      <c r="C27" s="94"/>
      <c r="D27" s="94"/>
      <c r="E27" s="93">
        <v>21</v>
      </c>
      <c r="F27" s="92">
        <v>17</v>
      </c>
      <c r="G27" s="92">
        <v>17</v>
      </c>
      <c r="H27" s="92">
        <v>13</v>
      </c>
    </row>
    <row r="28" spans="2:11" ht="33" customHeight="1" thickTop="1" x14ac:dyDescent="0.3">
      <c r="B28" s="105" t="s">
        <v>3</v>
      </c>
      <c r="C28" s="105" t="s">
        <v>147</v>
      </c>
      <c r="D28" s="105" t="s">
        <v>7</v>
      </c>
      <c r="E28" s="104">
        <v>3</v>
      </c>
      <c r="F28" s="103">
        <v>13</v>
      </c>
      <c r="G28" s="103">
        <v>15</v>
      </c>
      <c r="H28" s="103">
        <v>17</v>
      </c>
      <c r="J28" s="102" t="str">
        <f>"Ave "&amp;TEXT(C28,)&amp;" "&amp;"("&amp;TEXT(D28,)&amp;")="</f>
        <v>Ave Trt 7 (CropMod)=</v>
      </c>
      <c r="K28" s="101">
        <f>AVERAGE(F28:H31)/1.5</f>
        <v>10.277777777777777</v>
      </c>
    </row>
    <row r="29" spans="2:11" ht="33" customHeight="1" x14ac:dyDescent="0.25">
      <c r="B29" s="100">
        <v>42150</v>
      </c>
      <c r="C29" s="94"/>
      <c r="D29" s="94"/>
      <c r="E29" s="96">
        <v>9</v>
      </c>
      <c r="F29" s="95">
        <v>19</v>
      </c>
      <c r="G29" s="95">
        <v>13</v>
      </c>
      <c r="H29" s="95">
        <v>19</v>
      </c>
    </row>
    <row r="30" spans="2:11" ht="33" customHeight="1" x14ac:dyDescent="0.25">
      <c r="B30" s="94"/>
      <c r="C30" s="94"/>
      <c r="D30" s="94"/>
      <c r="E30" s="96">
        <v>15</v>
      </c>
      <c r="F30" s="111">
        <v>15</v>
      </c>
      <c r="G30" s="95">
        <v>15</v>
      </c>
      <c r="H30" s="111">
        <v>16</v>
      </c>
    </row>
    <row r="31" spans="2:11" ht="33" customHeight="1" thickBot="1" x14ac:dyDescent="0.3">
      <c r="B31" s="94"/>
      <c r="C31" s="94"/>
      <c r="D31" s="94"/>
      <c r="E31" s="93">
        <v>21</v>
      </c>
      <c r="F31" s="92">
        <v>10</v>
      </c>
      <c r="G31" s="92">
        <v>16</v>
      </c>
      <c r="H31" s="92">
        <v>17</v>
      </c>
    </row>
    <row r="32" spans="2:11" ht="33" customHeight="1" thickTop="1" x14ac:dyDescent="0.3">
      <c r="B32" s="109" t="s">
        <v>3</v>
      </c>
      <c r="C32" s="109" t="s">
        <v>146</v>
      </c>
      <c r="D32" s="109" t="s">
        <v>8</v>
      </c>
      <c r="E32" s="104">
        <v>3</v>
      </c>
      <c r="F32" s="110">
        <v>17</v>
      </c>
      <c r="G32" s="103">
        <v>17</v>
      </c>
      <c r="H32" s="110">
        <v>15</v>
      </c>
      <c r="J32" s="102" t="str">
        <f>"Ave "&amp;TEXT(C32,)&amp;" "&amp;"("&amp;TEXT(D32,)&amp;")="</f>
        <v>Ave Trt 8 (SEB)=</v>
      </c>
      <c r="K32" s="101">
        <f>AVERAGE(F32:H35)/1.5</f>
        <v>10.777777777777779</v>
      </c>
    </row>
    <row r="33" spans="2:12" ht="33" customHeight="1" x14ac:dyDescent="0.25">
      <c r="B33" s="100">
        <v>42150</v>
      </c>
      <c r="C33" s="106"/>
      <c r="D33" s="106"/>
      <c r="E33" s="96">
        <v>9</v>
      </c>
      <c r="F33" s="95">
        <v>13</v>
      </c>
      <c r="G33" s="95">
        <v>18</v>
      </c>
      <c r="H33" s="95">
        <v>17</v>
      </c>
    </row>
    <row r="34" spans="2:12" ht="33" customHeight="1" x14ac:dyDescent="0.25">
      <c r="B34" s="106"/>
      <c r="C34" s="106"/>
      <c r="D34" s="106"/>
      <c r="E34" s="96">
        <v>15</v>
      </c>
      <c r="F34" s="95">
        <v>18</v>
      </c>
      <c r="G34" s="95">
        <v>16</v>
      </c>
      <c r="H34" s="95">
        <v>16</v>
      </c>
    </row>
    <row r="35" spans="2:12" ht="33" customHeight="1" thickBot="1" x14ac:dyDescent="0.3">
      <c r="B35" s="106"/>
      <c r="C35" s="106"/>
      <c r="D35" s="106"/>
      <c r="E35" s="93">
        <v>21</v>
      </c>
      <c r="F35" s="92">
        <v>14</v>
      </c>
      <c r="G35" s="92">
        <v>16</v>
      </c>
      <c r="H35" s="92">
        <v>17</v>
      </c>
    </row>
    <row r="36" spans="2:12" ht="33" customHeight="1" thickTop="1" x14ac:dyDescent="0.3">
      <c r="B36" s="109" t="s">
        <v>4</v>
      </c>
      <c r="C36" s="109" t="s">
        <v>145</v>
      </c>
      <c r="D36" s="109" t="s">
        <v>9</v>
      </c>
      <c r="E36" s="104">
        <v>3</v>
      </c>
      <c r="F36" s="103">
        <v>10</v>
      </c>
      <c r="G36" s="103">
        <v>15</v>
      </c>
      <c r="H36" s="103">
        <v>16</v>
      </c>
      <c r="J36" s="108" t="str">
        <f>"Ave "&amp;TEXT(C36,)&amp;" "&amp;"("&amp;TEXT(D36,)&amp;")="</f>
        <v>Ave Trt 9 (NDVI)=</v>
      </c>
      <c r="K36" s="101">
        <f>AVERAGE(F36:H39)/1.5</f>
        <v>9.6111111111111107</v>
      </c>
    </row>
    <row r="37" spans="2:12" ht="33" customHeight="1" x14ac:dyDescent="0.25">
      <c r="B37" s="100">
        <v>42150</v>
      </c>
      <c r="C37" s="106"/>
      <c r="D37" s="106"/>
      <c r="E37" s="96">
        <v>9</v>
      </c>
      <c r="F37" s="95">
        <v>16</v>
      </c>
      <c r="G37" s="95">
        <v>14</v>
      </c>
      <c r="H37" s="95">
        <v>14</v>
      </c>
      <c r="J37" s="107"/>
    </row>
    <row r="38" spans="2:12" ht="33" customHeight="1" x14ac:dyDescent="0.25">
      <c r="B38" s="106"/>
      <c r="C38" s="106"/>
      <c r="D38" s="106"/>
      <c r="E38" s="96">
        <v>15</v>
      </c>
      <c r="F38" s="95">
        <v>16</v>
      </c>
      <c r="G38" s="95">
        <v>12</v>
      </c>
      <c r="H38" s="95">
        <v>15</v>
      </c>
    </row>
    <row r="39" spans="2:12" ht="33" customHeight="1" thickBot="1" x14ac:dyDescent="0.3">
      <c r="B39" s="106"/>
      <c r="C39" s="106"/>
      <c r="D39" s="106"/>
      <c r="E39" s="93">
        <v>21</v>
      </c>
      <c r="F39" s="92">
        <v>15</v>
      </c>
      <c r="G39" s="92">
        <v>15</v>
      </c>
      <c r="H39" s="92">
        <v>15</v>
      </c>
    </row>
    <row r="40" spans="2:12" ht="33" customHeight="1" thickTop="1" x14ac:dyDescent="0.3">
      <c r="B40" s="105" t="s">
        <v>4</v>
      </c>
      <c r="C40" s="105" t="s">
        <v>144</v>
      </c>
      <c r="D40" s="105" t="s">
        <v>6</v>
      </c>
      <c r="E40" s="104">
        <v>3</v>
      </c>
      <c r="F40" s="103">
        <v>13</v>
      </c>
      <c r="G40" s="103">
        <v>16</v>
      </c>
      <c r="H40" s="103">
        <v>16</v>
      </c>
      <c r="J40" s="102" t="str">
        <f>"Ave "&amp;TEXT(C40,)&amp;" "&amp;"("&amp;TEXT(D40,)&amp;")="</f>
        <v>Ave Trt 10 (FAO)=</v>
      </c>
      <c r="K40" s="101">
        <f>AVERAGE(F40:H43)/1.5</f>
        <v>9.7777777777777768</v>
      </c>
    </row>
    <row r="41" spans="2:12" ht="33" customHeight="1" x14ac:dyDescent="0.25">
      <c r="B41" s="100">
        <v>42150</v>
      </c>
      <c r="C41" s="94"/>
      <c r="D41" s="94"/>
      <c r="E41" s="96">
        <v>9</v>
      </c>
      <c r="F41" s="95">
        <v>14</v>
      </c>
      <c r="G41" s="95">
        <v>14</v>
      </c>
      <c r="H41" s="95">
        <v>16</v>
      </c>
    </row>
    <row r="42" spans="2:12" ht="33" customHeight="1" x14ac:dyDescent="0.25">
      <c r="B42" s="94"/>
      <c r="C42" s="94"/>
      <c r="D42" s="94"/>
      <c r="E42" s="96">
        <v>15</v>
      </c>
      <c r="F42" s="95">
        <v>17</v>
      </c>
      <c r="G42" s="95">
        <v>12</v>
      </c>
      <c r="H42" s="95">
        <v>15</v>
      </c>
    </row>
    <row r="43" spans="2:12" ht="33" customHeight="1" thickBot="1" x14ac:dyDescent="0.3">
      <c r="B43" s="94"/>
      <c r="C43" s="94"/>
      <c r="D43" s="94"/>
      <c r="E43" s="93">
        <v>21</v>
      </c>
      <c r="F43" s="92">
        <v>12</v>
      </c>
      <c r="G43" s="92">
        <v>13</v>
      </c>
      <c r="H43" s="92">
        <v>18</v>
      </c>
    </row>
    <row r="44" spans="2:12" ht="33" customHeight="1" thickTop="1" x14ac:dyDescent="0.3">
      <c r="B44" s="105" t="s">
        <v>12</v>
      </c>
      <c r="C44" s="105" t="s">
        <v>143</v>
      </c>
      <c r="D44" s="105" t="s">
        <v>5</v>
      </c>
      <c r="E44" s="104">
        <v>3</v>
      </c>
      <c r="F44" s="103">
        <v>8</v>
      </c>
      <c r="G44" s="103">
        <v>12</v>
      </c>
      <c r="H44" s="103">
        <v>16</v>
      </c>
      <c r="J44" s="102" t="str">
        <f>"Ave "&amp;TEXT(C44,)&amp;" "&amp;"("&amp;TEXT(D44,)&amp;")="</f>
        <v>Ave Trt 11 (Stress)=</v>
      </c>
      <c r="K44" s="101">
        <f>AVERAGE(F44:H47)/1.5</f>
        <v>8.7777777777777768</v>
      </c>
    </row>
    <row r="45" spans="2:12" ht="33" customHeight="1" x14ac:dyDescent="0.25">
      <c r="B45" s="100">
        <v>42150</v>
      </c>
      <c r="C45" s="99"/>
      <c r="D45" s="94"/>
      <c r="E45" s="98">
        <v>9</v>
      </c>
      <c r="F45" s="97">
        <v>15</v>
      </c>
      <c r="G45" s="97">
        <v>15</v>
      </c>
      <c r="H45" s="97">
        <v>13</v>
      </c>
    </row>
    <row r="46" spans="2:12" ht="33" customHeight="1" x14ac:dyDescent="0.25">
      <c r="B46" s="94"/>
      <c r="C46" s="94"/>
      <c r="D46" s="94"/>
      <c r="E46" s="96">
        <v>15</v>
      </c>
      <c r="F46" s="95">
        <v>18</v>
      </c>
      <c r="G46" s="95">
        <v>16</v>
      </c>
      <c r="H46" s="95">
        <v>14</v>
      </c>
    </row>
    <row r="47" spans="2:12" ht="33" customHeight="1" x14ac:dyDescent="0.25">
      <c r="B47" s="94"/>
      <c r="C47" s="94"/>
      <c r="D47" s="94"/>
      <c r="E47" s="93">
        <v>21</v>
      </c>
      <c r="F47" s="92">
        <v>11</v>
      </c>
      <c r="G47" s="92">
        <v>13</v>
      </c>
      <c r="H47" s="92">
        <v>7</v>
      </c>
    </row>
    <row r="48" spans="2:12" ht="33" customHeight="1" x14ac:dyDescent="0.25">
      <c r="B48" s="91"/>
      <c r="C48" s="91"/>
      <c r="D48" s="91"/>
      <c r="E48" s="86"/>
      <c r="F48" s="86"/>
      <c r="G48" s="86"/>
      <c r="H48" s="86"/>
      <c r="K48" s="81">
        <f>AVERAGE(K44,K40,K36,K32,K28,K24,K20,K16,K12,K8)</f>
        <v>10.166666666666666</v>
      </c>
      <c r="L48">
        <f>K48/1.02</f>
        <v>9.9673202614379086</v>
      </c>
    </row>
    <row r="49" spans="2:8" ht="33" customHeight="1" x14ac:dyDescent="0.25">
      <c r="B49" s="91"/>
      <c r="C49" s="91"/>
      <c r="D49" s="91"/>
      <c r="E49" s="86"/>
      <c r="F49" s="86"/>
      <c r="G49" s="86"/>
      <c r="H49" s="86"/>
    </row>
    <row r="50" spans="2:8" ht="33" customHeight="1" x14ac:dyDescent="0.25">
      <c r="B50" s="91"/>
      <c r="C50" s="91"/>
      <c r="D50" s="91"/>
      <c r="E50" s="86"/>
      <c r="F50" s="86"/>
      <c r="G50" s="86"/>
      <c r="H50" s="86"/>
    </row>
    <row r="51" spans="2:8" ht="33" customHeight="1" x14ac:dyDescent="0.25">
      <c r="B51" s="91"/>
      <c r="C51" s="91"/>
      <c r="D51" s="91"/>
      <c r="E51" s="86"/>
      <c r="F51" s="86"/>
      <c r="G51" s="86"/>
      <c r="H51" s="86"/>
    </row>
    <row r="52" spans="2:8" ht="33" customHeight="1" x14ac:dyDescent="0.25">
      <c r="B52" s="91"/>
      <c r="C52" s="91"/>
      <c r="D52" s="91"/>
      <c r="E52" s="86"/>
      <c r="F52" s="88"/>
      <c r="G52" s="86"/>
      <c r="H52" s="88"/>
    </row>
    <row r="53" spans="2:8" ht="33" customHeight="1" x14ac:dyDescent="0.25">
      <c r="B53" s="91"/>
      <c r="C53" s="91"/>
      <c r="D53" s="91"/>
      <c r="E53" s="86"/>
      <c r="F53" s="86"/>
      <c r="G53" s="86"/>
      <c r="H53" s="86"/>
    </row>
    <row r="54" spans="2:8" ht="33" customHeight="1" x14ac:dyDescent="0.25">
      <c r="B54" s="91"/>
      <c r="C54" s="91"/>
      <c r="D54" s="91"/>
      <c r="E54" s="86"/>
      <c r="F54" s="86"/>
      <c r="G54" s="86"/>
      <c r="H54" s="86"/>
    </row>
    <row r="55" spans="2:8" ht="33" customHeight="1" x14ac:dyDescent="0.25">
      <c r="B55" s="91"/>
      <c r="C55" s="91"/>
      <c r="D55" s="91"/>
      <c r="E55" s="86"/>
      <c r="F55" s="86"/>
      <c r="G55" s="86"/>
      <c r="H55" s="86"/>
    </row>
    <row r="56" spans="2:8" ht="33" customHeight="1" x14ac:dyDescent="0.25">
      <c r="B56" s="91"/>
      <c r="C56" s="91"/>
      <c r="D56" s="91"/>
      <c r="E56" s="86"/>
      <c r="F56" s="86"/>
      <c r="G56" s="86"/>
      <c r="H56" s="86"/>
    </row>
    <row r="57" spans="2:8" ht="33" customHeight="1" x14ac:dyDescent="0.25">
      <c r="B57" s="91"/>
      <c r="C57" s="91"/>
      <c r="D57" s="91"/>
      <c r="E57" s="86"/>
      <c r="F57" s="86"/>
      <c r="G57" s="86"/>
      <c r="H57" s="86"/>
    </row>
    <row r="58" spans="2:8" ht="33" customHeight="1" x14ac:dyDescent="0.25">
      <c r="B58" s="91"/>
      <c r="C58" s="91"/>
      <c r="D58" s="91"/>
      <c r="E58" s="86"/>
      <c r="F58" s="86"/>
      <c r="G58" s="86"/>
      <c r="H58" s="86"/>
    </row>
    <row r="59" spans="2:8" ht="33" customHeight="1" x14ac:dyDescent="0.25">
      <c r="B59" s="91"/>
      <c r="C59" s="91"/>
      <c r="D59" s="91"/>
      <c r="E59" s="86"/>
      <c r="F59" s="86"/>
      <c r="G59" s="86"/>
      <c r="H59" s="86"/>
    </row>
    <row r="60" spans="2:8" ht="33" customHeight="1" x14ac:dyDescent="0.25">
      <c r="B60" s="91"/>
      <c r="C60" s="91"/>
      <c r="D60" s="91"/>
      <c r="E60" s="86"/>
      <c r="F60" s="90"/>
      <c r="G60" s="86"/>
      <c r="H60" s="86"/>
    </row>
    <row r="61" spans="2:8" ht="33" customHeight="1" x14ac:dyDescent="0.25">
      <c r="B61" s="91"/>
      <c r="C61" s="91"/>
      <c r="D61" s="91"/>
      <c r="E61" s="86"/>
      <c r="F61" s="90"/>
      <c r="G61" s="86"/>
      <c r="H61" s="86"/>
    </row>
    <row r="62" spans="2:8" ht="33" customHeight="1" x14ac:dyDescent="0.25">
      <c r="B62" s="91"/>
      <c r="C62" s="91"/>
      <c r="D62" s="91"/>
      <c r="E62" s="86"/>
      <c r="F62" s="86"/>
      <c r="G62" s="86"/>
      <c r="H62" s="86"/>
    </row>
    <row r="63" spans="2:8" ht="33" customHeight="1" x14ac:dyDescent="0.25">
      <c r="B63" s="91"/>
      <c r="C63" s="91"/>
      <c r="D63" s="91"/>
      <c r="E63" s="86"/>
      <c r="F63" s="86"/>
      <c r="G63" s="86"/>
      <c r="H63" s="86"/>
    </row>
    <row r="64" spans="2:8" ht="33" customHeight="1" x14ac:dyDescent="0.25">
      <c r="B64" s="91"/>
      <c r="C64" s="91"/>
      <c r="D64" s="91"/>
      <c r="E64" s="86"/>
      <c r="F64" s="86"/>
      <c r="G64" s="86"/>
      <c r="H64" s="86"/>
    </row>
    <row r="65" spans="2:8" ht="33" customHeight="1" x14ac:dyDescent="0.25">
      <c r="B65" s="91"/>
      <c r="C65" s="91"/>
      <c r="D65" s="91"/>
      <c r="E65" s="86"/>
      <c r="F65" s="86"/>
      <c r="G65" s="86"/>
      <c r="H65" s="86"/>
    </row>
    <row r="66" spans="2:8" ht="33" customHeight="1" x14ac:dyDescent="0.25">
      <c r="B66" s="91"/>
      <c r="C66" s="91"/>
      <c r="D66" s="91"/>
      <c r="E66" s="86"/>
      <c r="F66" s="86"/>
      <c r="G66" s="86"/>
      <c r="H66" s="86"/>
    </row>
    <row r="67" spans="2:8" ht="33" customHeight="1" x14ac:dyDescent="0.25">
      <c r="B67" s="91"/>
      <c r="C67" s="91"/>
      <c r="D67" s="91"/>
      <c r="E67" s="86"/>
      <c r="F67" s="86"/>
      <c r="G67" s="86"/>
      <c r="H67" s="86"/>
    </row>
    <row r="68" spans="2:8" ht="33" customHeight="1" x14ac:dyDescent="0.25">
      <c r="E68" s="86"/>
      <c r="F68" s="86"/>
      <c r="G68" s="86"/>
      <c r="H68" s="86"/>
    </row>
    <row r="69" spans="2:8" ht="33" customHeight="1" x14ac:dyDescent="0.25">
      <c r="E69" s="86"/>
      <c r="F69" s="86"/>
      <c r="G69" s="86"/>
      <c r="H69" s="86"/>
    </row>
    <row r="70" spans="2:8" ht="33" customHeight="1" x14ac:dyDescent="0.25">
      <c r="E70" s="86"/>
      <c r="F70" s="86"/>
      <c r="G70" s="86"/>
      <c r="H70" s="86"/>
    </row>
    <row r="71" spans="2:8" ht="33" customHeight="1" x14ac:dyDescent="0.25">
      <c r="E71" s="86"/>
      <c r="F71" s="86"/>
      <c r="G71" s="86"/>
      <c r="H71" s="86"/>
    </row>
    <row r="72" spans="2:8" ht="33" customHeight="1" x14ac:dyDescent="0.25">
      <c r="E72" s="86"/>
      <c r="F72" s="86"/>
      <c r="G72" s="86"/>
      <c r="H72" s="86"/>
    </row>
    <row r="73" spans="2:8" ht="33" customHeight="1" x14ac:dyDescent="0.25">
      <c r="E73" s="86"/>
      <c r="F73" s="86"/>
      <c r="G73" s="86"/>
      <c r="H73" s="86"/>
    </row>
    <row r="74" spans="2:8" ht="33" customHeight="1" x14ac:dyDescent="0.25">
      <c r="E74" s="86"/>
      <c r="F74" s="86"/>
      <c r="G74" s="86"/>
      <c r="H74" s="86"/>
    </row>
    <row r="75" spans="2:8" ht="33" customHeight="1" x14ac:dyDescent="0.25">
      <c r="E75" s="86"/>
      <c r="F75" s="86"/>
      <c r="G75" s="86"/>
      <c r="H75" s="86"/>
    </row>
    <row r="76" spans="2:8" ht="33" customHeight="1" x14ac:dyDescent="0.25">
      <c r="E76" s="86"/>
      <c r="F76" s="86"/>
      <c r="G76" s="86"/>
      <c r="H76" s="86"/>
    </row>
    <row r="77" spans="2:8" ht="33" customHeight="1" x14ac:dyDescent="0.25">
      <c r="E77" s="86"/>
      <c r="F77" s="86"/>
      <c r="G77" s="86"/>
      <c r="H77" s="86"/>
    </row>
    <row r="78" spans="2:8" ht="33" customHeight="1" x14ac:dyDescent="0.25">
      <c r="E78" s="86"/>
      <c r="F78" s="86"/>
      <c r="G78" s="86"/>
      <c r="H78" s="86"/>
    </row>
    <row r="79" spans="2:8" ht="33" customHeight="1" x14ac:dyDescent="0.25">
      <c r="E79" s="86"/>
      <c r="F79" s="86"/>
      <c r="G79" s="86"/>
      <c r="H79" s="86"/>
    </row>
    <row r="80" spans="2:8" ht="33" customHeight="1" x14ac:dyDescent="0.25">
      <c r="E80" s="86"/>
      <c r="F80" s="86"/>
      <c r="G80" s="86"/>
      <c r="H80" s="86"/>
    </row>
    <row r="81" spans="5:8" ht="33" customHeight="1" x14ac:dyDescent="0.25">
      <c r="E81" s="86"/>
      <c r="F81" s="86"/>
      <c r="G81" s="86"/>
      <c r="H81" s="86"/>
    </row>
    <row r="82" spans="5:8" ht="33" customHeight="1" x14ac:dyDescent="0.25">
      <c r="E82" s="86"/>
      <c r="F82" s="88"/>
      <c r="G82" s="86"/>
      <c r="H82" s="88"/>
    </row>
    <row r="83" spans="5:8" ht="33" customHeight="1" x14ac:dyDescent="0.25">
      <c r="E83" s="86"/>
      <c r="F83" s="86"/>
      <c r="G83" s="86"/>
      <c r="H83" s="86"/>
    </row>
    <row r="84" spans="5:8" ht="33" customHeight="1" x14ac:dyDescent="0.25">
      <c r="E84" s="86"/>
      <c r="F84" s="86"/>
      <c r="G84" s="86"/>
      <c r="H84" s="86"/>
    </row>
    <row r="85" spans="5:8" ht="33" customHeight="1" x14ac:dyDescent="0.25">
      <c r="E85" s="86"/>
      <c r="F85" s="86"/>
      <c r="G85" s="86"/>
      <c r="H85" s="86"/>
    </row>
    <row r="86" spans="5:8" ht="33" customHeight="1" x14ac:dyDescent="0.25">
      <c r="E86" s="86"/>
      <c r="F86" s="86"/>
      <c r="G86" s="86"/>
      <c r="H86" s="86"/>
    </row>
    <row r="87" spans="5:8" ht="33" customHeight="1" x14ac:dyDescent="0.25">
      <c r="E87" s="86"/>
      <c r="F87" s="86"/>
      <c r="G87" s="174"/>
      <c r="H87" s="86"/>
    </row>
    <row r="88" spans="5:8" ht="33" customHeight="1" x14ac:dyDescent="0.25">
      <c r="E88" s="86"/>
      <c r="F88" s="86"/>
      <c r="G88" s="174"/>
      <c r="H88" s="86"/>
    </row>
    <row r="89" spans="5:8" ht="33" customHeight="1" x14ac:dyDescent="0.25">
      <c r="E89" s="86"/>
      <c r="F89" s="86"/>
      <c r="G89" s="86"/>
      <c r="H89" s="86"/>
    </row>
    <row r="90" spans="5:8" ht="33" customHeight="1" x14ac:dyDescent="0.25">
      <c r="E90" s="86"/>
      <c r="F90" s="86"/>
      <c r="G90" s="88"/>
      <c r="H90" s="86"/>
    </row>
    <row r="91" spans="5:8" ht="33" customHeight="1" x14ac:dyDescent="0.25">
      <c r="E91" s="86"/>
      <c r="F91" s="86"/>
      <c r="G91" s="86"/>
      <c r="H91" s="86"/>
    </row>
    <row r="92" spans="5:8" ht="33" customHeight="1" x14ac:dyDescent="0.25">
      <c r="E92" s="86"/>
      <c r="F92" s="86"/>
      <c r="G92" s="86"/>
      <c r="H92" s="86"/>
    </row>
    <row r="93" spans="5:8" ht="33" customHeight="1" x14ac:dyDescent="0.25">
      <c r="E93" s="86"/>
      <c r="F93" s="86"/>
      <c r="G93" s="86"/>
      <c r="H93" s="86"/>
    </row>
    <row r="94" spans="5:8" ht="33" customHeight="1" x14ac:dyDescent="0.25">
      <c r="E94" s="86"/>
      <c r="F94" s="86"/>
      <c r="G94" s="86"/>
      <c r="H94" s="86"/>
    </row>
    <row r="95" spans="5:8" ht="33" customHeight="1" x14ac:dyDescent="0.25">
      <c r="E95" s="86"/>
      <c r="F95" s="86"/>
      <c r="G95" s="86"/>
      <c r="H95" s="86"/>
    </row>
    <row r="96" spans="5:8" ht="33" customHeight="1" x14ac:dyDescent="0.25">
      <c r="E96" s="86"/>
      <c r="F96" s="86"/>
      <c r="G96" s="86"/>
      <c r="H96" s="86"/>
    </row>
    <row r="97" spans="5:8" ht="33" customHeight="1" x14ac:dyDescent="0.25">
      <c r="E97" s="86"/>
      <c r="F97" s="86"/>
      <c r="G97" s="86"/>
      <c r="H97" s="86"/>
    </row>
    <row r="98" spans="5:8" ht="33" customHeight="1" x14ac:dyDescent="0.25">
      <c r="E98" s="86"/>
      <c r="F98" s="86"/>
      <c r="G98" s="86"/>
      <c r="H98" s="86"/>
    </row>
    <row r="99" spans="5:8" ht="33" customHeight="1" x14ac:dyDescent="0.25">
      <c r="E99" s="86"/>
      <c r="F99" s="86"/>
      <c r="G99" s="86"/>
      <c r="H99" s="86"/>
    </row>
    <row r="100" spans="5:8" ht="33" customHeight="1" x14ac:dyDescent="0.25">
      <c r="E100" s="86"/>
      <c r="F100" s="86"/>
      <c r="G100" s="86"/>
      <c r="H100" s="86"/>
    </row>
    <row r="101" spans="5:8" ht="33" customHeight="1" x14ac:dyDescent="0.25">
      <c r="E101" s="86"/>
      <c r="F101" s="86"/>
      <c r="G101" s="86"/>
      <c r="H101" s="86"/>
    </row>
    <row r="102" spans="5:8" ht="33" customHeight="1" x14ac:dyDescent="0.25">
      <c r="E102" s="86"/>
      <c r="F102" s="86"/>
      <c r="G102" s="86"/>
      <c r="H102" s="86"/>
    </row>
    <row r="103" spans="5:8" ht="33" customHeight="1" x14ac:dyDescent="0.25">
      <c r="E103" s="86"/>
      <c r="F103" s="86"/>
      <c r="G103" s="86"/>
      <c r="H103" s="86"/>
    </row>
    <row r="104" spans="5:8" ht="33" customHeight="1" x14ac:dyDescent="0.25">
      <c r="E104" s="86"/>
      <c r="F104" s="86"/>
      <c r="G104" s="86"/>
      <c r="H104" s="86"/>
    </row>
    <row r="105" spans="5:8" ht="33" customHeight="1" x14ac:dyDescent="0.25">
      <c r="E105" s="86"/>
      <c r="F105" s="86"/>
      <c r="G105" s="86"/>
      <c r="H105" s="86"/>
    </row>
    <row r="106" spans="5:8" ht="33" customHeight="1" x14ac:dyDescent="0.25">
      <c r="E106" s="86"/>
      <c r="F106" s="86"/>
      <c r="G106" s="86"/>
      <c r="H106" s="86"/>
    </row>
    <row r="107" spans="5:8" ht="33" customHeight="1" x14ac:dyDescent="0.25">
      <c r="E107" s="86"/>
      <c r="F107" s="86"/>
      <c r="G107" s="86"/>
      <c r="H107" s="86"/>
    </row>
    <row r="108" spans="5:8" ht="33" customHeight="1" x14ac:dyDescent="0.25">
      <c r="E108" s="86"/>
      <c r="F108" s="86"/>
      <c r="G108" s="88"/>
      <c r="H108" s="86"/>
    </row>
    <row r="109" spans="5:8" ht="33" customHeight="1" x14ac:dyDescent="0.25">
      <c r="E109" s="86"/>
      <c r="F109" s="86"/>
      <c r="G109" s="86"/>
      <c r="H109" s="86"/>
    </row>
    <row r="110" spans="5:8" ht="33" customHeight="1" x14ac:dyDescent="0.25">
      <c r="E110" s="86"/>
      <c r="F110" s="86"/>
      <c r="G110" s="86"/>
      <c r="H110" s="86"/>
    </row>
    <row r="111" spans="5:8" ht="33" customHeight="1" x14ac:dyDescent="0.25">
      <c r="E111" s="86"/>
      <c r="F111" s="86"/>
      <c r="G111" s="86"/>
      <c r="H111" s="86"/>
    </row>
    <row r="112" spans="5:8" ht="33" customHeight="1" x14ac:dyDescent="0.25">
      <c r="E112" s="86"/>
      <c r="F112" s="86"/>
      <c r="G112" s="86"/>
      <c r="H112" s="86"/>
    </row>
    <row r="113" spans="5:8" ht="33" customHeight="1" x14ac:dyDescent="0.25">
      <c r="E113" s="86"/>
      <c r="F113" s="86"/>
      <c r="G113" s="86"/>
      <c r="H113" s="86"/>
    </row>
    <row r="114" spans="5:8" ht="33" customHeight="1" x14ac:dyDescent="0.25">
      <c r="E114" s="86"/>
      <c r="F114" s="86"/>
      <c r="G114" s="86"/>
      <c r="H114" s="86"/>
    </row>
    <row r="115" spans="5:8" ht="33" customHeight="1" x14ac:dyDescent="0.25">
      <c r="E115" s="86"/>
      <c r="F115" s="86"/>
      <c r="G115" s="86"/>
      <c r="H115" s="86"/>
    </row>
    <row r="116" spans="5:8" ht="33" customHeight="1" x14ac:dyDescent="0.25">
      <c r="E116" s="86"/>
      <c r="F116" s="86"/>
      <c r="G116" s="86"/>
      <c r="H116" s="86"/>
    </row>
    <row r="117" spans="5:8" ht="33" customHeight="1" x14ac:dyDescent="0.25">
      <c r="E117" s="86"/>
      <c r="F117" s="90"/>
      <c r="G117" s="86"/>
      <c r="H117" s="86"/>
    </row>
    <row r="118" spans="5:8" ht="33" customHeight="1" x14ac:dyDescent="0.25">
      <c r="E118" s="86"/>
      <c r="F118" s="90"/>
      <c r="G118" s="86"/>
      <c r="H118" s="86"/>
    </row>
    <row r="119" spans="5:8" ht="33" customHeight="1" x14ac:dyDescent="0.25">
      <c r="E119" s="86"/>
      <c r="F119" s="86"/>
      <c r="G119" s="86"/>
      <c r="H119" s="86"/>
    </row>
    <row r="120" spans="5:8" ht="33" customHeight="1" x14ac:dyDescent="0.25">
      <c r="E120" s="86"/>
      <c r="F120" s="86"/>
      <c r="G120" s="86"/>
      <c r="H120" s="86"/>
    </row>
    <row r="121" spans="5:8" ht="33" customHeight="1" x14ac:dyDescent="0.25">
      <c r="E121" s="86"/>
      <c r="F121" s="86"/>
      <c r="G121" s="86"/>
      <c r="H121" s="86"/>
    </row>
    <row r="122" spans="5:8" ht="33" customHeight="1" x14ac:dyDescent="0.25">
      <c r="E122" s="86"/>
      <c r="F122" s="86"/>
      <c r="G122" s="86"/>
      <c r="H122" s="86"/>
    </row>
    <row r="123" spans="5:8" ht="33" customHeight="1" x14ac:dyDescent="0.25">
      <c r="E123" s="86"/>
      <c r="F123" s="86"/>
      <c r="G123" s="86"/>
      <c r="H123" s="86"/>
    </row>
    <row r="124" spans="5:8" ht="33" customHeight="1" x14ac:dyDescent="0.25">
      <c r="E124" s="86"/>
      <c r="F124" s="86"/>
      <c r="G124" s="86"/>
      <c r="H124" s="86"/>
    </row>
    <row r="125" spans="5:8" ht="33" customHeight="1" x14ac:dyDescent="0.25">
      <c r="E125" s="86"/>
      <c r="F125" s="86"/>
      <c r="G125" s="86"/>
      <c r="H125" s="86"/>
    </row>
    <row r="126" spans="5:8" ht="33" customHeight="1" x14ac:dyDescent="0.25">
      <c r="E126" s="86"/>
      <c r="F126" s="86"/>
      <c r="G126" s="86"/>
      <c r="H126" s="86"/>
    </row>
    <row r="127" spans="5:8" ht="33" customHeight="1" x14ac:dyDescent="0.25">
      <c r="E127" s="86"/>
      <c r="F127" s="86"/>
      <c r="G127" s="86"/>
      <c r="H127" s="86"/>
    </row>
    <row r="128" spans="5:8" ht="33" customHeight="1" x14ac:dyDescent="0.25">
      <c r="E128" s="86"/>
      <c r="F128" s="86"/>
      <c r="G128" s="86"/>
      <c r="H128" s="86"/>
    </row>
    <row r="129" spans="5:8" ht="33" customHeight="1" x14ac:dyDescent="0.25">
      <c r="E129" s="86"/>
      <c r="F129" s="86"/>
      <c r="G129" s="86"/>
      <c r="H129" s="86"/>
    </row>
    <row r="130" spans="5:8" ht="33" customHeight="1" x14ac:dyDescent="0.25">
      <c r="E130" s="86"/>
      <c r="F130" s="86"/>
      <c r="G130" s="86"/>
      <c r="H130" s="86"/>
    </row>
    <row r="131" spans="5:8" ht="33" customHeight="1" x14ac:dyDescent="0.25">
      <c r="E131" s="86"/>
      <c r="F131" s="86"/>
      <c r="G131" s="86"/>
      <c r="H131" s="86"/>
    </row>
    <row r="132" spans="5:8" ht="33" customHeight="1" x14ac:dyDescent="0.25">
      <c r="E132" s="86"/>
      <c r="F132" s="86"/>
      <c r="G132" s="86"/>
      <c r="H132" s="86"/>
    </row>
    <row r="133" spans="5:8" ht="33" customHeight="1" x14ac:dyDescent="0.25">
      <c r="E133" s="86"/>
      <c r="F133" s="86"/>
      <c r="G133" s="86"/>
      <c r="H133" s="86"/>
    </row>
    <row r="134" spans="5:8" ht="33" customHeight="1" x14ac:dyDescent="0.25">
      <c r="E134" s="86"/>
      <c r="F134" s="86"/>
      <c r="G134" s="86"/>
      <c r="H134" s="86"/>
    </row>
    <row r="135" spans="5:8" ht="33" customHeight="1" x14ac:dyDescent="0.25">
      <c r="E135" s="86"/>
      <c r="F135" s="86"/>
      <c r="G135" s="86"/>
      <c r="H135" s="86"/>
    </row>
    <row r="136" spans="5:8" ht="33" customHeight="1" x14ac:dyDescent="0.25">
      <c r="E136" s="86"/>
      <c r="F136" s="86"/>
      <c r="G136" s="86"/>
      <c r="H136" s="86"/>
    </row>
    <row r="137" spans="5:8" ht="33" customHeight="1" x14ac:dyDescent="0.25">
      <c r="E137" s="86"/>
      <c r="F137" s="86"/>
      <c r="G137" s="86"/>
      <c r="H137" s="86"/>
    </row>
    <row r="138" spans="5:8" ht="33" customHeight="1" x14ac:dyDescent="0.25">
      <c r="E138" s="86"/>
      <c r="F138" s="86"/>
      <c r="G138" s="86"/>
      <c r="H138" s="86"/>
    </row>
    <row r="139" spans="5:8" ht="33" customHeight="1" x14ac:dyDescent="0.25">
      <c r="E139" s="86"/>
      <c r="F139" s="88"/>
      <c r="G139" s="86"/>
      <c r="H139" s="88"/>
    </row>
    <row r="140" spans="5:8" ht="33" customHeight="1" x14ac:dyDescent="0.25">
      <c r="E140" s="86"/>
      <c r="F140" s="86"/>
      <c r="G140" s="86"/>
      <c r="H140" s="86"/>
    </row>
    <row r="141" spans="5:8" ht="33" customHeight="1" x14ac:dyDescent="0.25">
      <c r="E141" s="86"/>
      <c r="F141" s="86"/>
      <c r="G141" s="86"/>
      <c r="H141" s="86"/>
    </row>
    <row r="142" spans="5:8" ht="33" customHeight="1" x14ac:dyDescent="0.25">
      <c r="E142" s="86"/>
      <c r="F142" s="86"/>
      <c r="G142" s="86"/>
      <c r="H142" s="86"/>
    </row>
    <row r="143" spans="5:8" ht="33" customHeight="1" x14ac:dyDescent="0.25">
      <c r="E143" s="86"/>
      <c r="F143" s="86"/>
      <c r="G143" s="86"/>
      <c r="H143" s="86"/>
    </row>
    <row r="144" spans="5:8" ht="33" customHeight="1" x14ac:dyDescent="0.25">
      <c r="E144" s="86"/>
      <c r="F144" s="86"/>
      <c r="G144" s="86"/>
      <c r="H144" s="86"/>
    </row>
    <row r="145" spans="5:8" ht="33" customHeight="1" x14ac:dyDescent="0.25">
      <c r="E145" s="86"/>
      <c r="F145" s="86"/>
      <c r="G145" s="86"/>
      <c r="H145" s="86"/>
    </row>
    <row r="146" spans="5:8" ht="33" customHeight="1" x14ac:dyDescent="0.25">
      <c r="E146" s="86"/>
      <c r="F146" s="86"/>
      <c r="G146" s="86"/>
      <c r="H146" s="86"/>
    </row>
    <row r="147" spans="5:8" ht="33" customHeight="1" x14ac:dyDescent="0.25">
      <c r="E147" s="86"/>
      <c r="F147" s="89"/>
      <c r="G147" s="86"/>
      <c r="H147" s="89"/>
    </row>
    <row r="148" spans="5:8" ht="33" customHeight="1" x14ac:dyDescent="0.25">
      <c r="E148" s="86"/>
      <c r="F148" s="86"/>
      <c r="G148" s="86"/>
      <c r="H148" s="86"/>
    </row>
    <row r="149" spans="5:8" ht="33" customHeight="1" x14ac:dyDescent="0.25">
      <c r="E149" s="86"/>
      <c r="F149" s="86"/>
      <c r="G149" s="86"/>
      <c r="H149" s="86"/>
    </row>
    <row r="150" spans="5:8" ht="33" customHeight="1" x14ac:dyDescent="0.25">
      <c r="E150" s="86"/>
      <c r="F150" s="86"/>
      <c r="G150" s="86"/>
      <c r="H150" s="86"/>
    </row>
    <row r="151" spans="5:8" ht="33" customHeight="1" x14ac:dyDescent="0.25">
      <c r="E151" s="86"/>
      <c r="F151" s="86"/>
      <c r="G151" s="86"/>
      <c r="H151" s="86"/>
    </row>
    <row r="152" spans="5:8" ht="33" customHeight="1" x14ac:dyDescent="0.25">
      <c r="E152" s="86"/>
      <c r="F152" s="86"/>
      <c r="G152" s="86"/>
      <c r="H152" s="86"/>
    </row>
    <row r="153" spans="5:8" ht="33" customHeight="1" x14ac:dyDescent="0.25">
      <c r="E153" s="86"/>
      <c r="F153" s="86"/>
      <c r="G153" s="86"/>
      <c r="H153" s="86"/>
    </row>
    <row r="154" spans="5:8" ht="33" customHeight="1" x14ac:dyDescent="0.25">
      <c r="E154" s="86"/>
      <c r="F154" s="86"/>
      <c r="G154" s="86"/>
      <c r="H154" s="86"/>
    </row>
    <row r="155" spans="5:8" ht="33" customHeight="1" x14ac:dyDescent="0.25">
      <c r="E155" s="86"/>
      <c r="F155" s="86"/>
      <c r="G155" s="86"/>
      <c r="H155" s="86"/>
    </row>
    <row r="156" spans="5:8" ht="33" customHeight="1" x14ac:dyDescent="0.25">
      <c r="E156" s="86"/>
      <c r="F156" s="86"/>
      <c r="G156" s="86"/>
      <c r="H156" s="86"/>
    </row>
    <row r="157" spans="5:8" ht="33" customHeight="1" x14ac:dyDescent="0.25">
      <c r="E157" s="86"/>
      <c r="F157" s="86"/>
      <c r="G157" s="86"/>
      <c r="H157" s="86"/>
    </row>
    <row r="158" spans="5:8" ht="33" customHeight="1" x14ac:dyDescent="0.25">
      <c r="E158" s="86"/>
      <c r="F158" s="86"/>
      <c r="G158" s="86"/>
      <c r="H158" s="86"/>
    </row>
    <row r="159" spans="5:8" ht="33" customHeight="1" x14ac:dyDescent="0.25">
      <c r="E159" s="86"/>
      <c r="F159" s="86"/>
      <c r="G159" s="86"/>
      <c r="H159" s="86"/>
    </row>
    <row r="160" spans="5:8" ht="33" customHeight="1" x14ac:dyDescent="0.25">
      <c r="E160" s="86"/>
      <c r="F160" s="86"/>
      <c r="G160" s="86"/>
      <c r="H160" s="86"/>
    </row>
    <row r="161" spans="5:8" ht="33" customHeight="1" x14ac:dyDescent="0.25">
      <c r="E161" s="86"/>
      <c r="F161" s="86"/>
      <c r="G161" s="86"/>
      <c r="H161" s="86"/>
    </row>
    <row r="162" spans="5:8" ht="33" customHeight="1" x14ac:dyDescent="0.25">
      <c r="E162" s="86"/>
      <c r="F162" s="86"/>
      <c r="G162" s="86"/>
      <c r="H162" s="86"/>
    </row>
    <row r="163" spans="5:8" ht="33" customHeight="1" x14ac:dyDescent="0.25">
      <c r="E163" s="86"/>
      <c r="F163" s="86"/>
      <c r="G163" s="86"/>
      <c r="H163" s="86"/>
    </row>
    <row r="164" spans="5:8" ht="33" customHeight="1" x14ac:dyDescent="0.25">
      <c r="E164" s="86"/>
      <c r="F164" s="86"/>
      <c r="G164" s="86"/>
      <c r="H164" s="86"/>
    </row>
    <row r="165" spans="5:8" ht="33" customHeight="1" x14ac:dyDescent="0.25">
      <c r="E165" s="86"/>
      <c r="F165" s="86"/>
      <c r="G165" s="86"/>
      <c r="H165" s="86"/>
    </row>
    <row r="166" spans="5:8" ht="33" customHeight="1" x14ac:dyDescent="0.25">
      <c r="E166" s="86"/>
      <c r="F166" s="86"/>
      <c r="G166" s="86"/>
      <c r="H166" s="86"/>
    </row>
    <row r="167" spans="5:8" ht="33" customHeight="1" x14ac:dyDescent="0.25">
      <c r="E167" s="86"/>
      <c r="F167" s="88"/>
      <c r="G167" s="86"/>
      <c r="H167" s="88"/>
    </row>
    <row r="168" spans="5:8" ht="33" customHeight="1" x14ac:dyDescent="0.25">
      <c r="E168" s="86"/>
      <c r="F168" s="86"/>
      <c r="G168" s="86"/>
      <c r="H168" s="86"/>
    </row>
    <row r="169" spans="5:8" ht="33" customHeight="1" x14ac:dyDescent="0.25">
      <c r="E169" s="86"/>
      <c r="F169" s="86"/>
      <c r="G169" s="86"/>
      <c r="H169" s="86"/>
    </row>
    <row r="170" spans="5:8" ht="33" customHeight="1" x14ac:dyDescent="0.25">
      <c r="E170" s="86"/>
      <c r="F170" s="86"/>
      <c r="G170" s="86"/>
      <c r="H170" s="86"/>
    </row>
    <row r="171" spans="5:8" ht="33" customHeight="1" x14ac:dyDescent="0.25">
      <c r="E171" s="86"/>
      <c r="F171" s="86"/>
      <c r="G171" s="86"/>
      <c r="H171" s="86"/>
    </row>
    <row r="172" spans="5:8" ht="33" customHeight="1" x14ac:dyDescent="0.25">
      <c r="E172" s="86"/>
      <c r="F172" s="86"/>
      <c r="G172" s="86"/>
      <c r="H172" s="86"/>
    </row>
    <row r="173" spans="5:8" ht="33" customHeight="1" x14ac:dyDescent="0.25">
      <c r="E173" s="86"/>
      <c r="F173" s="86"/>
      <c r="G173" s="88"/>
      <c r="H173" s="86"/>
    </row>
    <row r="174" spans="5:8" ht="33" customHeight="1" x14ac:dyDescent="0.25">
      <c r="E174" s="86"/>
      <c r="F174" s="86"/>
      <c r="G174" s="88"/>
      <c r="H174" s="86"/>
    </row>
    <row r="175" spans="5:8" ht="33" customHeight="1" x14ac:dyDescent="0.25">
      <c r="E175" s="86"/>
      <c r="F175" s="86"/>
      <c r="G175" s="87"/>
      <c r="H175" s="86"/>
    </row>
    <row r="176" spans="5:8" ht="33" customHeight="1" x14ac:dyDescent="0.25">
      <c r="E176" s="86"/>
    </row>
    <row r="177" ht="33" customHeight="1" x14ac:dyDescent="0.25"/>
    <row r="178" ht="33" customHeight="1" x14ac:dyDescent="0.25"/>
    <row r="179" ht="33" customHeight="1" x14ac:dyDescent="0.25"/>
    <row r="180" ht="33.6" customHeight="1" x14ac:dyDescent="0.25"/>
  </sheetData>
  <mergeCells count="1">
    <mergeCell ref="G87:G88"/>
  </mergeCells>
  <pageMargins left="0.7" right="0.7" top="0.75" bottom="0.75" header="0.3" footer="0.3"/>
  <pageSetup scale="68" fitToHeight="7" orientation="portrait" r:id="rId1"/>
  <rowBreaks count="5" manualBreakCount="5">
    <brk id="31" max="7" man="1"/>
    <brk id="65" max="10" man="1"/>
    <brk id="93" max="10" man="1"/>
    <brk id="122" max="10" man="1"/>
    <brk id="151" max="10" man="1"/>
  </rowBreak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8E3F17-4CCB-4874-BDE2-10E677B6EB6C}">
  <sheetPr>
    <pageSetUpPr fitToPage="1"/>
  </sheetPr>
  <dimension ref="A1:U68"/>
  <sheetViews>
    <sheetView topLeftCell="B1" zoomScale="85" zoomScaleNormal="85" workbookViewId="0">
      <selection activeCell="U10" sqref="U10:U59"/>
    </sheetView>
  </sheetViews>
  <sheetFormatPr defaultColWidth="8.85546875" defaultRowHeight="14.25" x14ac:dyDescent="0.2"/>
  <cols>
    <col min="1" max="4" width="8.85546875" style="82"/>
    <col min="5" max="5" width="11.85546875" style="138" customWidth="1"/>
    <col min="6" max="6" width="10.85546875" style="82" customWidth="1"/>
    <col min="7" max="7" width="10.7109375" style="82" customWidth="1"/>
    <col min="8" max="16384" width="8.85546875" style="82"/>
  </cols>
  <sheetData>
    <row r="1" spans="1:21" ht="18" x14ac:dyDescent="0.25">
      <c r="A1" s="2">
        <v>2015</v>
      </c>
      <c r="B1" s="3" t="s">
        <v>17</v>
      </c>
      <c r="C1" s="4"/>
      <c r="D1" s="4"/>
    </row>
    <row r="2" spans="1:21" ht="18" x14ac:dyDescent="0.25">
      <c r="A2" s="4"/>
      <c r="B2" s="3" t="s">
        <v>10</v>
      </c>
      <c r="C2" s="6"/>
      <c r="D2" s="3" t="s">
        <v>11</v>
      </c>
    </row>
    <row r="4" spans="1:21" ht="15.75" x14ac:dyDescent="0.25">
      <c r="B4" s="4" t="s">
        <v>209</v>
      </c>
      <c r="C4" s="4"/>
    </row>
    <row r="5" spans="1:21" ht="15.75" x14ac:dyDescent="0.25">
      <c r="B5" s="4"/>
      <c r="C5" s="4"/>
    </row>
    <row r="7" spans="1:21" ht="15" x14ac:dyDescent="0.25">
      <c r="D7" s="10" t="s">
        <v>20</v>
      </c>
      <c r="E7" s="69">
        <v>42157</v>
      </c>
      <c r="F7" s="146">
        <v>42177</v>
      </c>
      <c r="G7" s="146">
        <v>42179</v>
      </c>
      <c r="H7" s="146">
        <v>42184</v>
      </c>
      <c r="I7" s="146">
        <v>42186</v>
      </c>
      <c r="J7" s="146">
        <v>42191</v>
      </c>
      <c r="K7" s="145"/>
      <c r="L7" s="145"/>
    </row>
    <row r="8" spans="1:21" ht="15" x14ac:dyDescent="0.25">
      <c r="D8" s="10" t="s">
        <v>27</v>
      </c>
      <c r="E8" s="145">
        <v>153</v>
      </c>
      <c r="F8" s="145">
        <v>173</v>
      </c>
      <c r="G8" s="145">
        <v>175</v>
      </c>
      <c r="H8" s="145">
        <v>180</v>
      </c>
      <c r="I8" s="145">
        <v>182</v>
      </c>
      <c r="J8" s="145">
        <v>187</v>
      </c>
      <c r="K8" s="145"/>
      <c r="L8" s="145"/>
      <c r="N8" s="145">
        <v>173</v>
      </c>
      <c r="O8" s="145">
        <v>175</v>
      </c>
      <c r="P8" s="145">
        <v>180</v>
      </c>
      <c r="Q8" s="145">
        <v>182</v>
      </c>
      <c r="R8" s="145">
        <v>187</v>
      </c>
    </row>
    <row r="9" spans="1:21" ht="48.6" customHeight="1" thickBot="1" x14ac:dyDescent="0.3">
      <c r="D9" s="10"/>
      <c r="E9" s="72" t="s">
        <v>61</v>
      </c>
      <c r="F9" s="144" t="s">
        <v>208</v>
      </c>
      <c r="G9" s="144" t="s">
        <v>208</v>
      </c>
      <c r="H9" s="144" t="s">
        <v>208</v>
      </c>
      <c r="I9" s="144" t="s">
        <v>208</v>
      </c>
      <c r="J9" s="144" t="s">
        <v>208</v>
      </c>
      <c r="K9" s="144" t="s">
        <v>208</v>
      </c>
      <c r="L9" s="144" t="s">
        <v>208</v>
      </c>
      <c r="T9" s="143">
        <v>0.5</v>
      </c>
      <c r="U9" s="82" t="s">
        <v>207</v>
      </c>
    </row>
    <row r="10" spans="1:21" s="139" customFormat="1" ht="16.899999999999999" customHeight="1" x14ac:dyDescent="0.25">
      <c r="B10" s="20" t="s">
        <v>0</v>
      </c>
      <c r="C10" s="20" t="s">
        <v>48</v>
      </c>
      <c r="D10" s="21" t="s">
        <v>13</v>
      </c>
      <c r="E10" s="141">
        <v>10</v>
      </c>
      <c r="F10" s="141">
        <v>0</v>
      </c>
      <c r="G10" s="141">
        <v>0</v>
      </c>
      <c r="H10" s="141">
        <v>5</v>
      </c>
      <c r="I10" s="141">
        <v>7</v>
      </c>
      <c r="J10" s="141">
        <v>9</v>
      </c>
      <c r="K10" s="141"/>
      <c r="L10" s="141"/>
      <c r="T10" s="139">
        <f t="shared" ref="T10:T41" si="0">E10/2</f>
        <v>5</v>
      </c>
      <c r="U10" s="139">
        <f>G$8+(T10-G10)/(H10-G10)*(H$8-G$8)</f>
        <v>180</v>
      </c>
    </row>
    <row r="11" spans="1:21" s="139" customFormat="1" ht="16.899999999999999" customHeight="1" x14ac:dyDescent="0.25">
      <c r="B11" s="19"/>
      <c r="C11" s="19" t="s">
        <v>6</v>
      </c>
      <c r="D11" s="22" t="s">
        <v>26</v>
      </c>
      <c r="E11" s="140">
        <v>10</v>
      </c>
      <c r="F11" s="140">
        <v>0</v>
      </c>
      <c r="G11" s="140">
        <v>0</v>
      </c>
      <c r="H11" s="140">
        <v>1</v>
      </c>
      <c r="I11" s="140">
        <v>4</v>
      </c>
      <c r="J11" s="140">
        <v>7</v>
      </c>
      <c r="K11" s="140"/>
      <c r="L11" s="140"/>
      <c r="T11" s="139">
        <f t="shared" si="0"/>
        <v>5</v>
      </c>
      <c r="U11" s="139">
        <f>I$8+(T11-I11)/(J11-I11)*(J$8-I$8)</f>
        <v>183.66666666666666</v>
      </c>
    </row>
    <row r="12" spans="1:21" s="139" customFormat="1" ht="16.899999999999999" customHeight="1" x14ac:dyDescent="0.25">
      <c r="B12" s="19"/>
      <c r="C12" s="19"/>
      <c r="D12" s="22" t="s">
        <v>14</v>
      </c>
      <c r="E12" s="140">
        <v>10</v>
      </c>
      <c r="F12" s="140">
        <v>0</v>
      </c>
      <c r="G12" s="140">
        <v>0</v>
      </c>
      <c r="H12" s="140">
        <v>4</v>
      </c>
      <c r="I12" s="140">
        <v>5</v>
      </c>
      <c r="J12" s="140">
        <v>9</v>
      </c>
      <c r="K12" s="140"/>
      <c r="L12" s="140"/>
      <c r="T12" s="139">
        <f t="shared" si="0"/>
        <v>5</v>
      </c>
      <c r="U12" s="139">
        <f>H$8+(T12-H12)/(I12-H12)*(I$8-H$8)</f>
        <v>182</v>
      </c>
    </row>
    <row r="13" spans="1:21" s="139" customFormat="1" ht="16.899999999999999" customHeight="1" x14ac:dyDescent="0.25">
      <c r="B13" s="19"/>
      <c r="C13" s="19"/>
      <c r="D13" s="22" t="s">
        <v>15</v>
      </c>
      <c r="E13" s="140">
        <v>13</v>
      </c>
      <c r="F13" s="140">
        <v>0</v>
      </c>
      <c r="G13" s="140">
        <v>0</v>
      </c>
      <c r="H13" s="140">
        <v>5</v>
      </c>
      <c r="I13" s="140" t="s">
        <v>206</v>
      </c>
      <c r="J13" s="140">
        <v>11</v>
      </c>
      <c r="K13" s="140"/>
      <c r="L13" s="140"/>
      <c r="T13" s="139">
        <f t="shared" si="0"/>
        <v>6.5</v>
      </c>
      <c r="U13" s="139">
        <f>H$8+(T13-H13)/(J13-H13)*(J$8-H$8)</f>
        <v>181.75</v>
      </c>
    </row>
    <row r="14" spans="1:21" s="139" customFormat="1" ht="16.899999999999999" customHeight="1" thickBot="1" x14ac:dyDescent="0.3">
      <c r="B14" s="19"/>
      <c r="C14" s="19"/>
      <c r="D14" s="22" t="s">
        <v>16</v>
      </c>
      <c r="E14" s="140">
        <v>10</v>
      </c>
      <c r="F14" s="140">
        <v>0</v>
      </c>
      <c r="G14" s="140">
        <v>0</v>
      </c>
      <c r="H14" s="140">
        <v>8</v>
      </c>
      <c r="I14" s="140" t="s">
        <v>206</v>
      </c>
      <c r="J14" s="140">
        <v>10</v>
      </c>
      <c r="K14" s="140"/>
      <c r="L14" s="140"/>
      <c r="N14" s="139">
        <f>SUM(F10:F14)/SUM($E10:$E14)*100</f>
        <v>0</v>
      </c>
      <c r="O14" s="139">
        <f>SUM(G10:G14)/SUM($E10:$E14)*100</f>
        <v>0</v>
      </c>
      <c r="P14" s="139">
        <f>SUM(H10:H14)/SUM($E10:$E14)*100</f>
        <v>43.39622641509434</v>
      </c>
      <c r="Q14" s="139">
        <f>SUM(I10:I14)/SUM($E10:$E14)*100</f>
        <v>30.188679245283019</v>
      </c>
      <c r="R14" s="139">
        <f>SUM(J10:J14)/SUM($E10:$E14)*100</f>
        <v>86.79245283018868</v>
      </c>
      <c r="T14" s="139">
        <f t="shared" si="0"/>
        <v>5</v>
      </c>
      <c r="U14" s="139">
        <f>G$8+(T14-G14)/(H14-G14)*(H$8-G$8)</f>
        <v>178.125</v>
      </c>
    </row>
    <row r="15" spans="1:21" s="139" customFormat="1" ht="16.899999999999999" customHeight="1" x14ac:dyDescent="0.25">
      <c r="B15" s="20" t="s">
        <v>1</v>
      </c>
      <c r="C15" s="20" t="s">
        <v>49</v>
      </c>
      <c r="D15" s="21" t="s">
        <v>13</v>
      </c>
      <c r="E15" s="141">
        <v>13</v>
      </c>
      <c r="F15" s="141">
        <v>0</v>
      </c>
      <c r="G15" s="141">
        <v>1</v>
      </c>
      <c r="H15" s="141">
        <v>7</v>
      </c>
      <c r="I15" s="141">
        <v>10</v>
      </c>
      <c r="J15" s="141">
        <v>13</v>
      </c>
      <c r="K15" s="141"/>
      <c r="L15" s="141"/>
      <c r="T15" s="139">
        <f t="shared" si="0"/>
        <v>6.5</v>
      </c>
      <c r="U15" s="139">
        <f>G$8+(T15-G15)/(H15-G15)*(H$8-G$8)</f>
        <v>179.58333333333334</v>
      </c>
    </row>
    <row r="16" spans="1:21" s="139" customFormat="1" ht="16.899999999999999" customHeight="1" x14ac:dyDescent="0.25">
      <c r="B16" s="19"/>
      <c r="C16" s="19" t="s">
        <v>7</v>
      </c>
      <c r="D16" s="22" t="s">
        <v>26</v>
      </c>
      <c r="E16" s="140">
        <v>11</v>
      </c>
      <c r="F16" s="140">
        <v>0</v>
      </c>
      <c r="G16" s="140">
        <v>0</v>
      </c>
      <c r="H16" s="140">
        <v>6</v>
      </c>
      <c r="I16" s="140">
        <v>9</v>
      </c>
      <c r="J16" s="140">
        <v>10</v>
      </c>
      <c r="K16" s="140"/>
      <c r="L16" s="140"/>
      <c r="T16" s="139">
        <f t="shared" si="0"/>
        <v>5.5</v>
      </c>
      <c r="U16" s="139">
        <f>G$8+(T16-G16)/(H16-G16)*(H$8-G$8)</f>
        <v>179.58333333333334</v>
      </c>
    </row>
    <row r="17" spans="2:21" s="139" customFormat="1" ht="16.899999999999999" customHeight="1" x14ac:dyDescent="0.25">
      <c r="B17" s="19"/>
      <c r="C17" s="19"/>
      <c r="D17" s="22" t="s">
        <v>14</v>
      </c>
      <c r="E17" s="140">
        <v>11</v>
      </c>
      <c r="F17" s="140">
        <v>0</v>
      </c>
      <c r="G17" s="140">
        <v>0</v>
      </c>
      <c r="H17" s="140">
        <v>3</v>
      </c>
      <c r="I17" s="140">
        <v>6</v>
      </c>
      <c r="J17" s="140">
        <v>8</v>
      </c>
      <c r="K17" s="140"/>
      <c r="L17" s="140"/>
      <c r="T17" s="139">
        <f t="shared" si="0"/>
        <v>5.5</v>
      </c>
      <c r="U17" s="139">
        <f>H$8+(T17-H17)/(I17-H17)*(I$8-H$8)</f>
        <v>181.66666666666666</v>
      </c>
    </row>
    <row r="18" spans="2:21" s="139" customFormat="1" ht="16.899999999999999" customHeight="1" x14ac:dyDescent="0.25">
      <c r="B18" s="19"/>
      <c r="C18" s="19"/>
      <c r="D18" s="22" t="s">
        <v>15</v>
      </c>
      <c r="E18" s="140">
        <v>10</v>
      </c>
      <c r="F18" s="140">
        <v>0</v>
      </c>
      <c r="G18" s="140">
        <v>0</v>
      </c>
      <c r="H18" s="140">
        <v>6</v>
      </c>
      <c r="I18" s="140" t="s">
        <v>206</v>
      </c>
      <c r="J18" s="140">
        <v>8</v>
      </c>
      <c r="K18" s="140"/>
      <c r="L18" s="140"/>
      <c r="T18" s="139">
        <f t="shared" si="0"/>
        <v>5</v>
      </c>
      <c r="U18" s="139">
        <f>G$8+(T18-G18)/(H18-G18)*(H$8-G$8)</f>
        <v>179.16666666666666</v>
      </c>
    </row>
    <row r="19" spans="2:21" s="139" customFormat="1" ht="16.899999999999999" customHeight="1" thickBot="1" x14ac:dyDescent="0.3">
      <c r="B19" s="19"/>
      <c r="C19" s="19"/>
      <c r="D19" s="22" t="s">
        <v>16</v>
      </c>
      <c r="E19" s="140">
        <v>10</v>
      </c>
      <c r="F19" s="140">
        <v>0</v>
      </c>
      <c r="G19" s="140">
        <v>0</v>
      </c>
      <c r="H19" s="140">
        <v>5</v>
      </c>
      <c r="I19" s="140" t="s">
        <v>206</v>
      </c>
      <c r="J19" s="140">
        <v>10</v>
      </c>
      <c r="K19" s="140"/>
      <c r="L19" s="140"/>
      <c r="N19" s="139">
        <f>SUM(F15:F19)/SUM($E15:$E19)*100</f>
        <v>0</v>
      </c>
      <c r="O19" s="139">
        <f>SUM(G15:G19)/SUM($E15:$E19)*100</f>
        <v>1.8181818181818181</v>
      </c>
      <c r="P19" s="139">
        <f>SUM(H15:H19)/SUM($E15:$E19)*100</f>
        <v>49.090909090909093</v>
      </c>
      <c r="Q19" s="139">
        <f>SUM(I15:I19)/SUM($E15:$E19)*100</f>
        <v>45.454545454545453</v>
      </c>
      <c r="R19" s="139">
        <f>SUM(J15:J19)/SUM($E15:$E19)*100</f>
        <v>89.090909090909093</v>
      </c>
      <c r="T19" s="139">
        <f t="shared" si="0"/>
        <v>5</v>
      </c>
      <c r="U19" s="139">
        <f>G$8+(T19-G19)/(H19-G19)*(H$8-G$8)</f>
        <v>180</v>
      </c>
    </row>
    <row r="20" spans="2:21" s="139" customFormat="1" ht="16.899999999999999" customHeight="1" x14ac:dyDescent="0.25">
      <c r="B20" s="23" t="s">
        <v>1</v>
      </c>
      <c r="C20" s="23" t="s">
        <v>50</v>
      </c>
      <c r="D20" s="24" t="s">
        <v>13</v>
      </c>
      <c r="E20" s="141">
        <v>7</v>
      </c>
      <c r="F20" s="141">
        <v>0</v>
      </c>
      <c r="G20" s="141">
        <v>1</v>
      </c>
      <c r="H20" s="141">
        <v>3</v>
      </c>
      <c r="I20" s="141">
        <v>4</v>
      </c>
      <c r="J20" s="141">
        <v>6</v>
      </c>
      <c r="K20" s="141"/>
      <c r="L20" s="141"/>
      <c r="T20" s="139">
        <f t="shared" si="0"/>
        <v>3.5</v>
      </c>
      <c r="U20" s="139">
        <f>H$8+(T20-H20)/(I20-H20)*(I$8-H$8)</f>
        <v>181</v>
      </c>
    </row>
    <row r="21" spans="2:21" s="139" customFormat="1" ht="16.899999999999999" customHeight="1" x14ac:dyDescent="0.25">
      <c r="B21" s="25"/>
      <c r="C21" s="25" t="s">
        <v>8</v>
      </c>
      <c r="D21" s="26" t="s">
        <v>26</v>
      </c>
      <c r="E21" s="140">
        <v>10</v>
      </c>
      <c r="F21" s="140">
        <v>0</v>
      </c>
      <c r="G21" s="140">
        <v>0</v>
      </c>
      <c r="H21" s="140">
        <v>3</v>
      </c>
      <c r="I21" s="140">
        <v>5</v>
      </c>
      <c r="J21" s="140">
        <v>10</v>
      </c>
      <c r="K21" s="140"/>
      <c r="L21" s="140"/>
      <c r="T21" s="139">
        <f t="shared" si="0"/>
        <v>5</v>
      </c>
      <c r="U21" s="139">
        <f>H$8+(T21-H21)/(I21-H21)*(I$8-H$8)</f>
        <v>182</v>
      </c>
    </row>
    <row r="22" spans="2:21" s="139" customFormat="1" ht="16.899999999999999" customHeight="1" x14ac:dyDescent="0.25">
      <c r="B22" s="25"/>
      <c r="C22" s="25"/>
      <c r="D22" s="26" t="s">
        <v>14</v>
      </c>
      <c r="E22" s="140">
        <v>10</v>
      </c>
      <c r="F22" s="140">
        <v>0</v>
      </c>
      <c r="G22" s="140">
        <v>0</v>
      </c>
      <c r="H22" s="140">
        <v>6</v>
      </c>
      <c r="I22" s="140">
        <v>7</v>
      </c>
      <c r="J22" s="140">
        <v>9</v>
      </c>
      <c r="K22" s="140"/>
      <c r="L22" s="140"/>
      <c r="T22" s="139">
        <f t="shared" si="0"/>
        <v>5</v>
      </c>
      <c r="U22" s="139">
        <f>G$8+(T22-G22)/(H22-G22)*(H$8-G$8)</f>
        <v>179.16666666666666</v>
      </c>
    </row>
    <row r="23" spans="2:21" s="139" customFormat="1" ht="16.899999999999999" customHeight="1" x14ac:dyDescent="0.25">
      <c r="B23" s="25"/>
      <c r="C23" s="25"/>
      <c r="D23" s="26" t="s">
        <v>15</v>
      </c>
      <c r="E23" s="140">
        <v>11</v>
      </c>
      <c r="F23" s="140">
        <v>0</v>
      </c>
      <c r="G23" s="140">
        <v>0</v>
      </c>
      <c r="H23" s="140">
        <v>4</v>
      </c>
      <c r="I23" s="140" t="s">
        <v>206</v>
      </c>
      <c r="J23" s="140">
        <v>11</v>
      </c>
      <c r="K23" s="140"/>
      <c r="L23" s="140"/>
      <c r="T23" s="139">
        <f t="shared" si="0"/>
        <v>5.5</v>
      </c>
      <c r="U23" s="139">
        <f>H$8+(T23-H23)/(J23-H23)*(J$8-H$8)</f>
        <v>181.5</v>
      </c>
    </row>
    <row r="24" spans="2:21" s="139" customFormat="1" ht="16.899999999999999" customHeight="1" thickBot="1" x14ac:dyDescent="0.3">
      <c r="B24" s="25"/>
      <c r="C24" s="25"/>
      <c r="D24" s="26" t="s">
        <v>16</v>
      </c>
      <c r="E24" s="140">
        <v>12</v>
      </c>
      <c r="F24" s="140">
        <v>0</v>
      </c>
      <c r="G24" s="140">
        <v>0</v>
      </c>
      <c r="H24" s="140">
        <v>3</v>
      </c>
      <c r="I24" s="140" t="s">
        <v>206</v>
      </c>
      <c r="J24" s="140">
        <v>10</v>
      </c>
      <c r="K24" s="140"/>
      <c r="L24" s="140"/>
      <c r="N24" s="139">
        <f>SUM(F20:F24)/SUM($E20:$E24)*100</f>
        <v>0</v>
      </c>
      <c r="O24" s="139">
        <f>SUM(G20:G24)/SUM($E20:$E24)*100</f>
        <v>2</v>
      </c>
      <c r="P24" s="139">
        <f>SUM(H20:H24)/SUM($E20:$E24)*100</f>
        <v>38</v>
      </c>
      <c r="Q24" s="139">
        <f>SUM(I20:I24)/SUM($E20:$E24)*100</f>
        <v>32</v>
      </c>
      <c r="R24" s="139">
        <f>SUM(J20:J24)/SUM($E20:$E24)*100</f>
        <v>92</v>
      </c>
      <c r="T24" s="139">
        <f t="shared" si="0"/>
        <v>6</v>
      </c>
      <c r="U24" s="139">
        <f>H$8+(T24-H24)/(J24-H24)*(J$8-H$8)</f>
        <v>183</v>
      </c>
    </row>
    <row r="25" spans="2:21" s="139" customFormat="1" ht="16.899999999999999" customHeight="1" x14ac:dyDescent="0.25">
      <c r="B25" s="23" t="s">
        <v>2</v>
      </c>
      <c r="C25" s="23" t="s">
        <v>51</v>
      </c>
      <c r="D25" s="24" t="s">
        <v>13</v>
      </c>
      <c r="E25" s="141">
        <v>8</v>
      </c>
      <c r="F25" s="141">
        <v>0</v>
      </c>
      <c r="G25" s="141">
        <v>0</v>
      </c>
      <c r="H25" s="141">
        <v>4</v>
      </c>
      <c r="I25" s="141">
        <v>5</v>
      </c>
      <c r="J25" s="141">
        <v>8</v>
      </c>
      <c r="K25" s="141"/>
      <c r="L25" s="141"/>
      <c r="T25" s="139">
        <f t="shared" si="0"/>
        <v>4</v>
      </c>
      <c r="U25" s="139">
        <f>G$8+(T25-G25)/(H25-G25)*(H$8-G$8)</f>
        <v>180</v>
      </c>
    </row>
    <row r="26" spans="2:21" s="139" customFormat="1" ht="16.899999999999999" customHeight="1" x14ac:dyDescent="0.25">
      <c r="B26" s="25"/>
      <c r="C26" s="25" t="s">
        <v>9</v>
      </c>
      <c r="D26" s="26" t="s">
        <v>26</v>
      </c>
      <c r="E26" s="140">
        <v>12</v>
      </c>
      <c r="F26" s="140">
        <v>0</v>
      </c>
      <c r="G26" s="140">
        <v>0</v>
      </c>
      <c r="H26" s="140">
        <v>3</v>
      </c>
      <c r="I26" s="140">
        <v>7</v>
      </c>
      <c r="J26" s="140">
        <v>10</v>
      </c>
      <c r="K26" s="140"/>
      <c r="L26" s="140"/>
      <c r="T26" s="139">
        <f t="shared" si="0"/>
        <v>6</v>
      </c>
      <c r="U26" s="139">
        <f>H$8+(T26-H26)/(I26-H26)*(I$8-H$8)</f>
        <v>181.5</v>
      </c>
    </row>
    <row r="27" spans="2:21" s="139" customFormat="1" ht="16.899999999999999" customHeight="1" x14ac:dyDescent="0.25">
      <c r="B27" s="25"/>
      <c r="C27" s="25"/>
      <c r="D27" s="26" t="s">
        <v>14</v>
      </c>
      <c r="E27" s="140">
        <v>11</v>
      </c>
      <c r="F27" s="140">
        <v>0</v>
      </c>
      <c r="G27" s="140">
        <v>0</v>
      </c>
      <c r="H27" s="140">
        <v>6</v>
      </c>
      <c r="I27" s="140">
        <v>8</v>
      </c>
      <c r="J27" s="140">
        <v>10</v>
      </c>
      <c r="K27" s="140"/>
      <c r="L27" s="140"/>
      <c r="T27" s="139">
        <f t="shared" si="0"/>
        <v>5.5</v>
      </c>
      <c r="U27" s="139">
        <f>G$8+(T27-G27)/(H27-G27)*(H$8-G$8)</f>
        <v>179.58333333333334</v>
      </c>
    </row>
    <row r="28" spans="2:21" s="139" customFormat="1" ht="16.899999999999999" customHeight="1" x14ac:dyDescent="0.25">
      <c r="B28" s="25"/>
      <c r="C28" s="25"/>
      <c r="D28" s="26" t="s">
        <v>15</v>
      </c>
      <c r="E28" s="140">
        <v>12</v>
      </c>
      <c r="F28" s="140">
        <v>0</v>
      </c>
      <c r="G28" s="140">
        <v>0</v>
      </c>
      <c r="H28" s="140">
        <v>6</v>
      </c>
      <c r="I28" s="140" t="s">
        <v>206</v>
      </c>
      <c r="J28" s="140">
        <v>12</v>
      </c>
      <c r="K28" s="140"/>
      <c r="L28" s="140"/>
      <c r="T28" s="139">
        <f t="shared" si="0"/>
        <v>6</v>
      </c>
      <c r="U28" s="139">
        <f>G$8+(T28-G28)/(H28-G28)*(H$8-G$8)</f>
        <v>180</v>
      </c>
    </row>
    <row r="29" spans="2:21" s="139" customFormat="1" ht="16.899999999999999" customHeight="1" thickBot="1" x14ac:dyDescent="0.3">
      <c r="B29" s="25"/>
      <c r="C29" s="25"/>
      <c r="D29" s="26" t="s">
        <v>16</v>
      </c>
      <c r="E29" s="140">
        <v>10</v>
      </c>
      <c r="F29" s="140">
        <v>0</v>
      </c>
      <c r="G29" s="140">
        <v>0</v>
      </c>
      <c r="H29" s="140">
        <v>7</v>
      </c>
      <c r="I29" s="140" t="s">
        <v>206</v>
      </c>
      <c r="J29" s="140">
        <v>10</v>
      </c>
      <c r="K29" s="140"/>
      <c r="L29" s="140"/>
      <c r="N29" s="139">
        <f>SUM(F25:F29)/SUM($E25:$E29)*100</f>
        <v>0</v>
      </c>
      <c r="O29" s="139">
        <f>SUM(G25:G29)/SUM($E25:$E29)*100</f>
        <v>0</v>
      </c>
      <c r="P29" s="139">
        <f>SUM(H25:H29)/SUM($E25:$E29)*100</f>
        <v>49.056603773584904</v>
      </c>
      <c r="Q29" s="139">
        <f>SUM(I25:I29)/SUM($E25:$E29)*100</f>
        <v>37.735849056603776</v>
      </c>
      <c r="R29" s="139">
        <f>SUM(J25:J29)/SUM($E25:$E29)*100</f>
        <v>94.339622641509436</v>
      </c>
      <c r="T29" s="139">
        <f t="shared" si="0"/>
        <v>5</v>
      </c>
      <c r="U29" s="139">
        <f>G$8+(T29-G29)/(H29-G29)*(H$8-G$8)</f>
        <v>178.57142857142858</v>
      </c>
    </row>
    <row r="30" spans="2:21" s="139" customFormat="1" ht="16.899999999999999" customHeight="1" x14ac:dyDescent="0.25">
      <c r="B30" s="20" t="s">
        <v>2</v>
      </c>
      <c r="C30" s="20" t="s">
        <v>52</v>
      </c>
      <c r="D30" s="21" t="s">
        <v>13</v>
      </c>
      <c r="E30" s="141">
        <v>10</v>
      </c>
      <c r="F30" s="141">
        <v>0</v>
      </c>
      <c r="G30" s="141">
        <v>0</v>
      </c>
      <c r="H30" s="141">
        <v>4</v>
      </c>
      <c r="I30" s="141">
        <v>5</v>
      </c>
      <c r="J30" s="141">
        <v>9</v>
      </c>
      <c r="K30" s="141"/>
      <c r="L30" s="141"/>
      <c r="T30" s="139">
        <f t="shared" si="0"/>
        <v>5</v>
      </c>
      <c r="U30" s="139">
        <f>H$8+(T30-H30)/(I30-H30)*(I$8-H$8)</f>
        <v>182</v>
      </c>
    </row>
    <row r="31" spans="2:21" s="139" customFormat="1" ht="16.899999999999999" customHeight="1" x14ac:dyDescent="0.25">
      <c r="B31" s="19"/>
      <c r="C31" s="19" t="s">
        <v>5</v>
      </c>
      <c r="D31" s="22" t="s">
        <v>26</v>
      </c>
      <c r="E31" s="140">
        <v>10</v>
      </c>
      <c r="F31" s="140">
        <v>0</v>
      </c>
      <c r="G31" s="140">
        <v>0</v>
      </c>
      <c r="H31" s="140">
        <v>3</v>
      </c>
      <c r="I31" s="140">
        <v>5</v>
      </c>
      <c r="J31" s="140">
        <v>9</v>
      </c>
      <c r="K31" s="140"/>
      <c r="L31" s="140"/>
      <c r="T31" s="139">
        <f t="shared" si="0"/>
        <v>5</v>
      </c>
      <c r="U31" s="139">
        <f>H$8+(T31-H31)/(I31-H31)*(I$8-H$8)</f>
        <v>182</v>
      </c>
    </row>
    <row r="32" spans="2:21" s="139" customFormat="1" ht="16.899999999999999" customHeight="1" x14ac:dyDescent="0.25">
      <c r="B32" s="19"/>
      <c r="C32" s="19"/>
      <c r="D32" s="22" t="s">
        <v>14</v>
      </c>
      <c r="E32" s="140">
        <v>9</v>
      </c>
      <c r="F32" s="140">
        <v>0</v>
      </c>
      <c r="G32" s="140">
        <v>0</v>
      </c>
      <c r="H32" s="140">
        <v>4</v>
      </c>
      <c r="I32" s="140">
        <v>7</v>
      </c>
      <c r="J32" s="140">
        <v>8</v>
      </c>
      <c r="K32" s="140"/>
      <c r="L32" s="140"/>
      <c r="T32" s="139">
        <f t="shared" si="0"/>
        <v>4.5</v>
      </c>
      <c r="U32" s="139">
        <f>H$8+(T32-H32)/(I32-H32)*(I$8-H$8)</f>
        <v>180.33333333333334</v>
      </c>
    </row>
    <row r="33" spans="2:21" s="139" customFormat="1" ht="16.899999999999999" customHeight="1" x14ac:dyDescent="0.25">
      <c r="B33" s="19"/>
      <c r="C33" s="19"/>
      <c r="D33" s="22" t="s">
        <v>15</v>
      </c>
      <c r="E33" s="140">
        <v>10</v>
      </c>
      <c r="F33" s="140">
        <v>0</v>
      </c>
      <c r="G33" s="140">
        <v>0</v>
      </c>
      <c r="H33" s="140">
        <v>7</v>
      </c>
      <c r="I33" s="140" t="s">
        <v>206</v>
      </c>
      <c r="J33" s="140">
        <v>10</v>
      </c>
      <c r="K33" s="140"/>
      <c r="L33" s="140"/>
      <c r="T33" s="139">
        <f t="shared" si="0"/>
        <v>5</v>
      </c>
      <c r="U33" s="139">
        <f>G$8+(T33-G33)/(H33-G33)*(H$8-G$8)</f>
        <v>178.57142857142858</v>
      </c>
    </row>
    <row r="34" spans="2:21" s="139" customFormat="1" ht="16.899999999999999" customHeight="1" thickBot="1" x14ac:dyDescent="0.3">
      <c r="B34" s="19"/>
      <c r="C34" s="19"/>
      <c r="D34" s="22" t="s">
        <v>16</v>
      </c>
      <c r="E34" s="140">
        <v>11</v>
      </c>
      <c r="F34" s="140">
        <v>0</v>
      </c>
      <c r="G34" s="140">
        <v>0</v>
      </c>
      <c r="H34" s="140">
        <v>6</v>
      </c>
      <c r="I34" s="140" t="s">
        <v>206</v>
      </c>
      <c r="J34" s="140">
        <v>10</v>
      </c>
      <c r="K34" s="140"/>
      <c r="L34" s="140"/>
      <c r="N34" s="139">
        <f>SUM(F30:F34)/SUM($E30:$E34)*100</f>
        <v>0</v>
      </c>
      <c r="O34" s="139">
        <f>SUM(G30:G34)/SUM($E30:$E34)*100</f>
        <v>0</v>
      </c>
      <c r="P34" s="139">
        <f>SUM(H30:H34)/SUM($E30:$E34)*100</f>
        <v>48</v>
      </c>
      <c r="Q34" s="139">
        <f>SUM(I30:I34)/SUM($E30:$E34)*100</f>
        <v>34</v>
      </c>
      <c r="R34" s="139">
        <f>SUM(J30:J34)/SUM($E30:$E34)*100</f>
        <v>92</v>
      </c>
      <c r="T34" s="139">
        <f t="shared" si="0"/>
        <v>5.5</v>
      </c>
      <c r="U34" s="139">
        <f>G$8+(T34-G34)/(H34-G34)*(H$8-G$8)</f>
        <v>179.58333333333334</v>
      </c>
    </row>
    <row r="35" spans="2:21" s="139" customFormat="1" ht="16.899999999999999" customHeight="1" x14ac:dyDescent="0.25">
      <c r="B35" s="20" t="s">
        <v>3</v>
      </c>
      <c r="C35" s="20" t="s">
        <v>53</v>
      </c>
      <c r="D35" s="21" t="s">
        <v>13</v>
      </c>
      <c r="E35" s="141">
        <v>11</v>
      </c>
      <c r="F35" s="141">
        <v>0</v>
      </c>
      <c r="G35" s="141">
        <v>0</v>
      </c>
      <c r="H35" s="141">
        <v>6</v>
      </c>
      <c r="I35" s="141">
        <v>7</v>
      </c>
      <c r="J35" s="141">
        <v>9</v>
      </c>
      <c r="K35" s="141"/>
      <c r="L35" s="141"/>
      <c r="T35" s="139">
        <f t="shared" si="0"/>
        <v>5.5</v>
      </c>
      <c r="U35" s="139">
        <f>G$8+(T35-G35)/(H35-G35)*(H$8-G$8)</f>
        <v>179.58333333333334</v>
      </c>
    </row>
    <row r="36" spans="2:21" s="139" customFormat="1" ht="16.899999999999999" customHeight="1" x14ac:dyDescent="0.25">
      <c r="B36" s="19"/>
      <c r="C36" s="19" t="s">
        <v>7</v>
      </c>
      <c r="D36" s="22" t="s">
        <v>26</v>
      </c>
      <c r="E36" s="140">
        <v>12</v>
      </c>
      <c r="F36" s="140">
        <v>0</v>
      </c>
      <c r="G36" s="140">
        <v>0</v>
      </c>
      <c r="H36" s="140">
        <v>4</v>
      </c>
      <c r="I36" s="140">
        <v>7</v>
      </c>
      <c r="J36" s="140">
        <v>11</v>
      </c>
      <c r="K36" s="140"/>
      <c r="L36" s="140"/>
      <c r="T36" s="139">
        <f t="shared" si="0"/>
        <v>6</v>
      </c>
      <c r="U36" s="139">
        <f>H$8+(T36-H36)/(I36-H36)*(I$8-H$8)</f>
        <v>181.33333333333334</v>
      </c>
    </row>
    <row r="37" spans="2:21" s="139" customFormat="1" ht="16.899999999999999" customHeight="1" x14ac:dyDescent="0.25">
      <c r="B37" s="19"/>
      <c r="C37" s="19"/>
      <c r="D37" s="22" t="s">
        <v>14</v>
      </c>
      <c r="E37" s="140">
        <v>9</v>
      </c>
      <c r="F37" s="140">
        <v>0</v>
      </c>
      <c r="G37" s="140">
        <v>0</v>
      </c>
      <c r="H37" s="140">
        <v>4</v>
      </c>
      <c r="I37" s="140" t="s">
        <v>206</v>
      </c>
      <c r="J37" s="140">
        <v>9</v>
      </c>
      <c r="K37" s="140"/>
      <c r="L37" s="140"/>
      <c r="T37" s="139">
        <f t="shared" si="0"/>
        <v>4.5</v>
      </c>
      <c r="U37" s="139">
        <f>G$8+(T37-G37)/(H37-G37)*(H$8-G$8)</f>
        <v>180.625</v>
      </c>
    </row>
    <row r="38" spans="2:21" s="139" customFormat="1" ht="16.899999999999999" customHeight="1" x14ac:dyDescent="0.25">
      <c r="B38" s="19"/>
      <c r="C38" s="19"/>
      <c r="D38" s="22" t="s">
        <v>15</v>
      </c>
      <c r="E38" s="140">
        <v>12</v>
      </c>
      <c r="F38" s="140">
        <v>0</v>
      </c>
      <c r="G38" s="140">
        <v>0</v>
      </c>
      <c r="H38" s="140">
        <v>3</v>
      </c>
      <c r="I38" s="140" t="s">
        <v>206</v>
      </c>
      <c r="J38" s="140">
        <v>10</v>
      </c>
      <c r="K38" s="140"/>
      <c r="L38" s="140"/>
      <c r="T38" s="139">
        <f t="shared" si="0"/>
        <v>6</v>
      </c>
      <c r="U38" s="139">
        <f>H$8+(T38-H38)/(J38-H38)*(J$8-H$8)</f>
        <v>183</v>
      </c>
    </row>
    <row r="39" spans="2:21" s="139" customFormat="1" ht="16.899999999999999" customHeight="1" thickBot="1" x14ac:dyDescent="0.3">
      <c r="B39" s="19"/>
      <c r="C39" s="19"/>
      <c r="D39" s="22" t="s">
        <v>16</v>
      </c>
      <c r="E39" s="140">
        <v>13</v>
      </c>
      <c r="F39" s="140">
        <v>0</v>
      </c>
      <c r="G39" s="140">
        <v>0</v>
      </c>
      <c r="H39" s="140">
        <v>7</v>
      </c>
      <c r="I39" s="140" t="s">
        <v>206</v>
      </c>
      <c r="J39" s="140">
        <v>12</v>
      </c>
      <c r="K39" s="140"/>
      <c r="L39" s="140"/>
      <c r="N39" s="139">
        <f>SUM(F35:F39)/SUM($E35:$E39)*100</f>
        <v>0</v>
      </c>
      <c r="O39" s="139">
        <f>SUM(G35:G39)/SUM($E35:$E39)*100</f>
        <v>0</v>
      </c>
      <c r="P39" s="139">
        <f>SUM(H35:H39)/SUM($E35:$E39)*100</f>
        <v>42.105263157894733</v>
      </c>
      <c r="Q39" s="139">
        <f>SUM(I35:I39)/SUM($E35:$E39)*100</f>
        <v>24.561403508771928</v>
      </c>
      <c r="R39" s="139">
        <f>SUM(J35:J39)/SUM($E35:$E39)*100</f>
        <v>89.473684210526315</v>
      </c>
      <c r="T39" s="139">
        <f t="shared" si="0"/>
        <v>6.5</v>
      </c>
      <c r="U39" s="139">
        <f>G$8+(T39-G39)/(H39-G39)*(H$8-G$8)</f>
        <v>179.64285714285714</v>
      </c>
    </row>
    <row r="40" spans="2:21" s="139" customFormat="1" ht="16.899999999999999" customHeight="1" x14ac:dyDescent="0.25">
      <c r="B40" s="23" t="s">
        <v>3</v>
      </c>
      <c r="C40" s="23" t="s">
        <v>54</v>
      </c>
      <c r="D40" s="27" t="s">
        <v>13</v>
      </c>
      <c r="E40" s="141">
        <v>7</v>
      </c>
      <c r="F40" s="141">
        <v>0</v>
      </c>
      <c r="G40" s="142" t="s">
        <v>206</v>
      </c>
      <c r="H40" s="141">
        <v>3</v>
      </c>
      <c r="I40" s="141">
        <v>3</v>
      </c>
      <c r="J40" s="141">
        <v>7</v>
      </c>
      <c r="K40" s="141"/>
      <c r="L40" s="141"/>
      <c r="T40" s="139">
        <f t="shared" si="0"/>
        <v>3.5</v>
      </c>
      <c r="U40" s="139">
        <f>I$8+(T40-I40)/(J40-I40)*(J$8-I$8)</f>
        <v>182.625</v>
      </c>
    </row>
    <row r="41" spans="2:21" s="139" customFormat="1" ht="16.899999999999999" customHeight="1" x14ac:dyDescent="0.25">
      <c r="B41" s="25"/>
      <c r="C41" s="25" t="s">
        <v>8</v>
      </c>
      <c r="D41" s="28" t="s">
        <v>26</v>
      </c>
      <c r="E41" s="140">
        <v>12</v>
      </c>
      <c r="F41" s="140">
        <v>0</v>
      </c>
      <c r="G41" s="140" t="s">
        <v>206</v>
      </c>
      <c r="H41" s="140">
        <v>8</v>
      </c>
      <c r="I41" s="140">
        <v>8</v>
      </c>
      <c r="J41" s="140">
        <v>11</v>
      </c>
      <c r="K41" s="140"/>
      <c r="L41" s="140"/>
      <c r="T41" s="139">
        <f t="shared" si="0"/>
        <v>6</v>
      </c>
      <c r="U41" s="139">
        <f>F$8+(T41-F41)/(H41-F41)*(H$8-F$8)</f>
        <v>178.25</v>
      </c>
    </row>
    <row r="42" spans="2:21" s="139" customFormat="1" ht="16.899999999999999" customHeight="1" x14ac:dyDescent="0.25">
      <c r="B42" s="25"/>
      <c r="C42" s="25"/>
      <c r="D42" s="28" t="s">
        <v>14</v>
      </c>
      <c r="E42" s="140">
        <v>9</v>
      </c>
      <c r="F42" s="140">
        <v>0</v>
      </c>
      <c r="G42" s="140" t="s">
        <v>206</v>
      </c>
      <c r="H42" s="140">
        <v>3</v>
      </c>
      <c r="I42" s="140" t="s">
        <v>206</v>
      </c>
      <c r="J42" s="140">
        <v>9</v>
      </c>
      <c r="K42" s="140"/>
      <c r="L42" s="140"/>
      <c r="T42" s="139">
        <f t="shared" ref="T42:T59" si="1">E42/2</f>
        <v>4.5</v>
      </c>
      <c r="U42" s="139">
        <f>H$8+(T42-H42)/(J42-H42)*(J$8-H$8)</f>
        <v>181.75</v>
      </c>
    </row>
    <row r="43" spans="2:21" s="139" customFormat="1" ht="16.899999999999999" customHeight="1" x14ac:dyDescent="0.25">
      <c r="B43" s="25"/>
      <c r="C43" s="25"/>
      <c r="D43" s="28" t="s">
        <v>15</v>
      </c>
      <c r="E43" s="140">
        <v>8</v>
      </c>
      <c r="F43" s="140">
        <v>0</v>
      </c>
      <c r="G43" s="140" t="s">
        <v>206</v>
      </c>
      <c r="H43" s="140">
        <v>3</v>
      </c>
      <c r="I43" s="140" t="s">
        <v>206</v>
      </c>
      <c r="J43" s="140">
        <v>8</v>
      </c>
      <c r="K43" s="140"/>
      <c r="L43" s="140"/>
      <c r="T43" s="139">
        <f t="shared" si="1"/>
        <v>4</v>
      </c>
      <c r="U43" s="139">
        <f>H$8+(T43-H43)/(J43-H43)*(J$8-H$8)</f>
        <v>181.4</v>
      </c>
    </row>
    <row r="44" spans="2:21" s="139" customFormat="1" ht="16.899999999999999" customHeight="1" thickBot="1" x14ac:dyDescent="0.3">
      <c r="B44" s="25"/>
      <c r="C44" s="25"/>
      <c r="D44" s="28" t="s">
        <v>16</v>
      </c>
      <c r="E44" s="140">
        <v>10</v>
      </c>
      <c r="F44" s="140">
        <v>0</v>
      </c>
      <c r="G44" s="140" t="s">
        <v>206</v>
      </c>
      <c r="H44" s="140">
        <v>2</v>
      </c>
      <c r="I44" s="140" t="s">
        <v>206</v>
      </c>
      <c r="J44" s="140">
        <v>9</v>
      </c>
      <c r="K44" s="140"/>
      <c r="L44" s="140"/>
      <c r="N44" s="139">
        <f>SUM(F40:F44)/SUM($E40:$E44)*100</f>
        <v>0</v>
      </c>
      <c r="O44" s="139">
        <f>SUM(G40:G44)/SUM($E40:$E44)*100</f>
        <v>0</v>
      </c>
      <c r="P44" s="139">
        <f>SUM(H40:H44)/SUM($E40:$E44)*100</f>
        <v>41.304347826086953</v>
      </c>
      <c r="Q44" s="139">
        <f>SUM(I40:I44)/SUM($E40:$E44)*100</f>
        <v>23.913043478260871</v>
      </c>
      <c r="R44" s="139">
        <f>SUM(J40:J44)/SUM($E40:$E44)*100</f>
        <v>95.652173913043484</v>
      </c>
      <c r="T44" s="139">
        <f t="shared" si="1"/>
        <v>5</v>
      </c>
      <c r="U44" s="139">
        <f>H$8+(T44-H44)/(J44-H44)*(J$8-H$8)</f>
        <v>183</v>
      </c>
    </row>
    <row r="45" spans="2:21" s="139" customFormat="1" ht="16.899999999999999" customHeight="1" x14ac:dyDescent="0.25">
      <c r="B45" s="23" t="s">
        <v>4</v>
      </c>
      <c r="C45" s="23" t="s">
        <v>55</v>
      </c>
      <c r="D45" s="27" t="s">
        <v>13</v>
      </c>
      <c r="E45" s="141">
        <v>9</v>
      </c>
      <c r="F45" s="141">
        <v>0</v>
      </c>
      <c r="G45" s="141" t="s">
        <v>206</v>
      </c>
      <c r="H45" s="141">
        <v>3</v>
      </c>
      <c r="I45" s="141">
        <v>4</v>
      </c>
      <c r="J45" s="141">
        <v>7</v>
      </c>
      <c r="K45" s="141"/>
      <c r="L45" s="141"/>
      <c r="T45" s="139">
        <f t="shared" si="1"/>
        <v>4.5</v>
      </c>
      <c r="U45" s="139">
        <f>I$8+(T45-I45)/(J45-I45)*(J$8-I$8)</f>
        <v>182.83333333333334</v>
      </c>
    </row>
    <row r="46" spans="2:21" s="139" customFormat="1" ht="16.899999999999999" customHeight="1" x14ac:dyDescent="0.25">
      <c r="B46" s="25"/>
      <c r="C46" s="25" t="s">
        <v>9</v>
      </c>
      <c r="D46" s="28" t="s">
        <v>26</v>
      </c>
      <c r="E46" s="140">
        <v>11</v>
      </c>
      <c r="F46" s="140">
        <v>0</v>
      </c>
      <c r="G46" s="140" t="s">
        <v>206</v>
      </c>
      <c r="H46" s="140">
        <v>5</v>
      </c>
      <c r="I46" s="140">
        <v>8</v>
      </c>
      <c r="J46" s="140">
        <v>11</v>
      </c>
      <c r="K46" s="140"/>
      <c r="L46" s="140"/>
      <c r="T46" s="139">
        <f t="shared" si="1"/>
        <v>5.5</v>
      </c>
      <c r="U46" s="139">
        <f>H$8+(T46-H46)/(I46-H46)*(I$8-H$8)</f>
        <v>180.33333333333334</v>
      </c>
    </row>
    <row r="47" spans="2:21" s="139" customFormat="1" ht="16.899999999999999" customHeight="1" x14ac:dyDescent="0.25">
      <c r="B47" s="25"/>
      <c r="C47" s="25"/>
      <c r="D47" s="28" t="s">
        <v>14</v>
      </c>
      <c r="E47" s="140">
        <v>10</v>
      </c>
      <c r="F47" s="140">
        <v>0</v>
      </c>
      <c r="G47" s="140" t="s">
        <v>206</v>
      </c>
      <c r="H47" s="140">
        <v>3</v>
      </c>
      <c r="I47" s="140" t="s">
        <v>206</v>
      </c>
      <c r="J47" s="140">
        <v>8</v>
      </c>
      <c r="K47" s="140"/>
      <c r="L47" s="140"/>
      <c r="T47" s="139">
        <f t="shared" si="1"/>
        <v>5</v>
      </c>
      <c r="U47" s="139">
        <f>H$8+(T47-H47)/(J47-H47)*(J$8-H$8)</f>
        <v>182.8</v>
      </c>
    </row>
    <row r="48" spans="2:21" s="139" customFormat="1" ht="16.899999999999999" customHeight="1" x14ac:dyDescent="0.25">
      <c r="B48" s="25"/>
      <c r="C48" s="25"/>
      <c r="D48" s="28" t="s">
        <v>15</v>
      </c>
      <c r="E48" s="140">
        <v>9</v>
      </c>
      <c r="F48" s="140">
        <v>0</v>
      </c>
      <c r="G48" s="140" t="s">
        <v>206</v>
      </c>
      <c r="H48" s="140">
        <v>4</v>
      </c>
      <c r="I48" s="140" t="s">
        <v>206</v>
      </c>
      <c r="J48" s="140">
        <v>9</v>
      </c>
      <c r="K48" s="140"/>
      <c r="L48" s="140"/>
      <c r="T48" s="139">
        <f t="shared" si="1"/>
        <v>4.5</v>
      </c>
      <c r="U48" s="139">
        <f>H$8+(T48-H48)/(J48-H48)*(J$8-H$8)</f>
        <v>180.7</v>
      </c>
    </row>
    <row r="49" spans="2:21" s="139" customFormat="1" ht="16.899999999999999" customHeight="1" thickBot="1" x14ac:dyDescent="0.3">
      <c r="B49" s="25"/>
      <c r="C49" s="25"/>
      <c r="D49" s="28" t="s">
        <v>16</v>
      </c>
      <c r="E49" s="140">
        <v>9</v>
      </c>
      <c r="F49" s="140">
        <v>0</v>
      </c>
      <c r="G49" s="140" t="s">
        <v>206</v>
      </c>
      <c r="H49" s="140">
        <v>4</v>
      </c>
      <c r="I49" s="140" t="s">
        <v>206</v>
      </c>
      <c r="J49" s="140">
        <v>9</v>
      </c>
      <c r="K49" s="140"/>
      <c r="L49" s="140"/>
      <c r="N49" s="139">
        <f>SUM(F45:F49)/SUM($E45:$E49)*100</f>
        <v>0</v>
      </c>
      <c r="O49" s="139">
        <f>SUM(G45:G49)/SUM($E45:$E49)*100</f>
        <v>0</v>
      </c>
      <c r="P49" s="139">
        <f>SUM(H45:H49)/SUM($E45:$E49)*100</f>
        <v>39.583333333333329</v>
      </c>
      <c r="Q49" s="139">
        <f>SUM(I45:I49)/SUM($E45:$E49)*100</f>
        <v>25</v>
      </c>
      <c r="R49" s="139">
        <f>SUM(J45:J49)/SUM($E45:$E49)*100</f>
        <v>91.666666666666657</v>
      </c>
      <c r="T49" s="139">
        <f t="shared" si="1"/>
        <v>4.5</v>
      </c>
      <c r="U49" s="139">
        <f>H$8+(T49-H49)/(J49-H49)*(J$8-H$8)</f>
        <v>180.7</v>
      </c>
    </row>
    <row r="50" spans="2:21" s="139" customFormat="1" ht="16.899999999999999" customHeight="1" x14ac:dyDescent="0.25">
      <c r="B50" s="20" t="s">
        <v>4</v>
      </c>
      <c r="C50" s="20" t="s">
        <v>56</v>
      </c>
      <c r="D50" s="21" t="s">
        <v>13</v>
      </c>
      <c r="E50" s="141">
        <v>9</v>
      </c>
      <c r="F50" s="141">
        <v>0</v>
      </c>
      <c r="G50" s="141">
        <v>0</v>
      </c>
      <c r="H50" s="141">
        <v>3</v>
      </c>
      <c r="I50" s="141">
        <v>3</v>
      </c>
      <c r="J50" s="141">
        <v>7</v>
      </c>
      <c r="K50" s="141"/>
      <c r="L50" s="141"/>
      <c r="T50" s="139">
        <f t="shared" si="1"/>
        <v>4.5</v>
      </c>
      <c r="U50" s="139">
        <f>I$8+(T50-I50)/(J50-I50)*(J$8-I$8)</f>
        <v>183.875</v>
      </c>
    </row>
    <row r="51" spans="2:21" s="139" customFormat="1" ht="16.899999999999999" customHeight="1" x14ac:dyDescent="0.25">
      <c r="B51" s="19"/>
      <c r="C51" s="19" t="s">
        <v>6</v>
      </c>
      <c r="D51" s="22" t="s">
        <v>26</v>
      </c>
      <c r="E51" s="140">
        <v>10</v>
      </c>
      <c r="F51" s="140">
        <v>0</v>
      </c>
      <c r="G51" s="140">
        <v>0</v>
      </c>
      <c r="H51" s="140">
        <v>4</v>
      </c>
      <c r="I51" s="140">
        <v>6</v>
      </c>
      <c r="J51" s="140">
        <v>9</v>
      </c>
      <c r="K51" s="140"/>
      <c r="L51" s="140"/>
      <c r="T51" s="139">
        <f t="shared" si="1"/>
        <v>5</v>
      </c>
      <c r="U51" s="139">
        <f>H$8+(T51-H51)/(I51-H51)*(I$8-H$8)</f>
        <v>181</v>
      </c>
    </row>
    <row r="52" spans="2:21" s="139" customFormat="1" ht="16.899999999999999" customHeight="1" x14ac:dyDescent="0.25">
      <c r="B52" s="19"/>
      <c r="C52" s="19"/>
      <c r="D52" s="22" t="s">
        <v>14</v>
      </c>
      <c r="E52" s="140">
        <v>9</v>
      </c>
      <c r="F52" s="140">
        <v>0</v>
      </c>
      <c r="G52" s="140">
        <v>0</v>
      </c>
      <c r="H52" s="140">
        <v>1</v>
      </c>
      <c r="I52" s="140" t="s">
        <v>206</v>
      </c>
      <c r="J52" s="140">
        <v>9</v>
      </c>
      <c r="K52" s="140"/>
      <c r="L52" s="140"/>
      <c r="T52" s="139">
        <f t="shared" si="1"/>
        <v>4.5</v>
      </c>
      <c r="U52" s="139">
        <f>H$8+(T52-H52)/(J52-H52)*(J$8-H$8)</f>
        <v>183.0625</v>
      </c>
    </row>
    <row r="53" spans="2:21" s="139" customFormat="1" ht="16.899999999999999" customHeight="1" x14ac:dyDescent="0.25">
      <c r="B53" s="19"/>
      <c r="C53" s="19"/>
      <c r="D53" s="22" t="s">
        <v>15</v>
      </c>
      <c r="E53" s="140">
        <v>12</v>
      </c>
      <c r="F53" s="140">
        <v>0</v>
      </c>
      <c r="G53" s="140">
        <v>0</v>
      </c>
      <c r="H53" s="140">
        <v>7</v>
      </c>
      <c r="I53" s="140" t="s">
        <v>206</v>
      </c>
      <c r="J53" s="140">
        <v>11</v>
      </c>
      <c r="K53" s="140"/>
      <c r="L53" s="140"/>
      <c r="T53" s="139">
        <f t="shared" si="1"/>
        <v>6</v>
      </c>
      <c r="U53" s="139">
        <f>G$8+(T53-G53)/(H53-G53)*(H$8-G$8)</f>
        <v>179.28571428571428</v>
      </c>
    </row>
    <row r="54" spans="2:21" s="139" customFormat="1" ht="16.899999999999999" customHeight="1" thickBot="1" x14ac:dyDescent="0.3">
      <c r="B54" s="19"/>
      <c r="C54" s="19"/>
      <c r="D54" s="22" t="s">
        <v>16</v>
      </c>
      <c r="E54" s="140">
        <v>12</v>
      </c>
      <c r="F54" s="140">
        <v>0</v>
      </c>
      <c r="G54" s="140" t="s">
        <v>206</v>
      </c>
      <c r="H54" s="140">
        <v>4</v>
      </c>
      <c r="I54" s="140" t="s">
        <v>206</v>
      </c>
      <c r="J54" s="140">
        <v>12</v>
      </c>
      <c r="K54" s="140"/>
      <c r="L54" s="140"/>
      <c r="N54" s="139">
        <f>SUM(F50:F54)/SUM($E50:$E54)*100</f>
        <v>0</v>
      </c>
      <c r="O54" s="139">
        <f>SUM(G50:G54)/SUM($E50:$E54)*100</f>
        <v>0</v>
      </c>
      <c r="P54" s="139">
        <f>SUM(H50:H54)/SUM($E50:$E54)*100</f>
        <v>36.538461538461533</v>
      </c>
      <c r="Q54" s="139">
        <f>SUM(I50:I54)/SUM($E50:$E54)*100</f>
        <v>17.307692307692307</v>
      </c>
      <c r="R54" s="139">
        <f>SUM(J50:J54)/SUM($E50:$E54)*100</f>
        <v>92.307692307692307</v>
      </c>
      <c r="T54" s="139">
        <f t="shared" si="1"/>
        <v>6</v>
      </c>
      <c r="U54" s="139">
        <f>F$8+(T54-F54)/(H54-F54)*(H$8-F$8)</f>
        <v>183.5</v>
      </c>
    </row>
    <row r="55" spans="2:21" s="139" customFormat="1" ht="16.899999999999999" customHeight="1" x14ac:dyDescent="0.25">
      <c r="B55" s="20" t="s">
        <v>12</v>
      </c>
      <c r="C55" s="20" t="s">
        <v>57</v>
      </c>
      <c r="D55" s="21" t="s">
        <v>13</v>
      </c>
      <c r="E55" s="141">
        <v>12</v>
      </c>
      <c r="F55" s="141">
        <v>0</v>
      </c>
      <c r="G55" s="141">
        <v>0</v>
      </c>
      <c r="H55" s="141">
        <v>1</v>
      </c>
      <c r="I55" s="141">
        <v>2</v>
      </c>
      <c r="J55" s="141">
        <v>11</v>
      </c>
      <c r="K55" s="141"/>
      <c r="L55" s="141"/>
      <c r="T55" s="139">
        <f t="shared" si="1"/>
        <v>6</v>
      </c>
      <c r="U55" s="139">
        <f>I$8+(T55-I55)/(J55-I55)*(J$8-I$8)</f>
        <v>184.22222222222223</v>
      </c>
    </row>
    <row r="56" spans="2:21" s="139" customFormat="1" ht="16.899999999999999" customHeight="1" x14ac:dyDescent="0.25">
      <c r="B56" s="19"/>
      <c r="C56" s="19" t="s">
        <v>5</v>
      </c>
      <c r="D56" s="22" t="s">
        <v>26</v>
      </c>
      <c r="E56" s="140">
        <v>9</v>
      </c>
      <c r="F56" s="140">
        <v>0</v>
      </c>
      <c r="G56" s="140">
        <v>0</v>
      </c>
      <c r="H56" s="140">
        <v>2</v>
      </c>
      <c r="I56" s="140">
        <v>2</v>
      </c>
      <c r="J56" s="140">
        <v>8</v>
      </c>
      <c r="K56" s="140"/>
      <c r="L56" s="140"/>
      <c r="T56" s="139">
        <f t="shared" si="1"/>
        <v>4.5</v>
      </c>
      <c r="U56" s="139">
        <f>I$8+(T56-I56)/(J56-I56)*(J$8-I$8)</f>
        <v>184.08333333333334</v>
      </c>
    </row>
    <row r="57" spans="2:21" s="139" customFormat="1" ht="16.899999999999999" customHeight="1" x14ac:dyDescent="0.25">
      <c r="B57" s="19"/>
      <c r="C57" s="19"/>
      <c r="D57" s="22" t="s">
        <v>14</v>
      </c>
      <c r="E57" s="140">
        <v>12</v>
      </c>
      <c r="F57" s="140">
        <v>0</v>
      </c>
      <c r="G57" s="140">
        <v>0</v>
      </c>
      <c r="H57" s="140">
        <v>2</v>
      </c>
      <c r="I57" s="140" t="s">
        <v>206</v>
      </c>
      <c r="J57" s="140">
        <v>12</v>
      </c>
      <c r="K57" s="140"/>
      <c r="L57" s="140"/>
      <c r="T57" s="139">
        <f t="shared" si="1"/>
        <v>6</v>
      </c>
      <c r="U57" s="139">
        <f>H$8+(T57-H57)/(J57-H57)*(J$8-H$8)</f>
        <v>182.8</v>
      </c>
    </row>
    <row r="58" spans="2:21" s="139" customFormat="1" ht="16.899999999999999" customHeight="1" x14ac:dyDescent="0.25">
      <c r="B58" s="19"/>
      <c r="C58" s="19"/>
      <c r="D58" s="22" t="s">
        <v>15</v>
      </c>
      <c r="E58" s="140">
        <v>11</v>
      </c>
      <c r="F58" s="140">
        <v>0</v>
      </c>
      <c r="G58" s="140" t="s">
        <v>206</v>
      </c>
      <c r="H58" s="140">
        <v>4</v>
      </c>
      <c r="I58" s="140" t="s">
        <v>206</v>
      </c>
      <c r="J58" s="140">
        <v>9</v>
      </c>
      <c r="K58" s="140"/>
      <c r="L58" s="140"/>
      <c r="T58" s="139">
        <f t="shared" si="1"/>
        <v>5.5</v>
      </c>
      <c r="U58" s="139">
        <f>H$8+(T58-H58)/(J58-H58)*(J$8-H$8)</f>
        <v>182.1</v>
      </c>
    </row>
    <row r="59" spans="2:21" s="139" customFormat="1" ht="16.899999999999999" customHeight="1" x14ac:dyDescent="0.25">
      <c r="B59" s="19"/>
      <c r="C59" s="19"/>
      <c r="D59" s="22" t="s">
        <v>16</v>
      </c>
      <c r="E59" s="140">
        <v>6</v>
      </c>
      <c r="F59" s="140">
        <v>0</v>
      </c>
      <c r="G59" s="140" t="s">
        <v>206</v>
      </c>
      <c r="H59" s="140">
        <v>1</v>
      </c>
      <c r="I59" s="140" t="s">
        <v>206</v>
      </c>
      <c r="J59" s="140">
        <v>5</v>
      </c>
      <c r="K59" s="140"/>
      <c r="L59" s="140"/>
      <c r="N59" s="139">
        <f>SUM(F55:F59)/SUM($E55:$E59)*100</f>
        <v>0</v>
      </c>
      <c r="O59" s="139">
        <f>SUM(G55:G59)/SUM($E55:$E59)*100</f>
        <v>0</v>
      </c>
      <c r="P59" s="139">
        <f>SUM(H55:H59)/SUM($E55:$E59)*100</f>
        <v>20</v>
      </c>
      <c r="Q59" s="139">
        <f>SUM(I55:I59)/SUM($E55:$E59)*100</f>
        <v>8</v>
      </c>
      <c r="R59" s="139">
        <f>SUM(J55:J59)/SUM($E55:$E59)*100</f>
        <v>90</v>
      </c>
      <c r="T59" s="139">
        <f t="shared" si="1"/>
        <v>3</v>
      </c>
      <c r="U59" s="139">
        <f>H$8+(T59-H59)/(J59-H59)*(J$8-H$8)</f>
        <v>183.5</v>
      </c>
    </row>
    <row r="60" spans="2:21" x14ac:dyDescent="0.2">
      <c r="G60" s="175" t="s">
        <v>205</v>
      </c>
      <c r="I60" s="175" t="s">
        <v>205</v>
      </c>
    </row>
    <row r="61" spans="2:21" x14ac:dyDescent="0.2">
      <c r="G61" s="176"/>
      <c r="I61" s="176"/>
    </row>
    <row r="62" spans="2:21" x14ac:dyDescent="0.2">
      <c r="G62" s="176"/>
      <c r="I62" s="176"/>
      <c r="M62" s="82" t="s">
        <v>76</v>
      </c>
      <c r="N62" s="82">
        <f>AVERAGE(N39,N19)</f>
        <v>0</v>
      </c>
      <c r="O62" s="82">
        <f>AVERAGE(O39,O19)</f>
        <v>0.90909090909090906</v>
      </c>
      <c r="P62" s="82">
        <f>AVERAGE(P39,P19)</f>
        <v>45.598086124401917</v>
      </c>
      <c r="Q62" s="82">
        <f>AVERAGE(Q39,Q19)</f>
        <v>35.007974481658692</v>
      </c>
      <c r="R62" s="82">
        <f>AVERAGE(R39,R19)</f>
        <v>89.282296650717711</v>
      </c>
    </row>
    <row r="63" spans="2:21" x14ac:dyDescent="0.2">
      <c r="G63" s="176"/>
      <c r="I63" s="176"/>
      <c r="M63" s="82" t="s">
        <v>6</v>
      </c>
      <c r="N63" s="82">
        <f>AVERAGE(N14,N54)</f>
        <v>0</v>
      </c>
      <c r="O63" s="82">
        <f>AVERAGE(O14,O54)</f>
        <v>0</v>
      </c>
      <c r="P63" s="82">
        <f>AVERAGE(P14,P54)</f>
        <v>39.96734397677794</v>
      </c>
      <c r="Q63" s="82">
        <f>AVERAGE(Q14,Q54)</f>
        <v>23.748185776487663</v>
      </c>
      <c r="R63" s="82">
        <f>AVERAGE(R14,R54)</f>
        <v>89.550072568940493</v>
      </c>
    </row>
    <row r="64" spans="2:21" x14ac:dyDescent="0.2">
      <c r="M64" s="82" t="s">
        <v>77</v>
      </c>
      <c r="N64" s="82">
        <f>AVERAGE(N59,N34)</f>
        <v>0</v>
      </c>
      <c r="O64" s="82">
        <f>AVERAGE(O59,O34)</f>
        <v>0</v>
      </c>
      <c r="P64" s="82">
        <f>AVERAGE(P59,P34)</f>
        <v>34</v>
      </c>
      <c r="Q64" s="82">
        <f>AVERAGE(Q59,Q34)</f>
        <v>21</v>
      </c>
      <c r="R64" s="82">
        <f>AVERAGE(R59,R34)</f>
        <v>91</v>
      </c>
    </row>
    <row r="65" spans="5:18" x14ac:dyDescent="0.2">
      <c r="E65" s="82">
        <f t="shared" ref="E65:J65" si="2">AVERAGE(E10:E59)</f>
        <v>10.28</v>
      </c>
      <c r="F65" s="82">
        <f t="shared" si="2"/>
        <v>0</v>
      </c>
      <c r="G65" s="82">
        <f t="shared" si="2"/>
        <v>5.4054054054054057E-2</v>
      </c>
      <c r="H65" s="82">
        <f t="shared" si="2"/>
        <v>4.2</v>
      </c>
      <c r="I65" s="82">
        <f t="shared" si="2"/>
        <v>5.76</v>
      </c>
      <c r="J65" s="82">
        <f t="shared" si="2"/>
        <v>9.3800000000000008</v>
      </c>
      <c r="M65" s="82" t="s">
        <v>204</v>
      </c>
      <c r="N65" s="82">
        <f>AVERAGE(N14:N59)</f>
        <v>0</v>
      </c>
      <c r="O65" s="82">
        <f>AVERAGE(O14:O59)</f>
        <v>0.38181818181818183</v>
      </c>
      <c r="P65" s="82">
        <f>AVERAGE(P14:P59)</f>
        <v>40.707514513536481</v>
      </c>
      <c r="Q65" s="82">
        <f>AVERAGE(Q14:Q59)</f>
        <v>27.816121305115736</v>
      </c>
      <c r="R65" s="82">
        <f>AVERAGE(R14:R59)</f>
        <v>91.332320166053591</v>
      </c>
    </row>
    <row r="68" spans="5:18" x14ac:dyDescent="0.2">
      <c r="R68" s="82">
        <f>Q8+(50-Q65)/(R65-Q65)*(R8-Q8)</f>
        <v>183.74631661628976</v>
      </c>
    </row>
  </sheetData>
  <mergeCells count="2">
    <mergeCell ref="G60:G63"/>
    <mergeCell ref="I60:I63"/>
  </mergeCells>
  <pageMargins left="0.5" right="0.5" top="0.5" bottom="0.5" header="0" footer="0.3"/>
  <pageSetup scale="70" orientation="portrait"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9F6F37-89EB-4681-8A31-9B0642227F83}">
  <dimension ref="A1:AC66"/>
  <sheetViews>
    <sheetView zoomScale="75" zoomScaleNormal="75" workbookViewId="0">
      <selection activeCell="V8" sqref="V8:AC58"/>
    </sheetView>
  </sheetViews>
  <sheetFormatPr defaultColWidth="8.85546875" defaultRowHeight="14.25" x14ac:dyDescent="0.2"/>
  <cols>
    <col min="1" max="4" width="8.85546875" style="82"/>
    <col min="5" max="5" width="6.7109375" style="138" customWidth="1"/>
    <col min="6" max="16" width="6.7109375" style="82" customWidth="1"/>
    <col min="17" max="16384" width="8.85546875" style="82"/>
  </cols>
  <sheetData>
    <row r="1" spans="1:29" ht="18" x14ac:dyDescent="0.25">
      <c r="A1" s="2">
        <v>2015</v>
      </c>
      <c r="B1" s="3" t="s">
        <v>17</v>
      </c>
      <c r="C1" s="4"/>
      <c r="D1" s="4"/>
    </row>
    <row r="2" spans="1:29" ht="18" x14ac:dyDescent="0.25">
      <c r="A2" s="4"/>
      <c r="B2" s="3" t="s">
        <v>10</v>
      </c>
      <c r="C2" s="6"/>
      <c r="D2" s="3" t="s">
        <v>11</v>
      </c>
    </row>
    <row r="4" spans="1:29" ht="15.75" x14ac:dyDescent="0.25">
      <c r="B4" s="4" t="s">
        <v>223</v>
      </c>
      <c r="C4" s="4"/>
    </row>
    <row r="5" spans="1:29" ht="15.75" x14ac:dyDescent="0.25">
      <c r="B5" s="4"/>
      <c r="C5" s="4"/>
      <c r="E5" s="154" t="s">
        <v>222</v>
      </c>
    </row>
    <row r="6" spans="1:29" ht="15" x14ac:dyDescent="0.25">
      <c r="D6" s="10" t="s">
        <v>20</v>
      </c>
      <c r="E6" s="182">
        <v>42192</v>
      </c>
      <c r="F6" s="183"/>
      <c r="G6" s="177">
        <v>42198</v>
      </c>
      <c r="H6" s="178"/>
      <c r="I6" s="182">
        <v>42207</v>
      </c>
      <c r="J6" s="183"/>
      <c r="K6" s="177">
        <v>42212</v>
      </c>
      <c r="L6" s="178"/>
      <c r="M6" s="177">
        <v>42219</v>
      </c>
      <c r="N6" s="178"/>
      <c r="O6" s="177">
        <v>42227</v>
      </c>
      <c r="P6" s="178"/>
      <c r="Q6" s="177">
        <v>42240</v>
      </c>
      <c r="R6" s="178"/>
      <c r="S6" s="177">
        <v>42255</v>
      </c>
      <c r="T6" s="178"/>
    </row>
    <row r="7" spans="1:29" ht="15" x14ac:dyDescent="0.25">
      <c r="D7" s="10" t="s">
        <v>27</v>
      </c>
      <c r="E7" s="184">
        <v>188</v>
      </c>
      <c r="F7" s="183"/>
      <c r="G7" s="179">
        <v>194</v>
      </c>
      <c r="H7" s="178"/>
      <c r="I7" s="184">
        <v>203</v>
      </c>
      <c r="J7" s="183"/>
      <c r="K7" s="179">
        <v>208</v>
      </c>
      <c r="L7" s="178"/>
      <c r="M7" s="179">
        <v>215</v>
      </c>
      <c r="N7" s="178"/>
      <c r="O7" s="179">
        <v>223</v>
      </c>
      <c r="P7" s="178"/>
      <c r="Q7" s="179">
        <v>236</v>
      </c>
      <c r="R7" s="178"/>
      <c r="S7" s="179">
        <v>251</v>
      </c>
      <c r="T7" s="178"/>
    </row>
    <row r="8" spans="1:29" ht="27.6" customHeight="1" thickBot="1" x14ac:dyDescent="0.3">
      <c r="D8" s="10"/>
      <c r="E8" s="153" t="s">
        <v>221</v>
      </c>
      <c r="F8" s="153"/>
      <c r="G8" s="153" t="s">
        <v>221</v>
      </c>
      <c r="H8" s="153"/>
      <c r="I8" s="153" t="s">
        <v>221</v>
      </c>
      <c r="J8" s="153"/>
      <c r="K8" s="153" t="s">
        <v>221</v>
      </c>
      <c r="L8" s="153"/>
      <c r="M8" s="153" t="s">
        <v>221</v>
      </c>
      <c r="N8" s="153"/>
      <c r="O8" s="153" t="s">
        <v>221</v>
      </c>
      <c r="P8" s="153"/>
      <c r="Q8" s="180" t="s">
        <v>221</v>
      </c>
      <c r="R8" s="181"/>
      <c r="S8" s="180" t="s">
        <v>221</v>
      </c>
      <c r="T8" s="181"/>
      <c r="V8" s="82" t="s">
        <v>220</v>
      </c>
      <c r="W8" s="82" t="s">
        <v>219</v>
      </c>
      <c r="X8" s="82" t="s">
        <v>218</v>
      </c>
      <c r="Y8" s="82" t="s">
        <v>217</v>
      </c>
      <c r="Z8" s="82" t="s">
        <v>216</v>
      </c>
      <c r="AA8" s="82" t="s">
        <v>215</v>
      </c>
      <c r="AB8" s="82" t="s">
        <v>214</v>
      </c>
      <c r="AC8" s="82" t="s">
        <v>213</v>
      </c>
    </row>
    <row r="9" spans="1:29" s="139" customFormat="1" ht="34.9" customHeight="1" thickBot="1" x14ac:dyDescent="0.3">
      <c r="B9" s="20" t="s">
        <v>0</v>
      </c>
      <c r="C9" s="20" t="s">
        <v>48</v>
      </c>
      <c r="D9" s="21" t="s">
        <v>13</v>
      </c>
      <c r="E9" s="152">
        <v>7</v>
      </c>
      <c r="F9" s="152">
        <v>7</v>
      </c>
      <c r="G9" s="150">
        <v>7</v>
      </c>
      <c r="H9" s="151">
        <v>6</v>
      </c>
      <c r="I9" s="152">
        <v>4</v>
      </c>
      <c r="J9" s="152">
        <v>6</v>
      </c>
      <c r="K9" s="150">
        <v>5</v>
      </c>
      <c r="L9" s="151">
        <v>4</v>
      </c>
      <c r="M9" s="150">
        <v>4</v>
      </c>
      <c r="N9" s="151">
        <v>3</v>
      </c>
      <c r="O9" s="150">
        <v>3</v>
      </c>
      <c r="P9" s="151">
        <v>3</v>
      </c>
      <c r="Q9" s="150">
        <v>1</v>
      </c>
      <c r="R9" s="151">
        <v>2</v>
      </c>
      <c r="S9" s="150">
        <v>2</v>
      </c>
      <c r="T9" s="151">
        <v>3</v>
      </c>
      <c r="V9" s="139">
        <f>AVERAGE(E9:F9)</f>
        <v>7</v>
      </c>
      <c r="W9" s="139">
        <f t="shared" ref="W9:W40" si="0">AVERAGE(G9:H9)</f>
        <v>6.5</v>
      </c>
      <c r="X9" s="139">
        <f>AVERAGE(I9:J9)</f>
        <v>5</v>
      </c>
      <c r="Y9" s="139">
        <f t="shared" ref="Y9:Y40" si="1">AVERAGE(K9:L9)</f>
        <v>4.5</v>
      </c>
      <c r="Z9" s="139">
        <f t="shared" ref="Z9:Z40" si="2">AVERAGE(M9:N9)</f>
        <v>3.5</v>
      </c>
      <c r="AA9" s="139">
        <f t="shared" ref="AA9:AA40" si="3">AVERAGE(O9:P9)</f>
        <v>3</v>
      </c>
      <c r="AB9" s="139">
        <f t="shared" ref="AB9:AB40" si="4">AVERAGE(Q9:R9)</f>
        <v>1.5</v>
      </c>
      <c r="AC9" s="139">
        <f t="shared" ref="AC9:AC40" si="5">AVERAGE(S9:T9)</f>
        <v>2.5</v>
      </c>
    </row>
    <row r="10" spans="1:29" s="139" customFormat="1" ht="34.9" customHeight="1" thickBot="1" x14ac:dyDescent="0.3">
      <c r="B10" s="19"/>
      <c r="C10" s="19" t="s">
        <v>6</v>
      </c>
      <c r="D10" s="22" t="s">
        <v>26</v>
      </c>
      <c r="E10" s="152">
        <v>7</v>
      </c>
      <c r="F10" s="152">
        <v>6</v>
      </c>
      <c r="G10" s="150">
        <v>6</v>
      </c>
      <c r="H10" s="151">
        <v>7</v>
      </c>
      <c r="I10" s="152">
        <v>5</v>
      </c>
      <c r="J10" s="152">
        <v>6</v>
      </c>
      <c r="K10" s="150">
        <v>4</v>
      </c>
      <c r="L10" s="151">
        <v>6</v>
      </c>
      <c r="M10" s="150">
        <v>3</v>
      </c>
      <c r="N10" s="151">
        <v>4</v>
      </c>
      <c r="O10" s="150">
        <v>4</v>
      </c>
      <c r="P10" s="151">
        <v>3</v>
      </c>
      <c r="Q10" s="150">
        <v>2</v>
      </c>
      <c r="R10" s="151">
        <v>1</v>
      </c>
      <c r="S10" s="150">
        <v>4</v>
      </c>
      <c r="T10" s="151">
        <v>3</v>
      </c>
      <c r="V10" s="139">
        <f>AVERAGE(E10:F10)</f>
        <v>6.5</v>
      </c>
      <c r="W10" s="139">
        <f t="shared" si="0"/>
        <v>6.5</v>
      </c>
      <c r="X10" s="139">
        <f>AVERAGE(I10:J10)</f>
        <v>5.5</v>
      </c>
      <c r="Y10" s="139">
        <f t="shared" si="1"/>
        <v>5</v>
      </c>
      <c r="Z10" s="139">
        <f t="shared" si="2"/>
        <v>3.5</v>
      </c>
      <c r="AA10" s="139">
        <f t="shared" si="3"/>
        <v>3.5</v>
      </c>
      <c r="AB10" s="139">
        <f t="shared" si="4"/>
        <v>1.5</v>
      </c>
      <c r="AC10" s="139">
        <f t="shared" si="5"/>
        <v>3.5</v>
      </c>
    </row>
    <row r="11" spans="1:29" s="139" customFormat="1" ht="34.9" customHeight="1" thickBot="1" x14ac:dyDescent="0.3">
      <c r="B11" s="19"/>
      <c r="C11" s="19"/>
      <c r="D11" s="22" t="s">
        <v>14</v>
      </c>
      <c r="E11" s="152">
        <v>7</v>
      </c>
      <c r="F11" s="152">
        <v>6</v>
      </c>
      <c r="G11" s="150">
        <v>6</v>
      </c>
      <c r="H11" s="151">
        <v>7</v>
      </c>
      <c r="I11" s="152">
        <v>4</v>
      </c>
      <c r="J11" s="152">
        <v>5</v>
      </c>
      <c r="K11" s="150">
        <v>5</v>
      </c>
      <c r="L11" s="151">
        <v>5</v>
      </c>
      <c r="M11" s="150">
        <v>3</v>
      </c>
      <c r="N11" s="151">
        <v>3</v>
      </c>
      <c r="O11" s="150">
        <v>3</v>
      </c>
      <c r="P11" s="151">
        <v>4</v>
      </c>
      <c r="Q11" s="150">
        <v>1</v>
      </c>
      <c r="R11" s="151">
        <v>2</v>
      </c>
      <c r="S11" s="150">
        <v>3</v>
      </c>
      <c r="T11" s="151">
        <v>3</v>
      </c>
      <c r="V11" s="139">
        <f>AVERAGE(E11:F11)</f>
        <v>6.5</v>
      </c>
      <c r="W11" s="139">
        <f t="shared" si="0"/>
        <v>6.5</v>
      </c>
      <c r="X11" s="139">
        <f>AVERAGE(I11:J11)</f>
        <v>4.5</v>
      </c>
      <c r="Y11" s="139">
        <f t="shared" si="1"/>
        <v>5</v>
      </c>
      <c r="Z11" s="139">
        <f t="shared" si="2"/>
        <v>3</v>
      </c>
      <c r="AA11" s="139">
        <f t="shared" si="3"/>
        <v>3.5</v>
      </c>
      <c r="AB11" s="139">
        <f t="shared" si="4"/>
        <v>1.5</v>
      </c>
      <c r="AC11" s="139">
        <f t="shared" si="5"/>
        <v>3</v>
      </c>
    </row>
    <row r="12" spans="1:29" s="139" customFormat="1" ht="34.9" customHeight="1" thickBot="1" x14ac:dyDescent="0.3">
      <c r="B12" s="19"/>
      <c r="C12" s="19"/>
      <c r="D12" s="22" t="s">
        <v>15</v>
      </c>
      <c r="E12" s="152">
        <v>6</v>
      </c>
      <c r="F12" s="152"/>
      <c r="G12" s="150">
        <v>5</v>
      </c>
      <c r="H12" s="151">
        <v>6</v>
      </c>
      <c r="I12" s="152"/>
      <c r="J12" s="152"/>
      <c r="K12" s="150">
        <v>4</v>
      </c>
      <c r="L12" s="151">
        <v>5</v>
      </c>
      <c r="M12" s="150">
        <v>4</v>
      </c>
      <c r="N12" s="151">
        <v>3</v>
      </c>
      <c r="O12" s="150">
        <v>4</v>
      </c>
      <c r="P12" s="151">
        <v>4</v>
      </c>
      <c r="Q12" s="150">
        <v>2</v>
      </c>
      <c r="R12" s="151">
        <v>1</v>
      </c>
      <c r="S12" s="150">
        <v>2</v>
      </c>
      <c r="T12" s="151">
        <v>1</v>
      </c>
      <c r="V12" s="139">
        <f>AVERAGE(E12:F12)</f>
        <v>6</v>
      </c>
      <c r="W12" s="139">
        <f t="shared" si="0"/>
        <v>5.5</v>
      </c>
      <c r="Y12" s="139">
        <f t="shared" si="1"/>
        <v>4.5</v>
      </c>
      <c r="Z12" s="139">
        <f t="shared" si="2"/>
        <v>3.5</v>
      </c>
      <c r="AA12" s="139">
        <f t="shared" si="3"/>
        <v>4</v>
      </c>
      <c r="AB12" s="139">
        <f t="shared" si="4"/>
        <v>1.5</v>
      </c>
      <c r="AC12" s="139">
        <f t="shared" si="5"/>
        <v>1.5</v>
      </c>
    </row>
    <row r="13" spans="1:29" s="139" customFormat="1" ht="34.9" customHeight="1" thickBot="1" x14ac:dyDescent="0.3">
      <c r="B13" s="19"/>
      <c r="C13" s="19"/>
      <c r="D13" s="22" t="s">
        <v>16</v>
      </c>
      <c r="E13" s="152"/>
      <c r="F13" s="152"/>
      <c r="G13" s="150">
        <v>5</v>
      </c>
      <c r="H13" s="151">
        <v>5</v>
      </c>
      <c r="I13" s="152"/>
      <c r="J13" s="152"/>
      <c r="K13" s="150">
        <v>4</v>
      </c>
      <c r="L13" s="151">
        <v>3</v>
      </c>
      <c r="M13" s="150">
        <v>4</v>
      </c>
      <c r="N13" s="151">
        <v>4</v>
      </c>
      <c r="O13" s="150">
        <v>4</v>
      </c>
      <c r="P13" s="151">
        <v>5</v>
      </c>
      <c r="Q13" s="150">
        <v>3</v>
      </c>
      <c r="R13" s="151">
        <v>2</v>
      </c>
      <c r="S13" s="150">
        <v>2</v>
      </c>
      <c r="T13" s="151">
        <v>1</v>
      </c>
      <c r="W13" s="139">
        <f t="shared" si="0"/>
        <v>5</v>
      </c>
      <c r="Y13" s="139">
        <f t="shared" si="1"/>
        <v>3.5</v>
      </c>
      <c r="Z13" s="139">
        <f t="shared" si="2"/>
        <v>4</v>
      </c>
      <c r="AA13" s="139">
        <f t="shared" si="3"/>
        <v>4.5</v>
      </c>
      <c r="AB13" s="139">
        <f t="shared" si="4"/>
        <v>2.5</v>
      </c>
      <c r="AC13" s="139">
        <f t="shared" si="5"/>
        <v>1.5</v>
      </c>
    </row>
    <row r="14" spans="1:29" s="139" customFormat="1" ht="34.9" customHeight="1" thickBot="1" x14ac:dyDescent="0.3">
      <c r="B14" s="20" t="s">
        <v>1</v>
      </c>
      <c r="C14" s="20" t="s">
        <v>49</v>
      </c>
      <c r="D14" s="21" t="s">
        <v>13</v>
      </c>
      <c r="E14" s="152">
        <v>6</v>
      </c>
      <c r="F14" s="152">
        <v>7</v>
      </c>
      <c r="G14" s="150">
        <v>6</v>
      </c>
      <c r="H14" s="151">
        <v>7</v>
      </c>
      <c r="I14" s="152">
        <v>5</v>
      </c>
      <c r="J14" s="152">
        <v>5</v>
      </c>
      <c r="K14" s="150">
        <v>6</v>
      </c>
      <c r="L14" s="151">
        <v>6</v>
      </c>
      <c r="M14" s="150">
        <v>5</v>
      </c>
      <c r="N14" s="151">
        <v>5</v>
      </c>
      <c r="O14" s="150">
        <v>5</v>
      </c>
      <c r="P14" s="151">
        <v>4</v>
      </c>
      <c r="Q14" s="150">
        <v>2</v>
      </c>
      <c r="R14" s="151">
        <v>4</v>
      </c>
      <c r="S14" s="150">
        <v>3</v>
      </c>
      <c r="T14" s="151">
        <v>2</v>
      </c>
      <c r="V14" s="139">
        <f>AVERAGE(E14:F14)</f>
        <v>6.5</v>
      </c>
      <c r="W14" s="139">
        <f t="shared" si="0"/>
        <v>6.5</v>
      </c>
      <c r="X14" s="139">
        <f>AVERAGE(I14:J14)</f>
        <v>5</v>
      </c>
      <c r="Y14" s="139">
        <f t="shared" si="1"/>
        <v>6</v>
      </c>
      <c r="Z14" s="139">
        <f t="shared" si="2"/>
        <v>5</v>
      </c>
      <c r="AA14" s="139">
        <f t="shared" si="3"/>
        <v>4.5</v>
      </c>
      <c r="AB14" s="139">
        <f t="shared" si="4"/>
        <v>3</v>
      </c>
      <c r="AC14" s="139">
        <f t="shared" si="5"/>
        <v>2.5</v>
      </c>
    </row>
    <row r="15" spans="1:29" s="139" customFormat="1" ht="34.9" customHeight="1" thickBot="1" x14ac:dyDescent="0.3">
      <c r="B15" s="19"/>
      <c r="C15" s="19" t="s">
        <v>7</v>
      </c>
      <c r="D15" s="22" t="s">
        <v>26</v>
      </c>
      <c r="E15" s="152">
        <v>7</v>
      </c>
      <c r="F15" s="152">
        <v>7</v>
      </c>
      <c r="G15" s="150">
        <v>5</v>
      </c>
      <c r="H15" s="151">
        <v>6</v>
      </c>
      <c r="I15" s="152">
        <v>7</v>
      </c>
      <c r="J15" s="152"/>
      <c r="K15" s="150">
        <v>6</v>
      </c>
      <c r="L15" s="151">
        <v>5</v>
      </c>
      <c r="M15" s="150">
        <v>4</v>
      </c>
      <c r="N15" s="151">
        <v>4</v>
      </c>
      <c r="O15" s="150">
        <v>5</v>
      </c>
      <c r="P15" s="151">
        <v>4</v>
      </c>
      <c r="Q15" s="150">
        <v>3</v>
      </c>
      <c r="R15" s="151">
        <v>4</v>
      </c>
      <c r="S15" s="150">
        <v>2</v>
      </c>
      <c r="T15" s="151">
        <v>2</v>
      </c>
      <c r="V15" s="139">
        <f>AVERAGE(E15:F15)</f>
        <v>7</v>
      </c>
      <c r="W15" s="139">
        <f t="shared" si="0"/>
        <v>5.5</v>
      </c>
      <c r="X15" s="139">
        <f>AVERAGE(I15:J15)</f>
        <v>7</v>
      </c>
      <c r="Y15" s="139">
        <f t="shared" si="1"/>
        <v>5.5</v>
      </c>
      <c r="Z15" s="139">
        <f t="shared" si="2"/>
        <v>4</v>
      </c>
      <c r="AA15" s="139">
        <f t="shared" si="3"/>
        <v>4.5</v>
      </c>
      <c r="AB15" s="139">
        <f t="shared" si="4"/>
        <v>3.5</v>
      </c>
      <c r="AC15" s="139">
        <f t="shared" si="5"/>
        <v>2</v>
      </c>
    </row>
    <row r="16" spans="1:29" s="139" customFormat="1" ht="34.9" customHeight="1" thickBot="1" x14ac:dyDescent="0.3">
      <c r="B16" s="19"/>
      <c r="C16" s="19"/>
      <c r="D16" s="22" t="s">
        <v>14</v>
      </c>
      <c r="E16" s="152">
        <v>7</v>
      </c>
      <c r="F16" s="152">
        <v>7</v>
      </c>
      <c r="G16" s="150">
        <v>6</v>
      </c>
      <c r="H16" s="151">
        <v>6</v>
      </c>
      <c r="I16" s="152">
        <v>4</v>
      </c>
      <c r="J16" s="152"/>
      <c r="K16" s="150">
        <v>6</v>
      </c>
      <c r="L16" s="151">
        <v>6</v>
      </c>
      <c r="M16" s="150">
        <v>5</v>
      </c>
      <c r="N16" s="151">
        <v>5</v>
      </c>
      <c r="O16" s="150">
        <v>4</v>
      </c>
      <c r="P16" s="151">
        <v>4</v>
      </c>
      <c r="Q16" s="150">
        <v>4</v>
      </c>
      <c r="R16" s="151">
        <v>3</v>
      </c>
      <c r="S16" s="150">
        <v>3</v>
      </c>
      <c r="T16" s="151">
        <v>2</v>
      </c>
      <c r="V16" s="139">
        <f>AVERAGE(E16:F16)</f>
        <v>7</v>
      </c>
      <c r="W16" s="139">
        <f t="shared" si="0"/>
        <v>6</v>
      </c>
      <c r="X16" s="139">
        <f>AVERAGE(I16:J16)</f>
        <v>4</v>
      </c>
      <c r="Y16" s="139">
        <f t="shared" si="1"/>
        <v>6</v>
      </c>
      <c r="Z16" s="139">
        <f t="shared" si="2"/>
        <v>5</v>
      </c>
      <c r="AA16" s="139">
        <f t="shared" si="3"/>
        <v>4</v>
      </c>
      <c r="AB16" s="139">
        <f t="shared" si="4"/>
        <v>3.5</v>
      </c>
      <c r="AC16" s="139">
        <f t="shared" si="5"/>
        <v>2.5</v>
      </c>
    </row>
    <row r="17" spans="2:29" s="139" customFormat="1" ht="34.9" customHeight="1" thickBot="1" x14ac:dyDescent="0.3">
      <c r="B17" s="19"/>
      <c r="C17" s="19"/>
      <c r="D17" s="22" t="s">
        <v>15</v>
      </c>
      <c r="E17" s="152">
        <v>7</v>
      </c>
      <c r="F17" s="152">
        <v>8</v>
      </c>
      <c r="G17" s="150">
        <v>6</v>
      </c>
      <c r="H17" s="151">
        <v>6</v>
      </c>
      <c r="I17" s="152"/>
      <c r="J17" s="152"/>
      <c r="K17" s="150">
        <v>4</v>
      </c>
      <c r="L17" s="151">
        <v>4</v>
      </c>
      <c r="M17" s="150">
        <v>5</v>
      </c>
      <c r="N17" s="151">
        <v>5</v>
      </c>
      <c r="O17" s="150">
        <v>5</v>
      </c>
      <c r="P17" s="151">
        <v>4</v>
      </c>
      <c r="Q17" s="150">
        <v>3</v>
      </c>
      <c r="R17" s="151">
        <v>3</v>
      </c>
      <c r="S17" s="150">
        <v>2</v>
      </c>
      <c r="T17" s="151">
        <v>3</v>
      </c>
      <c r="V17" s="139">
        <f>AVERAGE(E17:F17)</f>
        <v>7.5</v>
      </c>
      <c r="W17" s="139">
        <f t="shared" si="0"/>
        <v>6</v>
      </c>
      <c r="Y17" s="139">
        <f t="shared" si="1"/>
        <v>4</v>
      </c>
      <c r="Z17" s="139">
        <f t="shared" si="2"/>
        <v>5</v>
      </c>
      <c r="AA17" s="139">
        <f t="shared" si="3"/>
        <v>4.5</v>
      </c>
      <c r="AB17" s="139">
        <f t="shared" si="4"/>
        <v>3</v>
      </c>
      <c r="AC17" s="139">
        <f t="shared" si="5"/>
        <v>2.5</v>
      </c>
    </row>
    <row r="18" spans="2:29" s="139" customFormat="1" ht="34.9" customHeight="1" thickBot="1" x14ac:dyDescent="0.3">
      <c r="B18" s="19"/>
      <c r="C18" s="19"/>
      <c r="D18" s="22" t="s">
        <v>16</v>
      </c>
      <c r="E18" s="152">
        <v>8</v>
      </c>
      <c r="F18" s="152">
        <v>7</v>
      </c>
      <c r="G18" s="150">
        <v>6</v>
      </c>
      <c r="H18" s="151">
        <v>5</v>
      </c>
      <c r="I18" s="152"/>
      <c r="J18" s="152"/>
      <c r="K18" s="150">
        <v>4</v>
      </c>
      <c r="L18" s="151">
        <v>5</v>
      </c>
      <c r="M18" s="150">
        <v>4</v>
      </c>
      <c r="N18" s="151">
        <v>5</v>
      </c>
      <c r="O18" s="150">
        <v>5</v>
      </c>
      <c r="P18" s="151">
        <v>6</v>
      </c>
      <c r="Q18" s="150">
        <v>4</v>
      </c>
      <c r="R18" s="151">
        <v>5</v>
      </c>
      <c r="S18" s="150">
        <v>3</v>
      </c>
      <c r="T18" s="151">
        <v>4</v>
      </c>
      <c r="V18" s="139">
        <f>AVERAGE(E18:F18)</f>
        <v>7.5</v>
      </c>
      <c r="W18" s="139">
        <f t="shared" si="0"/>
        <v>5.5</v>
      </c>
      <c r="Y18" s="139">
        <f t="shared" si="1"/>
        <v>4.5</v>
      </c>
      <c r="Z18" s="139">
        <f t="shared" si="2"/>
        <v>4.5</v>
      </c>
      <c r="AA18" s="139">
        <f t="shared" si="3"/>
        <v>5.5</v>
      </c>
      <c r="AB18" s="139">
        <f t="shared" si="4"/>
        <v>4.5</v>
      </c>
      <c r="AC18" s="139">
        <f t="shared" si="5"/>
        <v>3.5</v>
      </c>
    </row>
    <row r="19" spans="2:29" s="139" customFormat="1" ht="34.9" customHeight="1" thickBot="1" x14ac:dyDescent="0.3">
      <c r="B19" s="23" t="s">
        <v>1</v>
      </c>
      <c r="C19" s="23" t="s">
        <v>50</v>
      </c>
      <c r="D19" s="24" t="s">
        <v>13</v>
      </c>
      <c r="E19" s="152"/>
      <c r="F19" s="152"/>
      <c r="G19" s="150">
        <v>7</v>
      </c>
      <c r="H19" s="151">
        <v>6</v>
      </c>
      <c r="I19" s="152"/>
      <c r="J19" s="152"/>
      <c r="K19" s="150">
        <v>4</v>
      </c>
      <c r="L19" s="151">
        <v>4</v>
      </c>
      <c r="M19" s="150">
        <v>5</v>
      </c>
      <c r="N19" s="151">
        <v>4</v>
      </c>
      <c r="O19" s="150">
        <v>3</v>
      </c>
      <c r="P19" s="151">
        <v>4</v>
      </c>
      <c r="Q19" s="150">
        <v>1</v>
      </c>
      <c r="R19" s="151">
        <v>3</v>
      </c>
      <c r="S19" s="150">
        <v>3</v>
      </c>
      <c r="T19" s="151">
        <v>3</v>
      </c>
      <c r="W19" s="139">
        <f t="shared" si="0"/>
        <v>6.5</v>
      </c>
      <c r="Y19" s="139">
        <f t="shared" si="1"/>
        <v>4</v>
      </c>
      <c r="Z19" s="139">
        <f t="shared" si="2"/>
        <v>4.5</v>
      </c>
      <c r="AA19" s="139">
        <f t="shared" si="3"/>
        <v>3.5</v>
      </c>
      <c r="AB19" s="139">
        <f t="shared" si="4"/>
        <v>2</v>
      </c>
      <c r="AC19" s="139">
        <f t="shared" si="5"/>
        <v>3</v>
      </c>
    </row>
    <row r="20" spans="2:29" s="139" customFormat="1" ht="34.9" customHeight="1" thickBot="1" x14ac:dyDescent="0.3">
      <c r="B20" s="25"/>
      <c r="C20" s="25" t="s">
        <v>8</v>
      </c>
      <c r="D20" s="26" t="s">
        <v>26</v>
      </c>
      <c r="E20" s="152"/>
      <c r="F20" s="152"/>
      <c r="G20" s="150">
        <v>7</v>
      </c>
      <c r="H20" s="151">
        <v>6</v>
      </c>
      <c r="I20" s="152"/>
      <c r="J20" s="152"/>
      <c r="K20" s="150">
        <v>6</v>
      </c>
      <c r="L20" s="151">
        <v>5</v>
      </c>
      <c r="M20" s="150">
        <v>4</v>
      </c>
      <c r="N20" s="151">
        <v>5</v>
      </c>
      <c r="O20" s="150">
        <v>4</v>
      </c>
      <c r="P20" s="151">
        <v>4</v>
      </c>
      <c r="Q20" s="150">
        <v>3</v>
      </c>
      <c r="R20" s="151">
        <v>2</v>
      </c>
      <c r="S20" s="150">
        <v>3</v>
      </c>
      <c r="T20" s="151">
        <v>3</v>
      </c>
      <c r="W20" s="139">
        <f t="shared" si="0"/>
        <v>6.5</v>
      </c>
      <c r="Y20" s="139">
        <f t="shared" si="1"/>
        <v>5.5</v>
      </c>
      <c r="Z20" s="139">
        <f t="shared" si="2"/>
        <v>4.5</v>
      </c>
      <c r="AA20" s="139">
        <f t="shared" si="3"/>
        <v>4</v>
      </c>
      <c r="AB20" s="139">
        <f t="shared" si="4"/>
        <v>2.5</v>
      </c>
      <c r="AC20" s="139">
        <f t="shared" si="5"/>
        <v>3</v>
      </c>
    </row>
    <row r="21" spans="2:29" s="139" customFormat="1" ht="34.9" customHeight="1" thickBot="1" x14ac:dyDescent="0.3">
      <c r="B21" s="25"/>
      <c r="C21" s="25"/>
      <c r="D21" s="26" t="s">
        <v>14</v>
      </c>
      <c r="E21" s="152"/>
      <c r="F21" s="152"/>
      <c r="G21" s="150">
        <v>5</v>
      </c>
      <c r="H21" s="151">
        <v>6</v>
      </c>
      <c r="I21" s="152"/>
      <c r="J21" s="152"/>
      <c r="K21" s="150">
        <v>4</v>
      </c>
      <c r="L21" s="151">
        <v>4</v>
      </c>
      <c r="M21" s="150">
        <v>5</v>
      </c>
      <c r="N21" s="151">
        <v>5</v>
      </c>
      <c r="O21" s="150">
        <v>4</v>
      </c>
      <c r="P21" s="151">
        <v>4</v>
      </c>
      <c r="Q21" s="150">
        <v>3</v>
      </c>
      <c r="R21" s="151">
        <v>2</v>
      </c>
      <c r="S21" s="150">
        <v>2</v>
      </c>
      <c r="T21" s="151">
        <v>3</v>
      </c>
      <c r="W21" s="139">
        <f t="shared" si="0"/>
        <v>5.5</v>
      </c>
      <c r="Y21" s="139">
        <f t="shared" si="1"/>
        <v>4</v>
      </c>
      <c r="Z21" s="139">
        <f t="shared" si="2"/>
        <v>5</v>
      </c>
      <c r="AA21" s="139">
        <f t="shared" si="3"/>
        <v>4</v>
      </c>
      <c r="AB21" s="139">
        <f t="shared" si="4"/>
        <v>2.5</v>
      </c>
      <c r="AC21" s="139">
        <f t="shared" si="5"/>
        <v>2.5</v>
      </c>
    </row>
    <row r="22" spans="2:29" s="139" customFormat="1" ht="34.9" customHeight="1" thickBot="1" x14ac:dyDescent="0.3">
      <c r="B22" s="25"/>
      <c r="C22" s="25"/>
      <c r="D22" s="26" t="s">
        <v>15</v>
      </c>
      <c r="E22" s="152"/>
      <c r="F22" s="152"/>
      <c r="G22" s="150">
        <v>4</v>
      </c>
      <c r="H22" s="151">
        <v>5</v>
      </c>
      <c r="I22" s="152"/>
      <c r="J22" s="152"/>
      <c r="K22" s="150">
        <v>4</v>
      </c>
      <c r="L22" s="151">
        <v>4</v>
      </c>
      <c r="M22" s="150">
        <v>4</v>
      </c>
      <c r="N22" s="151">
        <v>4</v>
      </c>
      <c r="O22" s="150">
        <v>4</v>
      </c>
      <c r="P22" s="151">
        <v>5</v>
      </c>
      <c r="Q22" s="150">
        <v>1</v>
      </c>
      <c r="R22" s="151">
        <v>3</v>
      </c>
      <c r="S22" s="150">
        <v>3</v>
      </c>
      <c r="T22" s="151">
        <v>4</v>
      </c>
      <c r="W22" s="139">
        <f t="shared" si="0"/>
        <v>4.5</v>
      </c>
      <c r="Y22" s="139">
        <f t="shared" si="1"/>
        <v>4</v>
      </c>
      <c r="Z22" s="139">
        <f t="shared" si="2"/>
        <v>4</v>
      </c>
      <c r="AA22" s="139">
        <f t="shared" si="3"/>
        <v>4.5</v>
      </c>
      <c r="AB22" s="139">
        <f t="shared" si="4"/>
        <v>2</v>
      </c>
      <c r="AC22" s="139">
        <f t="shared" si="5"/>
        <v>3.5</v>
      </c>
    </row>
    <row r="23" spans="2:29" s="139" customFormat="1" ht="34.9" customHeight="1" thickBot="1" x14ac:dyDescent="0.3">
      <c r="B23" s="25"/>
      <c r="C23" s="25"/>
      <c r="D23" s="26" t="s">
        <v>16</v>
      </c>
      <c r="E23" s="152"/>
      <c r="F23" s="152"/>
      <c r="G23" s="150">
        <v>5</v>
      </c>
      <c r="H23" s="151">
        <v>7</v>
      </c>
      <c r="I23" s="152"/>
      <c r="J23" s="152"/>
      <c r="K23" s="150">
        <v>5</v>
      </c>
      <c r="L23" s="151">
        <v>5</v>
      </c>
      <c r="M23" s="150">
        <v>3</v>
      </c>
      <c r="N23" s="151">
        <v>4</v>
      </c>
      <c r="O23" s="150">
        <v>5</v>
      </c>
      <c r="P23" s="151">
        <v>5</v>
      </c>
      <c r="Q23" s="150">
        <v>3</v>
      </c>
      <c r="R23" s="151">
        <v>4</v>
      </c>
      <c r="S23" s="150">
        <v>2</v>
      </c>
      <c r="T23" s="151">
        <v>2</v>
      </c>
      <c r="W23" s="139">
        <f t="shared" si="0"/>
        <v>6</v>
      </c>
      <c r="Y23" s="139">
        <f t="shared" si="1"/>
        <v>5</v>
      </c>
      <c r="Z23" s="139">
        <f t="shared" si="2"/>
        <v>3.5</v>
      </c>
      <c r="AA23" s="139">
        <f t="shared" si="3"/>
        <v>5</v>
      </c>
      <c r="AB23" s="139">
        <f t="shared" si="4"/>
        <v>3.5</v>
      </c>
      <c r="AC23" s="139">
        <f t="shared" si="5"/>
        <v>2</v>
      </c>
    </row>
    <row r="24" spans="2:29" s="139" customFormat="1" ht="34.9" customHeight="1" thickBot="1" x14ac:dyDescent="0.3">
      <c r="B24" s="23" t="s">
        <v>2</v>
      </c>
      <c r="C24" s="23" t="s">
        <v>51</v>
      </c>
      <c r="D24" s="24" t="s">
        <v>13</v>
      </c>
      <c r="E24" s="152"/>
      <c r="F24" s="152"/>
      <c r="G24" s="150">
        <v>7</v>
      </c>
      <c r="H24" s="151">
        <v>7</v>
      </c>
      <c r="I24" s="152"/>
      <c r="J24" s="152"/>
      <c r="K24" s="150">
        <v>6</v>
      </c>
      <c r="L24" s="151">
        <v>5</v>
      </c>
      <c r="M24" s="150">
        <v>4</v>
      </c>
      <c r="N24" s="151">
        <v>4</v>
      </c>
      <c r="O24" s="150">
        <v>3</v>
      </c>
      <c r="P24" s="151">
        <v>4</v>
      </c>
      <c r="Q24" s="150">
        <v>3</v>
      </c>
      <c r="R24" s="151">
        <v>4</v>
      </c>
      <c r="S24" s="150">
        <v>3</v>
      </c>
      <c r="T24" s="151">
        <v>2</v>
      </c>
      <c r="W24" s="139">
        <f t="shared" si="0"/>
        <v>7</v>
      </c>
      <c r="Y24" s="139">
        <f t="shared" si="1"/>
        <v>5.5</v>
      </c>
      <c r="Z24" s="139">
        <f t="shared" si="2"/>
        <v>4</v>
      </c>
      <c r="AA24" s="139">
        <f t="shared" si="3"/>
        <v>3.5</v>
      </c>
      <c r="AB24" s="139">
        <f t="shared" si="4"/>
        <v>3.5</v>
      </c>
      <c r="AC24" s="139">
        <f t="shared" si="5"/>
        <v>2.5</v>
      </c>
    </row>
    <row r="25" spans="2:29" s="139" customFormat="1" ht="34.9" customHeight="1" thickBot="1" x14ac:dyDescent="0.3">
      <c r="B25" s="25"/>
      <c r="C25" s="25" t="s">
        <v>9</v>
      </c>
      <c r="D25" s="26" t="s">
        <v>26</v>
      </c>
      <c r="E25" s="152"/>
      <c r="F25" s="152"/>
      <c r="G25" s="150">
        <v>6</v>
      </c>
      <c r="H25" s="151">
        <v>6</v>
      </c>
      <c r="I25" s="152"/>
      <c r="J25" s="152"/>
      <c r="K25" s="150">
        <v>5</v>
      </c>
      <c r="L25" s="151">
        <v>5</v>
      </c>
      <c r="M25" s="150">
        <v>5</v>
      </c>
      <c r="N25" s="151">
        <v>4</v>
      </c>
      <c r="O25" s="150">
        <v>5</v>
      </c>
      <c r="P25" s="151">
        <v>5</v>
      </c>
      <c r="Q25" s="150">
        <v>2</v>
      </c>
      <c r="R25" s="151">
        <v>3</v>
      </c>
      <c r="S25" s="150">
        <v>2</v>
      </c>
      <c r="T25" s="151">
        <v>2</v>
      </c>
      <c r="W25" s="139">
        <f t="shared" si="0"/>
        <v>6</v>
      </c>
      <c r="Y25" s="139">
        <f t="shared" si="1"/>
        <v>5</v>
      </c>
      <c r="Z25" s="139">
        <f t="shared" si="2"/>
        <v>4.5</v>
      </c>
      <c r="AA25" s="139">
        <f t="shared" si="3"/>
        <v>5</v>
      </c>
      <c r="AB25" s="139">
        <f t="shared" si="4"/>
        <v>2.5</v>
      </c>
      <c r="AC25" s="139">
        <f t="shared" si="5"/>
        <v>2</v>
      </c>
    </row>
    <row r="26" spans="2:29" s="139" customFormat="1" ht="34.9" customHeight="1" thickBot="1" x14ac:dyDescent="0.3">
      <c r="B26" s="25"/>
      <c r="C26" s="25"/>
      <c r="D26" s="26" t="s">
        <v>14</v>
      </c>
      <c r="E26" s="152"/>
      <c r="F26" s="152"/>
      <c r="G26" s="150">
        <v>6</v>
      </c>
      <c r="H26" s="151">
        <v>6</v>
      </c>
      <c r="I26" s="152"/>
      <c r="J26" s="152"/>
      <c r="K26" s="150">
        <v>4</v>
      </c>
      <c r="L26" s="151">
        <v>5</v>
      </c>
      <c r="M26" s="150">
        <v>5</v>
      </c>
      <c r="N26" s="151">
        <v>5</v>
      </c>
      <c r="O26" s="150">
        <v>3</v>
      </c>
      <c r="P26" s="151">
        <v>4</v>
      </c>
      <c r="Q26" s="150">
        <v>3</v>
      </c>
      <c r="R26" s="151">
        <v>2</v>
      </c>
      <c r="S26" s="150">
        <v>2</v>
      </c>
      <c r="T26" s="151">
        <v>2</v>
      </c>
      <c r="W26" s="139">
        <f t="shared" si="0"/>
        <v>6</v>
      </c>
      <c r="Y26" s="139">
        <f t="shared" si="1"/>
        <v>4.5</v>
      </c>
      <c r="Z26" s="139">
        <f t="shared" si="2"/>
        <v>5</v>
      </c>
      <c r="AA26" s="139">
        <f t="shared" si="3"/>
        <v>3.5</v>
      </c>
      <c r="AB26" s="139">
        <f t="shared" si="4"/>
        <v>2.5</v>
      </c>
      <c r="AC26" s="139">
        <f t="shared" si="5"/>
        <v>2</v>
      </c>
    </row>
    <row r="27" spans="2:29" s="139" customFormat="1" ht="34.9" customHeight="1" thickBot="1" x14ac:dyDescent="0.3">
      <c r="B27" s="25"/>
      <c r="C27" s="25"/>
      <c r="D27" s="26" t="s">
        <v>15</v>
      </c>
      <c r="E27" s="152"/>
      <c r="F27" s="152"/>
      <c r="G27" s="150">
        <v>6</v>
      </c>
      <c r="H27" s="151">
        <v>6</v>
      </c>
      <c r="I27" s="152"/>
      <c r="J27" s="152"/>
      <c r="K27" s="150">
        <v>5</v>
      </c>
      <c r="L27" s="151">
        <v>4</v>
      </c>
      <c r="M27" s="150">
        <v>5</v>
      </c>
      <c r="N27" s="151">
        <v>4</v>
      </c>
      <c r="O27" s="150">
        <v>5</v>
      </c>
      <c r="P27" s="151">
        <v>4</v>
      </c>
      <c r="Q27" s="150">
        <v>4</v>
      </c>
      <c r="R27" s="151">
        <v>4</v>
      </c>
      <c r="S27" s="150">
        <v>4</v>
      </c>
      <c r="T27" s="151">
        <v>3</v>
      </c>
      <c r="W27" s="139">
        <f t="shared" si="0"/>
        <v>6</v>
      </c>
      <c r="Y27" s="139">
        <f t="shared" si="1"/>
        <v>4.5</v>
      </c>
      <c r="Z27" s="139">
        <f t="shared" si="2"/>
        <v>4.5</v>
      </c>
      <c r="AA27" s="139">
        <f t="shared" si="3"/>
        <v>4.5</v>
      </c>
      <c r="AB27" s="139">
        <f t="shared" si="4"/>
        <v>4</v>
      </c>
      <c r="AC27" s="139">
        <f t="shared" si="5"/>
        <v>3.5</v>
      </c>
    </row>
    <row r="28" spans="2:29" s="139" customFormat="1" ht="34.9" customHeight="1" thickBot="1" x14ac:dyDescent="0.3">
      <c r="B28" s="25"/>
      <c r="C28" s="25"/>
      <c r="D28" s="26" t="s">
        <v>16</v>
      </c>
      <c r="E28" s="152"/>
      <c r="F28" s="152"/>
      <c r="G28" s="150">
        <v>5</v>
      </c>
      <c r="H28" s="151">
        <v>5</v>
      </c>
      <c r="I28" s="152"/>
      <c r="J28" s="152"/>
      <c r="K28" s="150">
        <v>3</v>
      </c>
      <c r="L28" s="151">
        <v>4</v>
      </c>
      <c r="M28" s="150">
        <v>5</v>
      </c>
      <c r="N28" s="151">
        <v>4</v>
      </c>
      <c r="O28" s="150">
        <v>5</v>
      </c>
      <c r="P28" s="151">
        <v>5</v>
      </c>
      <c r="Q28" s="150">
        <v>4</v>
      </c>
      <c r="R28" s="151">
        <v>4</v>
      </c>
      <c r="S28" s="150">
        <v>3</v>
      </c>
      <c r="T28" s="151">
        <v>2</v>
      </c>
      <c r="W28" s="139">
        <f t="shared" si="0"/>
        <v>5</v>
      </c>
      <c r="Y28" s="139">
        <f t="shared" si="1"/>
        <v>3.5</v>
      </c>
      <c r="Z28" s="139">
        <f t="shared" si="2"/>
        <v>4.5</v>
      </c>
      <c r="AA28" s="139">
        <f t="shared" si="3"/>
        <v>5</v>
      </c>
      <c r="AB28" s="139">
        <f t="shared" si="4"/>
        <v>4</v>
      </c>
      <c r="AC28" s="139">
        <f t="shared" si="5"/>
        <v>2.5</v>
      </c>
    </row>
    <row r="29" spans="2:29" s="139" customFormat="1" ht="34.9" customHeight="1" thickBot="1" x14ac:dyDescent="0.3">
      <c r="B29" s="20" t="s">
        <v>2</v>
      </c>
      <c r="C29" s="20" t="s">
        <v>52</v>
      </c>
      <c r="D29" s="21" t="s">
        <v>13</v>
      </c>
      <c r="E29" s="152">
        <v>8</v>
      </c>
      <c r="F29" s="152">
        <v>7</v>
      </c>
      <c r="G29" s="150">
        <v>7</v>
      </c>
      <c r="H29" s="151">
        <v>7</v>
      </c>
      <c r="I29" s="152">
        <v>6</v>
      </c>
      <c r="J29" s="152">
        <v>4</v>
      </c>
      <c r="K29" s="150">
        <v>4</v>
      </c>
      <c r="L29" s="151">
        <v>6</v>
      </c>
      <c r="M29" s="150">
        <v>4</v>
      </c>
      <c r="N29" s="151">
        <v>4</v>
      </c>
      <c r="O29" s="150">
        <v>3</v>
      </c>
      <c r="P29" s="151">
        <v>2</v>
      </c>
      <c r="Q29" s="150">
        <v>2</v>
      </c>
      <c r="R29" s="151">
        <v>1</v>
      </c>
      <c r="S29" s="150">
        <v>2</v>
      </c>
      <c r="T29" s="151">
        <v>2</v>
      </c>
      <c r="V29" s="139">
        <f t="shared" ref="V29:V37" si="6">AVERAGE(E29:F29)</f>
        <v>7.5</v>
      </c>
      <c r="W29" s="139">
        <f t="shared" si="0"/>
        <v>7</v>
      </c>
      <c r="X29" s="139">
        <f>AVERAGE(I29:J29)</f>
        <v>5</v>
      </c>
      <c r="Y29" s="139">
        <f t="shared" si="1"/>
        <v>5</v>
      </c>
      <c r="Z29" s="139">
        <f t="shared" si="2"/>
        <v>4</v>
      </c>
      <c r="AA29" s="139">
        <f t="shared" si="3"/>
        <v>2.5</v>
      </c>
      <c r="AB29" s="139">
        <f t="shared" si="4"/>
        <v>1.5</v>
      </c>
      <c r="AC29" s="139">
        <f t="shared" si="5"/>
        <v>2</v>
      </c>
    </row>
    <row r="30" spans="2:29" s="139" customFormat="1" ht="34.9" customHeight="1" thickBot="1" x14ac:dyDescent="0.3">
      <c r="B30" s="19"/>
      <c r="C30" s="19" t="s">
        <v>5</v>
      </c>
      <c r="D30" s="22" t="s">
        <v>26</v>
      </c>
      <c r="E30" s="152">
        <v>6</v>
      </c>
      <c r="F30" s="152">
        <v>7</v>
      </c>
      <c r="G30" s="150">
        <v>7</v>
      </c>
      <c r="H30" s="151">
        <v>6</v>
      </c>
      <c r="I30" s="152">
        <v>4</v>
      </c>
      <c r="J30" s="152">
        <v>6</v>
      </c>
      <c r="K30" s="150">
        <v>4</v>
      </c>
      <c r="L30" s="151">
        <v>5</v>
      </c>
      <c r="M30" s="150">
        <v>3</v>
      </c>
      <c r="N30" s="151">
        <v>3</v>
      </c>
      <c r="O30" s="150">
        <v>3</v>
      </c>
      <c r="P30" s="151">
        <v>2</v>
      </c>
      <c r="Q30" s="150">
        <v>2</v>
      </c>
      <c r="R30" s="151">
        <v>2</v>
      </c>
      <c r="S30" s="150">
        <v>2</v>
      </c>
      <c r="T30" s="151">
        <v>3</v>
      </c>
      <c r="V30" s="139">
        <f t="shared" si="6"/>
        <v>6.5</v>
      </c>
      <c r="W30" s="139">
        <f t="shared" si="0"/>
        <v>6.5</v>
      </c>
      <c r="X30" s="139">
        <f>AVERAGE(I30:J30)</f>
        <v>5</v>
      </c>
      <c r="Y30" s="139">
        <f t="shared" si="1"/>
        <v>4.5</v>
      </c>
      <c r="Z30" s="139">
        <f t="shared" si="2"/>
        <v>3</v>
      </c>
      <c r="AA30" s="139">
        <f t="shared" si="3"/>
        <v>2.5</v>
      </c>
      <c r="AB30" s="139">
        <f t="shared" si="4"/>
        <v>2</v>
      </c>
      <c r="AC30" s="139">
        <f t="shared" si="5"/>
        <v>2.5</v>
      </c>
    </row>
    <row r="31" spans="2:29" s="139" customFormat="1" ht="34.9" customHeight="1" thickBot="1" x14ac:dyDescent="0.3">
      <c r="B31" s="19"/>
      <c r="C31" s="19"/>
      <c r="D31" s="22" t="s">
        <v>14</v>
      </c>
      <c r="E31" s="152">
        <v>6</v>
      </c>
      <c r="F31" s="152">
        <v>6</v>
      </c>
      <c r="G31" s="150">
        <v>7</v>
      </c>
      <c r="H31" s="151">
        <v>5</v>
      </c>
      <c r="I31" s="152"/>
      <c r="J31" s="152">
        <v>4</v>
      </c>
      <c r="K31" s="150">
        <v>4</v>
      </c>
      <c r="L31" s="151">
        <v>4</v>
      </c>
      <c r="M31" s="150">
        <v>4</v>
      </c>
      <c r="N31" s="151">
        <v>3</v>
      </c>
      <c r="O31" s="150">
        <v>3</v>
      </c>
      <c r="P31" s="151">
        <v>3</v>
      </c>
      <c r="Q31" s="150">
        <v>2</v>
      </c>
      <c r="R31" s="151">
        <v>2</v>
      </c>
      <c r="S31" s="150">
        <v>2</v>
      </c>
      <c r="T31" s="151">
        <v>3</v>
      </c>
      <c r="V31" s="139">
        <f t="shared" si="6"/>
        <v>6</v>
      </c>
      <c r="W31" s="139">
        <f t="shared" si="0"/>
        <v>6</v>
      </c>
      <c r="X31" s="139">
        <f>AVERAGE(I31:J31)</f>
        <v>4</v>
      </c>
      <c r="Y31" s="139">
        <f t="shared" si="1"/>
        <v>4</v>
      </c>
      <c r="Z31" s="139">
        <f t="shared" si="2"/>
        <v>3.5</v>
      </c>
      <c r="AA31" s="139">
        <f t="shared" si="3"/>
        <v>3</v>
      </c>
      <c r="AB31" s="139">
        <f t="shared" si="4"/>
        <v>2</v>
      </c>
      <c r="AC31" s="139">
        <f t="shared" si="5"/>
        <v>2.5</v>
      </c>
    </row>
    <row r="32" spans="2:29" s="139" customFormat="1" ht="34.9" customHeight="1" thickBot="1" x14ac:dyDescent="0.3">
      <c r="B32" s="19"/>
      <c r="C32" s="19"/>
      <c r="D32" s="22" t="s">
        <v>15</v>
      </c>
      <c r="E32" s="152">
        <v>8</v>
      </c>
      <c r="F32" s="152">
        <v>7</v>
      </c>
      <c r="G32" s="150">
        <v>6</v>
      </c>
      <c r="H32" s="151">
        <v>5</v>
      </c>
      <c r="I32" s="152"/>
      <c r="J32" s="152">
        <v>5</v>
      </c>
      <c r="K32" s="150">
        <v>4</v>
      </c>
      <c r="L32" s="151">
        <v>3</v>
      </c>
      <c r="M32" s="150">
        <v>3</v>
      </c>
      <c r="N32" s="151">
        <v>3</v>
      </c>
      <c r="O32" s="150">
        <v>2</v>
      </c>
      <c r="P32" s="151">
        <v>3</v>
      </c>
      <c r="Q32" s="150">
        <v>1</v>
      </c>
      <c r="R32" s="151">
        <v>1</v>
      </c>
      <c r="S32" s="150">
        <v>1</v>
      </c>
      <c r="T32" s="151">
        <v>1</v>
      </c>
      <c r="V32" s="139">
        <f t="shared" si="6"/>
        <v>7.5</v>
      </c>
      <c r="W32" s="139">
        <f t="shared" si="0"/>
        <v>5.5</v>
      </c>
      <c r="X32" s="139">
        <f>AVERAGE(I32:J32)</f>
        <v>5</v>
      </c>
      <c r="Y32" s="139">
        <f t="shared" si="1"/>
        <v>3.5</v>
      </c>
      <c r="Z32" s="139">
        <f t="shared" si="2"/>
        <v>3</v>
      </c>
      <c r="AA32" s="139">
        <f t="shared" si="3"/>
        <v>2.5</v>
      </c>
      <c r="AB32" s="139">
        <f t="shared" si="4"/>
        <v>1</v>
      </c>
      <c r="AC32" s="139">
        <f t="shared" si="5"/>
        <v>1</v>
      </c>
    </row>
    <row r="33" spans="2:29" s="139" customFormat="1" ht="34.9" customHeight="1" thickBot="1" x14ac:dyDescent="0.3">
      <c r="B33" s="19"/>
      <c r="C33" s="19"/>
      <c r="D33" s="22" t="s">
        <v>16</v>
      </c>
      <c r="E33" s="152">
        <v>8</v>
      </c>
      <c r="F33" s="152">
        <v>6</v>
      </c>
      <c r="G33" s="150">
        <v>6</v>
      </c>
      <c r="H33" s="151">
        <v>6</v>
      </c>
      <c r="I33" s="152"/>
      <c r="J33" s="152"/>
      <c r="K33" s="150">
        <v>5</v>
      </c>
      <c r="L33" s="151">
        <v>3</v>
      </c>
      <c r="M33" s="150">
        <v>3</v>
      </c>
      <c r="N33" s="151">
        <v>2</v>
      </c>
      <c r="O33" s="150">
        <v>2</v>
      </c>
      <c r="P33" s="151">
        <v>3</v>
      </c>
      <c r="Q33" s="150">
        <v>2</v>
      </c>
      <c r="R33" s="151">
        <v>2</v>
      </c>
      <c r="S33" s="150">
        <v>2</v>
      </c>
      <c r="T33" s="151">
        <v>2</v>
      </c>
      <c r="V33" s="139">
        <f t="shared" si="6"/>
        <v>7</v>
      </c>
      <c r="W33" s="139">
        <f t="shared" si="0"/>
        <v>6</v>
      </c>
      <c r="Y33" s="139">
        <f t="shared" si="1"/>
        <v>4</v>
      </c>
      <c r="Z33" s="139">
        <f t="shared" si="2"/>
        <v>2.5</v>
      </c>
      <c r="AA33" s="139">
        <f t="shared" si="3"/>
        <v>2.5</v>
      </c>
      <c r="AB33" s="139">
        <f t="shared" si="4"/>
        <v>2</v>
      </c>
      <c r="AC33" s="139">
        <f t="shared" si="5"/>
        <v>2</v>
      </c>
    </row>
    <row r="34" spans="2:29" s="139" customFormat="1" ht="34.9" customHeight="1" thickBot="1" x14ac:dyDescent="0.3">
      <c r="B34" s="20" t="s">
        <v>3</v>
      </c>
      <c r="C34" s="20" t="s">
        <v>53</v>
      </c>
      <c r="D34" s="21" t="s">
        <v>13</v>
      </c>
      <c r="E34" s="152">
        <v>8</v>
      </c>
      <c r="F34" s="152">
        <v>8</v>
      </c>
      <c r="G34" s="150">
        <v>5</v>
      </c>
      <c r="H34" s="151">
        <v>5</v>
      </c>
      <c r="I34" s="152">
        <v>5</v>
      </c>
      <c r="J34" s="152">
        <v>5</v>
      </c>
      <c r="K34" s="150">
        <v>5</v>
      </c>
      <c r="L34" s="151">
        <v>6</v>
      </c>
      <c r="M34" s="150">
        <v>6</v>
      </c>
      <c r="N34" s="151">
        <v>5</v>
      </c>
      <c r="O34" s="150">
        <v>4</v>
      </c>
      <c r="P34" s="151">
        <v>5</v>
      </c>
      <c r="Q34" s="150">
        <v>5</v>
      </c>
      <c r="R34" s="151">
        <v>3</v>
      </c>
      <c r="S34" s="150">
        <v>3</v>
      </c>
      <c r="T34" s="151">
        <v>3</v>
      </c>
      <c r="V34" s="139">
        <f t="shared" si="6"/>
        <v>8</v>
      </c>
      <c r="W34" s="139">
        <f t="shared" si="0"/>
        <v>5</v>
      </c>
      <c r="X34" s="139">
        <f>AVERAGE(I34:J34)</f>
        <v>5</v>
      </c>
      <c r="Y34" s="139">
        <f t="shared" si="1"/>
        <v>5.5</v>
      </c>
      <c r="Z34" s="139">
        <f t="shared" si="2"/>
        <v>5.5</v>
      </c>
      <c r="AA34" s="139">
        <f t="shared" si="3"/>
        <v>4.5</v>
      </c>
      <c r="AB34" s="139">
        <f t="shared" si="4"/>
        <v>4</v>
      </c>
      <c r="AC34" s="139">
        <f t="shared" si="5"/>
        <v>3</v>
      </c>
    </row>
    <row r="35" spans="2:29" s="139" customFormat="1" ht="34.9" customHeight="1" thickBot="1" x14ac:dyDescent="0.3">
      <c r="B35" s="19"/>
      <c r="C35" s="19" t="s">
        <v>7</v>
      </c>
      <c r="D35" s="22" t="s">
        <v>26</v>
      </c>
      <c r="E35" s="152">
        <v>8</v>
      </c>
      <c r="F35" s="152">
        <v>8</v>
      </c>
      <c r="G35" s="150">
        <v>7</v>
      </c>
      <c r="H35" s="151">
        <v>7</v>
      </c>
      <c r="I35" s="152">
        <v>7</v>
      </c>
      <c r="J35" s="152">
        <v>6</v>
      </c>
      <c r="K35" s="150">
        <v>6</v>
      </c>
      <c r="L35" s="151">
        <v>6</v>
      </c>
      <c r="M35" s="150">
        <v>4</v>
      </c>
      <c r="N35" s="151">
        <v>6</v>
      </c>
      <c r="O35" s="150">
        <v>5</v>
      </c>
      <c r="P35" s="151">
        <v>4</v>
      </c>
      <c r="Q35" s="150">
        <v>3</v>
      </c>
      <c r="R35" s="151">
        <v>3</v>
      </c>
      <c r="S35" s="150">
        <v>3</v>
      </c>
      <c r="T35" s="151">
        <v>2</v>
      </c>
      <c r="V35" s="139">
        <f t="shared" si="6"/>
        <v>8</v>
      </c>
      <c r="W35" s="139">
        <f t="shared" si="0"/>
        <v>7</v>
      </c>
      <c r="X35" s="139">
        <f>AVERAGE(I35:J35)</f>
        <v>6.5</v>
      </c>
      <c r="Y35" s="139">
        <f t="shared" si="1"/>
        <v>6</v>
      </c>
      <c r="Z35" s="139">
        <f t="shared" si="2"/>
        <v>5</v>
      </c>
      <c r="AA35" s="139">
        <f t="shared" si="3"/>
        <v>4.5</v>
      </c>
      <c r="AB35" s="139">
        <f t="shared" si="4"/>
        <v>3</v>
      </c>
      <c r="AC35" s="139">
        <f t="shared" si="5"/>
        <v>2.5</v>
      </c>
    </row>
    <row r="36" spans="2:29" s="139" customFormat="1" ht="34.9" customHeight="1" thickBot="1" x14ac:dyDescent="0.3">
      <c r="B36" s="19"/>
      <c r="C36" s="19"/>
      <c r="D36" s="22" t="s">
        <v>14</v>
      </c>
      <c r="E36" s="152">
        <v>7</v>
      </c>
      <c r="F36" s="152"/>
      <c r="G36" s="150">
        <v>5</v>
      </c>
      <c r="H36" s="151">
        <v>5</v>
      </c>
      <c r="I36" s="152">
        <v>7</v>
      </c>
      <c r="J36" s="152">
        <v>6</v>
      </c>
      <c r="K36" s="150">
        <v>4</v>
      </c>
      <c r="L36" s="151">
        <v>4</v>
      </c>
      <c r="M36" s="150">
        <v>5</v>
      </c>
      <c r="N36" s="151">
        <v>4</v>
      </c>
      <c r="O36" s="150">
        <v>5</v>
      </c>
      <c r="P36" s="151">
        <v>5</v>
      </c>
      <c r="Q36" s="150">
        <v>4</v>
      </c>
      <c r="R36" s="151">
        <v>5</v>
      </c>
      <c r="S36" s="150">
        <v>4</v>
      </c>
      <c r="T36" s="151">
        <v>3</v>
      </c>
      <c r="V36" s="139">
        <f t="shared" si="6"/>
        <v>7</v>
      </c>
      <c r="W36" s="139">
        <f t="shared" si="0"/>
        <v>5</v>
      </c>
      <c r="X36" s="139">
        <f>AVERAGE(I36:J36)</f>
        <v>6.5</v>
      </c>
      <c r="Y36" s="139">
        <f t="shared" si="1"/>
        <v>4</v>
      </c>
      <c r="Z36" s="139">
        <f t="shared" si="2"/>
        <v>4.5</v>
      </c>
      <c r="AA36" s="139">
        <f t="shared" si="3"/>
        <v>5</v>
      </c>
      <c r="AB36" s="139">
        <f t="shared" si="4"/>
        <v>4.5</v>
      </c>
      <c r="AC36" s="139">
        <f t="shared" si="5"/>
        <v>3.5</v>
      </c>
    </row>
    <row r="37" spans="2:29" s="139" customFormat="1" ht="34.9" customHeight="1" thickBot="1" x14ac:dyDescent="0.3">
      <c r="B37" s="19"/>
      <c r="C37" s="19"/>
      <c r="D37" s="22" t="s">
        <v>15</v>
      </c>
      <c r="E37" s="152">
        <v>7</v>
      </c>
      <c r="F37" s="152"/>
      <c r="G37" s="150">
        <v>7</v>
      </c>
      <c r="H37" s="151">
        <v>7</v>
      </c>
      <c r="I37" s="152">
        <v>6</v>
      </c>
      <c r="J37" s="152">
        <v>5</v>
      </c>
      <c r="K37" s="150">
        <v>6</v>
      </c>
      <c r="L37" s="151">
        <v>5</v>
      </c>
      <c r="M37" s="150">
        <v>4</v>
      </c>
      <c r="N37" s="151">
        <v>5</v>
      </c>
      <c r="O37" s="150">
        <v>5</v>
      </c>
      <c r="P37" s="151">
        <v>5</v>
      </c>
      <c r="Q37" s="150">
        <v>3</v>
      </c>
      <c r="R37" s="151">
        <v>3</v>
      </c>
      <c r="S37" s="150">
        <v>2</v>
      </c>
      <c r="T37" s="151">
        <v>2</v>
      </c>
      <c r="V37" s="139">
        <f t="shared" si="6"/>
        <v>7</v>
      </c>
      <c r="W37" s="139">
        <f t="shared" si="0"/>
        <v>7</v>
      </c>
      <c r="X37" s="139">
        <f>AVERAGE(I37:J37)</f>
        <v>5.5</v>
      </c>
      <c r="Y37" s="139">
        <f t="shared" si="1"/>
        <v>5.5</v>
      </c>
      <c r="Z37" s="139">
        <f t="shared" si="2"/>
        <v>4.5</v>
      </c>
      <c r="AA37" s="139">
        <f t="shared" si="3"/>
        <v>5</v>
      </c>
      <c r="AB37" s="139">
        <f t="shared" si="4"/>
        <v>3</v>
      </c>
      <c r="AC37" s="139">
        <f t="shared" si="5"/>
        <v>2</v>
      </c>
    </row>
    <row r="38" spans="2:29" s="139" customFormat="1" ht="34.9" customHeight="1" thickBot="1" x14ac:dyDescent="0.3">
      <c r="B38" s="19"/>
      <c r="C38" s="19"/>
      <c r="D38" s="22" t="s">
        <v>16</v>
      </c>
      <c r="E38" s="152"/>
      <c r="F38" s="152"/>
      <c r="G38" s="150">
        <v>4</v>
      </c>
      <c r="H38" s="151">
        <v>5</v>
      </c>
      <c r="I38" s="152">
        <v>5</v>
      </c>
      <c r="J38" s="152">
        <v>6</v>
      </c>
      <c r="K38" s="150">
        <v>4</v>
      </c>
      <c r="L38" s="151">
        <v>5</v>
      </c>
      <c r="M38" s="150">
        <v>5</v>
      </c>
      <c r="N38" s="151">
        <v>5</v>
      </c>
      <c r="O38" s="150">
        <v>4</v>
      </c>
      <c r="P38" s="151">
        <v>5</v>
      </c>
      <c r="Q38" s="150">
        <v>4</v>
      </c>
      <c r="R38" s="151">
        <v>3</v>
      </c>
      <c r="S38" s="150">
        <v>1</v>
      </c>
      <c r="T38" s="151">
        <v>2</v>
      </c>
      <c r="W38" s="139">
        <f t="shared" si="0"/>
        <v>4.5</v>
      </c>
      <c r="X38" s="139">
        <f>AVERAGE(I38:J38)</f>
        <v>5.5</v>
      </c>
      <c r="Y38" s="139">
        <f t="shared" si="1"/>
        <v>4.5</v>
      </c>
      <c r="Z38" s="139">
        <f t="shared" si="2"/>
        <v>5</v>
      </c>
      <c r="AA38" s="139">
        <f t="shared" si="3"/>
        <v>4.5</v>
      </c>
      <c r="AB38" s="139">
        <f t="shared" si="4"/>
        <v>3.5</v>
      </c>
      <c r="AC38" s="139">
        <f t="shared" si="5"/>
        <v>1.5</v>
      </c>
    </row>
    <row r="39" spans="2:29" s="139" customFormat="1" ht="34.9" customHeight="1" thickBot="1" x14ac:dyDescent="0.3">
      <c r="B39" s="23" t="s">
        <v>3</v>
      </c>
      <c r="C39" s="23" t="s">
        <v>54</v>
      </c>
      <c r="D39" s="27" t="s">
        <v>13</v>
      </c>
      <c r="E39" s="152"/>
      <c r="F39" s="152"/>
      <c r="G39" s="150">
        <v>7</v>
      </c>
      <c r="H39" s="151">
        <v>6</v>
      </c>
      <c r="I39" s="152"/>
      <c r="J39" s="152"/>
      <c r="K39" s="150">
        <v>5</v>
      </c>
      <c r="L39" s="151">
        <v>6</v>
      </c>
      <c r="M39" s="150">
        <v>5</v>
      </c>
      <c r="N39" s="151">
        <v>4</v>
      </c>
      <c r="O39" s="150">
        <v>3</v>
      </c>
      <c r="P39" s="151">
        <v>4</v>
      </c>
      <c r="Q39" s="150">
        <v>4</v>
      </c>
      <c r="R39" s="151">
        <v>3</v>
      </c>
      <c r="S39" s="150">
        <v>3</v>
      </c>
      <c r="T39" s="151">
        <v>2</v>
      </c>
      <c r="W39" s="139">
        <f t="shared" si="0"/>
        <v>6.5</v>
      </c>
      <c r="Y39" s="139">
        <f t="shared" si="1"/>
        <v>5.5</v>
      </c>
      <c r="Z39" s="139">
        <f t="shared" si="2"/>
        <v>4.5</v>
      </c>
      <c r="AA39" s="139">
        <f t="shared" si="3"/>
        <v>3.5</v>
      </c>
      <c r="AB39" s="139">
        <f t="shared" si="4"/>
        <v>3.5</v>
      </c>
      <c r="AC39" s="139">
        <f t="shared" si="5"/>
        <v>2.5</v>
      </c>
    </row>
    <row r="40" spans="2:29" s="139" customFormat="1" ht="34.9" customHeight="1" thickBot="1" x14ac:dyDescent="0.3">
      <c r="B40" s="25"/>
      <c r="C40" s="25" t="s">
        <v>8</v>
      </c>
      <c r="D40" s="28" t="s">
        <v>26</v>
      </c>
      <c r="E40" s="152"/>
      <c r="F40" s="152"/>
      <c r="G40" s="150">
        <v>7</v>
      </c>
      <c r="H40" s="151">
        <v>6</v>
      </c>
      <c r="I40" s="152"/>
      <c r="J40" s="152"/>
      <c r="K40" s="150">
        <v>6</v>
      </c>
      <c r="L40" s="151">
        <v>6</v>
      </c>
      <c r="M40" s="150">
        <v>5</v>
      </c>
      <c r="N40" s="151">
        <v>4</v>
      </c>
      <c r="O40" s="150">
        <v>5</v>
      </c>
      <c r="P40" s="151">
        <v>4</v>
      </c>
      <c r="Q40" s="150">
        <v>3</v>
      </c>
      <c r="R40" s="151">
        <v>3</v>
      </c>
      <c r="S40" s="150">
        <v>2</v>
      </c>
      <c r="T40" s="151">
        <v>2</v>
      </c>
      <c r="W40" s="139">
        <f t="shared" si="0"/>
        <v>6.5</v>
      </c>
      <c r="Y40" s="139">
        <f t="shared" si="1"/>
        <v>6</v>
      </c>
      <c r="Z40" s="139">
        <f t="shared" si="2"/>
        <v>4.5</v>
      </c>
      <c r="AA40" s="139">
        <f t="shared" si="3"/>
        <v>4.5</v>
      </c>
      <c r="AB40" s="139">
        <f t="shared" si="4"/>
        <v>3</v>
      </c>
      <c r="AC40" s="139">
        <f t="shared" si="5"/>
        <v>2</v>
      </c>
    </row>
    <row r="41" spans="2:29" s="139" customFormat="1" ht="34.9" customHeight="1" thickBot="1" x14ac:dyDescent="0.3">
      <c r="B41" s="25"/>
      <c r="C41" s="25"/>
      <c r="D41" s="28" t="s">
        <v>14</v>
      </c>
      <c r="E41" s="152"/>
      <c r="F41" s="152"/>
      <c r="G41" s="150">
        <v>6</v>
      </c>
      <c r="H41" s="151">
        <v>6</v>
      </c>
      <c r="I41" s="152"/>
      <c r="J41" s="152"/>
      <c r="K41" s="150">
        <v>5</v>
      </c>
      <c r="L41" s="151">
        <v>5</v>
      </c>
      <c r="M41" s="150">
        <v>3</v>
      </c>
      <c r="N41" s="151">
        <v>5</v>
      </c>
      <c r="O41" s="150">
        <v>5</v>
      </c>
      <c r="P41" s="151">
        <v>4</v>
      </c>
      <c r="Q41" s="150">
        <v>5</v>
      </c>
      <c r="R41" s="151">
        <v>3</v>
      </c>
      <c r="S41" s="150">
        <v>3</v>
      </c>
      <c r="T41" s="151">
        <v>2</v>
      </c>
      <c r="W41" s="139">
        <f t="shared" ref="W41:W58" si="7">AVERAGE(G41:H41)</f>
        <v>6</v>
      </c>
      <c r="Y41" s="139">
        <f t="shared" ref="Y41:Y58" si="8">AVERAGE(K41:L41)</f>
        <v>5</v>
      </c>
      <c r="Z41" s="139">
        <f t="shared" ref="Z41:Z58" si="9">AVERAGE(M41:N41)</f>
        <v>4</v>
      </c>
      <c r="AA41" s="139">
        <f t="shared" ref="AA41:AA58" si="10">AVERAGE(O41:P41)</f>
        <v>4.5</v>
      </c>
      <c r="AB41" s="139">
        <f t="shared" ref="AB41:AB58" si="11">AVERAGE(Q41:R41)</f>
        <v>4</v>
      </c>
      <c r="AC41" s="139">
        <f t="shared" ref="AC41:AC58" si="12">AVERAGE(S41:T41)</f>
        <v>2.5</v>
      </c>
    </row>
    <row r="42" spans="2:29" s="139" customFormat="1" ht="34.9" customHeight="1" thickBot="1" x14ac:dyDescent="0.3">
      <c r="B42" s="25"/>
      <c r="C42" s="25"/>
      <c r="D42" s="28" t="s">
        <v>15</v>
      </c>
      <c r="E42" s="152"/>
      <c r="F42" s="152"/>
      <c r="G42" s="150">
        <v>6</v>
      </c>
      <c r="H42" s="151">
        <v>6</v>
      </c>
      <c r="I42" s="152"/>
      <c r="J42" s="152"/>
      <c r="K42" s="150">
        <v>5</v>
      </c>
      <c r="L42" s="151">
        <v>5</v>
      </c>
      <c r="M42" s="150">
        <v>4</v>
      </c>
      <c r="N42" s="151">
        <v>5</v>
      </c>
      <c r="O42" s="150">
        <v>4</v>
      </c>
      <c r="P42" s="151">
        <v>4</v>
      </c>
      <c r="Q42" s="150">
        <v>3</v>
      </c>
      <c r="R42" s="151">
        <v>3</v>
      </c>
      <c r="S42" s="150">
        <v>2</v>
      </c>
      <c r="T42" s="151">
        <v>3</v>
      </c>
      <c r="W42" s="139">
        <f t="shared" si="7"/>
        <v>6</v>
      </c>
      <c r="Y42" s="139">
        <f t="shared" si="8"/>
        <v>5</v>
      </c>
      <c r="Z42" s="139">
        <f t="shared" si="9"/>
        <v>4.5</v>
      </c>
      <c r="AA42" s="139">
        <f t="shared" si="10"/>
        <v>4</v>
      </c>
      <c r="AB42" s="139">
        <f t="shared" si="11"/>
        <v>3</v>
      </c>
      <c r="AC42" s="139">
        <f t="shared" si="12"/>
        <v>2.5</v>
      </c>
    </row>
    <row r="43" spans="2:29" s="139" customFormat="1" ht="34.9" customHeight="1" thickBot="1" x14ac:dyDescent="0.3">
      <c r="B43" s="25"/>
      <c r="C43" s="25"/>
      <c r="D43" s="28" t="s">
        <v>16</v>
      </c>
      <c r="E43" s="152"/>
      <c r="F43" s="152"/>
      <c r="G43" s="150">
        <v>4</v>
      </c>
      <c r="H43" s="151">
        <v>5</v>
      </c>
      <c r="I43" s="152"/>
      <c r="J43" s="152"/>
      <c r="K43" s="150">
        <v>4</v>
      </c>
      <c r="L43" s="151">
        <v>3</v>
      </c>
      <c r="M43" s="150">
        <v>4</v>
      </c>
      <c r="N43" s="151">
        <v>4</v>
      </c>
      <c r="O43" s="150">
        <v>4</v>
      </c>
      <c r="P43" s="151">
        <v>5</v>
      </c>
      <c r="Q43" s="150">
        <v>4</v>
      </c>
      <c r="R43" s="151">
        <v>4</v>
      </c>
      <c r="S43" s="150">
        <v>2</v>
      </c>
      <c r="T43" s="151">
        <v>2</v>
      </c>
      <c r="W43" s="139">
        <f t="shared" si="7"/>
        <v>4.5</v>
      </c>
      <c r="Y43" s="139">
        <f t="shared" si="8"/>
        <v>3.5</v>
      </c>
      <c r="Z43" s="139">
        <f t="shared" si="9"/>
        <v>4</v>
      </c>
      <c r="AA43" s="139">
        <f t="shared" si="10"/>
        <v>4.5</v>
      </c>
      <c r="AB43" s="139">
        <f t="shared" si="11"/>
        <v>4</v>
      </c>
      <c r="AC43" s="139">
        <f t="shared" si="12"/>
        <v>2</v>
      </c>
    </row>
    <row r="44" spans="2:29" s="139" customFormat="1" ht="34.9" customHeight="1" thickBot="1" x14ac:dyDescent="0.3">
      <c r="B44" s="23" t="s">
        <v>4</v>
      </c>
      <c r="C44" s="23" t="s">
        <v>55</v>
      </c>
      <c r="D44" s="27" t="s">
        <v>13</v>
      </c>
      <c r="E44" s="152"/>
      <c r="F44" s="152"/>
      <c r="G44" s="150">
        <v>6</v>
      </c>
      <c r="H44" s="151">
        <v>7</v>
      </c>
      <c r="I44" s="152"/>
      <c r="J44" s="152"/>
      <c r="K44" s="150">
        <v>5</v>
      </c>
      <c r="L44" s="151">
        <v>5</v>
      </c>
      <c r="M44" s="150">
        <v>3</v>
      </c>
      <c r="N44" s="151">
        <v>4</v>
      </c>
      <c r="O44" s="150">
        <v>4</v>
      </c>
      <c r="P44" s="151">
        <v>5</v>
      </c>
      <c r="Q44" s="150">
        <v>3</v>
      </c>
      <c r="R44" s="151">
        <v>4</v>
      </c>
      <c r="S44" s="150">
        <v>3</v>
      </c>
      <c r="T44" s="151">
        <v>3</v>
      </c>
      <c r="W44" s="139">
        <f t="shared" si="7"/>
        <v>6.5</v>
      </c>
      <c r="Y44" s="139">
        <f t="shared" si="8"/>
        <v>5</v>
      </c>
      <c r="Z44" s="139">
        <f t="shared" si="9"/>
        <v>3.5</v>
      </c>
      <c r="AA44" s="139">
        <f t="shared" si="10"/>
        <v>4.5</v>
      </c>
      <c r="AB44" s="139">
        <f t="shared" si="11"/>
        <v>3.5</v>
      </c>
      <c r="AC44" s="139">
        <f t="shared" si="12"/>
        <v>3</v>
      </c>
    </row>
    <row r="45" spans="2:29" s="139" customFormat="1" ht="34.9" customHeight="1" thickBot="1" x14ac:dyDescent="0.3">
      <c r="B45" s="25"/>
      <c r="C45" s="25" t="s">
        <v>9</v>
      </c>
      <c r="D45" s="28" t="s">
        <v>26</v>
      </c>
      <c r="E45" s="152"/>
      <c r="F45" s="152"/>
      <c r="G45" s="150">
        <v>6</v>
      </c>
      <c r="H45" s="151">
        <v>7</v>
      </c>
      <c r="I45" s="152"/>
      <c r="J45" s="152"/>
      <c r="K45" s="150">
        <v>6</v>
      </c>
      <c r="L45" s="151">
        <v>5</v>
      </c>
      <c r="M45" s="150">
        <v>5</v>
      </c>
      <c r="N45" s="151">
        <v>4</v>
      </c>
      <c r="O45" s="150">
        <v>5</v>
      </c>
      <c r="P45" s="151">
        <v>4</v>
      </c>
      <c r="Q45" s="150">
        <v>3</v>
      </c>
      <c r="R45" s="151">
        <v>3</v>
      </c>
      <c r="S45" s="150">
        <v>4</v>
      </c>
      <c r="T45" s="151">
        <v>2</v>
      </c>
      <c r="W45" s="139">
        <f t="shared" si="7"/>
        <v>6.5</v>
      </c>
      <c r="Y45" s="139">
        <f t="shared" si="8"/>
        <v>5.5</v>
      </c>
      <c r="Z45" s="139">
        <f t="shared" si="9"/>
        <v>4.5</v>
      </c>
      <c r="AA45" s="139">
        <f t="shared" si="10"/>
        <v>4.5</v>
      </c>
      <c r="AB45" s="139">
        <f t="shared" si="11"/>
        <v>3</v>
      </c>
      <c r="AC45" s="139">
        <f t="shared" si="12"/>
        <v>3</v>
      </c>
    </row>
    <row r="46" spans="2:29" s="139" customFormat="1" ht="34.9" customHeight="1" thickBot="1" x14ac:dyDescent="0.3">
      <c r="B46" s="25"/>
      <c r="C46" s="25"/>
      <c r="D46" s="28" t="s">
        <v>14</v>
      </c>
      <c r="E46" s="152"/>
      <c r="F46" s="152"/>
      <c r="G46" s="150">
        <v>6</v>
      </c>
      <c r="H46" s="151">
        <v>6</v>
      </c>
      <c r="I46" s="152"/>
      <c r="J46" s="152"/>
      <c r="K46" s="150">
        <v>5</v>
      </c>
      <c r="L46" s="151">
        <v>4</v>
      </c>
      <c r="M46" s="150">
        <v>5</v>
      </c>
      <c r="N46" s="151">
        <v>5</v>
      </c>
      <c r="O46" s="150">
        <v>4</v>
      </c>
      <c r="P46" s="151">
        <v>5</v>
      </c>
      <c r="Q46" s="150">
        <v>5</v>
      </c>
      <c r="R46" s="151">
        <v>3</v>
      </c>
      <c r="S46" s="150">
        <v>4</v>
      </c>
      <c r="T46" s="151">
        <v>2</v>
      </c>
      <c r="W46" s="139">
        <f t="shared" si="7"/>
        <v>6</v>
      </c>
      <c r="Y46" s="139">
        <f t="shared" si="8"/>
        <v>4.5</v>
      </c>
      <c r="Z46" s="139">
        <f t="shared" si="9"/>
        <v>5</v>
      </c>
      <c r="AA46" s="139">
        <f t="shared" si="10"/>
        <v>4.5</v>
      </c>
      <c r="AB46" s="139">
        <f t="shared" si="11"/>
        <v>4</v>
      </c>
      <c r="AC46" s="139">
        <f t="shared" si="12"/>
        <v>3</v>
      </c>
    </row>
    <row r="47" spans="2:29" s="139" customFormat="1" ht="34.9" customHeight="1" thickBot="1" x14ac:dyDescent="0.3">
      <c r="B47" s="25"/>
      <c r="C47" s="25"/>
      <c r="D47" s="28" t="s">
        <v>15</v>
      </c>
      <c r="E47" s="152"/>
      <c r="F47" s="152"/>
      <c r="G47" s="150">
        <v>6</v>
      </c>
      <c r="H47" s="151">
        <v>6</v>
      </c>
      <c r="I47" s="152"/>
      <c r="J47" s="152"/>
      <c r="K47" s="150">
        <v>6</v>
      </c>
      <c r="L47" s="151">
        <v>5</v>
      </c>
      <c r="M47" s="150">
        <v>4</v>
      </c>
      <c r="N47" s="151">
        <v>4</v>
      </c>
      <c r="O47" s="150">
        <v>5</v>
      </c>
      <c r="P47" s="151">
        <v>4</v>
      </c>
      <c r="Q47" s="150">
        <v>4</v>
      </c>
      <c r="R47" s="151">
        <v>3</v>
      </c>
      <c r="S47" s="150">
        <v>2</v>
      </c>
      <c r="T47" s="151">
        <v>2</v>
      </c>
      <c r="W47" s="139">
        <f t="shared" si="7"/>
        <v>6</v>
      </c>
      <c r="Y47" s="139">
        <f t="shared" si="8"/>
        <v>5.5</v>
      </c>
      <c r="Z47" s="139">
        <f t="shared" si="9"/>
        <v>4</v>
      </c>
      <c r="AA47" s="139">
        <f t="shared" si="10"/>
        <v>4.5</v>
      </c>
      <c r="AB47" s="139">
        <f t="shared" si="11"/>
        <v>3.5</v>
      </c>
      <c r="AC47" s="139">
        <f t="shared" si="12"/>
        <v>2</v>
      </c>
    </row>
    <row r="48" spans="2:29" s="139" customFormat="1" ht="34.9" customHeight="1" thickBot="1" x14ac:dyDescent="0.3">
      <c r="B48" s="25"/>
      <c r="C48" s="25"/>
      <c r="D48" s="28" t="s">
        <v>16</v>
      </c>
      <c r="E48" s="152"/>
      <c r="F48" s="152"/>
      <c r="G48" s="150">
        <v>6</v>
      </c>
      <c r="H48" s="151">
        <v>5</v>
      </c>
      <c r="I48" s="152"/>
      <c r="J48" s="152"/>
      <c r="K48" s="150">
        <v>3</v>
      </c>
      <c r="L48" s="151">
        <v>4</v>
      </c>
      <c r="M48" s="150">
        <v>4</v>
      </c>
      <c r="N48" s="151">
        <v>4</v>
      </c>
      <c r="O48" s="150">
        <v>4</v>
      </c>
      <c r="P48" s="151">
        <v>3</v>
      </c>
      <c r="Q48" s="150">
        <v>2</v>
      </c>
      <c r="R48" s="151">
        <v>4</v>
      </c>
      <c r="S48" s="150">
        <v>3</v>
      </c>
      <c r="T48" s="151">
        <v>2</v>
      </c>
      <c r="W48" s="139">
        <f t="shared" si="7"/>
        <v>5.5</v>
      </c>
      <c r="Y48" s="139">
        <f t="shared" si="8"/>
        <v>3.5</v>
      </c>
      <c r="Z48" s="139">
        <f t="shared" si="9"/>
        <v>4</v>
      </c>
      <c r="AA48" s="139">
        <f t="shared" si="10"/>
        <v>3.5</v>
      </c>
      <c r="AB48" s="139">
        <f t="shared" si="11"/>
        <v>3</v>
      </c>
      <c r="AC48" s="139">
        <f t="shared" si="12"/>
        <v>2.5</v>
      </c>
    </row>
    <row r="49" spans="2:29" s="139" customFormat="1" ht="34.9" customHeight="1" thickBot="1" x14ac:dyDescent="0.3">
      <c r="B49" s="20" t="s">
        <v>4</v>
      </c>
      <c r="C49" s="20" t="s">
        <v>56</v>
      </c>
      <c r="D49" s="21" t="s">
        <v>13</v>
      </c>
      <c r="E49" s="152">
        <v>7</v>
      </c>
      <c r="F49" s="152">
        <v>6</v>
      </c>
      <c r="G49" s="150">
        <v>6</v>
      </c>
      <c r="H49" s="151">
        <v>6</v>
      </c>
      <c r="I49" s="152">
        <v>3</v>
      </c>
      <c r="J49" s="152">
        <v>5</v>
      </c>
      <c r="K49" s="150">
        <v>4</v>
      </c>
      <c r="L49" s="151">
        <v>5</v>
      </c>
      <c r="M49" s="150">
        <v>4</v>
      </c>
      <c r="N49" s="151">
        <v>4</v>
      </c>
      <c r="O49" s="150">
        <v>3</v>
      </c>
      <c r="P49" s="151">
        <v>3</v>
      </c>
      <c r="Q49" s="150">
        <v>3</v>
      </c>
      <c r="R49" s="151">
        <v>3</v>
      </c>
      <c r="S49" s="150">
        <v>2</v>
      </c>
      <c r="T49" s="151">
        <v>1</v>
      </c>
      <c r="V49" s="139">
        <f t="shared" ref="V49:V58" si="13">AVERAGE(E49:F49)</f>
        <v>6.5</v>
      </c>
      <c r="W49" s="139">
        <f t="shared" si="7"/>
        <v>6</v>
      </c>
      <c r="X49" s="139">
        <f>AVERAGE(I49:J49)</f>
        <v>4</v>
      </c>
      <c r="Y49" s="139">
        <f t="shared" si="8"/>
        <v>4.5</v>
      </c>
      <c r="Z49" s="139">
        <f t="shared" si="9"/>
        <v>4</v>
      </c>
      <c r="AA49" s="139">
        <f t="shared" si="10"/>
        <v>3</v>
      </c>
      <c r="AB49" s="139">
        <f t="shared" si="11"/>
        <v>3</v>
      </c>
      <c r="AC49" s="139">
        <f t="shared" si="12"/>
        <v>1.5</v>
      </c>
    </row>
    <row r="50" spans="2:29" s="139" customFormat="1" ht="34.9" customHeight="1" thickBot="1" x14ac:dyDescent="0.3">
      <c r="B50" s="19"/>
      <c r="C50" s="19" t="s">
        <v>6</v>
      </c>
      <c r="D50" s="22" t="s">
        <v>26</v>
      </c>
      <c r="E50" s="152">
        <v>7</v>
      </c>
      <c r="F50" s="152">
        <v>7</v>
      </c>
      <c r="G50" s="150">
        <v>6</v>
      </c>
      <c r="H50" s="151">
        <v>6</v>
      </c>
      <c r="I50" s="152">
        <v>3</v>
      </c>
      <c r="J50" s="152">
        <v>4</v>
      </c>
      <c r="K50" s="150">
        <v>4</v>
      </c>
      <c r="L50" s="151">
        <v>4</v>
      </c>
      <c r="M50" s="150">
        <v>4</v>
      </c>
      <c r="N50" s="151">
        <v>4</v>
      </c>
      <c r="O50" s="150">
        <v>3</v>
      </c>
      <c r="P50" s="151">
        <v>4</v>
      </c>
      <c r="Q50" s="150">
        <v>2</v>
      </c>
      <c r="R50" s="151">
        <v>3</v>
      </c>
      <c r="S50" s="150">
        <v>2</v>
      </c>
      <c r="T50" s="151">
        <v>2</v>
      </c>
      <c r="V50" s="139">
        <f t="shared" si="13"/>
        <v>7</v>
      </c>
      <c r="W50" s="139">
        <f t="shared" si="7"/>
        <v>6</v>
      </c>
      <c r="X50" s="139">
        <f>AVERAGE(I50:J50)</f>
        <v>3.5</v>
      </c>
      <c r="Y50" s="139">
        <f t="shared" si="8"/>
        <v>4</v>
      </c>
      <c r="Z50" s="139">
        <f t="shared" si="9"/>
        <v>4</v>
      </c>
      <c r="AA50" s="139">
        <f t="shared" si="10"/>
        <v>3.5</v>
      </c>
      <c r="AB50" s="139">
        <f t="shared" si="11"/>
        <v>2.5</v>
      </c>
      <c r="AC50" s="139">
        <f t="shared" si="12"/>
        <v>2</v>
      </c>
    </row>
    <row r="51" spans="2:29" s="139" customFormat="1" ht="34.9" customHeight="1" thickBot="1" x14ac:dyDescent="0.3">
      <c r="B51" s="19"/>
      <c r="C51" s="19"/>
      <c r="D51" s="22" t="s">
        <v>14</v>
      </c>
      <c r="E51" s="152">
        <v>6</v>
      </c>
      <c r="F51" s="152">
        <v>6</v>
      </c>
      <c r="G51" s="150">
        <v>7</v>
      </c>
      <c r="H51" s="151">
        <v>7</v>
      </c>
      <c r="I51" s="152"/>
      <c r="J51" s="152"/>
      <c r="K51" s="150">
        <v>5</v>
      </c>
      <c r="L51" s="151">
        <v>5</v>
      </c>
      <c r="M51" s="150">
        <v>4</v>
      </c>
      <c r="N51" s="151">
        <v>4</v>
      </c>
      <c r="O51" s="150">
        <v>5</v>
      </c>
      <c r="P51" s="151">
        <v>4</v>
      </c>
      <c r="Q51" s="150">
        <v>3</v>
      </c>
      <c r="R51" s="151">
        <v>4</v>
      </c>
      <c r="S51" s="150">
        <v>2</v>
      </c>
      <c r="T51" s="151">
        <v>2</v>
      </c>
      <c r="V51" s="139">
        <f t="shared" si="13"/>
        <v>6</v>
      </c>
      <c r="W51" s="139">
        <f t="shared" si="7"/>
        <v>7</v>
      </c>
      <c r="Y51" s="139">
        <f t="shared" si="8"/>
        <v>5</v>
      </c>
      <c r="Z51" s="139">
        <f t="shared" si="9"/>
        <v>4</v>
      </c>
      <c r="AA51" s="139">
        <f t="shared" si="10"/>
        <v>4.5</v>
      </c>
      <c r="AB51" s="139">
        <f t="shared" si="11"/>
        <v>3.5</v>
      </c>
      <c r="AC51" s="139">
        <f t="shared" si="12"/>
        <v>2</v>
      </c>
    </row>
    <row r="52" spans="2:29" s="139" customFormat="1" ht="34.9" customHeight="1" thickBot="1" x14ac:dyDescent="0.3">
      <c r="B52" s="19"/>
      <c r="C52" s="19"/>
      <c r="D52" s="22" t="s">
        <v>15</v>
      </c>
      <c r="E52" s="152">
        <v>8</v>
      </c>
      <c r="F52" s="152">
        <v>6</v>
      </c>
      <c r="G52" s="150">
        <v>6</v>
      </c>
      <c r="H52" s="151">
        <v>6</v>
      </c>
      <c r="I52" s="152"/>
      <c r="J52" s="152"/>
      <c r="K52" s="150">
        <v>5</v>
      </c>
      <c r="L52" s="151">
        <v>5</v>
      </c>
      <c r="M52" s="150">
        <v>4</v>
      </c>
      <c r="N52" s="151">
        <v>5</v>
      </c>
      <c r="O52" s="150">
        <v>5</v>
      </c>
      <c r="P52" s="151">
        <v>5</v>
      </c>
      <c r="Q52" s="150">
        <v>4</v>
      </c>
      <c r="R52" s="151">
        <v>3</v>
      </c>
      <c r="S52" s="150">
        <v>2</v>
      </c>
      <c r="T52" s="151">
        <v>3</v>
      </c>
      <c r="V52" s="139">
        <f t="shared" si="13"/>
        <v>7</v>
      </c>
      <c r="W52" s="139">
        <f t="shared" si="7"/>
        <v>6</v>
      </c>
      <c r="Y52" s="139">
        <f t="shared" si="8"/>
        <v>5</v>
      </c>
      <c r="Z52" s="139">
        <f t="shared" si="9"/>
        <v>4.5</v>
      </c>
      <c r="AA52" s="139">
        <f t="shared" si="10"/>
        <v>5</v>
      </c>
      <c r="AB52" s="139">
        <f t="shared" si="11"/>
        <v>3.5</v>
      </c>
      <c r="AC52" s="139">
        <f t="shared" si="12"/>
        <v>2.5</v>
      </c>
    </row>
    <row r="53" spans="2:29" s="139" customFormat="1" ht="34.9" customHeight="1" thickBot="1" x14ac:dyDescent="0.3">
      <c r="B53" s="19"/>
      <c r="C53" s="19"/>
      <c r="D53" s="22" t="s">
        <v>16</v>
      </c>
      <c r="E53" s="152">
        <v>7</v>
      </c>
      <c r="F53" s="152">
        <v>6</v>
      </c>
      <c r="G53" s="150">
        <v>5</v>
      </c>
      <c r="H53" s="151">
        <v>5</v>
      </c>
      <c r="I53" s="152"/>
      <c r="J53" s="152"/>
      <c r="K53" s="150">
        <v>4</v>
      </c>
      <c r="L53" s="151">
        <v>3</v>
      </c>
      <c r="M53" s="150">
        <v>4</v>
      </c>
      <c r="N53" s="151">
        <v>3</v>
      </c>
      <c r="O53" s="150">
        <v>5</v>
      </c>
      <c r="P53" s="151">
        <v>5</v>
      </c>
      <c r="Q53" s="150">
        <v>4</v>
      </c>
      <c r="R53" s="151">
        <v>4</v>
      </c>
      <c r="S53" s="150">
        <v>2</v>
      </c>
      <c r="T53" s="151">
        <v>1</v>
      </c>
      <c r="V53" s="139">
        <f t="shared" si="13"/>
        <v>6.5</v>
      </c>
      <c r="W53" s="139">
        <f t="shared" si="7"/>
        <v>5</v>
      </c>
      <c r="Y53" s="139">
        <f t="shared" si="8"/>
        <v>3.5</v>
      </c>
      <c r="Z53" s="139">
        <f t="shared" si="9"/>
        <v>3.5</v>
      </c>
      <c r="AA53" s="139">
        <f t="shared" si="10"/>
        <v>5</v>
      </c>
      <c r="AB53" s="139">
        <f t="shared" si="11"/>
        <v>4</v>
      </c>
      <c r="AC53" s="139">
        <f t="shared" si="12"/>
        <v>1.5</v>
      </c>
    </row>
    <row r="54" spans="2:29" s="139" customFormat="1" ht="34.9" customHeight="1" thickBot="1" x14ac:dyDescent="0.3">
      <c r="B54" s="20" t="s">
        <v>12</v>
      </c>
      <c r="C54" s="20" t="s">
        <v>57</v>
      </c>
      <c r="D54" s="21" t="s">
        <v>13</v>
      </c>
      <c r="E54" s="152">
        <v>8</v>
      </c>
      <c r="F54" s="152">
        <v>9</v>
      </c>
      <c r="G54" s="150">
        <v>7</v>
      </c>
      <c r="H54" s="151">
        <v>6</v>
      </c>
      <c r="I54" s="152">
        <v>5</v>
      </c>
      <c r="J54" s="152">
        <v>6</v>
      </c>
      <c r="K54" s="150">
        <v>4</v>
      </c>
      <c r="L54" s="151">
        <v>3</v>
      </c>
      <c r="M54" s="150">
        <v>3</v>
      </c>
      <c r="N54" s="151">
        <v>2</v>
      </c>
      <c r="O54" s="150">
        <v>2</v>
      </c>
      <c r="P54" s="151">
        <v>1</v>
      </c>
      <c r="Q54" s="150">
        <v>1</v>
      </c>
      <c r="R54" s="151">
        <v>1</v>
      </c>
      <c r="S54" s="150">
        <v>2</v>
      </c>
      <c r="T54" s="151">
        <v>1</v>
      </c>
      <c r="V54" s="139">
        <f t="shared" si="13"/>
        <v>8.5</v>
      </c>
      <c r="W54" s="139">
        <f t="shared" si="7"/>
        <v>6.5</v>
      </c>
      <c r="X54" s="139">
        <f>AVERAGE(I54:J54)</f>
        <v>5.5</v>
      </c>
      <c r="Y54" s="139">
        <f t="shared" si="8"/>
        <v>3.5</v>
      </c>
      <c r="Z54" s="139">
        <f t="shared" si="9"/>
        <v>2.5</v>
      </c>
      <c r="AA54" s="139">
        <f t="shared" si="10"/>
        <v>1.5</v>
      </c>
      <c r="AB54" s="139">
        <f t="shared" si="11"/>
        <v>1</v>
      </c>
      <c r="AC54" s="139">
        <f t="shared" si="12"/>
        <v>1.5</v>
      </c>
    </row>
    <row r="55" spans="2:29" s="139" customFormat="1" ht="34.9" customHeight="1" thickBot="1" x14ac:dyDescent="0.3">
      <c r="B55" s="19"/>
      <c r="C55" s="19" t="s">
        <v>5</v>
      </c>
      <c r="D55" s="22" t="s">
        <v>26</v>
      </c>
      <c r="E55" s="152">
        <v>7</v>
      </c>
      <c r="F55" s="152">
        <v>7</v>
      </c>
      <c r="G55" s="150">
        <v>7</v>
      </c>
      <c r="H55" s="151">
        <v>6</v>
      </c>
      <c r="I55" s="152"/>
      <c r="J55" s="152">
        <v>6</v>
      </c>
      <c r="K55" s="150">
        <v>4</v>
      </c>
      <c r="L55" s="151">
        <v>4</v>
      </c>
      <c r="M55" s="150">
        <v>3</v>
      </c>
      <c r="N55" s="151">
        <v>3</v>
      </c>
      <c r="O55" s="150">
        <v>2</v>
      </c>
      <c r="P55" s="151">
        <v>2</v>
      </c>
      <c r="Q55" s="150">
        <v>2</v>
      </c>
      <c r="R55" s="151">
        <v>3</v>
      </c>
      <c r="S55" s="150">
        <v>1</v>
      </c>
      <c r="T55" s="151">
        <v>2</v>
      </c>
      <c r="V55" s="139">
        <f t="shared" si="13"/>
        <v>7</v>
      </c>
      <c r="W55" s="139">
        <f t="shared" si="7"/>
        <v>6.5</v>
      </c>
      <c r="X55" s="139">
        <f>AVERAGE(I55:J55)</f>
        <v>6</v>
      </c>
      <c r="Y55" s="139">
        <f t="shared" si="8"/>
        <v>4</v>
      </c>
      <c r="Z55" s="139">
        <f t="shared" si="9"/>
        <v>3</v>
      </c>
      <c r="AA55" s="139">
        <f t="shared" si="10"/>
        <v>2</v>
      </c>
      <c r="AB55" s="139">
        <f t="shared" si="11"/>
        <v>2.5</v>
      </c>
      <c r="AC55" s="139">
        <f t="shared" si="12"/>
        <v>1.5</v>
      </c>
    </row>
    <row r="56" spans="2:29" s="139" customFormat="1" ht="34.9" customHeight="1" thickBot="1" x14ac:dyDescent="0.3">
      <c r="B56" s="19"/>
      <c r="C56" s="19"/>
      <c r="D56" s="22" t="s">
        <v>14</v>
      </c>
      <c r="E56" s="152">
        <v>9</v>
      </c>
      <c r="F56" s="152">
        <v>7</v>
      </c>
      <c r="G56" s="150">
        <v>7</v>
      </c>
      <c r="H56" s="151">
        <v>7</v>
      </c>
      <c r="I56" s="152"/>
      <c r="J56" s="152">
        <v>5</v>
      </c>
      <c r="K56" s="150">
        <v>4</v>
      </c>
      <c r="L56" s="151">
        <v>4</v>
      </c>
      <c r="M56" s="150">
        <v>3</v>
      </c>
      <c r="N56" s="151">
        <v>3</v>
      </c>
      <c r="O56" s="150">
        <v>2</v>
      </c>
      <c r="P56" s="151">
        <v>2</v>
      </c>
      <c r="Q56" s="150">
        <v>2</v>
      </c>
      <c r="R56" s="151">
        <v>1</v>
      </c>
      <c r="S56" s="150">
        <v>1</v>
      </c>
      <c r="T56" s="151">
        <v>1</v>
      </c>
      <c r="V56" s="139">
        <f t="shared" si="13"/>
        <v>8</v>
      </c>
      <c r="W56" s="139">
        <f t="shared" si="7"/>
        <v>7</v>
      </c>
      <c r="X56" s="139">
        <f>AVERAGE(I56:J56)</f>
        <v>5</v>
      </c>
      <c r="Y56" s="139">
        <f t="shared" si="8"/>
        <v>4</v>
      </c>
      <c r="Z56" s="139">
        <f t="shared" si="9"/>
        <v>3</v>
      </c>
      <c r="AA56" s="139">
        <f t="shared" si="10"/>
        <v>2</v>
      </c>
      <c r="AB56" s="139">
        <f t="shared" si="11"/>
        <v>1.5</v>
      </c>
      <c r="AC56" s="139">
        <f t="shared" si="12"/>
        <v>1</v>
      </c>
    </row>
    <row r="57" spans="2:29" s="139" customFormat="1" ht="34.9" customHeight="1" thickBot="1" x14ac:dyDescent="0.3">
      <c r="B57" s="19"/>
      <c r="C57" s="19"/>
      <c r="D57" s="22" t="s">
        <v>15</v>
      </c>
      <c r="E57" s="152">
        <v>7</v>
      </c>
      <c r="F57" s="152">
        <v>7</v>
      </c>
      <c r="G57" s="150">
        <v>5</v>
      </c>
      <c r="H57" s="151">
        <v>7</v>
      </c>
      <c r="I57" s="152"/>
      <c r="J57" s="152"/>
      <c r="K57" s="150">
        <v>3</v>
      </c>
      <c r="L57" s="151">
        <v>3</v>
      </c>
      <c r="M57" s="150">
        <v>2</v>
      </c>
      <c r="N57" s="151">
        <v>3</v>
      </c>
      <c r="O57" s="150">
        <v>2</v>
      </c>
      <c r="P57" s="151">
        <v>3</v>
      </c>
      <c r="Q57" s="150">
        <v>2</v>
      </c>
      <c r="R57" s="151">
        <v>2</v>
      </c>
      <c r="S57" s="150">
        <v>1</v>
      </c>
      <c r="T57" s="151">
        <v>1</v>
      </c>
      <c r="V57" s="139">
        <f t="shared" si="13"/>
        <v>7</v>
      </c>
      <c r="W57" s="139">
        <f t="shared" si="7"/>
        <v>6</v>
      </c>
      <c r="Y57" s="139">
        <f t="shared" si="8"/>
        <v>3</v>
      </c>
      <c r="Z57" s="139">
        <f t="shared" si="9"/>
        <v>2.5</v>
      </c>
      <c r="AA57" s="139">
        <f t="shared" si="10"/>
        <v>2.5</v>
      </c>
      <c r="AB57" s="139">
        <f t="shared" si="11"/>
        <v>2</v>
      </c>
      <c r="AC57" s="139">
        <f t="shared" si="12"/>
        <v>1</v>
      </c>
    </row>
    <row r="58" spans="2:29" s="139" customFormat="1" ht="34.9" customHeight="1" thickBot="1" x14ac:dyDescent="0.3">
      <c r="B58" s="19"/>
      <c r="C58" s="19"/>
      <c r="D58" s="22" t="s">
        <v>16</v>
      </c>
      <c r="E58" s="152">
        <v>7</v>
      </c>
      <c r="F58" s="152"/>
      <c r="G58" s="150">
        <v>5</v>
      </c>
      <c r="H58" s="151">
        <v>6</v>
      </c>
      <c r="I58" s="152"/>
      <c r="J58" s="152"/>
      <c r="K58" s="150">
        <v>2</v>
      </c>
      <c r="L58" s="151">
        <v>2</v>
      </c>
      <c r="M58" s="150">
        <v>2</v>
      </c>
      <c r="N58" s="151">
        <v>2</v>
      </c>
      <c r="O58" s="150">
        <v>2</v>
      </c>
      <c r="P58" s="149" t="s">
        <v>206</v>
      </c>
      <c r="Q58" s="150">
        <v>2</v>
      </c>
      <c r="R58" s="149">
        <v>1</v>
      </c>
      <c r="S58" s="150">
        <v>1</v>
      </c>
      <c r="T58" s="149">
        <v>2</v>
      </c>
      <c r="V58" s="139">
        <f t="shared" si="13"/>
        <v>7</v>
      </c>
      <c r="W58" s="139">
        <f t="shared" si="7"/>
        <v>5.5</v>
      </c>
      <c r="Y58" s="139">
        <f t="shared" si="8"/>
        <v>2</v>
      </c>
      <c r="Z58" s="139">
        <f t="shared" si="9"/>
        <v>2</v>
      </c>
      <c r="AA58" s="139">
        <f t="shared" si="10"/>
        <v>2</v>
      </c>
      <c r="AB58" s="139">
        <f t="shared" si="11"/>
        <v>1.5</v>
      </c>
      <c r="AC58" s="139">
        <f t="shared" si="12"/>
        <v>1.5</v>
      </c>
    </row>
    <row r="59" spans="2:29" ht="13.9" customHeight="1" x14ac:dyDescent="0.2">
      <c r="E59" s="185" t="s">
        <v>212</v>
      </c>
      <c r="F59" s="186"/>
      <c r="G59" s="138"/>
      <c r="I59" s="185" t="s">
        <v>212</v>
      </c>
      <c r="J59" s="186"/>
      <c r="O59" s="185" t="s">
        <v>211</v>
      </c>
      <c r="P59" s="186"/>
      <c r="Q59" s="185"/>
      <c r="R59" s="186"/>
    </row>
    <row r="60" spans="2:29" ht="13.9" customHeight="1" x14ac:dyDescent="0.2">
      <c r="E60" s="187"/>
      <c r="F60" s="187"/>
      <c r="G60" s="138"/>
      <c r="I60" s="187"/>
      <c r="J60" s="187"/>
      <c r="O60" s="187"/>
      <c r="P60" s="187"/>
      <c r="Q60" s="187"/>
      <c r="R60" s="187"/>
    </row>
    <row r="61" spans="2:29" ht="13.9" customHeight="1" x14ac:dyDescent="0.2">
      <c r="E61" s="187"/>
      <c r="F61" s="187"/>
      <c r="G61" s="138"/>
      <c r="I61" s="187"/>
      <c r="J61" s="187"/>
      <c r="O61" s="187"/>
      <c r="P61" s="187"/>
      <c r="Q61" s="187"/>
      <c r="R61" s="187"/>
    </row>
    <row r="62" spans="2:29" ht="13.9" customHeight="1" x14ac:dyDescent="0.2">
      <c r="E62" s="187"/>
      <c r="F62" s="187"/>
      <c r="G62" s="138"/>
      <c r="I62" s="187"/>
      <c r="J62" s="187"/>
      <c r="O62" s="187"/>
      <c r="P62" s="187"/>
      <c r="Q62" s="187"/>
      <c r="R62" s="187"/>
    </row>
    <row r="63" spans="2:29" ht="13.9" customHeight="1" x14ac:dyDescent="0.2">
      <c r="E63" s="166"/>
      <c r="F63" s="166"/>
      <c r="I63" s="166"/>
      <c r="J63" s="166"/>
      <c r="O63" s="166"/>
      <c r="P63" s="166"/>
      <c r="Q63" s="166"/>
      <c r="R63" s="166"/>
    </row>
    <row r="64" spans="2:29" ht="13.9" customHeight="1" x14ac:dyDescent="0.2">
      <c r="E64" s="166"/>
      <c r="F64" s="166"/>
      <c r="I64" s="166"/>
      <c r="J64" s="166"/>
      <c r="O64" s="166"/>
      <c r="P64" s="166"/>
      <c r="Q64" s="166"/>
      <c r="R64" s="166"/>
    </row>
    <row r="65" spans="15:18" ht="13.9" customHeight="1" x14ac:dyDescent="0.2">
      <c r="O65" s="166"/>
      <c r="P65" s="166"/>
      <c r="Q65" s="166"/>
      <c r="R65" s="166"/>
    </row>
    <row r="66" spans="15:18" x14ac:dyDescent="0.2">
      <c r="O66" s="166"/>
      <c r="P66" s="166"/>
      <c r="Q66" s="166"/>
      <c r="R66" s="166"/>
    </row>
  </sheetData>
  <mergeCells count="22">
    <mergeCell ref="Q59:R66"/>
    <mergeCell ref="O59:P66"/>
    <mergeCell ref="E6:F6"/>
    <mergeCell ref="E7:F7"/>
    <mergeCell ref="I59:J64"/>
    <mergeCell ref="E59:F64"/>
    <mergeCell ref="O6:P6"/>
    <mergeCell ref="O7:P7"/>
    <mergeCell ref="G6:H6"/>
    <mergeCell ref="G7:H7"/>
    <mergeCell ref="K6:L6"/>
    <mergeCell ref="K7:L7"/>
    <mergeCell ref="M6:N6"/>
    <mergeCell ref="M7:N7"/>
    <mergeCell ref="I6:J6"/>
    <mergeCell ref="I7:J7"/>
    <mergeCell ref="S6:T6"/>
    <mergeCell ref="S7:T7"/>
    <mergeCell ref="Q8:R8"/>
    <mergeCell ref="S8:T8"/>
    <mergeCell ref="Q6:R6"/>
    <mergeCell ref="Q7:R7"/>
  </mergeCells>
  <pageMargins left="0.5" right="0.5" top="0.5" bottom="0.5" header="0" footer="0.3"/>
  <pageSetup scale="69" fitToHeight="2" orientation="portrait" r:id="rId1"/>
  <rowBreaks count="1" manualBreakCount="1">
    <brk id="33" max="11" man="1"/>
  </row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16</vt:i4>
      </vt:variant>
      <vt:variant>
        <vt:lpstr>Named Ranges</vt:lpstr>
      </vt:variant>
      <vt:variant>
        <vt:i4>7</vt:i4>
      </vt:variant>
    </vt:vector>
  </HeadingPairs>
  <TitlesOfParts>
    <vt:vector size="23" baseType="lpstr">
      <vt:lpstr>Height</vt:lpstr>
      <vt:lpstr>Width</vt:lpstr>
      <vt:lpstr>LAImeter</vt:lpstr>
      <vt:lpstr>Density</vt:lpstr>
      <vt:lpstr>Develop</vt:lpstr>
      <vt:lpstr>Summary-Plant Heights</vt:lpstr>
      <vt:lpstr>Summary-Bed Heights</vt:lpstr>
      <vt:lpstr>Summary-Cover</vt:lpstr>
      <vt:lpstr>Blank</vt:lpstr>
      <vt:lpstr>graphs</vt:lpstr>
      <vt:lpstr>Emergence</vt:lpstr>
      <vt:lpstr>1stLeaf</vt:lpstr>
      <vt:lpstr>Density at flags</vt:lpstr>
      <vt:lpstr>Density counts</vt:lpstr>
      <vt:lpstr>Flowering</vt:lpstr>
      <vt:lpstr>NAWF</vt:lpstr>
      <vt:lpstr>Blank!Print_Area</vt:lpstr>
      <vt:lpstr>'Density counts'!Print_Area</vt:lpstr>
      <vt:lpstr>Flowering!Print_Area</vt:lpstr>
      <vt:lpstr>NAWF!Print_Area</vt:lpstr>
      <vt:lpstr>Blank!Print_Titles</vt:lpstr>
      <vt:lpstr>'Density counts'!Print_Titles</vt:lpstr>
      <vt:lpstr>NAWF!Print_Titles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Suzette Maneely</dc:creator>
  <cp:lastModifiedBy>Reviewer</cp:lastModifiedBy>
  <cp:lastPrinted>2015-06-02T22:57:29Z</cp:lastPrinted>
  <dcterms:created xsi:type="dcterms:W3CDTF">2014-05-07T16:16:20Z</dcterms:created>
  <dcterms:modified xsi:type="dcterms:W3CDTF">2025-06-06T20:17:10Z</dcterms:modified>
</cp:coreProperties>
</file>