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nt\Data1\USDA-ALARC\GIS\PDI project\cottondata\Data\2003_F105_CO_FISE\"/>
    </mc:Choice>
  </mc:AlternateContent>
  <xr:revisionPtr revIDLastSave="0" documentId="13_ncr:1_{4B8AE3F6-3D1E-41B4-A26F-EA7D26D916CF}" xr6:coauthVersionLast="47" xr6:coauthVersionMax="47" xr10:uidLastSave="{00000000-0000-0000-0000-000000000000}"/>
  <bookViews>
    <workbookView xWindow="16500" yWindow="-26775" windowWidth="17715" windowHeight="16860" xr2:uid="{5485CBB2-C13A-4C0B-BAC8-38661C175E52}"/>
  </bookViews>
  <sheets>
    <sheet name="Raw Scale" sheetId="1" r:id="rId1"/>
    <sheet name="Plot Scale" sheetId="2" r:id="rId2"/>
    <sheet name="Compare" sheetId="3" r:id="rId3"/>
    <sheet name="101" sheetId="4" r:id="rId4"/>
    <sheet name="102" sheetId="5" r:id="rId5"/>
    <sheet name="103" sheetId="6" r:id="rId6"/>
    <sheet name="104" sheetId="7" r:id="rId7"/>
    <sheet name="105" sheetId="8" r:id="rId8"/>
    <sheet name="106" sheetId="9" r:id="rId9"/>
    <sheet name="107" sheetId="10" r:id="rId10"/>
    <sheet name="108" sheetId="11" r:id="rId11"/>
    <sheet name="201" sheetId="12" r:id="rId12"/>
    <sheet name="202" sheetId="13" r:id="rId13"/>
    <sheet name="203" sheetId="14" r:id="rId14"/>
    <sheet name="204" sheetId="15" r:id="rId15"/>
    <sheet name="205" sheetId="16" r:id="rId16"/>
    <sheet name="206" sheetId="17" r:id="rId17"/>
    <sheet name="207" sheetId="18" r:id="rId18"/>
    <sheet name="208" sheetId="19" r:id="rId19"/>
    <sheet name="301" sheetId="20" r:id="rId20"/>
    <sheet name="302" sheetId="21" r:id="rId21"/>
    <sheet name="303" sheetId="22" r:id="rId22"/>
    <sheet name="304" sheetId="23" r:id="rId23"/>
    <sheet name="305" sheetId="24" r:id="rId24"/>
    <sheet name="306" sheetId="25" r:id="rId25"/>
    <sheet name="307" sheetId="26" r:id="rId26"/>
    <sheet name="308" sheetId="27" r:id="rId27"/>
    <sheet name="401" sheetId="28" r:id="rId28"/>
    <sheet name="402" sheetId="29" r:id="rId29"/>
    <sheet name="403" sheetId="30" r:id="rId30"/>
    <sheet name="404" sheetId="31" r:id="rId31"/>
    <sheet name="405" sheetId="32" r:id="rId32"/>
    <sheet name="406" sheetId="33" r:id="rId33"/>
    <sheet name="407" sheetId="34" r:id="rId34"/>
    <sheet name="408" sheetId="35" r:id="rId35"/>
    <sheet name="902" sheetId="36" r:id="rId36"/>
    <sheet name="904" sheetId="37" r:id="rId37"/>
    <sheet name="906" sheetId="38" r:id="rId38"/>
    <sheet name="908" sheetId="39" r:id="rId39"/>
  </sheets>
  <definedNames>
    <definedName name="_xlnm.Print_Area" localSheetId="3">'101'!$A$1:$R$25</definedName>
    <definedName name="_xlnm.Print_Area" localSheetId="4">'102'!$A$1:$R$25</definedName>
    <definedName name="_xlnm.Print_Area" localSheetId="5">'103'!$A$1:$R$25</definedName>
    <definedName name="_xlnm.Print_Area" localSheetId="6">'104'!$A$1:$R$25</definedName>
    <definedName name="_xlnm.Print_Area" localSheetId="7">'105'!$A$1:$R$25</definedName>
    <definedName name="_xlnm.Print_Area" localSheetId="8">'106'!$A$1:$R$25</definedName>
    <definedName name="_xlnm.Print_Area" localSheetId="9">'107'!$A$1:$R$25</definedName>
    <definedName name="_xlnm.Print_Area" localSheetId="10">'108'!$A$1:$R$25</definedName>
    <definedName name="_xlnm.Print_Area" localSheetId="11">'201'!$A$1:$R$25</definedName>
    <definedName name="_xlnm.Print_Area" localSheetId="12">'202'!$A$1:$R$25</definedName>
    <definedName name="_xlnm.Print_Area" localSheetId="13">'203'!$A$1:$R$25</definedName>
    <definedName name="_xlnm.Print_Area" localSheetId="14">'204'!$A$1:$R$25</definedName>
    <definedName name="_xlnm.Print_Area" localSheetId="15">'205'!$A$1:$R$25</definedName>
    <definedName name="_xlnm.Print_Area" localSheetId="16">'206'!$A$1:$R$25</definedName>
    <definedName name="_xlnm.Print_Area" localSheetId="17">'207'!$A$1:$R$25</definedName>
    <definedName name="_xlnm.Print_Area" localSheetId="18">'208'!$A$1:$R$25</definedName>
    <definedName name="_xlnm.Print_Area" localSheetId="19">'301'!$A$1:$R$25</definedName>
    <definedName name="_xlnm.Print_Area" localSheetId="20">'302'!$A$1:$R$25</definedName>
    <definedName name="_xlnm.Print_Area" localSheetId="21">'303'!$A$1:$R$25</definedName>
    <definedName name="_xlnm.Print_Area" localSheetId="22">'304'!$A$1:$R$25</definedName>
    <definedName name="_xlnm.Print_Area" localSheetId="23">'305'!$A$1:$R$25</definedName>
    <definedName name="_xlnm.Print_Area" localSheetId="24">'306'!$A$1:$R$25</definedName>
    <definedName name="_xlnm.Print_Area" localSheetId="25">'307'!$A$1:$R$25</definedName>
    <definedName name="_xlnm.Print_Area" localSheetId="26">'308'!$A$1:$R$25</definedName>
    <definedName name="_xlnm.Print_Area" localSheetId="27">'401'!$A$1:$R$25</definedName>
    <definedName name="_xlnm.Print_Area" localSheetId="28">'402'!$A$1:$R$25</definedName>
    <definedName name="_xlnm.Print_Area" localSheetId="29">'403'!$A$1:$R$25</definedName>
    <definedName name="_xlnm.Print_Area" localSheetId="30">'404'!$A$1:$R$25</definedName>
    <definedName name="_xlnm.Print_Area" localSheetId="31">'405'!$A$1:$R$25</definedName>
    <definedName name="_xlnm.Print_Area" localSheetId="32">'406'!$A$1:$R$25</definedName>
    <definedName name="_xlnm.Print_Area" localSheetId="33">'407'!$A$1:$R$25</definedName>
    <definedName name="_xlnm.Print_Area" localSheetId="34">'408'!$A$1:$R$25</definedName>
    <definedName name="_xlnm.Print_Area" localSheetId="35">'902'!$A$1:$R$25</definedName>
    <definedName name="_xlnm.Print_Area" localSheetId="36">'904'!$A$1:$R$25</definedName>
    <definedName name="_xlnm.Print_Area" localSheetId="37">'906'!$A$1:$R$25</definedName>
    <definedName name="_xlnm.Print_Area" localSheetId="38">'908'!$A$1:$R$25</definedName>
    <definedName name="Z_32CF86CB_2115_4D3B_B37F_8F45B49040B2_.wvu.PrintArea" localSheetId="3" hidden="1">'101'!$A$1:$I$22</definedName>
    <definedName name="Z_32CF86CB_2115_4D3B_B37F_8F45B49040B2_.wvu.PrintArea" localSheetId="4" hidden="1">'102'!$A$1:$I$22</definedName>
    <definedName name="Z_32CF86CB_2115_4D3B_B37F_8F45B49040B2_.wvu.PrintArea" localSheetId="5" hidden="1">'103'!$A$1:$I$22</definedName>
    <definedName name="Z_54D85376_105B_46A9_AE71_230B49C3EA88_.wvu.PrintArea" localSheetId="3" hidden="1">'101'!$A$1:$R$25</definedName>
    <definedName name="Z_54D85376_105B_46A9_AE71_230B49C3EA88_.wvu.PrintArea" localSheetId="4" hidden="1">'102'!$A$1:$R$25</definedName>
    <definedName name="Z_54D85376_105B_46A9_AE71_230B49C3EA88_.wvu.PrintArea" localSheetId="5" hidden="1">'103'!$A$1:$R$25</definedName>
    <definedName name="Z_54D85376_105B_46A9_AE71_230B49C3EA88_.wvu.PrintArea" localSheetId="6" hidden="1">'104'!$A$1:$R$25</definedName>
    <definedName name="Z_54D85376_105B_46A9_AE71_230B49C3EA88_.wvu.PrintArea" localSheetId="7" hidden="1">'105'!$A$1:$R$25</definedName>
    <definedName name="Z_54D85376_105B_46A9_AE71_230B49C3EA88_.wvu.PrintArea" localSheetId="8" hidden="1">'106'!$A$1:$R$25</definedName>
    <definedName name="Z_54D85376_105B_46A9_AE71_230B49C3EA88_.wvu.PrintArea" localSheetId="9" hidden="1">'107'!$A$1:$R$25</definedName>
    <definedName name="Z_54D85376_105B_46A9_AE71_230B49C3EA88_.wvu.PrintArea" localSheetId="10" hidden="1">'108'!$A$1:$R$25</definedName>
    <definedName name="Z_54D85376_105B_46A9_AE71_230B49C3EA88_.wvu.PrintArea" localSheetId="11" hidden="1">'201'!$A$1:$R$25</definedName>
    <definedName name="Z_54D85376_105B_46A9_AE71_230B49C3EA88_.wvu.PrintArea" localSheetId="12" hidden="1">'202'!$A$1:$R$25</definedName>
    <definedName name="Z_54D85376_105B_46A9_AE71_230B49C3EA88_.wvu.PrintArea" localSheetId="13" hidden="1">'203'!$A$1:$R$25</definedName>
    <definedName name="Z_54D85376_105B_46A9_AE71_230B49C3EA88_.wvu.PrintArea" localSheetId="14" hidden="1">'204'!$A$1:$R$25</definedName>
    <definedName name="Z_54D85376_105B_46A9_AE71_230B49C3EA88_.wvu.PrintArea" localSheetId="15" hidden="1">'205'!$A$1:$R$25</definedName>
    <definedName name="Z_54D85376_105B_46A9_AE71_230B49C3EA88_.wvu.PrintArea" localSheetId="16" hidden="1">'206'!$A$1:$R$25</definedName>
    <definedName name="Z_54D85376_105B_46A9_AE71_230B49C3EA88_.wvu.PrintArea" localSheetId="17" hidden="1">'207'!$A$1:$R$25</definedName>
    <definedName name="Z_54D85376_105B_46A9_AE71_230B49C3EA88_.wvu.PrintArea" localSheetId="18" hidden="1">'208'!$A$1:$R$25</definedName>
    <definedName name="Z_54D85376_105B_46A9_AE71_230B49C3EA88_.wvu.PrintArea" localSheetId="19" hidden="1">'301'!$A$1:$R$25</definedName>
    <definedName name="Z_54D85376_105B_46A9_AE71_230B49C3EA88_.wvu.PrintArea" localSheetId="20" hidden="1">'302'!$A$1:$R$25</definedName>
    <definedName name="Z_54D85376_105B_46A9_AE71_230B49C3EA88_.wvu.PrintArea" localSheetId="21" hidden="1">'303'!$A$1:$R$25</definedName>
    <definedName name="Z_54D85376_105B_46A9_AE71_230B49C3EA88_.wvu.PrintArea" localSheetId="22" hidden="1">'304'!$A$1:$R$25</definedName>
    <definedName name="Z_54D85376_105B_46A9_AE71_230B49C3EA88_.wvu.PrintArea" localSheetId="23" hidden="1">'305'!$A$1:$R$25</definedName>
    <definedName name="Z_54D85376_105B_46A9_AE71_230B49C3EA88_.wvu.PrintArea" localSheetId="24" hidden="1">'306'!$A$1:$R$25</definedName>
    <definedName name="Z_54D85376_105B_46A9_AE71_230B49C3EA88_.wvu.PrintArea" localSheetId="25" hidden="1">'307'!$A$1:$R$25</definedName>
    <definedName name="Z_54D85376_105B_46A9_AE71_230B49C3EA88_.wvu.PrintArea" localSheetId="26" hidden="1">'308'!$A$1:$R$25</definedName>
    <definedName name="Z_54D85376_105B_46A9_AE71_230B49C3EA88_.wvu.PrintArea" localSheetId="27" hidden="1">'401'!$A$1:$R$25</definedName>
    <definedName name="Z_54D85376_105B_46A9_AE71_230B49C3EA88_.wvu.PrintArea" localSheetId="28" hidden="1">'402'!$A$1:$R$25</definedName>
    <definedName name="Z_54D85376_105B_46A9_AE71_230B49C3EA88_.wvu.PrintArea" localSheetId="29" hidden="1">'403'!$A$1:$R$25</definedName>
    <definedName name="Z_54D85376_105B_46A9_AE71_230B49C3EA88_.wvu.PrintArea" localSheetId="30" hidden="1">'404'!$A$1:$R$25</definedName>
    <definedName name="Z_54D85376_105B_46A9_AE71_230B49C3EA88_.wvu.PrintArea" localSheetId="31" hidden="1">'405'!$A$1:$R$25</definedName>
    <definedName name="Z_54D85376_105B_46A9_AE71_230B49C3EA88_.wvu.PrintArea" localSheetId="32" hidden="1">'406'!$A$1:$R$25</definedName>
    <definedName name="Z_54D85376_105B_46A9_AE71_230B49C3EA88_.wvu.PrintArea" localSheetId="33" hidden="1">'407'!$A$1:$R$25</definedName>
    <definedName name="Z_54D85376_105B_46A9_AE71_230B49C3EA88_.wvu.PrintArea" localSheetId="34" hidden="1">'408'!$A$1:$R$25</definedName>
    <definedName name="Z_54D85376_105B_46A9_AE71_230B49C3EA88_.wvu.PrintArea" localSheetId="35" hidden="1">'902'!$A$1:$R$25</definedName>
    <definedName name="Z_54D85376_105B_46A9_AE71_230B49C3EA88_.wvu.PrintArea" localSheetId="36" hidden="1">'904'!$A$1:$R$25</definedName>
    <definedName name="Z_54D85376_105B_46A9_AE71_230B49C3EA88_.wvu.PrintArea" localSheetId="37" hidden="1">'906'!$A$1:$R$25</definedName>
    <definedName name="Z_54D85376_105B_46A9_AE71_230B49C3EA88_.wvu.PrintArea" localSheetId="38" hidden="1">'908'!$A$1:$R$25</definedName>
    <definedName name="Z_65BE493F_7DA7_4ACB_8C59_D5D7B43E02AE_.wvu.PrintArea" localSheetId="3" hidden="1">'101'!$A$1:$R$25</definedName>
    <definedName name="Z_65BE493F_7DA7_4ACB_8C59_D5D7B43E02AE_.wvu.PrintArea" localSheetId="4" hidden="1">'102'!$A$1:$R$25</definedName>
    <definedName name="Z_65BE493F_7DA7_4ACB_8C59_D5D7B43E02AE_.wvu.PrintArea" localSheetId="5" hidden="1">'103'!$A$1:$R$25</definedName>
    <definedName name="Z_65BE493F_7DA7_4ACB_8C59_D5D7B43E02AE_.wvu.PrintArea" localSheetId="6" hidden="1">'104'!$A$1:$R$25</definedName>
    <definedName name="Z_65BE493F_7DA7_4ACB_8C59_D5D7B43E02AE_.wvu.PrintArea" localSheetId="7" hidden="1">'105'!$A$1:$R$25</definedName>
    <definedName name="Z_65BE493F_7DA7_4ACB_8C59_D5D7B43E02AE_.wvu.PrintArea" localSheetId="8" hidden="1">'106'!$A$1:$R$25</definedName>
    <definedName name="Z_65BE493F_7DA7_4ACB_8C59_D5D7B43E02AE_.wvu.PrintArea" localSheetId="9" hidden="1">'107'!$A$1:$R$25</definedName>
    <definedName name="Z_65BE493F_7DA7_4ACB_8C59_D5D7B43E02AE_.wvu.PrintArea" localSheetId="10" hidden="1">'108'!$A$1:$R$25</definedName>
    <definedName name="Z_65BE493F_7DA7_4ACB_8C59_D5D7B43E02AE_.wvu.PrintArea" localSheetId="11" hidden="1">'201'!$A$1:$R$25</definedName>
    <definedName name="Z_65BE493F_7DA7_4ACB_8C59_D5D7B43E02AE_.wvu.PrintArea" localSheetId="12" hidden="1">'202'!$A$1:$R$25</definedName>
    <definedName name="Z_65BE493F_7DA7_4ACB_8C59_D5D7B43E02AE_.wvu.PrintArea" localSheetId="13" hidden="1">'203'!$A$1:$R$25</definedName>
    <definedName name="Z_65BE493F_7DA7_4ACB_8C59_D5D7B43E02AE_.wvu.PrintArea" localSheetId="14" hidden="1">'204'!$A$1:$R$25</definedName>
    <definedName name="Z_65BE493F_7DA7_4ACB_8C59_D5D7B43E02AE_.wvu.PrintArea" localSheetId="15" hidden="1">'205'!$A$1:$R$25</definedName>
    <definedName name="Z_65BE493F_7DA7_4ACB_8C59_D5D7B43E02AE_.wvu.PrintArea" localSheetId="16" hidden="1">'206'!$A$1:$R$25</definedName>
    <definedName name="Z_65BE493F_7DA7_4ACB_8C59_D5D7B43E02AE_.wvu.PrintArea" localSheetId="17" hidden="1">'207'!$A$1:$R$25</definedName>
    <definedName name="Z_65BE493F_7DA7_4ACB_8C59_D5D7B43E02AE_.wvu.PrintArea" localSheetId="18" hidden="1">'208'!$A$1:$R$25</definedName>
    <definedName name="Z_65BE493F_7DA7_4ACB_8C59_D5D7B43E02AE_.wvu.PrintArea" localSheetId="19" hidden="1">'301'!$A$1:$R$25</definedName>
    <definedName name="Z_65BE493F_7DA7_4ACB_8C59_D5D7B43E02AE_.wvu.PrintArea" localSheetId="20" hidden="1">'302'!$A$1:$R$25</definedName>
    <definedName name="Z_65BE493F_7DA7_4ACB_8C59_D5D7B43E02AE_.wvu.PrintArea" localSheetId="21" hidden="1">'303'!$A$1:$R$25</definedName>
    <definedName name="Z_65BE493F_7DA7_4ACB_8C59_D5D7B43E02AE_.wvu.PrintArea" localSheetId="22" hidden="1">'304'!$A$1:$R$25</definedName>
    <definedName name="Z_65BE493F_7DA7_4ACB_8C59_D5D7B43E02AE_.wvu.PrintArea" localSheetId="23" hidden="1">'305'!$A$1:$R$25</definedName>
    <definedName name="Z_65BE493F_7DA7_4ACB_8C59_D5D7B43E02AE_.wvu.PrintArea" localSheetId="24" hidden="1">'306'!$A$1:$R$25</definedName>
    <definedName name="Z_65BE493F_7DA7_4ACB_8C59_D5D7B43E02AE_.wvu.PrintArea" localSheetId="25" hidden="1">'307'!$A$1:$R$25</definedName>
    <definedName name="Z_65BE493F_7DA7_4ACB_8C59_D5D7B43E02AE_.wvu.PrintArea" localSheetId="26" hidden="1">'308'!$A$1:$R$25</definedName>
    <definedName name="Z_65BE493F_7DA7_4ACB_8C59_D5D7B43E02AE_.wvu.PrintArea" localSheetId="27" hidden="1">'401'!$A$1:$R$25</definedName>
    <definedName name="Z_65BE493F_7DA7_4ACB_8C59_D5D7B43E02AE_.wvu.PrintArea" localSheetId="28" hidden="1">'402'!$A$1:$R$25</definedName>
    <definedName name="Z_65BE493F_7DA7_4ACB_8C59_D5D7B43E02AE_.wvu.PrintArea" localSheetId="29" hidden="1">'403'!$A$1:$R$25</definedName>
    <definedName name="Z_65BE493F_7DA7_4ACB_8C59_D5D7B43E02AE_.wvu.PrintArea" localSheetId="30" hidden="1">'404'!$A$1:$R$25</definedName>
    <definedName name="Z_65BE493F_7DA7_4ACB_8C59_D5D7B43E02AE_.wvu.PrintArea" localSheetId="31" hidden="1">'405'!$A$1:$R$25</definedName>
    <definedName name="Z_65BE493F_7DA7_4ACB_8C59_D5D7B43E02AE_.wvu.PrintArea" localSheetId="32" hidden="1">'406'!$A$1:$R$25</definedName>
    <definedName name="Z_65BE493F_7DA7_4ACB_8C59_D5D7B43E02AE_.wvu.PrintArea" localSheetId="33" hidden="1">'407'!$A$1:$R$25</definedName>
    <definedName name="Z_65BE493F_7DA7_4ACB_8C59_D5D7B43E02AE_.wvu.PrintArea" localSheetId="34" hidden="1">'408'!$A$1:$R$25</definedName>
    <definedName name="Z_65BE493F_7DA7_4ACB_8C59_D5D7B43E02AE_.wvu.PrintArea" localSheetId="35" hidden="1">'902'!$A$1:$R$25</definedName>
    <definedName name="Z_65BE493F_7DA7_4ACB_8C59_D5D7B43E02AE_.wvu.PrintArea" localSheetId="36" hidden="1">'904'!$A$1:$R$25</definedName>
    <definedName name="Z_65BE493F_7DA7_4ACB_8C59_D5D7B43E02AE_.wvu.PrintArea" localSheetId="37" hidden="1">'906'!$A$1:$R$25</definedName>
    <definedName name="Z_65BE493F_7DA7_4ACB_8C59_D5D7B43E02AE_.wvu.PrintArea" localSheetId="38" hidden="1">'908'!$A$1:$R$25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39" l="1"/>
  <c r="O4" i="39"/>
  <c r="O5" i="39"/>
  <c r="H9" i="39"/>
  <c r="K9" i="39" s="1"/>
  <c r="H10" i="39"/>
  <c r="K10" i="39"/>
  <c r="L10" i="39"/>
  <c r="M10" i="39"/>
  <c r="N10" i="39"/>
  <c r="O10" i="39"/>
  <c r="P10" i="39"/>
  <c r="H11" i="39"/>
  <c r="H19" i="39" s="1"/>
  <c r="K11" i="39"/>
  <c r="L11" i="39"/>
  <c r="M11" i="39" s="1"/>
  <c r="O11" i="39" s="1"/>
  <c r="P11" i="39" s="1"/>
  <c r="H12" i="39"/>
  <c r="K12" i="39"/>
  <c r="L12" i="39"/>
  <c r="M12" i="39"/>
  <c r="N12" i="39"/>
  <c r="O12" i="39"/>
  <c r="P12" i="39"/>
  <c r="H13" i="39"/>
  <c r="K13" i="39" s="1"/>
  <c r="L13" i="39" s="1"/>
  <c r="H14" i="39"/>
  <c r="K14" i="39"/>
  <c r="L14" i="39"/>
  <c r="M14" i="39"/>
  <c r="N14" i="39"/>
  <c r="O14" i="39"/>
  <c r="P14" i="39"/>
  <c r="K16" i="39"/>
  <c r="K18" i="39" s="1"/>
  <c r="L16" i="39"/>
  <c r="M16" i="39"/>
  <c r="N16" i="39"/>
  <c r="O16" i="39"/>
  <c r="P16" i="39"/>
  <c r="O3" i="38"/>
  <c r="O4" i="38"/>
  <c r="O5" i="38"/>
  <c r="H9" i="38"/>
  <c r="K9" i="38" s="1"/>
  <c r="H10" i="38"/>
  <c r="K10" i="38"/>
  <c r="L10" i="38"/>
  <c r="M10" i="38"/>
  <c r="N10" i="38"/>
  <c r="O10" i="38"/>
  <c r="P10" i="38"/>
  <c r="H11" i="38"/>
  <c r="K11" i="38"/>
  <c r="L11" i="38"/>
  <c r="M11" i="38"/>
  <c r="N11" i="38"/>
  <c r="O11" i="38"/>
  <c r="P11" i="38"/>
  <c r="H12" i="38"/>
  <c r="H18" i="38" s="1"/>
  <c r="K12" i="38"/>
  <c r="L12" i="38"/>
  <c r="M12" i="38"/>
  <c r="N12" i="38"/>
  <c r="O12" i="38"/>
  <c r="P12" i="38"/>
  <c r="H13" i="38"/>
  <c r="K13" i="38" s="1"/>
  <c r="L13" i="38" s="1"/>
  <c r="H14" i="38"/>
  <c r="K14" i="38"/>
  <c r="L14" i="38"/>
  <c r="M14" i="38"/>
  <c r="N14" i="38"/>
  <c r="O14" i="38"/>
  <c r="P14" i="38"/>
  <c r="K16" i="38"/>
  <c r="L16" i="38"/>
  <c r="M16" i="38"/>
  <c r="N16" i="38"/>
  <c r="O16" i="38"/>
  <c r="P16" i="38"/>
  <c r="O3" i="37"/>
  <c r="O4" i="37"/>
  <c r="O5" i="37"/>
  <c r="H9" i="37"/>
  <c r="K9" i="37" s="1"/>
  <c r="H10" i="37"/>
  <c r="K10" i="37"/>
  <c r="L10" i="37"/>
  <c r="M10" i="37"/>
  <c r="N10" i="37"/>
  <c r="O10" i="37"/>
  <c r="P10" i="37"/>
  <c r="H11" i="37"/>
  <c r="K11" i="37"/>
  <c r="L11" i="37"/>
  <c r="M11" i="37"/>
  <c r="N11" i="37"/>
  <c r="O11" i="37"/>
  <c r="P11" i="37"/>
  <c r="H12" i="37"/>
  <c r="H18" i="37" s="1"/>
  <c r="K12" i="37"/>
  <c r="L12" i="37"/>
  <c r="M12" i="37"/>
  <c r="N12" i="37"/>
  <c r="O12" i="37"/>
  <c r="P12" i="37"/>
  <c r="H13" i="37"/>
  <c r="K13" i="37" s="1"/>
  <c r="L13" i="37" s="1"/>
  <c r="H14" i="37"/>
  <c r="K14" i="37"/>
  <c r="L14" i="37"/>
  <c r="M14" i="37"/>
  <c r="N14" i="37"/>
  <c r="O14" i="37"/>
  <c r="P14" i="37"/>
  <c r="K16" i="37"/>
  <c r="L16" i="37"/>
  <c r="M16" i="37"/>
  <c r="N16" i="37"/>
  <c r="O16" i="37"/>
  <c r="P16" i="37"/>
  <c r="O3" i="36"/>
  <c r="O4" i="36"/>
  <c r="O5" i="36"/>
  <c r="H9" i="36"/>
  <c r="K9" i="36" s="1"/>
  <c r="H10" i="36"/>
  <c r="K10" i="36"/>
  <c r="L10" i="36"/>
  <c r="M10" i="36"/>
  <c r="N10" i="36"/>
  <c r="O10" i="36"/>
  <c r="P10" i="36"/>
  <c r="H11" i="36"/>
  <c r="K11" i="36"/>
  <c r="L11" i="36"/>
  <c r="M11" i="36"/>
  <c r="N11" i="36"/>
  <c r="O11" i="36"/>
  <c r="P11" i="36"/>
  <c r="H12" i="36"/>
  <c r="H18" i="36" s="1"/>
  <c r="K12" i="36"/>
  <c r="L12" i="36"/>
  <c r="M12" i="36"/>
  <c r="N12" i="36"/>
  <c r="O12" i="36"/>
  <c r="P12" i="36"/>
  <c r="H13" i="36"/>
  <c r="K13" i="36" s="1"/>
  <c r="L13" i="36" s="1"/>
  <c r="H14" i="36"/>
  <c r="K14" i="36"/>
  <c r="L14" i="36"/>
  <c r="M14" i="36"/>
  <c r="N14" i="36"/>
  <c r="O14" i="36"/>
  <c r="P14" i="36"/>
  <c r="K16" i="36"/>
  <c r="L16" i="36"/>
  <c r="M16" i="36"/>
  <c r="N16" i="36"/>
  <c r="O16" i="36"/>
  <c r="P16" i="36"/>
  <c r="O3" i="35"/>
  <c r="O4" i="35"/>
  <c r="O5" i="35"/>
  <c r="H9" i="35"/>
  <c r="K9" i="35" s="1"/>
  <c r="H10" i="35"/>
  <c r="H19" i="35" s="1"/>
  <c r="K10" i="35"/>
  <c r="L10" i="35"/>
  <c r="M10" i="35"/>
  <c r="N10" i="35"/>
  <c r="O10" i="35"/>
  <c r="P10" i="35"/>
  <c r="H11" i="35"/>
  <c r="K11" i="35"/>
  <c r="L11" i="35"/>
  <c r="M11" i="35"/>
  <c r="N11" i="35"/>
  <c r="O11" i="35"/>
  <c r="P11" i="35" s="1"/>
  <c r="H12" i="35"/>
  <c r="K12" i="35"/>
  <c r="L12" i="35"/>
  <c r="M12" i="35"/>
  <c r="N12" i="35"/>
  <c r="O12" i="35"/>
  <c r="P12" i="35"/>
  <c r="H13" i="35"/>
  <c r="K13" i="35" s="1"/>
  <c r="L13" i="35" s="1"/>
  <c r="H14" i="35"/>
  <c r="K14" i="35"/>
  <c r="L14" i="35"/>
  <c r="M14" i="35"/>
  <c r="N14" i="35"/>
  <c r="O14" i="35"/>
  <c r="P14" i="35"/>
  <c r="K16" i="35"/>
  <c r="L16" i="35"/>
  <c r="M16" i="35"/>
  <c r="N16" i="35"/>
  <c r="O16" i="35"/>
  <c r="P16" i="35"/>
  <c r="H18" i="35"/>
  <c r="O3" i="34"/>
  <c r="O4" i="34"/>
  <c r="O5" i="34"/>
  <c r="H9" i="34"/>
  <c r="K9" i="34" s="1"/>
  <c r="H10" i="34"/>
  <c r="K10" i="34"/>
  <c r="L10" i="34"/>
  <c r="M10" i="34"/>
  <c r="N10" i="34"/>
  <c r="O10" i="34"/>
  <c r="P10" i="34"/>
  <c r="H11" i="34"/>
  <c r="K11" i="34"/>
  <c r="L11" i="34"/>
  <c r="M11" i="34"/>
  <c r="N11" i="34"/>
  <c r="O11" i="34"/>
  <c r="P11" i="34"/>
  <c r="H12" i="34"/>
  <c r="H18" i="34" s="1"/>
  <c r="K12" i="34"/>
  <c r="L12" i="34"/>
  <c r="M12" i="34"/>
  <c r="N12" i="34"/>
  <c r="O12" i="34"/>
  <c r="P12" i="34"/>
  <c r="H13" i="34"/>
  <c r="K13" i="34" s="1"/>
  <c r="L13" i="34" s="1"/>
  <c r="H14" i="34"/>
  <c r="K14" i="34"/>
  <c r="L14" i="34"/>
  <c r="M14" i="34"/>
  <c r="N14" i="34"/>
  <c r="O14" i="34"/>
  <c r="P14" i="34"/>
  <c r="K16" i="34"/>
  <c r="L16" i="34"/>
  <c r="M16" i="34"/>
  <c r="N16" i="34"/>
  <c r="O16" i="34"/>
  <c r="P16" i="34"/>
  <c r="O3" i="33"/>
  <c r="O4" i="33"/>
  <c r="O5" i="33"/>
  <c r="H9" i="33"/>
  <c r="K9" i="33" s="1"/>
  <c r="H10" i="33"/>
  <c r="K10" i="33"/>
  <c r="L10" i="33"/>
  <c r="M10" i="33"/>
  <c r="N10" i="33"/>
  <c r="O10" i="33"/>
  <c r="P10" i="33"/>
  <c r="H11" i="33"/>
  <c r="K11" i="33"/>
  <c r="L11" i="33"/>
  <c r="M11" i="33"/>
  <c r="N11" i="33"/>
  <c r="O11" i="33"/>
  <c r="P11" i="33"/>
  <c r="H12" i="33"/>
  <c r="H18" i="33" s="1"/>
  <c r="K12" i="33"/>
  <c r="L12" i="33"/>
  <c r="M12" i="33"/>
  <c r="N12" i="33"/>
  <c r="O12" i="33"/>
  <c r="P12" i="33"/>
  <c r="H13" i="33"/>
  <c r="K13" i="33" s="1"/>
  <c r="L13" i="33" s="1"/>
  <c r="H14" i="33"/>
  <c r="K14" i="33"/>
  <c r="L14" i="33"/>
  <c r="M14" i="33"/>
  <c r="N14" i="33"/>
  <c r="O14" i="33"/>
  <c r="P14" i="33"/>
  <c r="K16" i="33"/>
  <c r="L16" i="33"/>
  <c r="M16" i="33"/>
  <c r="N16" i="33"/>
  <c r="O16" i="33"/>
  <c r="P16" i="33"/>
  <c r="O3" i="32"/>
  <c r="O4" i="32"/>
  <c r="O5" i="32"/>
  <c r="H9" i="32"/>
  <c r="K9" i="32" s="1"/>
  <c r="H10" i="32"/>
  <c r="K10" i="32"/>
  <c r="L10" i="32"/>
  <c r="M10" i="32"/>
  <c r="N10" i="32"/>
  <c r="O10" i="32"/>
  <c r="P10" i="32"/>
  <c r="H11" i="32"/>
  <c r="K11" i="32"/>
  <c r="L11" i="32"/>
  <c r="M11" i="32"/>
  <c r="N11" i="32"/>
  <c r="O11" i="32"/>
  <c r="P11" i="32"/>
  <c r="H12" i="32"/>
  <c r="H18" i="32" s="1"/>
  <c r="K12" i="32"/>
  <c r="L12" i="32"/>
  <c r="M12" i="32"/>
  <c r="N12" i="32"/>
  <c r="O12" i="32"/>
  <c r="P12" i="32"/>
  <c r="H13" i="32"/>
  <c r="K13" i="32" s="1"/>
  <c r="L13" i="32" s="1"/>
  <c r="H14" i="32"/>
  <c r="K14" i="32"/>
  <c r="L14" i="32"/>
  <c r="M14" i="32"/>
  <c r="N14" i="32"/>
  <c r="O14" i="32"/>
  <c r="P14" i="32"/>
  <c r="K16" i="32"/>
  <c r="L16" i="32"/>
  <c r="M16" i="32"/>
  <c r="N16" i="32"/>
  <c r="O16" i="32"/>
  <c r="P16" i="32"/>
  <c r="O3" i="31"/>
  <c r="O4" i="31"/>
  <c r="O5" i="31"/>
  <c r="H9" i="31"/>
  <c r="K9" i="31" s="1"/>
  <c r="H10" i="31"/>
  <c r="K10" i="31"/>
  <c r="L10" i="31"/>
  <c r="M10" i="31"/>
  <c r="N10" i="31"/>
  <c r="O10" i="31"/>
  <c r="P10" i="31"/>
  <c r="H11" i="31"/>
  <c r="K11" i="31"/>
  <c r="L11" i="31"/>
  <c r="M11" i="31"/>
  <c r="N11" i="31"/>
  <c r="O11" i="31"/>
  <c r="P11" i="31"/>
  <c r="H12" i="31"/>
  <c r="H18" i="31" s="1"/>
  <c r="K12" i="31"/>
  <c r="L12" i="31"/>
  <c r="M12" i="31"/>
  <c r="N12" i="31"/>
  <c r="O12" i="31"/>
  <c r="P12" i="31"/>
  <c r="H13" i="31"/>
  <c r="K13" i="31" s="1"/>
  <c r="L13" i="31" s="1"/>
  <c r="H14" i="31"/>
  <c r="K14" i="31"/>
  <c r="L14" i="31"/>
  <c r="M14" i="31"/>
  <c r="N14" i="31"/>
  <c r="O14" i="31"/>
  <c r="P14" i="31"/>
  <c r="K16" i="31"/>
  <c r="L16" i="31"/>
  <c r="M16" i="31"/>
  <c r="N16" i="31"/>
  <c r="O16" i="31"/>
  <c r="P16" i="31"/>
  <c r="O3" i="30"/>
  <c r="O4" i="30"/>
  <c r="O5" i="30"/>
  <c r="H9" i="30"/>
  <c r="K9" i="30" s="1"/>
  <c r="H10" i="30"/>
  <c r="K10" i="30"/>
  <c r="L10" i="30"/>
  <c r="M10" i="30"/>
  <c r="N10" i="30"/>
  <c r="O10" i="30"/>
  <c r="P10" i="30"/>
  <c r="H11" i="30"/>
  <c r="K11" i="30"/>
  <c r="L11" i="30"/>
  <c r="M11" i="30"/>
  <c r="N11" i="30"/>
  <c r="O11" i="30"/>
  <c r="P11" i="30"/>
  <c r="H12" i="30"/>
  <c r="H18" i="30" s="1"/>
  <c r="K12" i="30"/>
  <c r="L12" i="30"/>
  <c r="M12" i="30"/>
  <c r="N12" i="30"/>
  <c r="O12" i="30"/>
  <c r="P12" i="30"/>
  <c r="H13" i="30"/>
  <c r="K13" i="30" s="1"/>
  <c r="L13" i="30" s="1"/>
  <c r="H14" i="30"/>
  <c r="K14" i="30"/>
  <c r="L14" i="30"/>
  <c r="M14" i="30"/>
  <c r="N14" i="30"/>
  <c r="O14" i="30"/>
  <c r="P14" i="30"/>
  <c r="K16" i="30"/>
  <c r="L16" i="30"/>
  <c r="M16" i="30"/>
  <c r="N16" i="30"/>
  <c r="O16" i="30"/>
  <c r="P16" i="30"/>
  <c r="O3" i="29"/>
  <c r="O4" i="29"/>
  <c r="O5" i="29"/>
  <c r="H9" i="29"/>
  <c r="K9" i="29" s="1"/>
  <c r="H10" i="29"/>
  <c r="H19" i="29" s="1"/>
  <c r="K10" i="29"/>
  <c r="L10" i="29"/>
  <c r="M10" i="29"/>
  <c r="N10" i="29"/>
  <c r="O10" i="29"/>
  <c r="P10" i="29"/>
  <c r="H11" i="29"/>
  <c r="K11" i="29"/>
  <c r="L11" i="29"/>
  <c r="M11" i="29"/>
  <c r="N11" i="29"/>
  <c r="O11" i="29"/>
  <c r="P11" i="29" s="1"/>
  <c r="H12" i="29"/>
  <c r="K12" i="29"/>
  <c r="L12" i="29"/>
  <c r="M12" i="29"/>
  <c r="N12" i="29"/>
  <c r="O12" i="29"/>
  <c r="P12" i="29"/>
  <c r="H13" i="29"/>
  <c r="K13" i="29" s="1"/>
  <c r="L13" i="29" s="1"/>
  <c r="H14" i="29"/>
  <c r="K14" i="29"/>
  <c r="L14" i="29"/>
  <c r="M14" i="29"/>
  <c r="N14" i="29"/>
  <c r="O14" i="29"/>
  <c r="P14" i="29"/>
  <c r="K16" i="29"/>
  <c r="L16" i="29"/>
  <c r="M16" i="29"/>
  <c r="N16" i="29"/>
  <c r="O16" i="29"/>
  <c r="P16" i="29"/>
  <c r="H18" i="29"/>
  <c r="O3" i="28"/>
  <c r="O4" i="28"/>
  <c r="O5" i="28"/>
  <c r="H9" i="28"/>
  <c r="K9" i="28"/>
  <c r="L9" i="28"/>
  <c r="M9" i="28"/>
  <c r="N9" i="28"/>
  <c r="O9" i="28"/>
  <c r="P9" i="28"/>
  <c r="H10" i="28"/>
  <c r="K10" i="28"/>
  <c r="L10" i="28"/>
  <c r="M10" i="28"/>
  <c r="N10" i="28"/>
  <c r="O10" i="28"/>
  <c r="P10" i="28"/>
  <c r="H11" i="28"/>
  <c r="K11" i="28"/>
  <c r="L11" i="28"/>
  <c r="M11" i="28"/>
  <c r="N11" i="28"/>
  <c r="O11" i="28"/>
  <c r="P11" i="28"/>
  <c r="H12" i="28"/>
  <c r="H18" i="28" s="1"/>
  <c r="K12" i="28"/>
  <c r="L12" i="28"/>
  <c r="M12" i="28"/>
  <c r="N12" i="28"/>
  <c r="O12" i="28"/>
  <c r="P12" i="28"/>
  <c r="H13" i="28"/>
  <c r="K13" i="28" s="1"/>
  <c r="H14" i="28"/>
  <c r="K14" i="28"/>
  <c r="L14" i="28"/>
  <c r="M14" i="28"/>
  <c r="N14" i="28"/>
  <c r="O14" i="28"/>
  <c r="P14" i="28"/>
  <c r="K16" i="28"/>
  <c r="L16" i="28"/>
  <c r="M16" i="28"/>
  <c r="N16" i="28"/>
  <c r="O16" i="28"/>
  <c r="P16" i="28"/>
  <c r="O3" i="27"/>
  <c r="O4" i="27"/>
  <c r="O5" i="27"/>
  <c r="H9" i="27"/>
  <c r="K9" i="27" s="1"/>
  <c r="H10" i="27"/>
  <c r="H19" i="27" s="1"/>
  <c r="K10" i="27"/>
  <c r="L10" i="27"/>
  <c r="M10" i="27"/>
  <c r="N10" i="27"/>
  <c r="O10" i="27"/>
  <c r="P10" i="27"/>
  <c r="H11" i="27"/>
  <c r="K11" i="27"/>
  <c r="L11" i="27"/>
  <c r="M11" i="27"/>
  <c r="N11" i="27"/>
  <c r="O11" i="27"/>
  <c r="P11" i="27" s="1"/>
  <c r="H12" i="27"/>
  <c r="K12" i="27"/>
  <c r="L12" i="27"/>
  <c r="M12" i="27"/>
  <c r="N12" i="27"/>
  <c r="O12" i="27"/>
  <c r="P12" i="27"/>
  <c r="H13" i="27"/>
  <c r="K13" i="27" s="1"/>
  <c r="L13" i="27" s="1"/>
  <c r="H14" i="27"/>
  <c r="K14" i="27"/>
  <c r="L14" i="27"/>
  <c r="M14" i="27"/>
  <c r="N14" i="27"/>
  <c r="O14" i="27"/>
  <c r="P14" i="27"/>
  <c r="K16" i="27"/>
  <c r="L16" i="27"/>
  <c r="M16" i="27"/>
  <c r="N16" i="27"/>
  <c r="O16" i="27"/>
  <c r="P16" i="27"/>
  <c r="H18" i="27"/>
  <c r="O3" i="26"/>
  <c r="O4" i="26"/>
  <c r="O5" i="26"/>
  <c r="H9" i="26"/>
  <c r="K9" i="26" s="1"/>
  <c r="H10" i="26"/>
  <c r="K10" i="26"/>
  <c r="L10" i="26"/>
  <c r="M10" i="26"/>
  <c r="N10" i="26"/>
  <c r="O10" i="26"/>
  <c r="P10" i="26"/>
  <c r="H11" i="26"/>
  <c r="K11" i="26"/>
  <c r="L11" i="26"/>
  <c r="M11" i="26"/>
  <c r="N11" i="26"/>
  <c r="O11" i="26"/>
  <c r="P11" i="26" s="1"/>
  <c r="H12" i="26"/>
  <c r="K12" i="26"/>
  <c r="L12" i="26"/>
  <c r="M12" i="26"/>
  <c r="N12" i="26"/>
  <c r="O12" i="26"/>
  <c r="P12" i="26"/>
  <c r="H13" i="26"/>
  <c r="K13" i="26" s="1"/>
  <c r="L13" i="26" s="1"/>
  <c r="H14" i="26"/>
  <c r="K14" i="26"/>
  <c r="L14" i="26"/>
  <c r="M14" i="26"/>
  <c r="N14" i="26"/>
  <c r="O14" i="26"/>
  <c r="P14" i="26"/>
  <c r="K16" i="26"/>
  <c r="L16" i="26"/>
  <c r="M16" i="26"/>
  <c r="N16" i="26"/>
  <c r="O16" i="26"/>
  <c r="P16" i="26"/>
  <c r="H18" i="26"/>
  <c r="O3" i="25"/>
  <c r="O4" i="25"/>
  <c r="O5" i="25"/>
  <c r="H9" i="25"/>
  <c r="K9" i="25"/>
  <c r="L9" i="25"/>
  <c r="M9" i="25"/>
  <c r="N9" i="25"/>
  <c r="O9" i="25"/>
  <c r="P9" i="25"/>
  <c r="H10" i="25"/>
  <c r="H19" i="25" s="1"/>
  <c r="K10" i="25"/>
  <c r="L10" i="25"/>
  <c r="M10" i="25"/>
  <c r="N10" i="25"/>
  <c r="O10" i="25"/>
  <c r="P10" i="25"/>
  <c r="H11" i="25"/>
  <c r="K11" i="25"/>
  <c r="L11" i="25"/>
  <c r="M11" i="25"/>
  <c r="N11" i="25"/>
  <c r="O11" i="25"/>
  <c r="P11" i="25" s="1"/>
  <c r="H12" i="25"/>
  <c r="K12" i="25"/>
  <c r="L12" i="25"/>
  <c r="M12" i="25"/>
  <c r="N12" i="25"/>
  <c r="O12" i="25"/>
  <c r="P12" i="25"/>
  <c r="H13" i="25"/>
  <c r="K13" i="25" s="1"/>
  <c r="H14" i="25"/>
  <c r="K14" i="25"/>
  <c r="L14" i="25"/>
  <c r="M14" i="25"/>
  <c r="N14" i="25"/>
  <c r="O14" i="25"/>
  <c r="P14" i="25" s="1"/>
  <c r="K16" i="25"/>
  <c r="L16" i="25"/>
  <c r="M16" i="25"/>
  <c r="N16" i="25"/>
  <c r="O16" i="25"/>
  <c r="P16" i="25"/>
  <c r="H18" i="25"/>
  <c r="O3" i="24"/>
  <c r="O4" i="24"/>
  <c r="O5" i="24"/>
  <c r="H9" i="24"/>
  <c r="K9" i="24" s="1"/>
  <c r="H10" i="24"/>
  <c r="H19" i="24" s="1"/>
  <c r="K10" i="24"/>
  <c r="L10" i="24"/>
  <c r="M10" i="24"/>
  <c r="N10" i="24"/>
  <c r="O10" i="24"/>
  <c r="P10" i="24"/>
  <c r="H11" i="24"/>
  <c r="K11" i="24"/>
  <c r="L11" i="24"/>
  <c r="M11" i="24"/>
  <c r="N11" i="24"/>
  <c r="O11" i="24"/>
  <c r="P11" i="24" s="1"/>
  <c r="H12" i="24"/>
  <c r="K12" i="24"/>
  <c r="L12" i="24"/>
  <c r="M12" i="24"/>
  <c r="N12" i="24"/>
  <c r="O12" i="24"/>
  <c r="P12" i="24"/>
  <c r="H13" i="24"/>
  <c r="K13" i="24" s="1"/>
  <c r="L13" i="24" s="1"/>
  <c r="H14" i="24"/>
  <c r="K14" i="24"/>
  <c r="L14" i="24"/>
  <c r="M14" i="24"/>
  <c r="N14" i="24"/>
  <c r="O14" i="24"/>
  <c r="P14" i="24"/>
  <c r="K16" i="24"/>
  <c r="L16" i="24"/>
  <c r="M16" i="24"/>
  <c r="N16" i="24"/>
  <c r="O16" i="24"/>
  <c r="P16" i="24"/>
  <c r="H18" i="24"/>
  <c r="O3" i="23"/>
  <c r="O4" i="23"/>
  <c r="O5" i="23"/>
  <c r="H9" i="23"/>
  <c r="K9" i="23" s="1"/>
  <c r="H10" i="23"/>
  <c r="K10" i="23"/>
  <c r="L10" i="23"/>
  <c r="M10" i="23"/>
  <c r="N10" i="23"/>
  <c r="O10" i="23"/>
  <c r="P10" i="23"/>
  <c r="H11" i="23"/>
  <c r="K11" i="23"/>
  <c r="L11" i="23"/>
  <c r="M11" i="23"/>
  <c r="N11" i="23"/>
  <c r="O11" i="23"/>
  <c r="P11" i="23"/>
  <c r="H12" i="23"/>
  <c r="H18" i="23" s="1"/>
  <c r="K12" i="23"/>
  <c r="L12" i="23"/>
  <c r="M12" i="23"/>
  <c r="N12" i="23"/>
  <c r="O12" i="23"/>
  <c r="P12" i="23"/>
  <c r="H13" i="23"/>
  <c r="K13" i="23" s="1"/>
  <c r="L13" i="23" s="1"/>
  <c r="H14" i="23"/>
  <c r="K14" i="23"/>
  <c r="L14" i="23"/>
  <c r="M14" i="23"/>
  <c r="N14" i="23"/>
  <c r="O14" i="23"/>
  <c r="P14" i="23"/>
  <c r="K16" i="23"/>
  <c r="L16" i="23"/>
  <c r="M16" i="23"/>
  <c r="N16" i="23"/>
  <c r="O16" i="23"/>
  <c r="P16" i="23"/>
  <c r="O3" i="22"/>
  <c r="O4" i="22"/>
  <c r="O5" i="22"/>
  <c r="H9" i="22"/>
  <c r="K9" i="22"/>
  <c r="L9" i="22" s="1"/>
  <c r="H10" i="22"/>
  <c r="H19" i="22" s="1"/>
  <c r="K10" i="22"/>
  <c r="L10" i="22"/>
  <c r="M10" i="22"/>
  <c r="N10" i="22"/>
  <c r="O10" i="22"/>
  <c r="P10" i="22"/>
  <c r="H11" i="22"/>
  <c r="K11" i="22"/>
  <c r="L11" i="22"/>
  <c r="M11" i="22"/>
  <c r="N11" i="22"/>
  <c r="O11" i="22"/>
  <c r="P11" i="22" s="1"/>
  <c r="H12" i="22"/>
  <c r="K12" i="22"/>
  <c r="L12" i="22"/>
  <c r="M12" i="22"/>
  <c r="N12" i="22"/>
  <c r="O12" i="22"/>
  <c r="P12" i="22"/>
  <c r="H13" i="22"/>
  <c r="K13" i="22" s="1"/>
  <c r="H14" i="22"/>
  <c r="K14" i="22"/>
  <c r="L14" i="22"/>
  <c r="M14" i="22"/>
  <c r="N14" i="22"/>
  <c r="O14" i="22"/>
  <c r="P14" i="22"/>
  <c r="K16" i="22"/>
  <c r="L16" i="22"/>
  <c r="M16" i="22"/>
  <c r="N16" i="22"/>
  <c r="O16" i="22"/>
  <c r="P16" i="22"/>
  <c r="H18" i="22"/>
  <c r="O3" i="21"/>
  <c r="O4" i="21"/>
  <c r="O5" i="21"/>
  <c r="H9" i="21"/>
  <c r="K9" i="21"/>
  <c r="L9" i="21" s="1"/>
  <c r="H10" i="21"/>
  <c r="K10" i="21"/>
  <c r="L10" i="21"/>
  <c r="M10" i="21"/>
  <c r="N10" i="21"/>
  <c r="O10" i="21"/>
  <c r="P10" i="21"/>
  <c r="H11" i="21"/>
  <c r="K11" i="21"/>
  <c r="L11" i="21"/>
  <c r="M11" i="21"/>
  <c r="N11" i="21"/>
  <c r="O11" i="21"/>
  <c r="P11" i="21"/>
  <c r="H12" i="21"/>
  <c r="H18" i="21" s="1"/>
  <c r="K12" i="21"/>
  <c r="K18" i="21" s="1"/>
  <c r="L12" i="21"/>
  <c r="M12" i="21"/>
  <c r="N12" i="21"/>
  <c r="O12" i="21"/>
  <c r="P12" i="21"/>
  <c r="H13" i="21"/>
  <c r="K13" i="21" s="1"/>
  <c r="H14" i="21"/>
  <c r="K14" i="21" s="1"/>
  <c r="L14" i="21" s="1"/>
  <c r="K16" i="21"/>
  <c r="L16" i="21"/>
  <c r="M16" i="21"/>
  <c r="N16" i="21"/>
  <c r="O16" i="21"/>
  <c r="P16" i="21"/>
  <c r="O3" i="20"/>
  <c r="O4" i="20"/>
  <c r="O5" i="20"/>
  <c r="H9" i="20"/>
  <c r="K9" i="20" s="1"/>
  <c r="H10" i="20"/>
  <c r="K10" i="20"/>
  <c r="L10" i="20"/>
  <c r="N10" i="20" s="1"/>
  <c r="M10" i="20"/>
  <c r="O10" i="20" s="1"/>
  <c r="P10" i="20" s="1"/>
  <c r="H11" i="20"/>
  <c r="K11" i="20"/>
  <c r="L11" i="20"/>
  <c r="M11" i="20"/>
  <c r="N11" i="20"/>
  <c r="O11" i="20"/>
  <c r="P11" i="20"/>
  <c r="H12" i="20"/>
  <c r="K12" i="20"/>
  <c r="L12" i="20"/>
  <c r="M12" i="20"/>
  <c r="N12" i="20"/>
  <c r="O12" i="20"/>
  <c r="P12" i="20"/>
  <c r="H13" i="20"/>
  <c r="K13" i="20" s="1"/>
  <c r="L13" i="20" s="1"/>
  <c r="H14" i="20"/>
  <c r="K14" i="20"/>
  <c r="L14" i="20"/>
  <c r="M14" i="20"/>
  <c r="N14" i="20"/>
  <c r="O14" i="20"/>
  <c r="P14" i="20"/>
  <c r="K16" i="20"/>
  <c r="L16" i="20" s="1"/>
  <c r="O3" i="19"/>
  <c r="O4" i="19"/>
  <c r="O5" i="19"/>
  <c r="H9" i="19"/>
  <c r="K9" i="19"/>
  <c r="L9" i="19"/>
  <c r="M9" i="19"/>
  <c r="N9" i="19"/>
  <c r="O9" i="19"/>
  <c r="P9" i="19"/>
  <c r="H10" i="19"/>
  <c r="H19" i="19" s="1"/>
  <c r="K10" i="19"/>
  <c r="L10" i="19"/>
  <c r="M10" i="19"/>
  <c r="N10" i="19"/>
  <c r="O10" i="19"/>
  <c r="P10" i="19"/>
  <c r="H11" i="19"/>
  <c r="K11" i="19"/>
  <c r="L11" i="19"/>
  <c r="M11" i="19"/>
  <c r="N11" i="19"/>
  <c r="O11" i="19"/>
  <c r="P11" i="19" s="1"/>
  <c r="H12" i="19"/>
  <c r="K12" i="19"/>
  <c r="L12" i="19"/>
  <c r="M12" i="19"/>
  <c r="N12" i="19"/>
  <c r="O12" i="19"/>
  <c r="P12" i="19"/>
  <c r="H13" i="19"/>
  <c r="K13" i="19" s="1"/>
  <c r="H14" i="19"/>
  <c r="K14" i="19"/>
  <c r="L14" i="19"/>
  <c r="M14" i="19"/>
  <c r="N14" i="19"/>
  <c r="O14" i="19"/>
  <c r="P14" i="19"/>
  <c r="K16" i="19"/>
  <c r="L16" i="19"/>
  <c r="M16" i="19"/>
  <c r="N16" i="19"/>
  <c r="O16" i="19"/>
  <c r="P16" i="19"/>
  <c r="H18" i="19"/>
  <c r="O3" i="18"/>
  <c r="O4" i="18"/>
  <c r="O5" i="18"/>
  <c r="H9" i="18"/>
  <c r="K9" i="18"/>
  <c r="L9" i="18"/>
  <c r="M9" i="18"/>
  <c r="H10" i="18"/>
  <c r="H19" i="18" s="1"/>
  <c r="K10" i="18"/>
  <c r="L10" i="18"/>
  <c r="M10" i="18"/>
  <c r="N10" i="18"/>
  <c r="O10" i="18"/>
  <c r="P10" i="18"/>
  <c r="H11" i="18"/>
  <c r="K11" i="18"/>
  <c r="L11" i="18"/>
  <c r="M11" i="18"/>
  <c r="N11" i="18"/>
  <c r="O11" i="18"/>
  <c r="P11" i="18" s="1"/>
  <c r="H12" i="18"/>
  <c r="K12" i="18"/>
  <c r="L12" i="18"/>
  <c r="M12" i="18"/>
  <c r="O12" i="18"/>
  <c r="P12" i="18"/>
  <c r="H13" i="18"/>
  <c r="K13" i="18" s="1"/>
  <c r="H14" i="18"/>
  <c r="K14" i="18"/>
  <c r="L14" i="18"/>
  <c r="M14" i="18"/>
  <c r="K16" i="18"/>
  <c r="L16" i="18"/>
  <c r="M16" i="18"/>
  <c r="N16" i="18"/>
  <c r="O16" i="18"/>
  <c r="P16" i="18"/>
  <c r="H18" i="18"/>
  <c r="O3" i="17"/>
  <c r="O4" i="17"/>
  <c r="O5" i="17"/>
  <c r="H9" i="17"/>
  <c r="K9" i="17"/>
  <c r="L9" i="17"/>
  <c r="M9" i="17"/>
  <c r="N9" i="17"/>
  <c r="O9" i="17"/>
  <c r="P9" i="17"/>
  <c r="H10" i="17"/>
  <c r="K10" i="17"/>
  <c r="L10" i="17"/>
  <c r="M10" i="17"/>
  <c r="N10" i="17"/>
  <c r="O10" i="17"/>
  <c r="P10" i="17"/>
  <c r="H11" i="17"/>
  <c r="K11" i="17"/>
  <c r="L11" i="17"/>
  <c r="M11" i="17"/>
  <c r="N11" i="17"/>
  <c r="O11" i="17"/>
  <c r="P11" i="17"/>
  <c r="H12" i="17"/>
  <c r="H18" i="17" s="1"/>
  <c r="K12" i="17"/>
  <c r="L12" i="17"/>
  <c r="M12" i="17"/>
  <c r="N12" i="17"/>
  <c r="O12" i="17"/>
  <c r="P12" i="17"/>
  <c r="H13" i="17"/>
  <c r="K13" i="17" s="1"/>
  <c r="H14" i="17"/>
  <c r="K14" i="17"/>
  <c r="L14" i="17"/>
  <c r="M14" i="17"/>
  <c r="N14" i="17"/>
  <c r="O14" i="17"/>
  <c r="P14" i="17"/>
  <c r="K16" i="17"/>
  <c r="L16" i="17"/>
  <c r="M16" i="17"/>
  <c r="N16" i="17"/>
  <c r="O16" i="17"/>
  <c r="P16" i="17"/>
  <c r="O3" i="16"/>
  <c r="O4" i="16"/>
  <c r="O5" i="16"/>
  <c r="H9" i="16"/>
  <c r="K9" i="16"/>
  <c r="L9" i="16"/>
  <c r="M9" i="16"/>
  <c r="N9" i="16"/>
  <c r="O9" i="16"/>
  <c r="P9" i="16"/>
  <c r="H10" i="16"/>
  <c r="K10" i="16"/>
  <c r="L10" i="16"/>
  <c r="M10" i="16"/>
  <c r="N10" i="16"/>
  <c r="O10" i="16"/>
  <c r="P10" i="16"/>
  <c r="H11" i="16"/>
  <c r="H19" i="16" s="1"/>
  <c r="K11" i="16"/>
  <c r="K19" i="16" s="1"/>
  <c r="L11" i="16"/>
  <c r="M11" i="16"/>
  <c r="N11" i="16"/>
  <c r="O11" i="16"/>
  <c r="P11" i="16" s="1"/>
  <c r="H12" i="16"/>
  <c r="K12" i="16"/>
  <c r="L12" i="16"/>
  <c r="M12" i="16"/>
  <c r="N12" i="16"/>
  <c r="O12" i="16"/>
  <c r="P12" i="16"/>
  <c r="H13" i="16"/>
  <c r="K13" i="16" s="1"/>
  <c r="H14" i="16"/>
  <c r="K14" i="16"/>
  <c r="L14" i="16"/>
  <c r="M14" i="16"/>
  <c r="N14" i="16"/>
  <c r="O14" i="16"/>
  <c r="P14" i="16"/>
  <c r="K16" i="16"/>
  <c r="L16" i="16"/>
  <c r="M16" i="16"/>
  <c r="N16" i="16"/>
  <c r="O16" i="16"/>
  <c r="P16" i="16"/>
  <c r="H18" i="16"/>
  <c r="O3" i="15"/>
  <c r="O4" i="15"/>
  <c r="O5" i="15"/>
  <c r="H9" i="15"/>
  <c r="K9" i="15"/>
  <c r="L9" i="15"/>
  <c r="M9" i="15"/>
  <c r="N9" i="15"/>
  <c r="O9" i="15"/>
  <c r="P9" i="15"/>
  <c r="H10" i="15"/>
  <c r="H19" i="15" s="1"/>
  <c r="K10" i="15"/>
  <c r="K19" i="15" s="1"/>
  <c r="L10" i="15"/>
  <c r="M10" i="15"/>
  <c r="N10" i="15"/>
  <c r="O10" i="15"/>
  <c r="P10" i="15"/>
  <c r="H11" i="15"/>
  <c r="K11" i="15"/>
  <c r="L11" i="15"/>
  <c r="M11" i="15"/>
  <c r="N11" i="15"/>
  <c r="O11" i="15"/>
  <c r="P11" i="15" s="1"/>
  <c r="H12" i="15"/>
  <c r="K12" i="15"/>
  <c r="L12" i="15"/>
  <c r="M12" i="15"/>
  <c r="N12" i="15"/>
  <c r="O12" i="15"/>
  <c r="P12" i="15"/>
  <c r="H13" i="15"/>
  <c r="K13" i="15" s="1"/>
  <c r="H14" i="15"/>
  <c r="K14" i="15"/>
  <c r="L14" i="15"/>
  <c r="M14" i="15"/>
  <c r="N14" i="15"/>
  <c r="O14" i="15"/>
  <c r="P14" i="15"/>
  <c r="K16" i="15"/>
  <c r="L16" i="15"/>
  <c r="M16" i="15"/>
  <c r="N16" i="15"/>
  <c r="O16" i="15"/>
  <c r="P16" i="15"/>
  <c r="H18" i="15"/>
  <c r="O3" i="14"/>
  <c r="O4" i="14"/>
  <c r="O5" i="14"/>
  <c r="H9" i="14"/>
  <c r="K9" i="14"/>
  <c r="L9" i="14"/>
  <c r="M9" i="14"/>
  <c r="N9" i="14"/>
  <c r="O9" i="14"/>
  <c r="P9" i="14"/>
  <c r="H10" i="14"/>
  <c r="H19" i="14" s="1"/>
  <c r="K10" i="14"/>
  <c r="K19" i="14" s="1"/>
  <c r="L10" i="14"/>
  <c r="M10" i="14"/>
  <c r="N10" i="14"/>
  <c r="O10" i="14"/>
  <c r="P10" i="14"/>
  <c r="H11" i="14"/>
  <c r="K11" i="14"/>
  <c r="L11" i="14"/>
  <c r="M11" i="14"/>
  <c r="N11" i="14"/>
  <c r="O11" i="14"/>
  <c r="P11" i="14" s="1"/>
  <c r="H12" i="14"/>
  <c r="K12" i="14"/>
  <c r="L12" i="14"/>
  <c r="M12" i="14"/>
  <c r="N12" i="14"/>
  <c r="O12" i="14"/>
  <c r="P12" i="14"/>
  <c r="H13" i="14"/>
  <c r="K13" i="14" s="1"/>
  <c r="H14" i="14"/>
  <c r="K14" i="14"/>
  <c r="L14" i="14"/>
  <c r="M14" i="14"/>
  <c r="N14" i="14"/>
  <c r="O14" i="14"/>
  <c r="P14" i="14"/>
  <c r="K16" i="14"/>
  <c r="L16" i="14"/>
  <c r="M16" i="14"/>
  <c r="N16" i="14"/>
  <c r="O16" i="14"/>
  <c r="P16" i="14"/>
  <c r="H18" i="14"/>
  <c r="O3" i="13"/>
  <c r="O4" i="13"/>
  <c r="O5" i="13"/>
  <c r="H9" i="13"/>
  <c r="H19" i="13" s="1"/>
  <c r="K9" i="13"/>
  <c r="L9" i="13"/>
  <c r="M9" i="13"/>
  <c r="N9" i="13"/>
  <c r="O9" i="13"/>
  <c r="P9" i="13"/>
  <c r="H10" i="13"/>
  <c r="K10" i="13"/>
  <c r="L10" i="13"/>
  <c r="M10" i="13"/>
  <c r="N10" i="13"/>
  <c r="O10" i="13"/>
  <c r="P10" i="13"/>
  <c r="H11" i="13"/>
  <c r="K11" i="13"/>
  <c r="L11" i="13"/>
  <c r="M11" i="13" s="1"/>
  <c r="O11" i="13" s="1"/>
  <c r="P11" i="13" s="1"/>
  <c r="H12" i="13"/>
  <c r="K12" i="13"/>
  <c r="L12" i="13"/>
  <c r="M12" i="13"/>
  <c r="N12" i="13"/>
  <c r="O12" i="13"/>
  <c r="P12" i="13"/>
  <c r="H13" i="13"/>
  <c r="K13" i="13" s="1"/>
  <c r="L13" i="13" s="1"/>
  <c r="H14" i="13"/>
  <c r="K14" i="13"/>
  <c r="L14" i="13"/>
  <c r="M14" i="13"/>
  <c r="N14" i="13"/>
  <c r="O14" i="13"/>
  <c r="P14" i="13"/>
  <c r="K16" i="13"/>
  <c r="L16" i="13"/>
  <c r="M16" i="13"/>
  <c r="N16" i="13"/>
  <c r="O16" i="13"/>
  <c r="P16" i="13"/>
  <c r="H18" i="13"/>
  <c r="O3" i="12"/>
  <c r="O4" i="12"/>
  <c r="N9" i="12" s="1"/>
  <c r="O5" i="12"/>
  <c r="H9" i="12"/>
  <c r="K9" i="12"/>
  <c r="L9" i="12"/>
  <c r="M9" i="12"/>
  <c r="H10" i="12"/>
  <c r="K10" i="12"/>
  <c r="L10" i="12"/>
  <c r="M10" i="12"/>
  <c r="N10" i="12"/>
  <c r="O10" i="12"/>
  <c r="P10" i="12"/>
  <c r="H11" i="12"/>
  <c r="K11" i="12"/>
  <c r="L11" i="12"/>
  <c r="M11" i="12"/>
  <c r="N11" i="12"/>
  <c r="O11" i="12"/>
  <c r="P11" i="12"/>
  <c r="H12" i="12"/>
  <c r="H18" i="12" s="1"/>
  <c r="K12" i="12"/>
  <c r="L12" i="12"/>
  <c r="M12" i="12"/>
  <c r="N12" i="12"/>
  <c r="O12" i="12"/>
  <c r="P12" i="12"/>
  <c r="H13" i="12"/>
  <c r="K13" i="12" s="1"/>
  <c r="H14" i="12"/>
  <c r="K14" i="12"/>
  <c r="L14" i="12"/>
  <c r="M14" i="12"/>
  <c r="N14" i="12"/>
  <c r="O14" i="12"/>
  <c r="P14" i="12"/>
  <c r="K16" i="12"/>
  <c r="L16" i="12"/>
  <c r="M16" i="12"/>
  <c r="N16" i="12"/>
  <c r="O16" i="12"/>
  <c r="P16" i="12"/>
  <c r="O3" i="11"/>
  <c r="O4" i="11"/>
  <c r="O5" i="11"/>
  <c r="H9" i="11"/>
  <c r="K9" i="11" s="1"/>
  <c r="H10" i="11"/>
  <c r="K10" i="11"/>
  <c r="L10" i="11"/>
  <c r="M10" i="11"/>
  <c r="N10" i="11"/>
  <c r="O10" i="11"/>
  <c r="P10" i="11"/>
  <c r="H11" i="11"/>
  <c r="K11" i="11"/>
  <c r="L11" i="11"/>
  <c r="M11" i="11"/>
  <c r="N11" i="11"/>
  <c r="O11" i="11"/>
  <c r="P11" i="11"/>
  <c r="H12" i="11"/>
  <c r="H18" i="11" s="1"/>
  <c r="K12" i="11"/>
  <c r="L12" i="11"/>
  <c r="M12" i="11"/>
  <c r="N12" i="11"/>
  <c r="O12" i="11"/>
  <c r="P12" i="11"/>
  <c r="H13" i="11"/>
  <c r="K13" i="11" s="1"/>
  <c r="L13" i="11" s="1"/>
  <c r="H14" i="11"/>
  <c r="K14" i="11"/>
  <c r="L14" i="11"/>
  <c r="M14" i="11"/>
  <c r="N14" i="11"/>
  <c r="O14" i="11"/>
  <c r="P14" i="11"/>
  <c r="K16" i="11"/>
  <c r="L16" i="11"/>
  <c r="M16" i="11" s="1"/>
  <c r="O3" i="10"/>
  <c r="O4" i="10"/>
  <c r="O5" i="10"/>
  <c r="H9" i="10"/>
  <c r="K9" i="10"/>
  <c r="L9" i="10"/>
  <c r="M9" i="10"/>
  <c r="N9" i="10"/>
  <c r="O9" i="10"/>
  <c r="P9" i="10"/>
  <c r="H10" i="10"/>
  <c r="K10" i="10"/>
  <c r="L10" i="10"/>
  <c r="M10" i="10"/>
  <c r="N10" i="10"/>
  <c r="O10" i="10"/>
  <c r="P10" i="10"/>
  <c r="H11" i="10"/>
  <c r="K11" i="10"/>
  <c r="L11" i="10"/>
  <c r="M11" i="10"/>
  <c r="N11" i="10"/>
  <c r="O11" i="10"/>
  <c r="P11" i="10"/>
  <c r="H12" i="10"/>
  <c r="H18" i="10" s="1"/>
  <c r="K12" i="10"/>
  <c r="L12" i="10"/>
  <c r="M12" i="10"/>
  <c r="N12" i="10"/>
  <c r="O12" i="10"/>
  <c r="P12" i="10"/>
  <c r="H13" i="10"/>
  <c r="K13" i="10" s="1"/>
  <c r="H14" i="10"/>
  <c r="K14" i="10"/>
  <c r="L14" i="10"/>
  <c r="M14" i="10"/>
  <c r="N14" i="10"/>
  <c r="O14" i="10"/>
  <c r="P14" i="10"/>
  <c r="K16" i="10"/>
  <c r="L16" i="10"/>
  <c r="M16" i="10"/>
  <c r="N16" i="10"/>
  <c r="O16" i="10"/>
  <c r="P16" i="10"/>
  <c r="O3" i="9"/>
  <c r="O4" i="9"/>
  <c r="O5" i="9"/>
  <c r="H9" i="9"/>
  <c r="K9" i="9"/>
  <c r="L9" i="9"/>
  <c r="M9" i="9"/>
  <c r="N9" i="9"/>
  <c r="O9" i="9"/>
  <c r="P9" i="9"/>
  <c r="H10" i="9"/>
  <c r="H19" i="9" s="1"/>
  <c r="K10" i="9"/>
  <c r="K19" i="9" s="1"/>
  <c r="L10" i="9"/>
  <c r="M10" i="9"/>
  <c r="N10" i="9"/>
  <c r="O10" i="9"/>
  <c r="P10" i="9"/>
  <c r="H11" i="9"/>
  <c r="K11" i="9"/>
  <c r="L11" i="9"/>
  <c r="M11" i="9"/>
  <c r="N11" i="9"/>
  <c r="O11" i="9"/>
  <c r="P11" i="9" s="1"/>
  <c r="H12" i="9"/>
  <c r="K12" i="9"/>
  <c r="L12" i="9"/>
  <c r="M12" i="9"/>
  <c r="N12" i="9"/>
  <c r="O12" i="9"/>
  <c r="P12" i="9"/>
  <c r="H13" i="9"/>
  <c r="K13" i="9" s="1"/>
  <c r="H14" i="9"/>
  <c r="K14" i="9"/>
  <c r="L14" i="9"/>
  <c r="M14" i="9"/>
  <c r="N14" i="9"/>
  <c r="O14" i="9"/>
  <c r="P14" i="9"/>
  <c r="K16" i="9"/>
  <c r="L16" i="9"/>
  <c r="M16" i="9"/>
  <c r="N16" i="9"/>
  <c r="O16" i="9"/>
  <c r="P16" i="9"/>
  <c r="H18" i="9"/>
  <c r="O3" i="8"/>
  <c r="O4" i="8"/>
  <c r="O5" i="8"/>
  <c r="H9" i="8"/>
  <c r="K9" i="8"/>
  <c r="L9" i="8"/>
  <c r="M9" i="8"/>
  <c r="N9" i="8"/>
  <c r="O9" i="8"/>
  <c r="P9" i="8"/>
  <c r="H10" i="8"/>
  <c r="H18" i="8" s="1"/>
  <c r="K10" i="8"/>
  <c r="K19" i="8" s="1"/>
  <c r="L10" i="8"/>
  <c r="N10" i="8" s="1"/>
  <c r="M10" i="8"/>
  <c r="O10" i="8" s="1"/>
  <c r="H11" i="8"/>
  <c r="K11" i="8"/>
  <c r="L11" i="8"/>
  <c r="M11" i="8"/>
  <c r="N11" i="8"/>
  <c r="O11" i="8"/>
  <c r="P11" i="8" s="1"/>
  <c r="H12" i="8"/>
  <c r="K12" i="8"/>
  <c r="L12" i="8"/>
  <c r="M12" i="8"/>
  <c r="N12" i="8"/>
  <c r="O12" i="8"/>
  <c r="P12" i="8"/>
  <c r="H13" i="8"/>
  <c r="K13" i="8" s="1"/>
  <c r="L13" i="8" s="1"/>
  <c r="H14" i="8"/>
  <c r="K14" i="8"/>
  <c r="L14" i="8" s="1"/>
  <c r="K16" i="8"/>
  <c r="L16" i="8" s="1"/>
  <c r="O3" i="7"/>
  <c r="O4" i="7"/>
  <c r="O5" i="7"/>
  <c r="H9" i="7"/>
  <c r="K9" i="7"/>
  <c r="L9" i="7"/>
  <c r="M9" i="7"/>
  <c r="N9" i="7"/>
  <c r="O9" i="7"/>
  <c r="P9" i="7"/>
  <c r="H10" i="7"/>
  <c r="H19" i="7" s="1"/>
  <c r="K10" i="7"/>
  <c r="L10" i="7"/>
  <c r="M10" i="7"/>
  <c r="N10" i="7"/>
  <c r="O10" i="7"/>
  <c r="P10" i="7"/>
  <c r="H11" i="7"/>
  <c r="K11" i="7"/>
  <c r="L11" i="7"/>
  <c r="M11" i="7"/>
  <c r="N11" i="7"/>
  <c r="O11" i="7"/>
  <c r="P11" i="7" s="1"/>
  <c r="H12" i="7"/>
  <c r="K12" i="7"/>
  <c r="L12" i="7"/>
  <c r="M12" i="7"/>
  <c r="N12" i="7"/>
  <c r="O12" i="7"/>
  <c r="P12" i="7"/>
  <c r="H13" i="7"/>
  <c r="K13" i="7" s="1"/>
  <c r="H14" i="7"/>
  <c r="K14" i="7"/>
  <c r="L14" i="7"/>
  <c r="M14" i="7"/>
  <c r="N14" i="7"/>
  <c r="O14" i="7"/>
  <c r="P14" i="7"/>
  <c r="K16" i="7"/>
  <c r="L16" i="7"/>
  <c r="M16" i="7"/>
  <c r="N16" i="7"/>
  <c r="O16" i="7"/>
  <c r="P16" i="7"/>
  <c r="H18" i="7"/>
  <c r="O3" i="6"/>
  <c r="O4" i="6"/>
  <c r="O5" i="6"/>
  <c r="H9" i="6"/>
  <c r="K9" i="6"/>
  <c r="L9" i="6"/>
  <c r="M9" i="6"/>
  <c r="H10" i="6"/>
  <c r="K10" i="6"/>
  <c r="L10" i="6"/>
  <c r="M10" i="6"/>
  <c r="N10" i="6"/>
  <c r="O10" i="6"/>
  <c r="P10" i="6"/>
  <c r="H11" i="6"/>
  <c r="K11" i="6"/>
  <c r="L11" i="6" s="1"/>
  <c r="H12" i="6"/>
  <c r="H18" i="6" s="1"/>
  <c r="K12" i="6"/>
  <c r="L12" i="6"/>
  <c r="M12" i="6"/>
  <c r="N12" i="6"/>
  <c r="O12" i="6"/>
  <c r="P12" i="6"/>
  <c r="H13" i="6"/>
  <c r="K13" i="6" s="1"/>
  <c r="H14" i="6"/>
  <c r="K14" i="6"/>
  <c r="L14" i="6"/>
  <c r="M14" i="6"/>
  <c r="K16" i="6"/>
  <c r="L16" i="6"/>
  <c r="M16" i="6"/>
  <c r="N16" i="6"/>
  <c r="O16" i="6"/>
  <c r="P16" i="6"/>
  <c r="O3" i="5"/>
  <c r="O4" i="5"/>
  <c r="N9" i="5" s="1"/>
  <c r="O5" i="5"/>
  <c r="H9" i="5"/>
  <c r="K9" i="5"/>
  <c r="L9" i="5"/>
  <c r="M9" i="5"/>
  <c r="H10" i="5"/>
  <c r="K10" i="5"/>
  <c r="L10" i="5"/>
  <c r="M10" i="5"/>
  <c r="N10" i="5"/>
  <c r="O10" i="5"/>
  <c r="P10" i="5"/>
  <c r="H11" i="5"/>
  <c r="K11" i="5"/>
  <c r="L11" i="5"/>
  <c r="M11" i="5"/>
  <c r="N11" i="5"/>
  <c r="O11" i="5"/>
  <c r="P11" i="5"/>
  <c r="H12" i="5"/>
  <c r="H18" i="5" s="1"/>
  <c r="K12" i="5"/>
  <c r="L12" i="5"/>
  <c r="M12" i="5"/>
  <c r="N12" i="5"/>
  <c r="O12" i="5"/>
  <c r="P12" i="5"/>
  <c r="H13" i="5"/>
  <c r="K13" i="5" s="1"/>
  <c r="H14" i="5"/>
  <c r="K14" i="5"/>
  <c r="L14" i="5"/>
  <c r="M14" i="5"/>
  <c r="K16" i="5"/>
  <c r="L16" i="5"/>
  <c r="M16" i="5"/>
  <c r="N16" i="5"/>
  <c r="O16" i="5"/>
  <c r="P16" i="5"/>
  <c r="O3" i="4"/>
  <c r="O4" i="4"/>
  <c r="O5" i="4"/>
  <c r="H9" i="4"/>
  <c r="K9" i="4"/>
  <c r="L9" i="4"/>
  <c r="M9" i="4"/>
  <c r="N9" i="4"/>
  <c r="O9" i="4"/>
  <c r="P9" i="4"/>
  <c r="H10" i="4"/>
  <c r="H19" i="4" s="1"/>
  <c r="K10" i="4"/>
  <c r="L10" i="4"/>
  <c r="M10" i="4"/>
  <c r="N10" i="4"/>
  <c r="O10" i="4"/>
  <c r="P10" i="4"/>
  <c r="H11" i="4"/>
  <c r="K11" i="4"/>
  <c r="L11" i="4"/>
  <c r="M11" i="4"/>
  <c r="N11" i="4"/>
  <c r="O11" i="4"/>
  <c r="P11" i="4" s="1"/>
  <c r="H12" i="4"/>
  <c r="K12" i="4"/>
  <c r="L12" i="4"/>
  <c r="M12" i="4"/>
  <c r="N12" i="4"/>
  <c r="O12" i="4"/>
  <c r="P12" i="4"/>
  <c r="H13" i="4"/>
  <c r="K13" i="4" s="1"/>
  <c r="H14" i="4"/>
  <c r="K14" i="4"/>
  <c r="L14" i="4"/>
  <c r="M14" i="4"/>
  <c r="N14" i="4"/>
  <c r="O14" i="4"/>
  <c r="P14" i="4"/>
  <c r="K16" i="4"/>
  <c r="L16" i="4"/>
  <c r="M16" i="4"/>
  <c r="N16" i="4"/>
  <c r="O16" i="4"/>
  <c r="P16" i="4"/>
  <c r="H18" i="4"/>
  <c r="L55" i="1"/>
  <c r="K57" i="1"/>
  <c r="A20" i="1"/>
  <c r="K31" i="1"/>
  <c r="L31" i="1"/>
  <c r="K32" i="1"/>
  <c r="L32" i="1"/>
  <c r="K33" i="1"/>
  <c r="L33" i="1"/>
  <c r="K34" i="1"/>
  <c r="L34" i="1"/>
  <c r="K35" i="1"/>
  <c r="L35" i="1"/>
  <c r="K36" i="1"/>
  <c r="L36" i="1"/>
  <c r="K37" i="1"/>
  <c r="L37" i="1"/>
  <c r="K38" i="1"/>
  <c r="L38" i="1"/>
  <c r="K39" i="1"/>
  <c r="L39" i="1"/>
  <c r="K40" i="1"/>
  <c r="L40" i="1"/>
  <c r="K41" i="1"/>
  <c r="L41" i="1"/>
  <c r="K42" i="1"/>
  <c r="L42" i="1"/>
  <c r="K43" i="1"/>
  <c r="L43" i="1"/>
  <c r="K44" i="1"/>
  <c r="L44" i="1"/>
  <c r="K45" i="1"/>
  <c r="L45" i="1"/>
  <c r="K46" i="1"/>
  <c r="L46" i="1"/>
  <c r="K47" i="1"/>
  <c r="L47" i="1"/>
  <c r="K48" i="1"/>
  <c r="L48" i="1"/>
  <c r="K49" i="1"/>
  <c r="L49" i="1"/>
  <c r="K50" i="1"/>
  <c r="L50" i="1"/>
  <c r="K51" i="1"/>
  <c r="L51" i="1"/>
  <c r="K52" i="1"/>
  <c r="L52" i="1"/>
  <c r="K53" i="1"/>
  <c r="L53" i="1"/>
  <c r="K54" i="1"/>
  <c r="L54" i="1"/>
  <c r="K55" i="1"/>
  <c r="K56" i="1"/>
  <c r="M56" i="1" s="1"/>
  <c r="L56" i="1"/>
  <c r="L57" i="1"/>
  <c r="K58" i="1"/>
  <c r="L58" i="1"/>
  <c r="K59" i="1"/>
  <c r="L59" i="1"/>
  <c r="K61" i="1"/>
  <c r="L61" i="1"/>
  <c r="K62" i="1"/>
  <c r="L62" i="1"/>
  <c r="K63" i="1"/>
  <c r="L63" i="1"/>
  <c r="K64" i="1"/>
  <c r="L64" i="1"/>
  <c r="K65" i="1"/>
  <c r="L65" i="1"/>
  <c r="K30" i="1"/>
  <c r="L18" i="39" l="1"/>
  <c r="M13" i="39"/>
  <c r="O13" i="39" s="1"/>
  <c r="P13" i="39" s="1"/>
  <c r="N13" i="39"/>
  <c r="L9" i="39"/>
  <c r="K19" i="39"/>
  <c r="N11" i="39"/>
  <c r="H18" i="39"/>
  <c r="K18" i="38"/>
  <c r="L9" i="38"/>
  <c r="K19" i="38"/>
  <c r="M13" i="38"/>
  <c r="O13" i="38" s="1"/>
  <c r="P13" i="38" s="1"/>
  <c r="N13" i="38"/>
  <c r="H19" i="38"/>
  <c r="M13" i="37"/>
  <c r="O13" i="37" s="1"/>
  <c r="P13" i="37" s="1"/>
  <c r="N13" i="37"/>
  <c r="L9" i="37"/>
  <c r="K19" i="37"/>
  <c r="K18" i="37"/>
  <c r="H19" i="37"/>
  <c r="K18" i="36"/>
  <c r="K19" i="36"/>
  <c r="L9" i="36"/>
  <c r="M13" i="36"/>
  <c r="O13" i="36" s="1"/>
  <c r="P13" i="36" s="1"/>
  <c r="N13" i="36"/>
  <c r="H19" i="36"/>
  <c r="M13" i="35"/>
  <c r="O13" i="35" s="1"/>
  <c r="P13" i="35" s="1"/>
  <c r="N13" i="35"/>
  <c r="L9" i="35"/>
  <c r="K18" i="35"/>
  <c r="K19" i="35"/>
  <c r="K19" i="34"/>
  <c r="K18" i="34"/>
  <c r="L9" i="34"/>
  <c r="M13" i="34"/>
  <c r="O13" i="34" s="1"/>
  <c r="P13" i="34" s="1"/>
  <c r="N13" i="34"/>
  <c r="H19" i="34"/>
  <c r="M13" i="33"/>
  <c r="O13" i="33" s="1"/>
  <c r="P13" i="33" s="1"/>
  <c r="N13" i="33"/>
  <c r="K19" i="33"/>
  <c r="L9" i="33"/>
  <c r="K18" i="33"/>
  <c r="H19" i="33"/>
  <c r="N13" i="32"/>
  <c r="M13" i="32"/>
  <c r="O13" i="32" s="1"/>
  <c r="P13" i="32" s="1"/>
  <c r="K19" i="32"/>
  <c r="K18" i="32"/>
  <c r="L9" i="32"/>
  <c r="H19" i="32"/>
  <c r="M13" i="31"/>
  <c r="O13" i="31" s="1"/>
  <c r="P13" i="31" s="1"/>
  <c r="N13" i="31"/>
  <c r="K18" i="31"/>
  <c r="K19" i="31"/>
  <c r="L9" i="31"/>
  <c r="H19" i="31"/>
  <c r="M13" i="30"/>
  <c r="O13" i="30" s="1"/>
  <c r="P13" i="30" s="1"/>
  <c r="N13" i="30"/>
  <c r="K18" i="30"/>
  <c r="K19" i="30"/>
  <c r="L9" i="30"/>
  <c r="H19" i="30"/>
  <c r="M13" i="29"/>
  <c r="O13" i="29" s="1"/>
  <c r="P13" i="29" s="1"/>
  <c r="N13" i="29"/>
  <c r="K18" i="29"/>
  <c r="L9" i="29"/>
  <c r="K19" i="29"/>
  <c r="L13" i="28"/>
  <c r="K19" i="28"/>
  <c r="L18" i="28"/>
  <c r="K18" i="28"/>
  <c r="H19" i="28"/>
  <c r="M13" i="27"/>
  <c r="O13" i="27" s="1"/>
  <c r="P13" i="27" s="1"/>
  <c r="N13" i="27"/>
  <c r="L9" i="27"/>
  <c r="K18" i="27"/>
  <c r="K19" i="27"/>
  <c r="M13" i="26"/>
  <c r="O13" i="26" s="1"/>
  <c r="P13" i="26" s="1"/>
  <c r="N13" i="26"/>
  <c r="K18" i="26"/>
  <c r="L9" i="26"/>
  <c r="K19" i="26"/>
  <c r="H19" i="26"/>
  <c r="L13" i="25"/>
  <c r="K18" i="25"/>
  <c r="K19" i="25"/>
  <c r="L19" i="25"/>
  <c r="M13" i="24"/>
  <c r="O13" i="24" s="1"/>
  <c r="P13" i="24" s="1"/>
  <c r="N13" i="24"/>
  <c r="K18" i="24"/>
  <c r="L9" i="24"/>
  <c r="K19" i="24"/>
  <c r="M13" i="23"/>
  <c r="O13" i="23" s="1"/>
  <c r="P13" i="23" s="1"/>
  <c r="N13" i="23"/>
  <c r="K19" i="23"/>
  <c r="L9" i="23"/>
  <c r="K18" i="23"/>
  <c r="H19" i="23"/>
  <c r="L13" i="22"/>
  <c r="K18" i="22"/>
  <c r="K19" i="22"/>
  <c r="L18" i="22"/>
  <c r="M9" i="22"/>
  <c r="N9" i="22"/>
  <c r="L19" i="22"/>
  <c r="M14" i="21"/>
  <c r="O14" i="21" s="1"/>
  <c r="P14" i="21" s="1"/>
  <c r="N14" i="21"/>
  <c r="K19" i="21"/>
  <c r="L13" i="21"/>
  <c r="L19" i="21"/>
  <c r="M9" i="21"/>
  <c r="L18" i="21"/>
  <c r="N9" i="21"/>
  <c r="H19" i="21"/>
  <c r="M16" i="20"/>
  <c r="N16" i="20"/>
  <c r="M13" i="20"/>
  <c r="O13" i="20" s="1"/>
  <c r="P13" i="20" s="1"/>
  <c r="N13" i="20"/>
  <c r="L9" i="20"/>
  <c r="K19" i="20"/>
  <c r="K18" i="20"/>
  <c r="H19" i="20"/>
  <c r="H18" i="20"/>
  <c r="K18" i="19"/>
  <c r="L13" i="19"/>
  <c r="L19" i="19"/>
  <c r="K19" i="19"/>
  <c r="L13" i="18"/>
  <c r="L19" i="18" s="1"/>
  <c r="K18" i="18"/>
  <c r="K19" i="18"/>
  <c r="N12" i="18"/>
  <c r="O14" i="18"/>
  <c r="P14" i="18" s="1"/>
  <c r="N14" i="18"/>
  <c r="O9" i="18"/>
  <c r="N9" i="18"/>
  <c r="L13" i="17"/>
  <c r="K19" i="17"/>
  <c r="L18" i="17"/>
  <c r="K18" i="17"/>
  <c r="H19" i="17"/>
  <c r="L13" i="16"/>
  <c r="K18" i="16"/>
  <c r="L19" i="16"/>
  <c r="L13" i="15"/>
  <c r="K18" i="15"/>
  <c r="L19" i="15"/>
  <c r="L13" i="14"/>
  <c r="K18" i="14"/>
  <c r="M13" i="13"/>
  <c r="O13" i="13" s="1"/>
  <c r="P13" i="13" s="1"/>
  <c r="P19" i="13" s="1"/>
  <c r="N13" i="13"/>
  <c r="L19" i="13"/>
  <c r="K19" i="13"/>
  <c r="K18" i="13"/>
  <c r="L18" i="13"/>
  <c r="N11" i="13"/>
  <c r="N19" i="13" s="1"/>
  <c r="K18" i="12"/>
  <c r="L13" i="12"/>
  <c r="K19" i="12"/>
  <c r="H19" i="12"/>
  <c r="O9" i="12"/>
  <c r="M13" i="11"/>
  <c r="O13" i="11" s="1"/>
  <c r="P13" i="11" s="1"/>
  <c r="N13" i="11"/>
  <c r="K19" i="11"/>
  <c r="K18" i="11"/>
  <c r="L9" i="11"/>
  <c r="O16" i="11"/>
  <c r="H19" i="11"/>
  <c r="N16" i="11"/>
  <c r="L13" i="10"/>
  <c r="K19" i="10"/>
  <c r="K18" i="10"/>
  <c r="H19" i="10"/>
  <c r="K18" i="9"/>
  <c r="L13" i="9"/>
  <c r="M16" i="8"/>
  <c r="N16" i="8"/>
  <c r="L18" i="8"/>
  <c r="M14" i="8"/>
  <c r="O14" i="8" s="1"/>
  <c r="P14" i="8" s="1"/>
  <c r="N14" i="8"/>
  <c r="M13" i="8"/>
  <c r="O13" i="8" s="1"/>
  <c r="P13" i="8" s="1"/>
  <c r="N13" i="8"/>
  <c r="P10" i="8"/>
  <c r="O19" i="8"/>
  <c r="N19" i="8"/>
  <c r="P19" i="8"/>
  <c r="M19" i="8"/>
  <c r="L19" i="8"/>
  <c r="H19" i="8"/>
  <c r="K18" i="8"/>
  <c r="L13" i="7"/>
  <c r="K18" i="7"/>
  <c r="K19" i="7"/>
  <c r="L13" i="6"/>
  <c r="K19" i="6"/>
  <c r="K18" i="6"/>
  <c r="M11" i="6"/>
  <c r="N11" i="6"/>
  <c r="H19" i="6"/>
  <c r="O14" i="6"/>
  <c r="P14" i="6" s="1"/>
  <c r="N14" i="6"/>
  <c r="O9" i="6"/>
  <c r="N9" i="6"/>
  <c r="L13" i="5"/>
  <c r="L18" i="5" s="1"/>
  <c r="K19" i="5"/>
  <c r="K18" i="5"/>
  <c r="O14" i="5"/>
  <c r="P14" i="5" s="1"/>
  <c r="N14" i="5"/>
  <c r="O9" i="5"/>
  <c r="H19" i="5"/>
  <c r="L13" i="4"/>
  <c r="K18" i="4"/>
  <c r="K19" i="4"/>
  <c r="F63" i="1"/>
  <c r="F62" i="1"/>
  <c r="F65" i="1"/>
  <c r="F64" i="1"/>
  <c r="M49" i="1"/>
  <c r="M47" i="1"/>
  <c r="M42" i="1"/>
  <c r="M40" i="1"/>
  <c r="M64" i="1"/>
  <c r="M48" i="1"/>
  <c r="M51" i="1"/>
  <c r="M39" i="1"/>
  <c r="M43" i="1"/>
  <c r="M46" i="1"/>
  <c r="M52" i="1"/>
  <c r="M63" i="1"/>
  <c r="M59" i="1"/>
  <c r="M55" i="1"/>
  <c r="M32" i="1"/>
  <c r="M65" i="1"/>
  <c r="M62" i="1"/>
  <c r="M35" i="1"/>
  <c r="M31" i="1"/>
  <c r="M54" i="1"/>
  <c r="M45" i="1"/>
  <c r="M41" i="1"/>
  <c r="M53" i="1"/>
  <c r="M50" i="1"/>
  <c r="M33" i="1"/>
  <c r="M61" i="1"/>
  <c r="M38" i="1"/>
  <c r="M34" i="1"/>
  <c r="M36" i="1"/>
  <c r="M58" i="1"/>
  <c r="M57" i="1"/>
  <c r="M44" i="1"/>
  <c r="M37" i="1"/>
  <c r="A19" i="1"/>
  <c r="M9" i="39" l="1"/>
  <c r="N9" i="39"/>
  <c r="L19" i="39"/>
  <c r="N9" i="38"/>
  <c r="L19" i="38"/>
  <c r="L18" i="38"/>
  <c r="M9" i="38"/>
  <c r="M9" i="37"/>
  <c r="N9" i="37"/>
  <c r="L18" i="37"/>
  <c r="L19" i="37"/>
  <c r="L18" i="36"/>
  <c r="L19" i="36"/>
  <c r="M9" i="36"/>
  <c r="N9" i="36"/>
  <c r="L18" i="35"/>
  <c r="M9" i="35"/>
  <c r="N9" i="35"/>
  <c r="L19" i="35"/>
  <c r="L18" i="34"/>
  <c r="N9" i="34"/>
  <c r="M9" i="34"/>
  <c r="L19" i="34"/>
  <c r="L18" i="33"/>
  <c r="M9" i="33"/>
  <c r="N9" i="33"/>
  <c r="L19" i="33"/>
  <c r="N9" i="32"/>
  <c r="L19" i="32"/>
  <c r="M9" i="32"/>
  <c r="L18" i="32"/>
  <c r="N9" i="31"/>
  <c r="M9" i="31"/>
  <c r="L19" i="31"/>
  <c r="L18" i="31"/>
  <c r="N9" i="30"/>
  <c r="L18" i="30"/>
  <c r="M9" i="30"/>
  <c r="L19" i="30"/>
  <c r="L18" i="29"/>
  <c r="M9" i="29"/>
  <c r="N9" i="29"/>
  <c r="L19" i="29"/>
  <c r="M13" i="28"/>
  <c r="L19" i="28"/>
  <c r="N13" i="28"/>
  <c r="L18" i="27"/>
  <c r="M9" i="27"/>
  <c r="N9" i="27"/>
  <c r="L19" i="27"/>
  <c r="M9" i="26"/>
  <c r="N9" i="26"/>
  <c r="L18" i="26"/>
  <c r="L19" i="26"/>
  <c r="M13" i="25"/>
  <c r="N13" i="25"/>
  <c r="L18" i="25"/>
  <c r="L18" i="24"/>
  <c r="M9" i="24"/>
  <c r="N9" i="24"/>
  <c r="L19" i="24"/>
  <c r="N9" i="23"/>
  <c r="L18" i="23"/>
  <c r="M9" i="23"/>
  <c r="L19" i="23"/>
  <c r="O9" i="22"/>
  <c r="M19" i="22"/>
  <c r="M13" i="22"/>
  <c r="O13" i="22" s="1"/>
  <c r="P13" i="22" s="1"/>
  <c r="N13" i="22"/>
  <c r="N19" i="22" s="1"/>
  <c r="M19" i="21"/>
  <c r="M18" i="21"/>
  <c r="O9" i="21"/>
  <c r="N13" i="21"/>
  <c r="N18" i="21" s="1"/>
  <c r="M13" i="21"/>
  <c r="O13" i="21" s="1"/>
  <c r="P13" i="21" s="1"/>
  <c r="N9" i="20"/>
  <c r="N19" i="20" s="1"/>
  <c r="M9" i="20"/>
  <c r="L19" i="20"/>
  <c r="L18" i="20"/>
  <c r="N18" i="20"/>
  <c r="O16" i="20"/>
  <c r="M18" i="20"/>
  <c r="M13" i="19"/>
  <c r="L18" i="19"/>
  <c r="N13" i="19"/>
  <c r="P9" i="18"/>
  <c r="L18" i="18"/>
  <c r="M13" i="18"/>
  <c r="N13" i="18"/>
  <c r="N18" i="18" s="1"/>
  <c r="L19" i="17"/>
  <c r="M13" i="17"/>
  <c r="N13" i="17"/>
  <c r="M13" i="16"/>
  <c r="L18" i="16"/>
  <c r="N13" i="16"/>
  <c r="M13" i="15"/>
  <c r="N13" i="15"/>
  <c r="L18" i="15"/>
  <c r="M13" i="14"/>
  <c r="L18" i="14"/>
  <c r="N13" i="14"/>
  <c r="L19" i="14"/>
  <c r="O18" i="13"/>
  <c r="N18" i="13"/>
  <c r="P18" i="13"/>
  <c r="O19" i="13"/>
  <c r="M18" i="13"/>
  <c r="M19" i="13"/>
  <c r="P9" i="12"/>
  <c r="M13" i="12"/>
  <c r="N13" i="12"/>
  <c r="L19" i="12"/>
  <c r="L18" i="12"/>
  <c r="L18" i="11"/>
  <c r="N9" i="11"/>
  <c r="N19" i="11" s="1"/>
  <c r="L19" i="11"/>
  <c r="M9" i="11"/>
  <c r="P16" i="11"/>
  <c r="M13" i="10"/>
  <c r="N13" i="10"/>
  <c r="L19" i="10"/>
  <c r="L18" i="10"/>
  <c r="M13" i="9"/>
  <c r="L18" i="9"/>
  <c r="N13" i="9"/>
  <c r="L19" i="9"/>
  <c r="N18" i="8"/>
  <c r="O16" i="8"/>
  <c r="M18" i="8"/>
  <c r="M13" i="7"/>
  <c r="L18" i="7"/>
  <c r="N13" i="7"/>
  <c r="L19" i="7"/>
  <c r="M13" i="6"/>
  <c r="O13" i="6" s="1"/>
  <c r="P13" i="6" s="1"/>
  <c r="N13" i="6"/>
  <c r="N18" i="6" s="1"/>
  <c r="N19" i="6"/>
  <c r="P9" i="6"/>
  <c r="L19" i="6"/>
  <c r="L18" i="6"/>
  <c r="O11" i="6"/>
  <c r="P11" i="6" s="1"/>
  <c r="P9" i="5"/>
  <c r="L19" i="5"/>
  <c r="M13" i="5"/>
  <c r="N13" i="5"/>
  <c r="M13" i="4"/>
  <c r="L18" i="4"/>
  <c r="N13" i="4"/>
  <c r="L19" i="4"/>
  <c r="F41" i="1"/>
  <c r="F38" i="1"/>
  <c r="F61" i="1"/>
  <c r="F58" i="1"/>
  <c r="F50" i="1"/>
  <c r="F42" i="1"/>
  <c r="F34" i="1"/>
  <c r="F31" i="1"/>
  <c r="F60" i="1"/>
  <c r="F43" i="1"/>
  <c r="F57" i="1"/>
  <c r="F49" i="1"/>
  <c r="F33" i="1"/>
  <c r="O33" i="1" s="1"/>
  <c r="F46" i="1"/>
  <c r="F45" i="1"/>
  <c r="F44" i="1"/>
  <c r="F35" i="1"/>
  <c r="F56" i="1"/>
  <c r="O56" i="1" s="1"/>
  <c r="F48" i="1"/>
  <c r="N48" i="1" s="1"/>
  <c r="F40" i="1"/>
  <c r="O40" i="1" s="1"/>
  <c r="F32" i="1"/>
  <c r="O32" i="1" s="1"/>
  <c r="F54" i="1"/>
  <c r="N54" i="1" s="1"/>
  <c r="F53" i="1"/>
  <c r="F52" i="1"/>
  <c r="F51" i="1"/>
  <c r="F55" i="1"/>
  <c r="O55" i="1" s="1"/>
  <c r="F47" i="1"/>
  <c r="F39" i="1"/>
  <c r="F37" i="1"/>
  <c r="F36" i="1"/>
  <c r="F30" i="1"/>
  <c r="F59" i="1"/>
  <c r="N64" i="1"/>
  <c r="N19" i="39" l="1"/>
  <c r="N18" i="39"/>
  <c r="O9" i="39"/>
  <c r="M19" i="39"/>
  <c r="M18" i="39"/>
  <c r="M18" i="38"/>
  <c r="O9" i="38"/>
  <c r="M19" i="38"/>
  <c r="N19" i="38"/>
  <c r="N18" i="38"/>
  <c r="N18" i="37"/>
  <c r="N19" i="37"/>
  <c r="O9" i="37"/>
  <c r="M18" i="37"/>
  <c r="M19" i="37"/>
  <c r="N19" i="36"/>
  <c r="N18" i="36"/>
  <c r="M19" i="36"/>
  <c r="O9" i="36"/>
  <c r="M18" i="36"/>
  <c r="N19" i="35"/>
  <c r="N18" i="35"/>
  <c r="O9" i="35"/>
  <c r="M18" i="35"/>
  <c r="M19" i="35"/>
  <c r="M18" i="34"/>
  <c r="M19" i="34"/>
  <c r="O9" i="34"/>
  <c r="N19" i="34"/>
  <c r="N18" i="34"/>
  <c r="M19" i="33"/>
  <c r="O9" i="33"/>
  <c r="M18" i="33"/>
  <c r="N19" i="33"/>
  <c r="N18" i="33"/>
  <c r="O9" i="32"/>
  <c r="M18" i="32"/>
  <c r="M19" i="32"/>
  <c r="N19" i="32"/>
  <c r="N18" i="32"/>
  <c r="N18" i="31"/>
  <c r="N19" i="31"/>
  <c r="O9" i="31"/>
  <c r="M19" i="31"/>
  <c r="M18" i="31"/>
  <c r="O9" i="30"/>
  <c r="M19" i="30"/>
  <c r="M18" i="30"/>
  <c r="N18" i="30"/>
  <c r="N19" i="30"/>
  <c r="M18" i="29"/>
  <c r="O9" i="29"/>
  <c r="M19" i="29"/>
  <c r="N19" i="29"/>
  <c r="N18" i="29"/>
  <c r="M19" i="28"/>
  <c r="O13" i="28"/>
  <c r="M18" i="28"/>
  <c r="N19" i="28"/>
  <c r="N18" i="28"/>
  <c r="O9" i="27"/>
  <c r="M18" i="27"/>
  <c r="M19" i="27"/>
  <c r="N19" i="27"/>
  <c r="N18" i="27"/>
  <c r="N19" i="26"/>
  <c r="N18" i="26"/>
  <c r="M18" i="26"/>
  <c r="O9" i="26"/>
  <c r="M19" i="26"/>
  <c r="N19" i="25"/>
  <c r="N18" i="25"/>
  <c r="O13" i="25"/>
  <c r="M18" i="25"/>
  <c r="M19" i="25"/>
  <c r="N19" i="24"/>
  <c r="N18" i="24"/>
  <c r="O9" i="24"/>
  <c r="M18" i="24"/>
  <c r="M19" i="24"/>
  <c r="M18" i="23"/>
  <c r="O9" i="23"/>
  <c r="M19" i="23"/>
  <c r="N18" i="23"/>
  <c r="N19" i="23"/>
  <c r="P9" i="22"/>
  <c r="O19" i="22"/>
  <c r="O18" i="22"/>
  <c r="M18" i="22"/>
  <c r="N18" i="22"/>
  <c r="N19" i="21"/>
  <c r="O18" i="21"/>
  <c r="O19" i="21"/>
  <c r="P9" i="21"/>
  <c r="P16" i="20"/>
  <c r="O9" i="20"/>
  <c r="M19" i="20"/>
  <c r="N19" i="19"/>
  <c r="N18" i="19"/>
  <c r="M18" i="19"/>
  <c r="O13" i="19"/>
  <c r="M19" i="19"/>
  <c r="N19" i="18"/>
  <c r="O13" i="18"/>
  <c r="M18" i="18"/>
  <c r="M19" i="18"/>
  <c r="N19" i="17"/>
  <c r="N18" i="17"/>
  <c r="M19" i="17"/>
  <c r="O13" i="17"/>
  <c r="M18" i="17"/>
  <c r="N19" i="16"/>
  <c r="N18" i="16"/>
  <c r="O13" i="16"/>
  <c r="M18" i="16"/>
  <c r="M19" i="16"/>
  <c r="N18" i="15"/>
  <c r="N19" i="15"/>
  <c r="M18" i="15"/>
  <c r="O13" i="15"/>
  <c r="M19" i="15"/>
  <c r="N19" i="14"/>
  <c r="N18" i="14"/>
  <c r="M18" i="14"/>
  <c r="O13" i="14"/>
  <c r="M19" i="14"/>
  <c r="N18" i="12"/>
  <c r="N19" i="12"/>
  <c r="O13" i="12"/>
  <c r="M19" i="12"/>
  <c r="M18" i="12"/>
  <c r="O9" i="11"/>
  <c r="M19" i="11"/>
  <c r="M18" i="11"/>
  <c r="N18" i="11"/>
  <c r="O13" i="10"/>
  <c r="M19" i="10"/>
  <c r="M18" i="10"/>
  <c r="N19" i="10"/>
  <c r="N18" i="10"/>
  <c r="O13" i="9"/>
  <c r="M18" i="9"/>
  <c r="M19" i="9"/>
  <c r="N19" i="9"/>
  <c r="N18" i="9"/>
  <c r="P16" i="8"/>
  <c r="P18" i="8" s="1"/>
  <c r="O18" i="8"/>
  <c r="N18" i="7"/>
  <c r="N19" i="7"/>
  <c r="O13" i="7"/>
  <c r="M18" i="7"/>
  <c r="M19" i="7"/>
  <c r="M19" i="6"/>
  <c r="M18" i="6"/>
  <c r="O18" i="6"/>
  <c r="O19" i="6"/>
  <c r="P19" i="6"/>
  <c r="P18" i="6"/>
  <c r="N18" i="5"/>
  <c r="N19" i="5"/>
  <c r="M19" i="5"/>
  <c r="O13" i="5"/>
  <c r="M18" i="5"/>
  <c r="N19" i="4"/>
  <c r="N18" i="4"/>
  <c r="O13" i="4"/>
  <c r="M18" i="4"/>
  <c r="M19" i="4"/>
  <c r="N33" i="1"/>
  <c r="P33" i="1" s="1"/>
  <c r="O48" i="1"/>
  <c r="P48" i="1" s="1"/>
  <c r="N32" i="1"/>
  <c r="P32" i="1" s="1"/>
  <c r="N56" i="1"/>
  <c r="P56" i="1" s="1"/>
  <c r="O64" i="1"/>
  <c r="P64" i="1" s="1"/>
  <c r="N40" i="1"/>
  <c r="P40" i="1" s="1"/>
  <c r="N43" i="1"/>
  <c r="O43" i="1"/>
  <c r="O45" i="1"/>
  <c r="N45" i="1"/>
  <c r="N39" i="1"/>
  <c r="O39" i="1"/>
  <c r="N65" i="1"/>
  <c r="O65" i="1"/>
  <c r="O51" i="1"/>
  <c r="N51" i="1"/>
  <c r="N53" i="1"/>
  <c r="O53" i="1"/>
  <c r="N47" i="1"/>
  <c r="O47" i="1"/>
  <c r="O57" i="1"/>
  <c r="N57" i="1"/>
  <c r="N34" i="1"/>
  <c r="O34" i="1"/>
  <c r="O61" i="1"/>
  <c r="N61" i="1"/>
  <c r="N42" i="1"/>
  <c r="O42" i="1"/>
  <c r="N36" i="1"/>
  <c r="O36" i="1"/>
  <c r="N38" i="1"/>
  <c r="O38" i="1"/>
  <c r="N63" i="1"/>
  <c r="O63" i="1"/>
  <c r="N50" i="1"/>
  <c r="O50" i="1"/>
  <c r="N44" i="1"/>
  <c r="O44" i="1"/>
  <c r="N46" i="1"/>
  <c r="O46" i="1"/>
  <c r="N35" i="1"/>
  <c r="O35" i="1"/>
  <c r="N59" i="1"/>
  <c r="O59" i="1"/>
  <c r="N55" i="1"/>
  <c r="N58" i="1"/>
  <c r="O58" i="1"/>
  <c r="N52" i="1"/>
  <c r="O52" i="1"/>
  <c r="O54" i="1"/>
  <c r="N41" i="1"/>
  <c r="O41" i="1"/>
  <c r="N30" i="1"/>
  <c r="N62" i="1"/>
  <c r="O62" i="1"/>
  <c r="N49" i="1"/>
  <c r="O49" i="1"/>
  <c r="N37" i="1"/>
  <c r="O37" i="1"/>
  <c r="N31" i="1"/>
  <c r="O31" i="1"/>
  <c r="O19" i="39" l="1"/>
  <c r="P9" i="39"/>
  <c r="O18" i="39"/>
  <c r="O18" i="38"/>
  <c r="P9" i="38"/>
  <c r="O19" i="38"/>
  <c r="O19" i="37"/>
  <c r="P9" i="37"/>
  <c r="O18" i="37"/>
  <c r="O19" i="36"/>
  <c r="O18" i="36"/>
  <c r="P9" i="36"/>
  <c r="P9" i="35"/>
  <c r="O19" i="35"/>
  <c r="O18" i="35"/>
  <c r="O18" i="34"/>
  <c r="P9" i="34"/>
  <c r="O19" i="34"/>
  <c r="P9" i="33"/>
  <c r="O18" i="33"/>
  <c r="O19" i="33"/>
  <c r="P9" i="32"/>
  <c r="O18" i="32"/>
  <c r="O19" i="32"/>
  <c r="P9" i="31"/>
  <c r="O19" i="31"/>
  <c r="O18" i="31"/>
  <c r="P9" i="30"/>
  <c r="O18" i="30"/>
  <c r="O19" i="30"/>
  <c r="P9" i="29"/>
  <c r="O19" i="29"/>
  <c r="O18" i="29"/>
  <c r="O19" i="28"/>
  <c r="P13" i="28"/>
  <c r="O18" i="28"/>
  <c r="P9" i="27"/>
  <c r="O19" i="27"/>
  <c r="O18" i="27"/>
  <c r="P9" i="26"/>
  <c r="O19" i="26"/>
  <c r="O18" i="26"/>
  <c r="P13" i="25"/>
  <c r="O18" i="25"/>
  <c r="O19" i="25"/>
  <c r="P9" i="24"/>
  <c r="O19" i="24"/>
  <c r="O18" i="24"/>
  <c r="P9" i="23"/>
  <c r="O19" i="23"/>
  <c r="O18" i="23"/>
  <c r="P19" i="22"/>
  <c r="P18" i="22"/>
  <c r="P19" i="21"/>
  <c r="P18" i="21"/>
  <c r="P9" i="20"/>
  <c r="P19" i="20" s="1"/>
  <c r="O19" i="20"/>
  <c r="O18" i="20"/>
  <c r="P13" i="19"/>
  <c r="O19" i="19"/>
  <c r="O18" i="19"/>
  <c r="P13" i="18"/>
  <c r="O18" i="18"/>
  <c r="O19" i="18"/>
  <c r="P13" i="17"/>
  <c r="O19" i="17"/>
  <c r="O18" i="17"/>
  <c r="P13" i="16"/>
  <c r="O19" i="16"/>
  <c r="O18" i="16"/>
  <c r="P13" i="15"/>
  <c r="O19" i="15"/>
  <c r="O18" i="15"/>
  <c r="P13" i="14"/>
  <c r="O18" i="14"/>
  <c r="O19" i="14"/>
  <c r="P13" i="12"/>
  <c r="O19" i="12"/>
  <c r="O18" i="12"/>
  <c r="P9" i="11"/>
  <c r="O19" i="11"/>
  <c r="O18" i="11"/>
  <c r="O19" i="10"/>
  <c r="P13" i="10"/>
  <c r="O18" i="10"/>
  <c r="P13" i="9"/>
  <c r="O19" i="9"/>
  <c r="O18" i="9"/>
  <c r="P13" i="7"/>
  <c r="O18" i="7"/>
  <c r="O19" i="7"/>
  <c r="P13" i="5"/>
  <c r="O18" i="5"/>
  <c r="O19" i="5"/>
  <c r="P13" i="4"/>
  <c r="O18" i="4"/>
  <c r="O19" i="4"/>
  <c r="P51" i="1"/>
  <c r="P41" i="1"/>
  <c r="P44" i="1"/>
  <c r="P36" i="1"/>
  <c r="P55" i="1"/>
  <c r="P58" i="1"/>
  <c r="P46" i="1"/>
  <c r="P62" i="1"/>
  <c r="P63" i="1"/>
  <c r="P59" i="1"/>
  <c r="P50" i="1"/>
  <c r="P42" i="1"/>
  <c r="P61" i="1"/>
  <c r="P49" i="1"/>
  <c r="P45" i="1"/>
  <c r="P54" i="1"/>
  <c r="P65" i="1"/>
  <c r="P47" i="1"/>
  <c r="P39" i="1"/>
  <c r="P31" i="1"/>
  <c r="P52" i="1"/>
  <c r="P35" i="1"/>
  <c r="P53" i="1"/>
  <c r="P37" i="1"/>
  <c r="P38" i="1"/>
  <c r="P34" i="1"/>
  <c r="P57" i="1"/>
  <c r="P43" i="1"/>
  <c r="P19" i="39" l="1"/>
  <c r="P18" i="39"/>
  <c r="P19" i="38"/>
  <c r="P18" i="38"/>
  <c r="P19" i="37"/>
  <c r="P18" i="37"/>
  <c r="P19" i="36"/>
  <c r="P18" i="36"/>
  <c r="P19" i="35"/>
  <c r="P18" i="35"/>
  <c r="P19" i="34"/>
  <c r="P18" i="34"/>
  <c r="P19" i="33"/>
  <c r="P18" i="33"/>
  <c r="P19" i="32"/>
  <c r="P18" i="32"/>
  <c r="P19" i="31"/>
  <c r="P18" i="31"/>
  <c r="P19" i="30"/>
  <c r="P18" i="30"/>
  <c r="P19" i="29"/>
  <c r="P18" i="29"/>
  <c r="P19" i="28"/>
  <c r="P18" i="28"/>
  <c r="P19" i="27"/>
  <c r="P18" i="27"/>
  <c r="P19" i="26"/>
  <c r="P18" i="26"/>
  <c r="P18" i="25"/>
  <c r="P19" i="25"/>
  <c r="P19" i="24"/>
  <c r="P18" i="24"/>
  <c r="P19" i="23"/>
  <c r="P18" i="23"/>
  <c r="P18" i="20"/>
  <c r="P18" i="19"/>
  <c r="P19" i="19"/>
  <c r="P18" i="18"/>
  <c r="P19" i="18"/>
  <c r="P19" i="17"/>
  <c r="P18" i="17"/>
  <c r="P19" i="16"/>
  <c r="P18" i="16"/>
  <c r="P18" i="15"/>
  <c r="P19" i="15"/>
  <c r="P19" i="14"/>
  <c r="P18" i="14"/>
  <c r="P18" i="12"/>
  <c r="P19" i="12"/>
  <c r="P19" i="11"/>
  <c r="P18" i="11"/>
  <c r="P18" i="10"/>
  <c r="P19" i="10"/>
  <c r="P18" i="9"/>
  <c r="P19" i="9"/>
  <c r="P19" i="7"/>
  <c r="P18" i="7"/>
  <c r="P19" i="5"/>
  <c r="P18" i="5"/>
  <c r="P18" i="4"/>
  <c r="P19" i="4"/>
  <c r="L30" i="1"/>
  <c r="O30" i="1" s="1"/>
  <c r="P30" i="1" s="1"/>
  <c r="M30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Paul J. Pinter</author>
  </authors>
  <commentList>
    <comment ref="I4" authorId="0" shapeId="0" xr:uid="{1847891C-0B0B-45CA-A1AE-DE0F89573A6A}">
      <text>
        <r>
          <rPr>
            <b/>
            <sz val="8"/>
            <color indexed="81"/>
            <rFont val="Tahoma"/>
            <family val="2"/>
          </rPr>
          <t>Paul J. Pinter:
Refers to persons doing weights on subsamples by rows</t>
        </r>
        <r>
          <rPr>
            <b/>
            <sz val="8"/>
            <color indexed="81"/>
            <rFont val="Tahoma"/>
            <family val="2"/>
          </rPr>
          <t xml:space="preserve">
SR=Stacy Richards
SM=Suzette Maneely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Hunsaker</author>
  </authors>
  <commentList>
    <comment ref="L3" authorId="0" shapeId="0" xr:uid="{2C729B8C-129D-4F63-AA28-600CC6967FC2}">
      <text>
        <r>
          <rPr>
            <b/>
            <sz val="10"/>
            <color indexed="81"/>
            <rFont val="Tahoma"/>
            <family val="2"/>
          </rPr>
          <t>Hunsaker:</t>
        </r>
        <r>
          <rPr>
            <sz val="10"/>
            <color indexed="81"/>
            <rFont val="Tahoma"/>
            <family val="2"/>
          </rPr>
          <t xml:space="preserve">
Assumed 124 trash same as other rep NSH 401</t>
        </r>
      </text>
    </comment>
  </commentList>
</comments>
</file>

<file path=xl/sharedStrings.xml><?xml version="1.0" encoding="utf-8"?>
<sst xmlns="http://schemas.openxmlformats.org/spreadsheetml/2006/main" count="1555" uniqueCount="132">
  <si>
    <t>Harvest</t>
  </si>
  <si>
    <t>Field wt</t>
  </si>
  <si>
    <t>HADAT</t>
  </si>
  <si>
    <t>WBWAH</t>
  </si>
  <si>
    <t>(kg/ha)</t>
  </si>
  <si>
    <t>Parameters</t>
  </si>
  <si>
    <t>m2 per ha</t>
  </si>
  <si>
    <t>Ginning</t>
  </si>
  <si>
    <t>Sample</t>
  </si>
  <si>
    <t>wt</t>
  </si>
  <si>
    <t>(g)</t>
  </si>
  <si>
    <t>Fiber</t>
  </si>
  <si>
    <t>Seed</t>
  </si>
  <si>
    <t>FFRAC</t>
  </si>
  <si>
    <t>SFRAC</t>
  </si>
  <si>
    <t>TFRAC</t>
  </si>
  <si>
    <t>(g/g)</t>
  </si>
  <si>
    <t>Compute</t>
  </si>
  <si>
    <t>WFWAH</t>
  </si>
  <si>
    <t>WSWAH</t>
  </si>
  <si>
    <t>WSCWAH</t>
  </si>
  <si>
    <t>PID</t>
  </si>
  <si>
    <t>Column H - Weight of bulk cotton subsample prior to ginning (g)</t>
  </si>
  <si>
    <t>Column K - Fiber fraction after ginning (FFRAC, g/g)</t>
  </si>
  <si>
    <t>Column L - Seed fraction after ginning (SFRAC, g/g)</t>
  </si>
  <si>
    <t>Column N - Wet fiber weight at harvest (WFWAH, kg/ha)</t>
  </si>
  <si>
    <t>Column O - Wet seed weight at harvest (WSWAH, kg/ha)</t>
  </si>
  <si>
    <t>Column P - Wet seed cotton weight at harvest (fiber + seed) (WSCWAH, kg/ha)</t>
  </si>
  <si>
    <t>Plot</t>
  </si>
  <si>
    <t>HARM</t>
  </si>
  <si>
    <t>Hand</t>
  </si>
  <si>
    <t>Column C - Harvest method (HARM)</t>
  </si>
  <si>
    <t>Size of harvest area (6 40-inch rows by 4 m) (m2)</t>
  </si>
  <si>
    <t>g per kg</t>
  </si>
  <si>
    <t>Column F - Wet bulk weight at harvest (fiber + seed + trash) (WBWAH, kg/ha)</t>
  </si>
  <si>
    <t>Date</t>
  </si>
  <si>
    <t>GNDAT</t>
  </si>
  <si>
    <t>Column D - Harvest date (HADAT, mm/dd/yyyy)</t>
  </si>
  <si>
    <t>Column G - Ginning Date (GNDAT, mm/dd/yyyy)</t>
  </si>
  <si>
    <t>Size of harvest area for stress plots (6 40-inch rows by 2 m) (m2)</t>
  </si>
  <si>
    <t>Column E - Weight of bulk hand-picked cotton in six 4 m rows with gleaning weight from 10/21/2003 added (g)</t>
  </si>
  <si>
    <t>Column I - Weight of fiber after ginning (g)</t>
  </si>
  <si>
    <t>Column M - Trash fraction after ginning (TFRAC, g/g)</t>
  </si>
  <si>
    <t>LintYield mean (kg/ha)</t>
  </si>
  <si>
    <t>SCYield mean (kg/ha)</t>
  </si>
  <si>
    <t>Original</t>
  </si>
  <si>
    <t>Spreadsheet</t>
  </si>
  <si>
    <t>Column J - Weight of fuzzy seed after ginning (g)</t>
  </si>
  <si>
    <t>ID</t>
  </si>
  <si>
    <t>Column A - ID (ID)</t>
  </si>
  <si>
    <t>Column B - Plot ID (PID)</t>
  </si>
  <si>
    <t>p101</t>
  </si>
  <si>
    <t>p102</t>
  </si>
  <si>
    <t>p103</t>
  </si>
  <si>
    <t>p104</t>
  </si>
  <si>
    <t>p105</t>
  </si>
  <si>
    <t>p106</t>
  </si>
  <si>
    <t>p107</t>
  </si>
  <si>
    <t>p108</t>
  </si>
  <si>
    <t>p201</t>
  </si>
  <si>
    <t>p202</t>
  </si>
  <si>
    <t>p203</t>
  </si>
  <si>
    <t>p204</t>
  </si>
  <si>
    <t>p205</t>
  </si>
  <si>
    <t>p206</t>
  </si>
  <si>
    <t>p207</t>
  </si>
  <si>
    <t>p208</t>
  </si>
  <si>
    <t>p301</t>
  </si>
  <si>
    <t>p302</t>
  </si>
  <si>
    <t>p303</t>
  </si>
  <si>
    <t>p304</t>
  </si>
  <si>
    <t>p305</t>
  </si>
  <si>
    <t>p306</t>
  </si>
  <si>
    <t>p307</t>
  </si>
  <si>
    <t>p308</t>
  </si>
  <si>
    <t>p401</t>
  </si>
  <si>
    <t>p402</t>
  </si>
  <si>
    <t>p403</t>
  </si>
  <si>
    <t>p404</t>
  </si>
  <si>
    <t>p405</t>
  </si>
  <si>
    <t>p406</t>
  </si>
  <si>
    <t>p407</t>
  </si>
  <si>
    <t>p408</t>
  </si>
  <si>
    <t>p902</t>
  </si>
  <si>
    <t>p904</t>
  </si>
  <si>
    <t>p906</t>
  </si>
  <si>
    <t>p908</t>
  </si>
  <si>
    <t>Sampled 4m length of row in regualr plots, 2m in 900s, except where noted</t>
  </si>
  <si>
    <t>Please note color, mold, extra trash, hard locks, anything out of the ordinary</t>
  </si>
  <si>
    <t xml:space="preserve">Standard Error:    </t>
  </si>
  <si>
    <t xml:space="preserve">Grand Mean:     </t>
  </si>
  <si>
    <t>Wt of Gleaned Sample</t>
  </si>
  <si>
    <t>Date Gleaned</t>
  </si>
  <si>
    <t>approx. bales/acre</t>
  </si>
  <si>
    <t>lbs/acre</t>
  </si>
  <si>
    <t>kg/ha</t>
  </si>
  <si>
    <t>g/m row</t>
  </si>
  <si>
    <t>Notes / Comments / Appearance</t>
  </si>
  <si>
    <t>Total (g)</t>
  </si>
  <si>
    <t>Bag # 3  (g)</t>
  </si>
  <si>
    <t>Bag # 2  (g)</t>
  </si>
  <si>
    <t>Bag # 1  (g)</t>
  </si>
  <si>
    <t>Length (m)</t>
  </si>
  <si>
    <t>Row</t>
  </si>
  <si>
    <t>Lint</t>
  </si>
  <si>
    <t>Seed Cotton</t>
  </si>
  <si>
    <t>Seed Fraction</t>
  </si>
  <si>
    <t>Seed Weight:</t>
  </si>
  <si>
    <t>Time weighed:</t>
  </si>
  <si>
    <t>Lint Fraction:</t>
  </si>
  <si>
    <t>Lint Weight:</t>
  </si>
  <si>
    <t>AA</t>
  </si>
  <si>
    <t>Initials:</t>
  </si>
  <si>
    <t>Date weighed:</t>
  </si>
  <si>
    <t>Trash Fraction:</t>
  </si>
  <si>
    <t>Gross Weight:</t>
  </si>
  <si>
    <t>Date picked:</t>
  </si>
  <si>
    <t>SR</t>
  </si>
  <si>
    <t>Initials</t>
  </si>
  <si>
    <t>Date Ginned:</t>
  </si>
  <si>
    <t>Plot:</t>
  </si>
  <si>
    <t>FISE2003 - Seed Cotton</t>
  </si>
  <si>
    <t>Please note color, mold, extra trash, hard locks, anything unusual.</t>
  </si>
  <si>
    <t>SM</t>
  </si>
  <si>
    <t>SMM</t>
  </si>
  <si>
    <t>labelled 202 "row 5" but 2 bags already labelled row 5 1 of 2 , 2 of 2. Both accounted for</t>
  </si>
  <si>
    <t>one of these is mislabeled.should be from row 4</t>
  </si>
  <si>
    <t xml:space="preserve"> </t>
  </si>
  <si>
    <t>The data on this sheet was originally a duplicate of plot 303 data - discovered when proofed by COB - SER made changes 6 May 03 - see change history data sheet</t>
  </si>
  <si>
    <t>all rows in one subsample bag</t>
  </si>
  <si>
    <t>no subsample</t>
  </si>
  <si>
    <t xml:space="preserve">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</si>
</sst>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0"/>
    <numFmt numFmtId="166" formatCode="0.000"/>
  </numFmts>
  <fonts count="14" x14ac:knownFonts="1">
    <font>
      <sz val="11"/>
      <color theme="1"/>
      <name val="Calibri"/>
      <family val="2"/>
      <scheme val="minor"/>
    </font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sz val="24"/>
      <name val="Comic Sans MS"/>
      <family val="4"/>
    </font>
    <font>
      <b/>
      <sz val="8"/>
      <color indexed="81"/>
      <name val="Tahoma"/>
      <family val="2"/>
    </font>
    <font>
      <sz val="10"/>
      <color indexed="10"/>
      <name val="Arial"/>
      <family val="2"/>
    </font>
    <font>
      <b/>
      <sz val="10"/>
      <color indexed="81"/>
      <name val="Tahoma"/>
      <family val="2"/>
    </font>
    <font>
      <sz val="10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</fills>
  <borders count="9">
    <border>
      <left/>
      <right/>
      <top/>
      <bottom/>
      <diagonal/>
    </border>
    <border>
      <left/>
      <right style="thick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64"/>
      </bottom>
      <diagonal/>
    </border>
  </borders>
  <cellStyleXfs count="2">
    <xf numFmtId="0" fontId="0" fillId="0" borderId="0"/>
    <xf numFmtId="0" fontId="1" fillId="0" borderId="0"/>
  </cellStyleXfs>
  <cellXfs count="60">
    <xf numFmtId="0" fontId="0" fillId="0" borderId="0" xfId="0"/>
    <xf numFmtId="0" fontId="0" fillId="2" borderId="0" xfId="0" applyFill="1"/>
    <xf numFmtId="14" fontId="0" fillId="2" borderId="0" xfId="0" applyNumberFormat="1" applyFill="1"/>
    <xf numFmtId="164" fontId="0" fillId="0" borderId="0" xfId="0" applyNumberFormat="1"/>
    <xf numFmtId="164" fontId="0" fillId="2" borderId="0" xfId="0" applyNumberFormat="1" applyFill="1"/>
    <xf numFmtId="2" fontId="0" fillId="2" borderId="0" xfId="0" applyNumberFormat="1" applyFill="1"/>
    <xf numFmtId="165" fontId="0" fillId="2" borderId="0" xfId="0" applyNumberFormat="1" applyFill="1"/>
    <xf numFmtId="0" fontId="1" fillId="0" borderId="0" xfId="1"/>
    <xf numFmtId="166" fontId="2" fillId="0" borderId="0" xfId="1" applyNumberFormat="1" applyFont="1"/>
    <xf numFmtId="2" fontId="2" fillId="0" borderId="0" xfId="1" applyNumberFormat="1" applyFont="1"/>
    <xf numFmtId="2" fontId="2" fillId="0" borderId="1" xfId="1" applyNumberFormat="1" applyFont="1" applyBorder="1"/>
    <xf numFmtId="0" fontId="1" fillId="0" borderId="2" xfId="1" applyBorder="1"/>
    <xf numFmtId="0" fontId="1" fillId="3" borderId="3" xfId="1" applyFill="1" applyBorder="1"/>
    <xf numFmtId="0" fontId="3" fillId="0" borderId="3" xfId="1" applyFont="1" applyBorder="1" applyAlignment="1">
      <alignment horizontal="center"/>
    </xf>
    <xf numFmtId="0" fontId="4" fillId="0" borderId="4" xfId="1" applyFont="1" applyBorder="1" applyAlignment="1">
      <alignment horizontal="right" vertical="center"/>
    </xf>
    <xf numFmtId="0" fontId="4" fillId="0" borderId="5" xfId="1" applyFont="1" applyBorder="1" applyAlignment="1">
      <alignment horizontal="right" vertical="center"/>
    </xf>
    <xf numFmtId="2" fontId="3" fillId="0" borderId="0" xfId="1" applyNumberFormat="1" applyFont="1"/>
    <xf numFmtId="164" fontId="3" fillId="0" borderId="0" xfId="1" applyNumberFormat="1" applyFont="1"/>
    <xf numFmtId="164" fontId="3" fillId="0" borderId="1" xfId="1" applyNumberFormat="1" applyFont="1" applyBorder="1"/>
    <xf numFmtId="0" fontId="4" fillId="0" borderId="6" xfId="1" applyFont="1" applyBorder="1" applyAlignment="1">
      <alignment horizontal="right" vertical="center"/>
    </xf>
    <xf numFmtId="166" fontId="1" fillId="0" borderId="0" xfId="1" applyNumberFormat="1"/>
    <xf numFmtId="164" fontId="1" fillId="0" borderId="0" xfId="1" applyNumberFormat="1"/>
    <xf numFmtId="164" fontId="1" fillId="0" borderId="1" xfId="1" applyNumberFormat="1" applyBorder="1"/>
    <xf numFmtId="0" fontId="1" fillId="0" borderId="3" xfId="1" applyBorder="1"/>
    <xf numFmtId="0" fontId="3" fillId="0" borderId="6" xfId="1" applyFont="1" applyBorder="1" applyAlignment="1">
      <alignment horizontal="center" vertical="center"/>
    </xf>
    <xf numFmtId="0" fontId="3" fillId="0" borderId="4" xfId="1" applyFont="1" applyBorder="1" applyAlignment="1">
      <alignment horizontal="center" vertical="center"/>
    </xf>
    <xf numFmtId="0" fontId="1" fillId="0" borderId="4" xfId="1" applyBorder="1"/>
    <xf numFmtId="0" fontId="3" fillId="0" borderId="5" xfId="1" applyFont="1" applyBorder="1" applyAlignment="1">
      <alignment horizontal="center" vertical="center"/>
    </xf>
    <xf numFmtId="0" fontId="1" fillId="4" borderId="3" xfId="1" applyFill="1" applyBorder="1"/>
    <xf numFmtId="0" fontId="5" fillId="0" borderId="6" xfId="1" applyFont="1" applyBorder="1" applyAlignment="1">
      <alignment horizontal="center" vertical="center"/>
    </xf>
    <xf numFmtId="0" fontId="5" fillId="0" borderId="5" xfId="1" applyFont="1" applyBorder="1" applyAlignment="1">
      <alignment horizontal="center" vertical="center"/>
    </xf>
    <xf numFmtId="16" fontId="6" fillId="4" borderId="3" xfId="1" applyNumberFormat="1" applyFont="1" applyFill="1" applyBorder="1"/>
    <xf numFmtId="0" fontId="3" fillId="0" borderId="6" xfId="1" applyFont="1" applyBorder="1" applyAlignment="1">
      <alignment horizontal="center" vertical="center"/>
    </xf>
    <xf numFmtId="0" fontId="3" fillId="0" borderId="5" xfId="1" applyFont="1" applyBorder="1" applyAlignment="1">
      <alignment horizontal="center" vertical="center"/>
    </xf>
    <xf numFmtId="0" fontId="1" fillId="0" borderId="1" xfId="1" applyBorder="1"/>
    <xf numFmtId="0" fontId="3" fillId="0" borderId="3" xfId="1" applyFont="1" applyBorder="1" applyAlignment="1">
      <alignment horizontal="center" vertical="center"/>
    </xf>
    <xf numFmtId="0" fontId="1" fillId="0" borderId="0" xfId="1" applyAlignment="1">
      <alignment vertical="center"/>
    </xf>
    <xf numFmtId="0" fontId="1" fillId="0" borderId="1" xfId="1" applyBorder="1" applyAlignment="1">
      <alignment vertical="center"/>
    </xf>
    <xf numFmtId="0" fontId="3" fillId="0" borderId="0" xfId="1" applyFont="1" applyAlignment="1">
      <alignment horizontal="center" vertical="center"/>
    </xf>
    <xf numFmtId="0" fontId="5" fillId="0" borderId="3" xfId="1" applyFont="1" applyBorder="1" applyAlignment="1">
      <alignment horizontal="center" vertical="center" wrapText="1"/>
    </xf>
    <xf numFmtId="0" fontId="5" fillId="0" borderId="0" xfId="1" applyFont="1" applyAlignment="1">
      <alignment horizontal="center" vertical="center" wrapText="1"/>
    </xf>
    <xf numFmtId="0" fontId="3" fillId="0" borderId="1" xfId="1" applyFont="1" applyBorder="1" applyAlignment="1">
      <alignment horizontal="center" vertical="center"/>
    </xf>
    <xf numFmtId="0" fontId="3" fillId="0" borderId="3" xfId="1" applyFont="1" applyBorder="1" applyAlignment="1">
      <alignment horizontal="center" vertical="center" wrapText="1"/>
    </xf>
    <xf numFmtId="0" fontId="4" fillId="0" borderId="0" xfId="1" applyFont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3" fillId="0" borderId="0" xfId="1" applyFont="1" applyAlignment="1">
      <alignment horizontal="right"/>
    </xf>
    <xf numFmtId="166" fontId="3" fillId="0" borderId="7" xfId="1" applyNumberFormat="1" applyFont="1" applyBorder="1" applyAlignment="1">
      <alignment horizontal="center" vertical="center"/>
    </xf>
    <xf numFmtId="0" fontId="3" fillId="0" borderId="0" xfId="1" applyFont="1" applyAlignment="1">
      <alignment horizontal="right" vertical="center"/>
    </xf>
    <xf numFmtId="0" fontId="3" fillId="4" borderId="7" xfId="1" applyFont="1" applyFill="1" applyBorder="1" applyAlignment="1">
      <alignment horizontal="center" vertical="center"/>
    </xf>
    <xf numFmtId="18" fontId="1" fillId="4" borderId="8" xfId="1" applyNumberFormat="1" applyFill="1" applyBorder="1"/>
    <xf numFmtId="0" fontId="4" fillId="0" borderId="0" xfId="1" applyFont="1" applyAlignment="1">
      <alignment horizontal="right" vertical="center"/>
    </xf>
    <xf numFmtId="0" fontId="1" fillId="4" borderId="8" xfId="1" applyFill="1" applyBorder="1"/>
    <xf numFmtId="16" fontId="1" fillId="4" borderId="8" xfId="1" applyNumberFormat="1" applyFill="1" applyBorder="1"/>
    <xf numFmtId="16" fontId="3" fillId="4" borderId="7" xfId="1" applyNumberFormat="1" applyFont="1" applyFill="1" applyBorder="1" applyAlignment="1">
      <alignment horizontal="center" vertical="center"/>
    </xf>
    <xf numFmtId="0" fontId="7" fillId="0" borderId="0" xfId="1" applyFont="1"/>
    <xf numFmtId="0" fontId="7" fillId="4" borderId="8" xfId="1" applyFont="1" applyFill="1" applyBorder="1"/>
    <xf numFmtId="0" fontId="8" fillId="0" borderId="0" xfId="1" applyFont="1" applyAlignment="1">
      <alignment horizontal="right" vertical="center"/>
    </xf>
    <xf numFmtId="0" fontId="9" fillId="0" borderId="0" xfId="1" applyFont="1" applyAlignment="1">
      <alignment vertical="center"/>
    </xf>
    <xf numFmtId="166" fontId="2" fillId="4" borderId="0" xfId="1" applyNumberFormat="1" applyFont="1" applyFill="1"/>
    <xf numFmtId="0" fontId="11" fillId="0" borderId="0" xfId="1" applyFont="1"/>
  </cellXfs>
  <cellStyles count="2">
    <cellStyle name="Normal" xfId="0" builtinId="0"/>
    <cellStyle name="Normal 2" xfId="1" xr:uid="{468773FF-7879-4329-A40D-F3DA9183316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WFWAH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"1:1"</c:v>
          </c:tx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Compare!$N$3:$N$4</c:f>
              <c:numCache>
                <c:formatCode>General</c:formatCode>
                <c:ptCount val="2"/>
                <c:pt idx="0">
                  <c:v>0</c:v>
                </c:pt>
                <c:pt idx="1">
                  <c:v>2500</c:v>
                </c:pt>
              </c:numCache>
            </c:numRef>
          </c:xVal>
          <c:yVal>
            <c:numRef>
              <c:f>Compare!$N$3:$N$4</c:f>
              <c:numCache>
                <c:formatCode>General</c:formatCode>
                <c:ptCount val="2"/>
                <c:pt idx="0">
                  <c:v>0</c:v>
                </c:pt>
                <c:pt idx="1">
                  <c:v>2500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CF4-458B-BA21-3B82D59A2767}"/>
            </c:ext>
          </c:extLst>
        </c:ser>
        <c:ser>
          <c:idx val="1"/>
          <c:order val="1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Compare!$B$5:$B$40</c:f>
              <c:numCache>
                <c:formatCode>General</c:formatCode>
                <c:ptCount val="36"/>
                <c:pt idx="0">
                  <c:v>1411.513035464701</c:v>
                </c:pt>
                <c:pt idx="1">
                  <c:v>1453.5868442745239</c:v>
                </c:pt>
                <c:pt idx="2">
                  <c:v>1868.6518252248575</c:v>
                </c:pt>
                <c:pt idx="3">
                  <c:v>1740.7652176573783</c:v>
                </c:pt>
                <c:pt idx="4">
                  <c:v>1698.7388302851746</c:v>
                </c:pt>
                <c:pt idx="5">
                  <c:v>1754.5844353961515</c:v>
                </c:pt>
                <c:pt idx="6">
                  <c:v>1696.3505525120154</c:v>
                </c:pt>
                <c:pt idx="7">
                  <c:v>1989.6852140400031</c:v>
                </c:pt>
                <c:pt idx="8">
                  <c:v>1655.5309234167814</c:v>
                </c:pt>
                <c:pt idx="9">
                  <c:v>1678.1449810343856</c:v>
                </c:pt>
                <c:pt idx="10">
                  <c:v>1720.481804653987</c:v>
                </c:pt>
                <c:pt idx="11">
                  <c:v>1880.8467679436351</c:v>
                </c:pt>
                <c:pt idx="12">
                  <c:v>1769.6962615600878</c:v>
                </c:pt>
                <c:pt idx="13">
                  <c:v>1682.6135053665093</c:v>
                </c:pt>
                <c:pt idx="14">
                  <c:v>1708.6638562342978</c:v>
                </c:pt>
                <c:pt idx="15">
                  <c:v>1524.681533858078</c:v>
                </c:pt>
                <c:pt idx="16">
                  <c:v>1682.9569465552941</c:v>
                </c:pt>
                <c:pt idx="17">
                  <c:v>1598.2053356540434</c:v>
                </c:pt>
                <c:pt idx="18">
                  <c:v>1735.2461704722039</c:v>
                </c:pt>
                <c:pt idx="19">
                  <c:v>1690.0381400451226</c:v>
                </c:pt>
                <c:pt idx="20">
                  <c:v>1714.959655714787</c:v>
                </c:pt>
                <c:pt idx="21">
                  <c:v>1602.144981518227</c:v>
                </c:pt>
                <c:pt idx="22">
                  <c:v>1632.2232818067805</c:v>
                </c:pt>
                <c:pt idx="23">
                  <c:v>1732.029882583379</c:v>
                </c:pt>
                <c:pt idx="24">
                  <c:v>1225.2614115540505</c:v>
                </c:pt>
                <c:pt idx="25">
                  <c:v>1576.8725226146112</c:v>
                </c:pt>
                <c:pt idx="26">
                  <c:v>1624.3792534533929</c:v>
                </c:pt>
                <c:pt idx="27">
                  <c:v>1777.2915061247352</c:v>
                </c:pt>
                <c:pt idx="28">
                  <c:v>1573.2129719297675</c:v>
                </c:pt>
                <c:pt idx="29">
                  <c:v>1901.0618755527248</c:v>
                </c:pt>
                <c:pt idx="30">
                  <c:v>1666.6220877175294</c:v>
                </c:pt>
                <c:pt idx="31">
                  <c:v>1659.2196784104278</c:v>
                </c:pt>
                <c:pt idx="32">
                  <c:v>780.27918537746791</c:v>
                </c:pt>
                <c:pt idx="33">
                  <c:v>262.34145223321212</c:v>
                </c:pt>
                <c:pt idx="34">
                  <c:v>905.82911106566326</c:v>
                </c:pt>
                <c:pt idx="35">
                  <c:v>388.09411291522434</c:v>
                </c:pt>
              </c:numCache>
            </c:numRef>
          </c:xVal>
          <c:yVal>
            <c:numRef>
              <c:f>'Raw Scale'!$N$30:$N$65</c:f>
              <c:numCache>
                <c:formatCode>0.0</c:formatCode>
                <c:ptCount val="36"/>
                <c:pt idx="0">
                  <c:v>1487.2437682509747</c:v>
                </c:pt>
                <c:pt idx="1">
                  <c:v>1492.5120689393598</c:v>
                </c:pt>
                <c:pt idx="2">
                  <c:v>1923.5182764549334</c:v>
                </c:pt>
                <c:pt idx="3">
                  <c:v>1781.4660764554692</c:v>
                </c:pt>
                <c:pt idx="4">
                  <c:v>1732.0382070100218</c:v>
                </c:pt>
                <c:pt idx="5">
                  <c:v>1818.8018168560759</c:v>
                </c:pt>
                <c:pt idx="6">
                  <c:v>1737.1360384756726</c:v>
                </c:pt>
                <c:pt idx="7">
                  <c:v>2050.7267249492379</c:v>
                </c:pt>
                <c:pt idx="8">
                  <c:v>1687.3568693625227</c:v>
                </c:pt>
                <c:pt idx="9">
                  <c:v>1749.5206723181864</c:v>
                </c:pt>
                <c:pt idx="10">
                  <c:v>1776.1299265103216</c:v>
                </c:pt>
                <c:pt idx="11">
                  <c:v>1927.5100597990449</c:v>
                </c:pt>
                <c:pt idx="12">
                  <c:v>1819.2510668909372</c:v>
                </c:pt>
                <c:pt idx="13">
                  <c:v>1736.2905852275831</c:v>
                </c:pt>
                <c:pt idx="14">
                  <c:v>1744.1601093080233</c:v>
                </c:pt>
                <c:pt idx="15">
                  <c:v>1561.4899713355346</c:v>
                </c:pt>
                <c:pt idx="16">
                  <c:v>1710.5784687698174</c:v>
                </c:pt>
                <c:pt idx="17">
                  <c:v>1634.6843354299153</c:v>
                </c:pt>
                <c:pt idx="18">
                  <c:v>1775.0687038554393</c:v>
                </c:pt>
                <c:pt idx="19">
                  <c:v>1714.3891200656858</c:v>
                </c:pt>
                <c:pt idx="20">
                  <c:v>1747.3013254062926</c:v>
                </c:pt>
                <c:pt idx="21">
                  <c:v>1629.4385563784926</c:v>
                </c:pt>
                <c:pt idx="22">
                  <c:v>1666.5869584502043</c:v>
                </c:pt>
                <c:pt idx="23">
                  <c:v>1774.6919287285268</c:v>
                </c:pt>
                <c:pt idx="24">
                  <c:v>1237.5408722713782</c:v>
                </c:pt>
                <c:pt idx="25">
                  <c:v>1596.0983775197531</c:v>
                </c:pt>
                <c:pt idx="26">
                  <c:v>1639.0118542040352</c:v>
                </c:pt>
                <c:pt idx="27">
                  <c:v>1799.8167007366769</c:v>
                </c:pt>
                <c:pt idx="28">
                  <c:v>1584.6919261546025</c:v>
                </c:pt>
                <c:pt idx="29">
                  <c:v>1917.1735274776731</c:v>
                </c:pt>
                <c:pt idx="31">
                  <c:v>1673.4509158708752</c:v>
                </c:pt>
                <c:pt idx="32">
                  <c:v>780.2791853774678</c:v>
                </c:pt>
                <c:pt idx="33">
                  <c:v>262.34145223321207</c:v>
                </c:pt>
                <c:pt idx="34">
                  <c:v>905.82911106566314</c:v>
                </c:pt>
                <c:pt idx="35">
                  <c:v>388.0941129152244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CF4-458B-BA21-3B82D59A27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7855368"/>
        <c:axId val="867856088"/>
      </c:scatterChart>
      <c:valAx>
        <c:axId val="8678553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Original Spreadsheet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7856088"/>
        <c:crosses val="autoZero"/>
        <c:crossBetween val="midCat"/>
      </c:valAx>
      <c:valAx>
        <c:axId val="867856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This</a:t>
                </a:r>
                <a:r>
                  <a:rPr lang="en-US" baseline="0"/>
                  <a:t> Spreadsheet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78553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WSCWAH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"1:1"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Compare!$N$20:$N$21</c:f>
              <c:numCache>
                <c:formatCode>General</c:formatCode>
                <c:ptCount val="2"/>
                <c:pt idx="0">
                  <c:v>0</c:v>
                </c:pt>
                <c:pt idx="1">
                  <c:v>6000</c:v>
                </c:pt>
              </c:numCache>
            </c:numRef>
          </c:xVal>
          <c:yVal>
            <c:numRef>
              <c:f>Compare!$N$20:$N$21</c:f>
              <c:numCache>
                <c:formatCode>General</c:formatCode>
                <c:ptCount val="2"/>
                <c:pt idx="0">
                  <c:v>0</c:v>
                </c:pt>
                <c:pt idx="1">
                  <c:v>6000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DB2-42F8-B86A-3B81AFF527CD}"/>
            </c:ext>
          </c:extLst>
        </c:ser>
        <c:ser>
          <c:idx val="1"/>
          <c:order val="1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Compare!$C$5:$C$40</c:f>
              <c:numCache>
                <c:formatCode>General</c:formatCode>
                <c:ptCount val="36"/>
                <c:pt idx="0">
                  <c:v>3947.7539916885394</c:v>
                </c:pt>
                <c:pt idx="1">
                  <c:v>4034.1138998250217</c:v>
                </c:pt>
                <c:pt idx="2">
                  <c:v>5038.1691546369202</c:v>
                </c:pt>
                <c:pt idx="3">
                  <c:v>4753.3628608923882</c:v>
                </c:pt>
                <c:pt idx="4">
                  <c:v>4352.1222933070876</c:v>
                </c:pt>
                <c:pt idx="5">
                  <c:v>5215.0522200349951</c:v>
                </c:pt>
                <c:pt idx="6">
                  <c:v>4635.5492672790906</c:v>
                </c:pt>
                <c:pt idx="7">
                  <c:v>5479.6109470691163</c:v>
                </c:pt>
                <c:pt idx="8">
                  <c:v>4407.7441491688533</c:v>
                </c:pt>
                <c:pt idx="9">
                  <c:v>4784.9204396325458</c:v>
                </c:pt>
                <c:pt idx="10">
                  <c:v>4819.183344269466</c:v>
                </c:pt>
                <c:pt idx="11">
                  <c:v>5124.3028215223094</c:v>
                </c:pt>
                <c:pt idx="12">
                  <c:v>5203.8358486439183</c:v>
                </c:pt>
                <c:pt idx="13">
                  <c:v>4799.4039807524059</c:v>
                </c:pt>
                <c:pt idx="14">
                  <c:v>4666.2791174540689</c:v>
                </c:pt>
                <c:pt idx="15">
                  <c:v>4234.108431758531</c:v>
                </c:pt>
                <c:pt idx="16">
                  <c:v>4552.0730807086611</c:v>
                </c:pt>
                <c:pt idx="17">
                  <c:v>4316.6625656167989</c:v>
                </c:pt>
                <c:pt idx="18">
                  <c:v>4986.8035050306216</c:v>
                </c:pt>
                <c:pt idx="19">
                  <c:v>4613.3188429571301</c:v>
                </c:pt>
                <c:pt idx="20">
                  <c:v>4709.8985673665793</c:v>
                </c:pt>
                <c:pt idx="21">
                  <c:v>4330.7947834645674</c:v>
                </c:pt>
                <c:pt idx="22">
                  <c:v>4778.939741907262</c:v>
                </c:pt>
                <c:pt idx="23">
                  <c:v>4813.3154254155725</c:v>
                </c:pt>
                <c:pt idx="24">
                  <c:v>3734.0264107611547</c:v>
                </c:pt>
                <c:pt idx="25">
                  <c:v>4523.2180938320207</c:v>
                </c:pt>
                <c:pt idx="26">
                  <c:v>4287.0461504811901</c:v>
                </c:pt>
                <c:pt idx="27">
                  <c:v>5105.8638178040246</c:v>
                </c:pt>
                <c:pt idx="28">
                  <c:v>4220.1101815398079</c:v>
                </c:pt>
                <c:pt idx="29">
                  <c:v>5413.5765255905508</c:v>
                </c:pt>
                <c:pt idx="30">
                  <c:v>4933.2280730533685</c:v>
                </c:pt>
                <c:pt idx="31">
                  <c:v>4580.593832020998</c:v>
                </c:pt>
                <c:pt idx="32">
                  <c:v>2237.1227034120734</c:v>
                </c:pt>
                <c:pt idx="33">
                  <c:v>857.52132545931761</c:v>
                </c:pt>
                <c:pt idx="34">
                  <c:v>2564.4685039370083</c:v>
                </c:pt>
                <c:pt idx="35">
                  <c:v>1181.4140419947505</c:v>
                </c:pt>
              </c:numCache>
            </c:numRef>
          </c:xVal>
          <c:yVal>
            <c:numRef>
              <c:f>'Raw Scale'!$P$30:$P$65</c:f>
              <c:numCache>
                <c:formatCode>0.0</c:formatCode>
                <c:ptCount val="36"/>
                <c:pt idx="0">
                  <c:v>4112.0280403263432</c:v>
                </c:pt>
                <c:pt idx="1">
                  <c:v>4020.3203047957163</c:v>
                </c:pt>
                <c:pt idx="2">
                  <c:v>5088.7489480356508</c:v>
                </c:pt>
                <c:pt idx="3">
                  <c:v>4617.3947275372966</c:v>
                </c:pt>
                <c:pt idx="4">
                  <c:v>4407.4251769255807</c:v>
                </c:pt>
                <c:pt idx="5">
                  <c:v>5087.0667960856608</c:v>
                </c:pt>
                <c:pt idx="6">
                  <c:v>4629.189021644368</c:v>
                </c:pt>
                <c:pt idx="7">
                  <c:v>5456.327424688543</c:v>
                </c:pt>
                <c:pt idx="8">
                  <c:v>4293.1688848153735</c:v>
                </c:pt>
                <c:pt idx="9">
                  <c:v>4812.3490853128915</c:v>
                </c:pt>
                <c:pt idx="10">
                  <c:v>4768.0502679447181</c:v>
                </c:pt>
                <c:pt idx="11">
                  <c:v>5186.272670669563</c:v>
                </c:pt>
                <c:pt idx="12">
                  <c:v>5079.8921390411051</c:v>
                </c:pt>
                <c:pt idx="13">
                  <c:v>4696.966603349385</c:v>
                </c:pt>
                <c:pt idx="14">
                  <c:v>4599.1230506481361</c:v>
                </c:pt>
                <c:pt idx="15">
                  <c:v>4155.5347888526303</c:v>
                </c:pt>
                <c:pt idx="16">
                  <c:v>4507.959160312701</c:v>
                </c:pt>
                <c:pt idx="17">
                  <c:v>4255.5783128037674</c:v>
                </c:pt>
                <c:pt idx="18">
                  <c:v>4854.9937559506325</c:v>
                </c:pt>
                <c:pt idx="19">
                  <c:v>4555.1169098374485</c:v>
                </c:pt>
                <c:pt idx="20">
                  <c:v>4576.272570601499</c:v>
                </c:pt>
                <c:pt idx="21">
                  <c:v>4281.6354905188527</c:v>
                </c:pt>
                <c:pt idx="22">
                  <c:v>4617.4594814512857</c:v>
                </c:pt>
                <c:pt idx="23">
                  <c:v>4750.6841763976136</c:v>
                </c:pt>
                <c:pt idx="24">
                  <c:v>3561.8390547234271</c:v>
                </c:pt>
                <c:pt idx="25">
                  <c:v>4435.3366175627962</c:v>
                </c:pt>
                <c:pt idx="26">
                  <c:v>4207.7051836019355</c:v>
                </c:pt>
                <c:pt idx="27">
                  <c:v>4908.2392206886252</c:v>
                </c:pt>
                <c:pt idx="28">
                  <c:v>4077.3084857841068</c:v>
                </c:pt>
                <c:pt idx="29">
                  <c:v>5194.9419218226285</c:v>
                </c:pt>
                <c:pt idx="31">
                  <c:v>4400.0539762279968</c:v>
                </c:pt>
                <c:pt idx="32">
                  <c:v>2098.8501284629838</c:v>
                </c:pt>
                <c:pt idx="33">
                  <c:v>735.72351073209893</c:v>
                </c:pt>
                <c:pt idx="34">
                  <c:v>2474.7221663606515</c:v>
                </c:pt>
                <c:pt idx="35">
                  <c:v>1115.9431544428703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DB2-42F8-B86A-3B81AFF527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7855368"/>
        <c:axId val="867856088"/>
      </c:scatterChart>
      <c:valAx>
        <c:axId val="8678553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Original Spreadsheet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7856088"/>
        <c:crosses val="autoZero"/>
        <c:crossBetween val="midCat"/>
      </c:valAx>
      <c:valAx>
        <c:axId val="867856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This</a:t>
                </a:r>
                <a:r>
                  <a:rPr lang="en-US" baseline="0"/>
                  <a:t> Spreadsheet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78553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25717</xdr:colOff>
      <xdr:row>2</xdr:row>
      <xdr:rowOff>120015</xdr:rowOff>
    </xdr:from>
    <xdr:to>
      <xdr:col>11</xdr:col>
      <xdr:colOff>330517</xdr:colOff>
      <xdr:row>17</xdr:row>
      <xdr:rowOff>154305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B71C399-481A-2EB4-42E6-61D780130F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590550</xdr:colOff>
      <xdr:row>19</xdr:row>
      <xdr:rowOff>19050</xdr:rowOff>
    </xdr:from>
    <xdr:to>
      <xdr:col>11</xdr:col>
      <xdr:colOff>285750</xdr:colOff>
      <xdr:row>34</xdr:row>
      <xdr:rowOff>49530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F65E7BB-3134-457B-87C9-C556C9C793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1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7E8EA-A5C9-47F2-8D6E-B68B0450AD04}">
  <dimension ref="A1:Q65"/>
  <sheetViews>
    <sheetView tabSelected="1" workbookViewId="0"/>
  </sheetViews>
  <sheetFormatPr defaultRowHeight="15" x14ac:dyDescent="0.25"/>
  <cols>
    <col min="1" max="3" width="8.85546875" customWidth="1"/>
    <col min="4" max="5" width="10.5703125" bestFit="1" customWidth="1"/>
    <col min="7" max="7" width="10.5703125" bestFit="1" customWidth="1"/>
  </cols>
  <sheetData>
    <row r="1" spans="1:1" x14ac:dyDescent="0.25">
      <c r="A1" t="s">
        <v>49</v>
      </c>
    </row>
    <row r="2" spans="1:1" x14ac:dyDescent="0.25">
      <c r="A2" t="s">
        <v>50</v>
      </c>
    </row>
    <row r="3" spans="1:1" x14ac:dyDescent="0.25">
      <c r="A3" t="s">
        <v>31</v>
      </c>
    </row>
    <row r="4" spans="1:1" x14ac:dyDescent="0.25">
      <c r="A4" t="s">
        <v>37</v>
      </c>
    </row>
    <row r="5" spans="1:1" x14ac:dyDescent="0.25">
      <c r="A5" t="s">
        <v>40</v>
      </c>
    </row>
    <row r="6" spans="1:1" x14ac:dyDescent="0.25">
      <c r="A6" t="s">
        <v>34</v>
      </c>
    </row>
    <row r="7" spans="1:1" x14ac:dyDescent="0.25">
      <c r="A7" t="s">
        <v>38</v>
      </c>
    </row>
    <row r="8" spans="1:1" x14ac:dyDescent="0.25">
      <c r="A8" t="s">
        <v>22</v>
      </c>
    </row>
    <row r="9" spans="1:1" x14ac:dyDescent="0.25">
      <c r="A9" t="s">
        <v>41</v>
      </c>
    </row>
    <row r="10" spans="1:1" x14ac:dyDescent="0.25">
      <c r="A10" t="s">
        <v>47</v>
      </c>
    </row>
    <row r="11" spans="1:1" x14ac:dyDescent="0.25">
      <c r="A11" t="s">
        <v>23</v>
      </c>
    </row>
    <row r="12" spans="1:1" x14ac:dyDescent="0.25">
      <c r="A12" t="s">
        <v>24</v>
      </c>
    </row>
    <row r="13" spans="1:1" x14ac:dyDescent="0.25">
      <c r="A13" t="s">
        <v>42</v>
      </c>
    </row>
    <row r="14" spans="1:1" x14ac:dyDescent="0.25">
      <c r="A14" t="s">
        <v>25</v>
      </c>
    </row>
    <row r="15" spans="1:1" x14ac:dyDescent="0.25">
      <c r="A15" t="s">
        <v>26</v>
      </c>
    </row>
    <row r="16" spans="1:1" x14ac:dyDescent="0.25">
      <c r="A16" t="s">
        <v>27</v>
      </c>
    </row>
    <row r="18" spans="1:17" x14ac:dyDescent="0.25">
      <c r="A18" t="s">
        <v>5</v>
      </c>
    </row>
    <row r="19" spans="1:17" x14ac:dyDescent="0.25">
      <c r="A19">
        <f>6*1.016*4</f>
        <v>24.384</v>
      </c>
      <c r="B19" t="s">
        <v>32</v>
      </c>
    </row>
    <row r="20" spans="1:17" x14ac:dyDescent="0.25">
      <c r="A20">
        <f>6*1.016*2</f>
        <v>12.192</v>
      </c>
      <c r="B20" t="s">
        <v>39</v>
      </c>
    </row>
    <row r="21" spans="1:17" x14ac:dyDescent="0.25">
      <c r="A21">
        <v>1000</v>
      </c>
      <c r="B21" t="s">
        <v>33</v>
      </c>
    </row>
    <row r="22" spans="1:17" x14ac:dyDescent="0.25">
      <c r="A22">
        <v>10000</v>
      </c>
      <c r="B22" t="s">
        <v>6</v>
      </c>
    </row>
    <row r="24" spans="1:17" x14ac:dyDescent="0.25">
      <c r="B24" s="1"/>
      <c r="C24" s="1" t="s">
        <v>0</v>
      </c>
      <c r="D24" s="1" t="s">
        <v>0</v>
      </c>
      <c r="E24" t="s">
        <v>0</v>
      </c>
      <c r="F24" s="1" t="s">
        <v>0</v>
      </c>
      <c r="G24" s="1" t="s">
        <v>7</v>
      </c>
      <c r="H24" t="s">
        <v>7</v>
      </c>
      <c r="I24" t="s">
        <v>7</v>
      </c>
      <c r="J24" t="s">
        <v>7</v>
      </c>
      <c r="K24" s="1" t="s">
        <v>7</v>
      </c>
      <c r="L24" s="1" t="s">
        <v>7</v>
      </c>
      <c r="M24" s="1" t="s">
        <v>7</v>
      </c>
      <c r="N24" s="1" t="s">
        <v>17</v>
      </c>
      <c r="O24" s="1" t="s">
        <v>17</v>
      </c>
      <c r="P24" s="1" t="s">
        <v>17</v>
      </c>
    </row>
    <row r="25" spans="1:17" x14ac:dyDescent="0.25">
      <c r="B25" s="1"/>
      <c r="C25" s="1"/>
      <c r="D25" s="1"/>
      <c r="F25" s="1"/>
      <c r="G25" s="1"/>
      <c r="K25" s="1"/>
      <c r="L25" s="1"/>
      <c r="M25" s="1"/>
      <c r="N25" s="1"/>
      <c r="O25" s="1"/>
      <c r="P25" s="1"/>
    </row>
    <row r="26" spans="1:17" x14ac:dyDescent="0.25">
      <c r="B26" s="1"/>
      <c r="C26" s="1"/>
      <c r="D26" s="1"/>
      <c r="E26" t="s">
        <v>1</v>
      </c>
      <c r="F26" s="1"/>
      <c r="G26" s="1" t="s">
        <v>35</v>
      </c>
      <c r="H26" t="s">
        <v>8</v>
      </c>
      <c r="I26" t="s">
        <v>11</v>
      </c>
      <c r="J26" t="s">
        <v>12</v>
      </c>
      <c r="K26" s="1"/>
      <c r="L26" s="1"/>
      <c r="M26" s="1"/>
      <c r="N26" s="1"/>
      <c r="O26" s="1"/>
      <c r="P26" s="1"/>
    </row>
    <row r="27" spans="1:17" x14ac:dyDescent="0.25">
      <c r="A27" t="s">
        <v>48</v>
      </c>
      <c r="B27" s="1" t="s">
        <v>21</v>
      </c>
      <c r="C27" s="1" t="s">
        <v>29</v>
      </c>
      <c r="D27" s="1" t="s">
        <v>2</v>
      </c>
      <c r="F27" s="1" t="s">
        <v>3</v>
      </c>
      <c r="G27" s="1" t="s">
        <v>36</v>
      </c>
      <c r="H27" t="s">
        <v>9</v>
      </c>
      <c r="I27" t="s">
        <v>9</v>
      </c>
      <c r="J27" t="s">
        <v>9</v>
      </c>
      <c r="K27" s="1" t="s">
        <v>13</v>
      </c>
      <c r="L27" s="1" t="s">
        <v>14</v>
      </c>
      <c r="M27" s="1" t="s">
        <v>15</v>
      </c>
      <c r="N27" s="1" t="s">
        <v>18</v>
      </c>
      <c r="O27" s="1" t="s">
        <v>19</v>
      </c>
      <c r="P27" s="1" t="s">
        <v>20</v>
      </c>
    </row>
    <row r="28" spans="1:17" x14ac:dyDescent="0.25">
      <c r="B28" s="1"/>
      <c r="C28" s="1"/>
      <c r="D28" s="1"/>
      <c r="E28" t="s">
        <v>10</v>
      </c>
      <c r="F28" s="1" t="s">
        <v>4</v>
      </c>
      <c r="G28" s="1"/>
      <c r="H28" t="s">
        <v>10</v>
      </c>
      <c r="I28" t="s">
        <v>10</v>
      </c>
      <c r="J28" t="s">
        <v>10</v>
      </c>
      <c r="K28" s="5" t="s">
        <v>16</v>
      </c>
      <c r="L28" s="5" t="s">
        <v>16</v>
      </c>
      <c r="M28" s="5" t="s">
        <v>16</v>
      </c>
      <c r="N28" s="5" t="s">
        <v>4</v>
      </c>
      <c r="O28" s="5" t="s">
        <v>4</v>
      </c>
      <c r="P28" s="5" t="s">
        <v>4</v>
      </c>
    </row>
    <row r="29" spans="1:17" x14ac:dyDescent="0.25">
      <c r="A29" t="s">
        <v>48</v>
      </c>
      <c r="B29" s="1" t="s">
        <v>21</v>
      </c>
      <c r="C29" s="1" t="s">
        <v>29</v>
      </c>
      <c r="D29" s="1" t="s">
        <v>2</v>
      </c>
      <c r="F29" s="1" t="s">
        <v>3</v>
      </c>
      <c r="G29" s="1" t="s">
        <v>36</v>
      </c>
      <c r="K29" s="1" t="s">
        <v>13</v>
      </c>
      <c r="L29" s="1" t="s">
        <v>14</v>
      </c>
      <c r="M29" s="1" t="s">
        <v>15</v>
      </c>
      <c r="N29" s="1" t="s">
        <v>18</v>
      </c>
      <c r="O29" s="1" t="s">
        <v>19</v>
      </c>
      <c r="P29" s="1" t="s">
        <v>20</v>
      </c>
    </row>
    <row r="30" spans="1:17" x14ac:dyDescent="0.25">
      <c r="A30">
        <v>1</v>
      </c>
      <c r="B30" s="1" t="s">
        <v>51</v>
      </c>
      <c r="C30" s="1" t="s">
        <v>30</v>
      </c>
      <c r="D30" s="2">
        <v>37909</v>
      </c>
      <c r="E30" s="3">
        <v>10142.67</v>
      </c>
      <c r="F30" s="4">
        <f t="shared" ref="F30:F61" si="0">(E30/$A$21)/$A$19*$A$22</f>
        <v>4159.5595472440946</v>
      </c>
      <c r="G30" s="2">
        <v>37924</v>
      </c>
      <c r="H30" s="3">
        <v>2069.65</v>
      </c>
      <c r="I30" s="3">
        <v>740</v>
      </c>
      <c r="J30" s="3">
        <v>1306</v>
      </c>
      <c r="K30" s="6">
        <f>I30/H30</f>
        <v>0.35754837774502934</v>
      </c>
      <c r="L30" s="6">
        <f>J30/H30</f>
        <v>0.63102456937163287</v>
      </c>
      <c r="M30" s="6">
        <f>1-K30-L30</f>
        <v>1.1427052883337785E-2</v>
      </c>
      <c r="N30" s="4">
        <f>F30*K30</f>
        <v>1487.2437682509747</v>
      </c>
      <c r="O30" s="4">
        <f>F30*L30</f>
        <v>2624.7842720753688</v>
      </c>
      <c r="P30" s="4">
        <f>N30+O30</f>
        <v>4112.0280403263432</v>
      </c>
      <c r="Q30" s="3"/>
    </row>
    <row r="31" spans="1:17" x14ac:dyDescent="0.25">
      <c r="A31">
        <v>2</v>
      </c>
      <c r="B31" s="1" t="s">
        <v>52</v>
      </c>
      <c r="C31" s="1" t="s">
        <v>30</v>
      </c>
      <c r="D31" s="2">
        <v>37909</v>
      </c>
      <c r="E31" s="3">
        <v>10100.200000000001</v>
      </c>
      <c r="F31" s="4">
        <f t="shared" si="0"/>
        <v>4142.1423884514443</v>
      </c>
      <c r="G31" s="2">
        <v>37924</v>
      </c>
      <c r="H31" s="3">
        <v>2162.5</v>
      </c>
      <c r="I31" s="3">
        <v>779.2</v>
      </c>
      <c r="J31" s="3">
        <v>1319.7</v>
      </c>
      <c r="K31" s="6">
        <f t="shared" ref="K31:K65" si="1">I31/H31</f>
        <v>0.36032369942196535</v>
      </c>
      <c r="L31" s="6">
        <f t="shared" ref="L31:L65" si="2">J31/H31</f>
        <v>0.61026589595375724</v>
      </c>
      <c r="M31" s="6">
        <f t="shared" ref="M31:M65" si="3">1-K31-L31</f>
        <v>2.9410404624277353E-2</v>
      </c>
      <c r="N31" s="4">
        <f t="shared" ref="N31:N65" si="4">F31*K31</f>
        <v>1492.5120689393598</v>
      </c>
      <c r="O31" s="4">
        <f t="shared" ref="O31:O65" si="5">F31*L31</f>
        <v>2527.8082358563565</v>
      </c>
      <c r="P31" s="4">
        <f t="shared" ref="P31:P65" si="6">N31+O31</f>
        <v>4020.3203047957163</v>
      </c>
      <c r="Q31" s="3"/>
    </row>
    <row r="32" spans="1:17" x14ac:dyDescent="0.25">
      <c r="A32">
        <v>3</v>
      </c>
      <c r="B32" s="1" t="s">
        <v>53</v>
      </c>
      <c r="C32" s="1" t="s">
        <v>30</v>
      </c>
      <c r="D32" s="2">
        <v>37909</v>
      </c>
      <c r="E32" s="3">
        <v>12645.78</v>
      </c>
      <c r="F32" s="4">
        <f t="shared" si="0"/>
        <v>5186.0974409448827</v>
      </c>
      <c r="G32" s="2">
        <v>37924</v>
      </c>
      <c r="H32" s="3">
        <v>2122.9499999999998</v>
      </c>
      <c r="I32" s="3">
        <v>787.4</v>
      </c>
      <c r="J32" s="3">
        <v>1295.7</v>
      </c>
      <c r="K32" s="6">
        <f t="shared" si="1"/>
        <v>0.37089898490308298</v>
      </c>
      <c r="L32" s="6">
        <f t="shared" si="2"/>
        <v>0.61032996537836504</v>
      </c>
      <c r="M32" s="6">
        <f t="shared" si="3"/>
        <v>1.8771049718551924E-2</v>
      </c>
      <c r="N32" s="4">
        <f t="shared" si="4"/>
        <v>1923.5182764549334</v>
      </c>
      <c r="O32" s="4">
        <f t="shared" si="5"/>
        <v>3165.2306715807176</v>
      </c>
      <c r="P32" s="4">
        <f t="shared" si="6"/>
        <v>5088.7489480356508</v>
      </c>
      <c r="Q32" s="3"/>
    </row>
    <row r="33" spans="1:17" x14ac:dyDescent="0.25">
      <c r="A33">
        <v>4</v>
      </c>
      <c r="B33" s="1" t="s">
        <v>54</v>
      </c>
      <c r="C33" s="1" t="s">
        <v>30</v>
      </c>
      <c r="D33" s="2">
        <v>37909</v>
      </c>
      <c r="E33" s="3">
        <v>11861.6</v>
      </c>
      <c r="F33" s="4">
        <f t="shared" si="0"/>
        <v>4864.5013123359586</v>
      </c>
      <c r="G33" s="2">
        <v>37924</v>
      </c>
      <c r="H33" s="3">
        <v>2412.5</v>
      </c>
      <c r="I33" s="3">
        <v>883.5</v>
      </c>
      <c r="J33" s="3">
        <v>1406.45</v>
      </c>
      <c r="K33" s="6">
        <f t="shared" si="1"/>
        <v>0.36621761658031088</v>
      </c>
      <c r="L33" s="6">
        <f t="shared" si="2"/>
        <v>0.5829844559585492</v>
      </c>
      <c r="M33" s="6">
        <f t="shared" si="3"/>
        <v>5.079792746113998E-2</v>
      </c>
      <c r="N33" s="4">
        <f t="shared" si="4"/>
        <v>1781.4660764554692</v>
      </c>
      <c r="O33" s="4">
        <f t="shared" si="5"/>
        <v>2835.9286510818274</v>
      </c>
      <c r="P33" s="4">
        <f t="shared" si="6"/>
        <v>4617.3947275372966</v>
      </c>
      <c r="Q33" s="3"/>
    </row>
    <row r="34" spans="1:17" x14ac:dyDescent="0.25">
      <c r="A34">
        <v>5</v>
      </c>
      <c r="B34" s="1" t="s">
        <v>55</v>
      </c>
      <c r="C34" s="1" t="s">
        <v>30</v>
      </c>
      <c r="D34" s="2">
        <v>37909</v>
      </c>
      <c r="E34" s="3">
        <v>10820.24</v>
      </c>
      <c r="F34" s="4">
        <f t="shared" si="0"/>
        <v>4437.4343832020995</v>
      </c>
      <c r="G34" s="2">
        <v>37924</v>
      </c>
      <c r="H34" s="3">
        <v>1943</v>
      </c>
      <c r="I34" s="3">
        <v>758.4</v>
      </c>
      <c r="J34" s="3">
        <v>1171.46</v>
      </c>
      <c r="K34" s="6">
        <f t="shared" si="1"/>
        <v>0.39032424086464229</v>
      </c>
      <c r="L34" s="6">
        <f t="shared" si="2"/>
        <v>0.60291302110138967</v>
      </c>
      <c r="M34" s="6">
        <f t="shared" si="3"/>
        <v>6.7627380339679855E-3</v>
      </c>
      <c r="N34" s="4">
        <f t="shared" si="4"/>
        <v>1732.0382070100218</v>
      </c>
      <c r="O34" s="4">
        <f t="shared" si="5"/>
        <v>2675.3869699155593</v>
      </c>
      <c r="P34" s="4">
        <f t="shared" si="6"/>
        <v>4407.4251769255807</v>
      </c>
      <c r="Q34" s="3"/>
    </row>
    <row r="35" spans="1:17" x14ac:dyDescent="0.25">
      <c r="A35">
        <v>6</v>
      </c>
      <c r="B35" s="1" t="s">
        <v>56</v>
      </c>
      <c r="C35" s="1" t="s">
        <v>30</v>
      </c>
      <c r="D35" s="2">
        <v>37909</v>
      </c>
      <c r="E35" s="3">
        <v>13181.8</v>
      </c>
      <c r="F35" s="4">
        <f t="shared" si="0"/>
        <v>5405.9219160104985</v>
      </c>
      <c r="G35" s="2">
        <v>37924</v>
      </c>
      <c r="H35" s="3">
        <v>1938.2</v>
      </c>
      <c r="I35" s="3">
        <v>652.1</v>
      </c>
      <c r="J35" s="3">
        <v>1171.78</v>
      </c>
      <c r="K35" s="6">
        <f t="shared" si="1"/>
        <v>0.33644618718398517</v>
      </c>
      <c r="L35" s="6">
        <f t="shared" si="2"/>
        <v>0.60457125167681347</v>
      </c>
      <c r="M35" s="6">
        <f t="shared" si="3"/>
        <v>5.8982561139201306E-2</v>
      </c>
      <c r="N35" s="4">
        <f t="shared" si="4"/>
        <v>1818.8018168560759</v>
      </c>
      <c r="O35" s="4">
        <f t="shared" si="5"/>
        <v>3268.2649792295847</v>
      </c>
      <c r="P35" s="4">
        <f t="shared" si="6"/>
        <v>5087.0667960856608</v>
      </c>
      <c r="Q35" s="3"/>
    </row>
    <row r="36" spans="1:17" x14ac:dyDescent="0.25">
      <c r="A36">
        <v>7</v>
      </c>
      <c r="B36" s="1" t="s">
        <v>57</v>
      </c>
      <c r="C36" s="1" t="s">
        <v>30</v>
      </c>
      <c r="D36" s="2">
        <v>37909</v>
      </c>
      <c r="E36" s="3">
        <v>11575.09</v>
      </c>
      <c r="F36" s="4">
        <f t="shared" si="0"/>
        <v>4747.002132545932</v>
      </c>
      <c r="G36" s="2">
        <v>37924</v>
      </c>
      <c r="H36" s="3">
        <v>1934.45</v>
      </c>
      <c r="I36" s="3">
        <v>707.9</v>
      </c>
      <c r="J36" s="3">
        <v>1178.54</v>
      </c>
      <c r="K36" s="6">
        <f t="shared" si="1"/>
        <v>0.36594380831760964</v>
      </c>
      <c r="L36" s="6">
        <f t="shared" si="2"/>
        <v>0.60923776784098838</v>
      </c>
      <c r="M36" s="6">
        <f t="shared" si="3"/>
        <v>2.4818423841401982E-2</v>
      </c>
      <c r="N36" s="4">
        <f t="shared" si="4"/>
        <v>1737.1360384756726</v>
      </c>
      <c r="O36" s="4">
        <f t="shared" si="5"/>
        <v>2892.0529831686954</v>
      </c>
      <c r="P36" s="4">
        <f t="shared" si="6"/>
        <v>4629.189021644368</v>
      </c>
      <c r="Q36" s="3"/>
    </row>
    <row r="37" spans="1:17" x14ac:dyDescent="0.25">
      <c r="A37">
        <v>8</v>
      </c>
      <c r="B37" s="1" t="s">
        <v>58</v>
      </c>
      <c r="C37" s="1" t="s">
        <v>30</v>
      </c>
      <c r="D37" s="2">
        <v>37909</v>
      </c>
      <c r="E37" s="3">
        <v>13771.4</v>
      </c>
      <c r="F37" s="4">
        <f t="shared" si="0"/>
        <v>5647.7198162729655</v>
      </c>
      <c r="G37" s="2">
        <v>37924</v>
      </c>
      <c r="H37" s="3">
        <v>2576.1</v>
      </c>
      <c r="I37" s="3">
        <v>935.4</v>
      </c>
      <c r="J37" s="3">
        <v>1553.4</v>
      </c>
      <c r="K37" s="6">
        <f t="shared" si="1"/>
        <v>0.36310702224292535</v>
      </c>
      <c r="L37" s="6">
        <f t="shared" si="2"/>
        <v>0.60300454174915574</v>
      </c>
      <c r="M37" s="6">
        <f t="shared" si="3"/>
        <v>3.388843600791891E-2</v>
      </c>
      <c r="N37" s="4">
        <f t="shared" si="4"/>
        <v>2050.7267249492379</v>
      </c>
      <c r="O37" s="4">
        <f t="shared" si="5"/>
        <v>3405.6006997393056</v>
      </c>
      <c r="P37" s="4">
        <f t="shared" si="6"/>
        <v>5456.327424688543</v>
      </c>
      <c r="Q37" s="3"/>
    </row>
    <row r="38" spans="1:17" x14ac:dyDescent="0.25">
      <c r="A38">
        <v>9</v>
      </c>
      <c r="B38" s="1" t="s">
        <v>59</v>
      </c>
      <c r="C38" s="1" t="s">
        <v>30</v>
      </c>
      <c r="D38" s="2">
        <v>37910</v>
      </c>
      <c r="E38" s="3">
        <v>10954.46</v>
      </c>
      <c r="F38" s="4">
        <f>(E38/$A$21)/$A$19*$A$22</f>
        <v>4492.4786745406818</v>
      </c>
      <c r="G38" s="2">
        <v>37924</v>
      </c>
      <c r="H38" s="3">
        <v>2370.1</v>
      </c>
      <c r="I38" s="3">
        <v>890.2</v>
      </c>
      <c r="J38" s="3">
        <v>1374.75</v>
      </c>
      <c r="K38" s="6">
        <f t="shared" si="1"/>
        <v>0.37559596641491921</v>
      </c>
      <c r="L38" s="6">
        <f t="shared" si="2"/>
        <v>0.58003881692755577</v>
      </c>
      <c r="M38" s="6">
        <f t="shared" si="3"/>
        <v>4.436521665752502E-2</v>
      </c>
      <c r="N38" s="4">
        <f t="shared" si="4"/>
        <v>1687.3568693625227</v>
      </c>
      <c r="O38" s="4">
        <f t="shared" si="5"/>
        <v>2605.812015452851</v>
      </c>
      <c r="P38" s="4">
        <f t="shared" si="6"/>
        <v>4293.1688848153735</v>
      </c>
      <c r="Q38" s="3"/>
    </row>
    <row r="39" spans="1:17" x14ac:dyDescent="0.25">
      <c r="A39">
        <v>10</v>
      </c>
      <c r="B39" s="1" t="s">
        <v>60</v>
      </c>
      <c r="C39" s="1" t="s">
        <v>30</v>
      </c>
      <c r="D39" s="2">
        <v>37910</v>
      </c>
      <c r="E39" s="3">
        <v>12163.8</v>
      </c>
      <c r="F39" s="4">
        <f t="shared" si="0"/>
        <v>4988.4350393700779</v>
      </c>
      <c r="G39" s="2">
        <v>37924</v>
      </c>
      <c r="H39" s="3">
        <v>2243.6999999999998</v>
      </c>
      <c r="I39" s="3">
        <v>786.9</v>
      </c>
      <c r="J39" s="3">
        <v>1377.6</v>
      </c>
      <c r="K39" s="6">
        <f t="shared" si="1"/>
        <v>0.35071533627490309</v>
      </c>
      <c r="L39" s="6">
        <f t="shared" si="2"/>
        <v>0.61398582698221693</v>
      </c>
      <c r="M39" s="6">
        <f t="shared" si="3"/>
        <v>3.5298836742879924E-2</v>
      </c>
      <c r="N39" s="4">
        <f t="shared" si="4"/>
        <v>1749.5206723181864</v>
      </c>
      <c r="O39" s="4">
        <f t="shared" si="5"/>
        <v>3062.8284129947051</v>
      </c>
      <c r="P39" s="4">
        <f t="shared" si="6"/>
        <v>4812.3490853128915</v>
      </c>
      <c r="Q39" s="3"/>
    </row>
    <row r="40" spans="1:17" x14ac:dyDescent="0.25">
      <c r="A40">
        <v>11</v>
      </c>
      <c r="B40" s="1" t="s">
        <v>61</v>
      </c>
      <c r="C40" s="1" t="s">
        <v>30</v>
      </c>
      <c r="D40" s="2">
        <v>37910</v>
      </c>
      <c r="E40" s="3">
        <v>12131.18</v>
      </c>
      <c r="F40" s="4">
        <f t="shared" si="0"/>
        <v>4975.0574146981626</v>
      </c>
      <c r="G40" s="2">
        <v>37924</v>
      </c>
      <c r="H40" s="3">
        <v>2312</v>
      </c>
      <c r="I40" s="3">
        <v>825.4</v>
      </c>
      <c r="J40" s="3">
        <v>1390.4</v>
      </c>
      <c r="K40" s="6">
        <f t="shared" si="1"/>
        <v>0.35700692041522492</v>
      </c>
      <c r="L40" s="6">
        <f t="shared" si="2"/>
        <v>0.6013840830449827</v>
      </c>
      <c r="M40" s="6">
        <f t="shared" si="3"/>
        <v>4.1608996539792442E-2</v>
      </c>
      <c r="N40" s="4">
        <f t="shared" si="4"/>
        <v>1776.1299265103216</v>
      </c>
      <c r="O40" s="4">
        <f t="shared" si="5"/>
        <v>2991.9203414343965</v>
      </c>
      <c r="P40" s="4">
        <f t="shared" si="6"/>
        <v>4768.0502679447181</v>
      </c>
      <c r="Q40" s="3"/>
    </row>
    <row r="41" spans="1:17" x14ac:dyDescent="0.25">
      <c r="A41">
        <v>12</v>
      </c>
      <c r="B41" s="1" t="s">
        <v>62</v>
      </c>
      <c r="C41" s="1" t="s">
        <v>30</v>
      </c>
      <c r="D41" s="2">
        <v>37910</v>
      </c>
      <c r="E41" s="3">
        <v>12805.1</v>
      </c>
      <c r="F41" s="4">
        <f>(E41/$A$21)/$A$19*$A$22</f>
        <v>5251.435367454068</v>
      </c>
      <c r="G41" s="2">
        <v>37924</v>
      </c>
      <c r="H41" s="3">
        <v>2091.3000000000002</v>
      </c>
      <c r="I41" s="3">
        <v>767.6</v>
      </c>
      <c r="J41" s="3">
        <v>1297.75</v>
      </c>
      <c r="K41" s="6">
        <f t="shared" si="1"/>
        <v>0.36704442212977573</v>
      </c>
      <c r="L41" s="6">
        <f t="shared" si="2"/>
        <v>0.62054702816429963</v>
      </c>
      <c r="M41" s="6">
        <f t="shared" si="3"/>
        <v>1.2408549705924643E-2</v>
      </c>
      <c r="N41" s="4">
        <f t="shared" si="4"/>
        <v>1927.5100597990449</v>
      </c>
      <c r="O41" s="4">
        <f t="shared" si="5"/>
        <v>3258.7626108705185</v>
      </c>
      <c r="P41" s="4">
        <f t="shared" si="6"/>
        <v>5186.272670669563</v>
      </c>
      <c r="Q41" s="3"/>
    </row>
    <row r="42" spans="1:17" x14ac:dyDescent="0.25">
      <c r="A42">
        <v>13</v>
      </c>
      <c r="B42" s="1" t="s">
        <v>63</v>
      </c>
      <c r="C42" s="1" t="s">
        <v>30</v>
      </c>
      <c r="D42" s="2">
        <v>37910</v>
      </c>
      <c r="E42" s="3">
        <v>13044.35</v>
      </c>
      <c r="F42" s="4">
        <f t="shared" si="0"/>
        <v>5349.5529855643044</v>
      </c>
      <c r="G42" s="2">
        <v>37924</v>
      </c>
      <c r="H42" s="3">
        <v>2229.8000000000002</v>
      </c>
      <c r="I42" s="3">
        <v>758.3</v>
      </c>
      <c r="J42" s="3">
        <v>1359.1</v>
      </c>
      <c r="K42" s="6">
        <f t="shared" si="1"/>
        <v>0.34007534308009685</v>
      </c>
      <c r="L42" s="6">
        <f t="shared" si="2"/>
        <v>0.60951654856937831</v>
      </c>
      <c r="M42" s="6">
        <f t="shared" si="3"/>
        <v>5.0408108350524783E-2</v>
      </c>
      <c r="N42" s="4">
        <f t="shared" si="4"/>
        <v>1819.2510668909372</v>
      </c>
      <c r="O42" s="4">
        <f t="shared" si="5"/>
        <v>3260.6410721501679</v>
      </c>
      <c r="P42" s="4">
        <f t="shared" si="6"/>
        <v>5079.8921390411051</v>
      </c>
      <c r="Q42" s="3"/>
    </row>
    <row r="43" spans="1:17" x14ac:dyDescent="0.25">
      <c r="A43">
        <v>14</v>
      </c>
      <c r="B43" s="1" t="s">
        <v>64</v>
      </c>
      <c r="C43" s="1" t="s">
        <v>30</v>
      </c>
      <c r="D43" s="2">
        <v>37910</v>
      </c>
      <c r="E43" s="3">
        <v>12076.2</v>
      </c>
      <c r="F43" s="4">
        <f t="shared" si="0"/>
        <v>4952.5098425196848</v>
      </c>
      <c r="G43" s="2">
        <v>37924</v>
      </c>
      <c r="H43" s="3">
        <v>2117.3000000000002</v>
      </c>
      <c r="I43" s="3">
        <v>742.3</v>
      </c>
      <c r="J43" s="3">
        <v>1265.75</v>
      </c>
      <c r="K43" s="6">
        <f t="shared" si="1"/>
        <v>0.35058801303546966</v>
      </c>
      <c r="L43" s="6">
        <f t="shared" si="2"/>
        <v>0.59781325272753028</v>
      </c>
      <c r="M43" s="6">
        <f t="shared" si="3"/>
        <v>5.159873423700001E-2</v>
      </c>
      <c r="N43" s="4">
        <f t="shared" si="4"/>
        <v>1736.2905852275831</v>
      </c>
      <c r="O43" s="4">
        <f t="shared" si="5"/>
        <v>2960.6760181218015</v>
      </c>
      <c r="P43" s="4">
        <f t="shared" si="6"/>
        <v>4696.966603349385</v>
      </c>
      <c r="Q43" s="3"/>
    </row>
    <row r="44" spans="1:17" x14ac:dyDescent="0.25">
      <c r="A44">
        <v>15</v>
      </c>
      <c r="B44" s="1" t="s">
        <v>65</v>
      </c>
      <c r="C44" s="1" t="s">
        <v>30</v>
      </c>
      <c r="D44" s="2">
        <v>37910</v>
      </c>
      <c r="E44" s="3">
        <v>11614.63</v>
      </c>
      <c r="F44" s="4">
        <f t="shared" si="0"/>
        <v>4763.2176837270345</v>
      </c>
      <c r="G44" s="2">
        <v>37924</v>
      </c>
      <c r="H44" s="3">
        <v>2182.85</v>
      </c>
      <c r="I44" s="3">
        <v>799.3</v>
      </c>
      <c r="J44" s="3">
        <v>1308.3499999999999</v>
      </c>
      <c r="K44" s="6">
        <f t="shared" si="1"/>
        <v>0.366172664177566</v>
      </c>
      <c r="L44" s="6">
        <f t="shared" si="2"/>
        <v>0.59937696131204621</v>
      </c>
      <c r="M44" s="6">
        <f t="shared" si="3"/>
        <v>3.4450374510387793E-2</v>
      </c>
      <c r="N44" s="4">
        <f t="shared" si="4"/>
        <v>1744.1601093080233</v>
      </c>
      <c r="O44" s="4">
        <f t="shared" si="5"/>
        <v>2854.962941340113</v>
      </c>
      <c r="P44" s="4">
        <f t="shared" si="6"/>
        <v>4599.1230506481361</v>
      </c>
      <c r="Q44" s="3"/>
    </row>
    <row r="45" spans="1:17" x14ac:dyDescent="0.25">
      <c r="A45">
        <v>16</v>
      </c>
      <c r="B45" s="1" t="s">
        <v>66</v>
      </c>
      <c r="C45" s="1" t="s">
        <v>30</v>
      </c>
      <c r="D45" s="2">
        <v>37910</v>
      </c>
      <c r="E45" s="3">
        <v>10573.7</v>
      </c>
      <c r="F45" s="4">
        <f t="shared" si="0"/>
        <v>4336.327099737533</v>
      </c>
      <c r="G45" s="2">
        <v>37924</v>
      </c>
      <c r="H45" s="3">
        <v>1935.6</v>
      </c>
      <c r="I45" s="3">
        <v>697</v>
      </c>
      <c r="J45" s="3">
        <v>1157.9000000000001</v>
      </c>
      <c r="K45" s="6">
        <f t="shared" si="1"/>
        <v>0.36009506096300892</v>
      </c>
      <c r="L45" s="6">
        <f t="shared" si="2"/>
        <v>0.59821244058689815</v>
      </c>
      <c r="M45" s="6">
        <f t="shared" si="3"/>
        <v>4.169249845009293E-2</v>
      </c>
      <c r="N45" s="4">
        <f t="shared" si="4"/>
        <v>1561.4899713355346</v>
      </c>
      <c r="O45" s="4">
        <f t="shared" si="5"/>
        <v>2594.0448175170955</v>
      </c>
      <c r="P45" s="4">
        <f t="shared" si="6"/>
        <v>4155.5347888526303</v>
      </c>
      <c r="Q45" s="3"/>
    </row>
    <row r="46" spans="1:17" x14ac:dyDescent="0.25">
      <c r="A46">
        <v>17</v>
      </c>
      <c r="B46" s="1" t="s">
        <v>67</v>
      </c>
      <c r="C46" s="1" t="s">
        <v>30</v>
      </c>
      <c r="D46" s="2">
        <v>37911</v>
      </c>
      <c r="E46" s="3">
        <v>11281.95</v>
      </c>
      <c r="F46" s="4">
        <f t="shared" si="0"/>
        <v>4626.7839566929133</v>
      </c>
      <c r="G46" s="2">
        <v>37924</v>
      </c>
      <c r="H46" s="3">
        <v>1930.15</v>
      </c>
      <c r="I46" s="3">
        <v>713.6</v>
      </c>
      <c r="J46" s="3">
        <v>1166.98</v>
      </c>
      <c r="K46" s="6">
        <f t="shared" si="1"/>
        <v>0.36971219853379272</v>
      </c>
      <c r="L46" s="6">
        <f t="shared" si="2"/>
        <v>0.60460585964821389</v>
      </c>
      <c r="M46" s="6">
        <f t="shared" si="3"/>
        <v>2.5681941817993326E-2</v>
      </c>
      <c r="N46" s="4">
        <f t="shared" si="4"/>
        <v>1710.5784687698174</v>
      </c>
      <c r="O46" s="4">
        <f t="shared" si="5"/>
        <v>2797.3806915428831</v>
      </c>
      <c r="P46" s="4">
        <f t="shared" si="6"/>
        <v>4507.959160312701</v>
      </c>
      <c r="Q46" s="3"/>
    </row>
    <row r="47" spans="1:17" x14ac:dyDescent="0.25">
      <c r="A47">
        <v>18</v>
      </c>
      <c r="B47" s="1" t="s">
        <v>68</v>
      </c>
      <c r="C47" s="1" t="s">
        <v>30</v>
      </c>
      <c r="D47" s="2">
        <v>37911</v>
      </c>
      <c r="E47" s="3">
        <v>10766</v>
      </c>
      <c r="F47" s="4">
        <f t="shared" si="0"/>
        <v>4415.1902887139104</v>
      </c>
      <c r="G47" s="2">
        <v>37924</v>
      </c>
      <c r="H47" s="3">
        <v>1946.3</v>
      </c>
      <c r="I47" s="3">
        <v>720.6</v>
      </c>
      <c r="J47" s="3">
        <v>1155.3399999999999</v>
      </c>
      <c r="K47" s="6">
        <f t="shared" si="1"/>
        <v>0.37024097004572781</v>
      </c>
      <c r="L47" s="6">
        <f t="shared" si="2"/>
        <v>0.59360838514103687</v>
      </c>
      <c r="M47" s="6">
        <f t="shared" si="3"/>
        <v>3.6150644813235266E-2</v>
      </c>
      <c r="N47" s="4">
        <f t="shared" si="4"/>
        <v>1634.6843354299153</v>
      </c>
      <c r="O47" s="4">
        <f t="shared" si="5"/>
        <v>2620.8939773738525</v>
      </c>
      <c r="P47" s="4">
        <f t="shared" si="6"/>
        <v>4255.5783128037674</v>
      </c>
      <c r="Q47" s="3"/>
    </row>
    <row r="48" spans="1:17" x14ac:dyDescent="0.25">
      <c r="A48">
        <v>19</v>
      </c>
      <c r="B48" s="1" t="s">
        <v>69</v>
      </c>
      <c r="C48" s="1" t="s">
        <v>30</v>
      </c>
      <c r="D48" s="2">
        <v>37911</v>
      </c>
      <c r="E48" s="3">
        <v>12438.88</v>
      </c>
      <c r="F48" s="4">
        <f t="shared" si="0"/>
        <v>5101.2467191601045</v>
      </c>
      <c r="G48" s="2">
        <v>37924</v>
      </c>
      <c r="H48" s="3">
        <v>2242.4499999999998</v>
      </c>
      <c r="I48" s="3">
        <v>780.3</v>
      </c>
      <c r="J48" s="3">
        <v>1353.9</v>
      </c>
      <c r="K48" s="6">
        <f t="shared" si="1"/>
        <v>0.34796762469620285</v>
      </c>
      <c r="L48" s="6">
        <f t="shared" si="2"/>
        <v>0.60375928114339239</v>
      </c>
      <c r="M48" s="6">
        <f t="shared" si="3"/>
        <v>4.8273094160404706E-2</v>
      </c>
      <c r="N48" s="4">
        <f t="shared" si="4"/>
        <v>1775.0687038554393</v>
      </c>
      <c r="O48" s="4">
        <f t="shared" si="5"/>
        <v>3079.9250520951937</v>
      </c>
      <c r="P48" s="4">
        <f t="shared" si="6"/>
        <v>4854.9937559506325</v>
      </c>
      <c r="Q48" s="3"/>
    </row>
    <row r="49" spans="1:17" x14ac:dyDescent="0.25">
      <c r="A49">
        <v>20</v>
      </c>
      <c r="B49" s="1" t="s">
        <v>70</v>
      </c>
      <c r="C49" s="1" t="s">
        <v>30</v>
      </c>
      <c r="D49" s="2">
        <v>37911</v>
      </c>
      <c r="E49" s="3">
        <v>11411.2</v>
      </c>
      <c r="F49" s="4">
        <f t="shared" si="0"/>
        <v>4679.7900262467192</v>
      </c>
      <c r="G49" s="2">
        <v>37924</v>
      </c>
      <c r="H49" s="3">
        <v>2186.5</v>
      </c>
      <c r="I49" s="3">
        <v>801</v>
      </c>
      <c r="J49" s="3">
        <v>1327.25</v>
      </c>
      <c r="K49" s="6">
        <f t="shared" si="1"/>
        <v>0.36633889778184314</v>
      </c>
      <c r="L49" s="6">
        <f t="shared" si="2"/>
        <v>0.60702035216098793</v>
      </c>
      <c r="M49" s="6">
        <f t="shared" si="3"/>
        <v>2.6640750057168927E-2</v>
      </c>
      <c r="N49" s="4">
        <f t="shared" si="4"/>
        <v>1714.3891200656858</v>
      </c>
      <c r="O49" s="4">
        <f t="shared" si="5"/>
        <v>2840.7277897717622</v>
      </c>
      <c r="P49" s="4">
        <f t="shared" si="6"/>
        <v>4555.1169098374485</v>
      </c>
      <c r="Q49" s="3"/>
    </row>
    <row r="50" spans="1:17" x14ac:dyDescent="0.25">
      <c r="A50">
        <v>21</v>
      </c>
      <c r="B50" s="1" t="s">
        <v>71</v>
      </c>
      <c r="C50" s="1" t="s">
        <v>30</v>
      </c>
      <c r="D50" s="2">
        <v>37911</v>
      </c>
      <c r="E50" s="3">
        <v>11701.2</v>
      </c>
      <c r="F50" s="4">
        <f t="shared" si="0"/>
        <v>4798.7204724409448</v>
      </c>
      <c r="G50" s="2">
        <v>37924</v>
      </c>
      <c r="H50" s="3">
        <v>1905.7</v>
      </c>
      <c r="I50" s="3">
        <v>693.9</v>
      </c>
      <c r="J50" s="3">
        <v>1123.46</v>
      </c>
      <c r="K50" s="6">
        <f t="shared" si="1"/>
        <v>0.3641181718003883</v>
      </c>
      <c r="L50" s="6">
        <f t="shared" si="2"/>
        <v>0.58952615836700428</v>
      </c>
      <c r="M50" s="6">
        <f t="shared" si="3"/>
        <v>4.6355669832607416E-2</v>
      </c>
      <c r="N50" s="4">
        <f t="shared" si="4"/>
        <v>1747.3013254062926</v>
      </c>
      <c r="O50" s="4">
        <f t="shared" si="5"/>
        <v>2828.9712451952059</v>
      </c>
      <c r="P50" s="4">
        <f t="shared" si="6"/>
        <v>4576.272570601499</v>
      </c>
      <c r="Q50" s="3"/>
    </row>
    <row r="51" spans="1:17" x14ac:dyDescent="0.25">
      <c r="A51">
        <v>22</v>
      </c>
      <c r="B51" s="1" t="s">
        <v>72</v>
      </c>
      <c r="C51" s="1" t="s">
        <v>30</v>
      </c>
      <c r="D51" s="2">
        <v>37911</v>
      </c>
      <c r="E51" s="3">
        <v>10740.11</v>
      </c>
      <c r="F51" s="4">
        <f t="shared" si="0"/>
        <v>4404.5726706036749</v>
      </c>
      <c r="G51" s="2">
        <v>37924</v>
      </c>
      <c r="H51" s="3">
        <v>2008.15</v>
      </c>
      <c r="I51" s="3">
        <v>742.9</v>
      </c>
      <c r="J51" s="3">
        <v>1209.2</v>
      </c>
      <c r="K51" s="6">
        <f t="shared" si="1"/>
        <v>0.36994248437616711</v>
      </c>
      <c r="L51" s="6">
        <f t="shared" si="2"/>
        <v>0.6021462540148893</v>
      </c>
      <c r="M51" s="6">
        <f t="shared" si="3"/>
        <v>2.7911261608943527E-2</v>
      </c>
      <c r="N51" s="4">
        <f t="shared" si="4"/>
        <v>1629.4385563784926</v>
      </c>
      <c r="O51" s="4">
        <f t="shared" si="5"/>
        <v>2652.1969341403596</v>
      </c>
      <c r="P51" s="4">
        <f t="shared" si="6"/>
        <v>4281.6354905188527</v>
      </c>
      <c r="Q51" s="3"/>
    </row>
    <row r="52" spans="1:17" x14ac:dyDescent="0.25">
      <c r="A52">
        <v>23</v>
      </c>
      <c r="B52" s="1" t="s">
        <v>73</v>
      </c>
      <c r="C52" s="1" t="s">
        <v>30</v>
      </c>
      <c r="D52" s="2">
        <v>37911</v>
      </c>
      <c r="E52" s="3">
        <v>11898.3</v>
      </c>
      <c r="F52" s="4">
        <f t="shared" si="0"/>
        <v>4879.5521653543301</v>
      </c>
      <c r="G52" s="2">
        <v>37924</v>
      </c>
      <c r="H52" s="3">
        <v>2330</v>
      </c>
      <c r="I52" s="3">
        <v>795.8</v>
      </c>
      <c r="J52" s="3">
        <v>1409.05</v>
      </c>
      <c r="K52" s="6">
        <f t="shared" si="1"/>
        <v>0.34154506437768239</v>
      </c>
      <c r="L52" s="6">
        <f t="shared" si="2"/>
        <v>0.60474248927038621</v>
      </c>
      <c r="M52" s="6">
        <f t="shared" si="3"/>
        <v>5.3712446351931398E-2</v>
      </c>
      <c r="N52" s="4">
        <f t="shared" si="4"/>
        <v>1666.5869584502043</v>
      </c>
      <c r="O52" s="4">
        <f t="shared" si="5"/>
        <v>2950.8725230010809</v>
      </c>
      <c r="P52" s="4">
        <f t="shared" si="6"/>
        <v>4617.4594814512857</v>
      </c>
      <c r="Q52" s="3"/>
    </row>
    <row r="53" spans="1:17" x14ac:dyDescent="0.25">
      <c r="A53">
        <v>24</v>
      </c>
      <c r="B53" s="1" t="s">
        <v>74</v>
      </c>
      <c r="C53" s="1" t="s">
        <v>30</v>
      </c>
      <c r="D53" s="2">
        <v>37911</v>
      </c>
      <c r="E53" s="3">
        <v>12025.88</v>
      </c>
      <c r="F53" s="4">
        <f t="shared" si="0"/>
        <v>4931.8733595800522</v>
      </c>
      <c r="G53" s="2">
        <v>37924</v>
      </c>
      <c r="H53" s="3">
        <v>2306.85</v>
      </c>
      <c r="I53" s="3">
        <v>830.1</v>
      </c>
      <c r="J53" s="3">
        <v>1392</v>
      </c>
      <c r="K53" s="6">
        <f t="shared" si="1"/>
        <v>0.35984134208986285</v>
      </c>
      <c r="L53" s="6">
        <f t="shared" si="2"/>
        <v>0.60342024839066266</v>
      </c>
      <c r="M53" s="6">
        <f t="shared" si="3"/>
        <v>3.6738409519474491E-2</v>
      </c>
      <c r="N53" s="4">
        <f t="shared" si="4"/>
        <v>1774.6919287285268</v>
      </c>
      <c r="O53" s="4">
        <f t="shared" si="5"/>
        <v>2975.9922476690872</v>
      </c>
      <c r="P53" s="4">
        <f t="shared" si="6"/>
        <v>4750.6841763976136</v>
      </c>
      <c r="Q53" s="3"/>
    </row>
    <row r="54" spans="1:17" x14ac:dyDescent="0.25">
      <c r="A54">
        <v>25</v>
      </c>
      <c r="B54" s="1" t="s">
        <v>75</v>
      </c>
      <c r="C54" s="1" t="s">
        <v>30</v>
      </c>
      <c r="D54" s="2">
        <v>37914</v>
      </c>
      <c r="E54" s="3">
        <v>9196.2999999999993</v>
      </c>
      <c r="F54" s="4">
        <f t="shared" si="0"/>
        <v>3771.4484908136483</v>
      </c>
      <c r="G54" s="2">
        <v>37924</v>
      </c>
      <c r="H54" s="3">
        <v>2231.1</v>
      </c>
      <c r="I54" s="3">
        <v>732.1</v>
      </c>
      <c r="J54" s="3">
        <v>1375</v>
      </c>
      <c r="K54" s="6">
        <f t="shared" si="1"/>
        <v>0.32813410425350725</v>
      </c>
      <c r="L54" s="6">
        <f t="shared" si="2"/>
        <v>0.61628792972076551</v>
      </c>
      <c r="M54" s="6">
        <f t="shared" si="3"/>
        <v>5.5577966025727177E-2</v>
      </c>
      <c r="N54" s="4">
        <f>F54*K54</f>
        <v>1237.5408722713782</v>
      </c>
      <c r="O54" s="4">
        <f t="shared" si="5"/>
        <v>2324.2981824520489</v>
      </c>
      <c r="P54" s="4">
        <f t="shared" si="6"/>
        <v>3561.8390547234271</v>
      </c>
      <c r="Q54" s="3"/>
    </row>
    <row r="55" spans="1:17" x14ac:dyDescent="0.25">
      <c r="A55">
        <v>26</v>
      </c>
      <c r="B55" s="1" t="s">
        <v>76</v>
      </c>
      <c r="C55" s="1" t="s">
        <v>30</v>
      </c>
      <c r="D55" s="2">
        <v>37914</v>
      </c>
      <c r="E55" s="3">
        <v>11163.89</v>
      </c>
      <c r="F55" s="4">
        <f t="shared" si="0"/>
        <v>4578.3669619422571</v>
      </c>
      <c r="G55" s="2">
        <v>37924</v>
      </c>
      <c r="H55" s="3">
        <v>2131.85</v>
      </c>
      <c r="I55" s="3">
        <v>743.2</v>
      </c>
      <c r="J55" s="3">
        <v>1322.05</v>
      </c>
      <c r="K55" s="6">
        <f t="shared" si="1"/>
        <v>0.34861739803457092</v>
      </c>
      <c r="L55" s="6">
        <f>J55/H55</f>
        <v>0.62014213007481767</v>
      </c>
      <c r="M55" s="6">
        <f t="shared" si="3"/>
        <v>3.124047189061141E-2</v>
      </c>
      <c r="N55" s="4">
        <f t="shared" si="4"/>
        <v>1596.0983775197531</v>
      </c>
      <c r="O55" s="4">
        <f>F55*L55</f>
        <v>2839.2382400430429</v>
      </c>
      <c r="P55" s="4">
        <f t="shared" si="6"/>
        <v>4435.3366175627962</v>
      </c>
      <c r="Q55" s="3"/>
    </row>
    <row r="56" spans="1:17" x14ac:dyDescent="0.25">
      <c r="A56">
        <v>27</v>
      </c>
      <c r="B56" s="1" t="s">
        <v>77</v>
      </c>
      <c r="C56" s="1" t="s">
        <v>30</v>
      </c>
      <c r="D56" s="2">
        <v>37914</v>
      </c>
      <c r="E56" s="3">
        <v>10547.7</v>
      </c>
      <c r="F56" s="4">
        <f t="shared" si="0"/>
        <v>4325.6643700787408</v>
      </c>
      <c r="G56" s="2">
        <v>37924</v>
      </c>
      <c r="H56" s="3">
        <v>2334.1</v>
      </c>
      <c r="I56" s="3">
        <v>884.4</v>
      </c>
      <c r="J56" s="3">
        <v>1386.05</v>
      </c>
      <c r="K56" s="6">
        <f t="shared" si="1"/>
        <v>0.37890407437556234</v>
      </c>
      <c r="L56" s="6">
        <f t="shared" si="2"/>
        <v>0.59382631421104493</v>
      </c>
      <c r="M56" s="6">
        <f>1-K56-L56</f>
        <v>2.7269611413392791E-2</v>
      </c>
      <c r="N56" s="4">
        <f t="shared" si="4"/>
        <v>1639.0118542040352</v>
      </c>
      <c r="O56" s="4">
        <f t="shared" si="5"/>
        <v>2568.6933293979</v>
      </c>
      <c r="P56" s="4">
        <f>N56+O56</f>
        <v>4207.7051836019355</v>
      </c>
      <c r="Q56" s="3"/>
    </row>
    <row r="57" spans="1:17" x14ac:dyDescent="0.25">
      <c r="A57">
        <v>28</v>
      </c>
      <c r="B57" s="1" t="s">
        <v>78</v>
      </c>
      <c r="C57" s="1" t="s">
        <v>30</v>
      </c>
      <c r="D57" s="2">
        <v>37914</v>
      </c>
      <c r="E57" s="3">
        <v>12607.93</v>
      </c>
      <c r="F57" s="4">
        <f t="shared" si="0"/>
        <v>5170.574967191601</v>
      </c>
      <c r="G57" s="2">
        <v>37924</v>
      </c>
      <c r="H57" s="3">
        <v>2271.5500000000002</v>
      </c>
      <c r="I57" s="3">
        <v>790.7</v>
      </c>
      <c r="J57" s="3">
        <v>1365.6</v>
      </c>
      <c r="K57" s="6">
        <f>I57/H57</f>
        <v>0.3480883097444476</v>
      </c>
      <c r="L57" s="6">
        <f t="shared" si="2"/>
        <v>0.60117540886179033</v>
      </c>
      <c r="M57" s="6">
        <f t="shared" si="3"/>
        <v>5.0736281393762073E-2</v>
      </c>
      <c r="N57" s="4">
        <f t="shared" si="4"/>
        <v>1799.8167007366769</v>
      </c>
      <c r="O57" s="4">
        <f t="shared" si="5"/>
        <v>3108.4225199519487</v>
      </c>
      <c r="P57" s="4">
        <f t="shared" si="6"/>
        <v>4908.2392206886252</v>
      </c>
      <c r="Q57" s="3"/>
    </row>
    <row r="58" spans="1:17" x14ac:dyDescent="0.25">
      <c r="A58">
        <v>29</v>
      </c>
      <c r="B58" s="1" t="s">
        <v>79</v>
      </c>
      <c r="C58" s="1" t="s">
        <v>30</v>
      </c>
      <c r="D58" s="2">
        <v>37914</v>
      </c>
      <c r="E58" s="3">
        <v>10365.4</v>
      </c>
      <c r="F58" s="4">
        <f t="shared" si="0"/>
        <v>4250.9022309711281</v>
      </c>
      <c r="G58" s="2">
        <v>37924</v>
      </c>
      <c r="H58" s="3">
        <v>1883.1</v>
      </c>
      <c r="I58" s="3">
        <v>702</v>
      </c>
      <c r="J58" s="3">
        <v>1104.2</v>
      </c>
      <c r="K58" s="6">
        <f t="shared" si="1"/>
        <v>0.37278954914768203</v>
      </c>
      <c r="L58" s="6">
        <f t="shared" si="2"/>
        <v>0.58637353300408901</v>
      </c>
      <c r="M58" s="6">
        <f t="shared" si="3"/>
        <v>4.083691784822896E-2</v>
      </c>
      <c r="N58" s="4">
        <f t="shared" si="4"/>
        <v>1584.6919261546025</v>
      </c>
      <c r="O58" s="4">
        <f t="shared" si="5"/>
        <v>2492.6165596295045</v>
      </c>
      <c r="P58" s="4">
        <f t="shared" si="6"/>
        <v>4077.3084857841068</v>
      </c>
      <c r="Q58" s="3"/>
    </row>
    <row r="59" spans="1:17" x14ac:dyDescent="0.25">
      <c r="A59">
        <v>30</v>
      </c>
      <c r="B59" s="1" t="s">
        <v>80</v>
      </c>
      <c r="C59" s="1" t="s">
        <v>30</v>
      </c>
      <c r="D59" s="2">
        <v>37914</v>
      </c>
      <c r="E59" s="3">
        <v>13312.34</v>
      </c>
      <c r="F59" s="4">
        <f t="shared" si="0"/>
        <v>5459.4570209973763</v>
      </c>
      <c r="G59" s="2">
        <v>37924</v>
      </c>
      <c r="H59" s="3">
        <v>2189.85</v>
      </c>
      <c r="I59" s="3">
        <v>769</v>
      </c>
      <c r="J59" s="3">
        <v>1314.75</v>
      </c>
      <c r="K59" s="6">
        <f t="shared" si="1"/>
        <v>0.35116560495011073</v>
      </c>
      <c r="L59" s="6">
        <f t="shared" si="2"/>
        <v>0.60038358791698065</v>
      </c>
      <c r="M59" s="6">
        <f t="shared" si="3"/>
        <v>4.8450807132908613E-2</v>
      </c>
      <c r="N59" s="4">
        <f t="shared" si="4"/>
        <v>1917.1735274776731</v>
      </c>
      <c r="O59" s="4">
        <f t="shared" si="5"/>
        <v>3277.7683943449556</v>
      </c>
      <c r="P59" s="4">
        <f t="shared" si="6"/>
        <v>5194.9419218226285</v>
      </c>
      <c r="Q59" s="3"/>
    </row>
    <row r="60" spans="1:17" x14ac:dyDescent="0.25">
      <c r="A60">
        <v>31</v>
      </c>
      <c r="B60" s="1" t="s">
        <v>81</v>
      </c>
      <c r="C60" s="1" t="s">
        <v>30</v>
      </c>
      <c r="D60" s="2">
        <v>37914</v>
      </c>
      <c r="E60" s="3">
        <v>11962.7</v>
      </c>
      <c r="F60" s="4">
        <f t="shared" si="0"/>
        <v>4905.9629265091862</v>
      </c>
      <c r="G60" s="2">
        <v>37924</v>
      </c>
      <c r="H60" s="3"/>
      <c r="I60" s="3"/>
      <c r="J60" s="3"/>
      <c r="K60" s="6"/>
      <c r="L60" s="6"/>
      <c r="M60" s="6"/>
      <c r="N60" s="4"/>
      <c r="O60" s="4"/>
      <c r="P60" s="4"/>
      <c r="Q60" s="3"/>
    </row>
    <row r="61" spans="1:17" x14ac:dyDescent="0.25">
      <c r="A61">
        <v>32</v>
      </c>
      <c r="B61" s="1" t="s">
        <v>82</v>
      </c>
      <c r="C61" s="1" t="s">
        <v>30</v>
      </c>
      <c r="D61" s="2">
        <v>37914</v>
      </c>
      <c r="E61" s="3">
        <v>11265.12</v>
      </c>
      <c r="F61" s="4">
        <f t="shared" si="0"/>
        <v>4619.8818897637802</v>
      </c>
      <c r="G61" s="2">
        <v>37924</v>
      </c>
      <c r="H61" s="3">
        <v>1955.95</v>
      </c>
      <c r="I61" s="3">
        <v>708.5</v>
      </c>
      <c r="J61" s="3">
        <v>1154.3800000000001</v>
      </c>
      <c r="K61" s="6">
        <f t="shared" si="1"/>
        <v>0.36222807331475754</v>
      </c>
      <c r="L61" s="6">
        <f t="shared" si="2"/>
        <v>0.59018891075947755</v>
      </c>
      <c r="M61" s="6">
        <f t="shared" si="3"/>
        <v>4.758301592576486E-2</v>
      </c>
      <c r="N61" s="4">
        <f t="shared" si="4"/>
        <v>1673.4509158708752</v>
      </c>
      <c r="O61" s="4">
        <f t="shared" si="5"/>
        <v>2726.6030603571221</v>
      </c>
      <c r="P61" s="4">
        <f t="shared" si="6"/>
        <v>4400.0539762279968</v>
      </c>
      <c r="Q61" s="3"/>
    </row>
    <row r="62" spans="1:17" x14ac:dyDescent="0.25">
      <c r="A62">
        <v>34</v>
      </c>
      <c r="B62" s="1" t="s">
        <v>83</v>
      </c>
      <c r="C62" s="1" t="s">
        <v>30</v>
      </c>
      <c r="D62" s="2">
        <v>37914</v>
      </c>
      <c r="E62" s="3">
        <v>2727.5</v>
      </c>
      <c r="F62" s="4">
        <f>(E62/$A$21)/$A$20*$A$22</f>
        <v>2237.1227034120734</v>
      </c>
      <c r="G62" s="2">
        <v>37924</v>
      </c>
      <c r="H62">
        <v>2683.3</v>
      </c>
      <c r="I62">
        <v>935.9</v>
      </c>
      <c r="J62">
        <v>1581.55</v>
      </c>
      <c r="K62" s="6">
        <f t="shared" si="1"/>
        <v>0.34878694145268885</v>
      </c>
      <c r="L62" s="6">
        <f t="shared" si="2"/>
        <v>0.58940483732717175</v>
      </c>
      <c r="M62" s="6">
        <f t="shared" si="3"/>
        <v>6.1808221220139403E-2</v>
      </c>
      <c r="N62" s="4">
        <f t="shared" si="4"/>
        <v>780.2791853774678</v>
      </c>
      <c r="O62" s="4">
        <f t="shared" si="5"/>
        <v>1318.5709430855159</v>
      </c>
      <c r="P62" s="4">
        <f t="shared" si="6"/>
        <v>2098.8501284629838</v>
      </c>
      <c r="Q62" s="3"/>
    </row>
    <row r="63" spans="1:17" x14ac:dyDescent="0.25">
      <c r="A63">
        <v>36</v>
      </c>
      <c r="B63" s="1" t="s">
        <v>84</v>
      </c>
      <c r="C63" s="1" t="s">
        <v>30</v>
      </c>
      <c r="D63" s="2">
        <v>37914</v>
      </c>
      <c r="E63" s="3">
        <v>1045.49</v>
      </c>
      <c r="F63" s="4">
        <f>(E63/$A$21)/$A$20*$A$22</f>
        <v>857.5213254593175</v>
      </c>
      <c r="G63" s="2">
        <v>37924</v>
      </c>
      <c r="H63">
        <v>1028.3399999999999</v>
      </c>
      <c r="I63">
        <v>314.60000000000002</v>
      </c>
      <c r="J63">
        <v>567.67999999999995</v>
      </c>
      <c r="K63" s="6">
        <f t="shared" si="1"/>
        <v>0.30592994534881462</v>
      </c>
      <c r="L63" s="6">
        <f t="shared" si="2"/>
        <v>0.55203531905789915</v>
      </c>
      <c r="M63" s="6">
        <f t="shared" si="3"/>
        <v>0.14203473559328617</v>
      </c>
      <c r="N63" s="4">
        <f t="shared" si="4"/>
        <v>262.34145223321207</v>
      </c>
      <c r="O63" s="4">
        <f t="shared" si="5"/>
        <v>473.38205849888692</v>
      </c>
      <c r="P63" s="4">
        <f t="shared" si="6"/>
        <v>735.72351073209893</v>
      </c>
      <c r="Q63" s="3"/>
    </row>
    <row r="64" spans="1:17" x14ac:dyDescent="0.25">
      <c r="A64">
        <v>38</v>
      </c>
      <c r="B64" s="1" t="s">
        <v>85</v>
      </c>
      <c r="C64" s="1" t="s">
        <v>30</v>
      </c>
      <c r="D64" s="2">
        <v>37914</v>
      </c>
      <c r="E64" s="3">
        <v>3126.6</v>
      </c>
      <c r="F64" s="4">
        <f>(E64/$A$21)/$A$20*$A$22</f>
        <v>2564.4685039370074</v>
      </c>
      <c r="G64" s="2">
        <v>37924</v>
      </c>
      <c r="H64">
        <v>2421.6999999999998</v>
      </c>
      <c r="I64">
        <v>855.4</v>
      </c>
      <c r="J64">
        <v>1481.55</v>
      </c>
      <c r="K64" s="6">
        <f t="shared" si="1"/>
        <v>0.35322294256101089</v>
      </c>
      <c r="L64" s="6">
        <f t="shared" si="2"/>
        <v>0.61178098030309291</v>
      </c>
      <c r="M64" s="6">
        <f t="shared" si="3"/>
        <v>3.4996077135896142E-2</v>
      </c>
      <c r="N64" s="4">
        <f t="shared" si="4"/>
        <v>905.82911106566314</v>
      </c>
      <c r="O64" s="4">
        <f t="shared" si="5"/>
        <v>1568.8930552949885</v>
      </c>
      <c r="P64" s="4">
        <f t="shared" si="6"/>
        <v>2474.7221663606515</v>
      </c>
      <c r="Q64" s="3"/>
    </row>
    <row r="65" spans="1:17" x14ac:dyDescent="0.25">
      <c r="A65">
        <v>40</v>
      </c>
      <c r="B65" s="1" t="s">
        <v>86</v>
      </c>
      <c r="C65" s="1" t="s">
        <v>30</v>
      </c>
      <c r="D65" s="2">
        <v>37914</v>
      </c>
      <c r="E65" s="3">
        <v>1440.38</v>
      </c>
      <c r="F65" s="4">
        <f>(E65/$A$21)/$A$20*$A$22</f>
        <v>1181.4140419947507</v>
      </c>
      <c r="G65" s="2">
        <v>37924</v>
      </c>
      <c r="H65">
        <v>1403.35</v>
      </c>
      <c r="I65">
        <v>461</v>
      </c>
      <c r="J65">
        <v>864.58</v>
      </c>
      <c r="K65" s="6">
        <f t="shared" si="1"/>
        <v>0.32849966152420995</v>
      </c>
      <c r="L65" s="6">
        <f t="shared" si="2"/>
        <v>0.61608294438308342</v>
      </c>
      <c r="M65" s="6">
        <f t="shared" si="3"/>
        <v>5.5417394092706629E-2</v>
      </c>
      <c r="N65" s="4">
        <f t="shared" si="4"/>
        <v>388.0941129152244</v>
      </c>
      <c r="O65" s="4">
        <f t="shared" si="5"/>
        <v>727.8490415276458</v>
      </c>
      <c r="P65" s="4">
        <f t="shared" si="6"/>
        <v>1115.9431544428703</v>
      </c>
      <c r="Q65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174ED-B270-4962-A7F2-21DE7C85D8A3}">
  <dimension ref="A1:Q42"/>
  <sheetViews>
    <sheetView workbookViewId="0"/>
  </sheetViews>
  <sheetFormatPr defaultRowHeight="15" x14ac:dyDescent="0.25"/>
  <cols>
    <col min="4" max="4" width="10.5703125" bestFit="1" customWidth="1"/>
    <col min="7" max="7" width="10.5703125" bestFit="1" customWidth="1"/>
    <col min="17" max="17" width="9.5703125" bestFit="1" customWidth="1"/>
  </cols>
  <sheetData>
    <row r="1" spans="1:17" x14ac:dyDescent="0.25">
      <c r="B1" s="1"/>
      <c r="C1" s="1" t="s">
        <v>0</v>
      </c>
      <c r="D1" s="1" t="s">
        <v>0</v>
      </c>
      <c r="E1" t="s">
        <v>0</v>
      </c>
      <c r="F1" s="1" t="s">
        <v>0</v>
      </c>
      <c r="G1" s="1" t="s">
        <v>7</v>
      </c>
      <c r="H1" t="s">
        <v>7</v>
      </c>
      <c r="I1" t="s">
        <v>7</v>
      </c>
      <c r="J1" t="s">
        <v>7</v>
      </c>
      <c r="K1" s="1" t="s">
        <v>7</v>
      </c>
      <c r="L1" s="1" t="s">
        <v>7</v>
      </c>
      <c r="M1" s="1" t="s">
        <v>7</v>
      </c>
      <c r="N1" s="1" t="s">
        <v>17</v>
      </c>
      <c r="O1" s="1" t="s">
        <v>17</v>
      </c>
      <c r="P1" s="1" t="s">
        <v>17</v>
      </c>
    </row>
    <row r="2" spans="1:17" x14ac:dyDescent="0.25">
      <c r="B2" s="1"/>
      <c r="C2" s="1"/>
      <c r="D2" s="1"/>
      <c r="F2" s="1"/>
      <c r="G2" s="1"/>
      <c r="K2" s="1"/>
      <c r="L2" s="1"/>
      <c r="M2" s="1"/>
      <c r="N2" s="1"/>
      <c r="O2" s="1"/>
      <c r="P2" s="1"/>
    </row>
    <row r="3" spans="1:17" x14ac:dyDescent="0.25">
      <c r="B3" s="1"/>
      <c r="C3" s="1"/>
      <c r="D3" s="1"/>
      <c r="E3" t="s">
        <v>1</v>
      </c>
      <c r="F3" s="1"/>
      <c r="G3" s="1" t="s">
        <v>35</v>
      </c>
      <c r="H3" t="s">
        <v>8</v>
      </c>
      <c r="I3" t="s">
        <v>11</v>
      </c>
      <c r="J3" t="s">
        <v>12</v>
      </c>
      <c r="K3" s="1"/>
      <c r="L3" s="1"/>
      <c r="M3" s="1"/>
      <c r="N3" s="1"/>
      <c r="O3" s="1"/>
      <c r="P3" s="1"/>
    </row>
    <row r="4" spans="1:17" x14ac:dyDescent="0.25">
      <c r="A4" t="s">
        <v>48</v>
      </c>
      <c r="B4" s="1" t="s">
        <v>21</v>
      </c>
      <c r="C4" s="1" t="s">
        <v>29</v>
      </c>
      <c r="D4" s="1" t="s">
        <v>2</v>
      </c>
      <c r="F4" s="1" t="s">
        <v>3</v>
      </c>
      <c r="G4" s="1" t="s">
        <v>36</v>
      </c>
      <c r="H4" t="s">
        <v>9</v>
      </c>
      <c r="I4" t="s">
        <v>9</v>
      </c>
      <c r="J4" t="s">
        <v>9</v>
      </c>
      <c r="K4" s="1" t="s">
        <v>13</v>
      </c>
      <c r="L4" s="1" t="s">
        <v>14</v>
      </c>
      <c r="M4" s="1" t="s">
        <v>15</v>
      </c>
      <c r="N4" s="1" t="s">
        <v>18</v>
      </c>
      <c r="O4" s="1" t="s">
        <v>19</v>
      </c>
      <c r="P4" s="1" t="s">
        <v>20</v>
      </c>
    </row>
    <row r="5" spans="1:17" x14ac:dyDescent="0.25">
      <c r="B5" s="1"/>
      <c r="C5" s="1"/>
      <c r="D5" s="1"/>
      <c r="E5" t="s">
        <v>10</v>
      </c>
      <c r="F5" s="1" t="s">
        <v>4</v>
      </c>
      <c r="G5" s="1"/>
      <c r="H5" t="s">
        <v>10</v>
      </c>
      <c r="I5" t="s">
        <v>10</v>
      </c>
      <c r="J5" t="s">
        <v>10</v>
      </c>
      <c r="K5" s="5" t="s">
        <v>16</v>
      </c>
      <c r="L5" s="5" t="s">
        <v>16</v>
      </c>
      <c r="M5" s="5" t="s">
        <v>16</v>
      </c>
      <c r="N5" s="5" t="s">
        <v>4</v>
      </c>
      <c r="O5" s="5" t="s">
        <v>4</v>
      </c>
      <c r="P5" s="5" t="s">
        <v>4</v>
      </c>
    </row>
    <row r="6" spans="1:17" x14ac:dyDescent="0.25">
      <c r="A6" t="s">
        <v>48</v>
      </c>
      <c r="B6" s="1" t="s">
        <v>21</v>
      </c>
      <c r="C6" s="1" t="s">
        <v>29</v>
      </c>
      <c r="D6" s="1" t="s">
        <v>2</v>
      </c>
      <c r="F6" s="1" t="s">
        <v>3</v>
      </c>
      <c r="G6" s="1" t="s">
        <v>36</v>
      </c>
      <c r="K6" s="1" t="s">
        <v>13</v>
      </c>
      <c r="L6" s="1" t="s">
        <v>14</v>
      </c>
      <c r="M6" s="1" t="s">
        <v>15</v>
      </c>
      <c r="N6" s="1" t="s">
        <v>18</v>
      </c>
      <c r="O6" s="1" t="s">
        <v>19</v>
      </c>
      <c r="P6" s="1" t="s">
        <v>20</v>
      </c>
    </row>
    <row r="7" spans="1:17" x14ac:dyDescent="0.25">
      <c r="A7">
        <v>1</v>
      </c>
      <c r="B7" s="1" t="s">
        <v>51</v>
      </c>
      <c r="C7" s="1" t="s">
        <v>30</v>
      </c>
      <c r="D7" s="2">
        <v>37909</v>
      </c>
      <c r="E7" s="3">
        <v>10142.67</v>
      </c>
      <c r="F7" s="4">
        <v>4159.5595472440946</v>
      </c>
      <c r="G7" s="2">
        <v>37559</v>
      </c>
      <c r="H7" s="3">
        <v>2069.65</v>
      </c>
      <c r="I7" s="3">
        <v>740</v>
      </c>
      <c r="J7" s="3">
        <v>1306</v>
      </c>
      <c r="K7" s="6">
        <v>0.35754837774502934</v>
      </c>
      <c r="L7" s="6">
        <v>0.63102456937163287</v>
      </c>
      <c r="M7" s="6">
        <v>1.1427052883337785E-2</v>
      </c>
      <c r="N7" s="4">
        <v>1487.2437682509747</v>
      </c>
      <c r="O7" s="4">
        <v>2624.7842720753688</v>
      </c>
      <c r="P7" s="4">
        <v>4112.0280403263432</v>
      </c>
      <c r="Q7" s="3"/>
    </row>
    <row r="8" spans="1:17" x14ac:dyDescent="0.25">
      <c r="A8">
        <v>2</v>
      </c>
      <c r="B8" s="1" t="s">
        <v>52</v>
      </c>
      <c r="C8" s="1" t="s">
        <v>30</v>
      </c>
      <c r="D8" s="2">
        <v>37909</v>
      </c>
      <c r="E8" s="3">
        <v>10100.200000000001</v>
      </c>
      <c r="F8" s="4">
        <v>4142.1423884514443</v>
      </c>
      <c r="G8" s="2">
        <v>37559</v>
      </c>
      <c r="H8" s="3">
        <v>2162.5</v>
      </c>
      <c r="I8" s="3">
        <v>779.2</v>
      </c>
      <c r="J8" s="3">
        <v>1319.7</v>
      </c>
      <c r="K8" s="6">
        <v>0.36032369942196535</v>
      </c>
      <c r="L8" s="6">
        <v>0.61026589595375724</v>
      </c>
      <c r="M8" s="6">
        <v>2.9410404624277353E-2</v>
      </c>
      <c r="N8" s="4">
        <v>1492.5120689393598</v>
      </c>
      <c r="O8" s="4">
        <v>2527.8082358563565</v>
      </c>
      <c r="P8" s="4">
        <v>4020.3203047957163</v>
      </c>
      <c r="Q8" s="3"/>
    </row>
    <row r="9" spans="1:17" x14ac:dyDescent="0.25">
      <c r="A9">
        <v>3</v>
      </c>
      <c r="B9" s="1" t="s">
        <v>53</v>
      </c>
      <c r="C9" s="1" t="s">
        <v>30</v>
      </c>
      <c r="D9" s="2">
        <v>37909</v>
      </c>
      <c r="E9" s="3">
        <v>12645.78</v>
      </c>
      <c r="F9" s="4">
        <v>5186.0974409448827</v>
      </c>
      <c r="G9" s="2">
        <v>37559</v>
      </c>
      <c r="H9" s="3">
        <v>2122.9499999999998</v>
      </c>
      <c r="I9" s="3">
        <v>787.4</v>
      </c>
      <c r="J9" s="3">
        <v>1295.7</v>
      </c>
      <c r="K9" s="6">
        <v>0.37089898490308298</v>
      </c>
      <c r="L9" s="6">
        <v>0.61032996537836504</v>
      </c>
      <c r="M9" s="6">
        <v>1.8771049718551924E-2</v>
      </c>
      <c r="N9" s="4">
        <v>1923.5182764549334</v>
      </c>
      <c r="O9" s="4">
        <v>3165.2306715807176</v>
      </c>
      <c r="P9" s="4">
        <v>5088.7489480356508</v>
      </c>
      <c r="Q9" s="3"/>
    </row>
    <row r="10" spans="1:17" x14ac:dyDescent="0.25">
      <c r="A10">
        <v>4</v>
      </c>
      <c r="B10" s="1" t="s">
        <v>54</v>
      </c>
      <c r="C10" s="1" t="s">
        <v>30</v>
      </c>
      <c r="D10" s="2">
        <v>37909</v>
      </c>
      <c r="E10" s="3">
        <v>11861.6</v>
      </c>
      <c r="F10" s="4">
        <v>4864.5013123359586</v>
      </c>
      <c r="G10" s="2">
        <v>37559</v>
      </c>
      <c r="H10" s="3">
        <v>2412.5</v>
      </c>
      <c r="I10" s="3">
        <v>883.5</v>
      </c>
      <c r="J10" s="3">
        <v>1406.45</v>
      </c>
      <c r="K10" s="6">
        <v>0.36621761658031088</v>
      </c>
      <c r="L10" s="6">
        <v>0.5829844559585492</v>
      </c>
      <c r="M10" s="6">
        <v>5.079792746113998E-2</v>
      </c>
      <c r="N10" s="4">
        <v>1781.4660764554692</v>
      </c>
      <c r="O10" s="4">
        <v>2835.9286510818274</v>
      </c>
      <c r="P10" s="4">
        <v>4617.3947275372966</v>
      </c>
      <c r="Q10" s="3"/>
    </row>
    <row r="11" spans="1:17" x14ac:dyDescent="0.25">
      <c r="A11">
        <v>5</v>
      </c>
      <c r="B11" s="1" t="s">
        <v>55</v>
      </c>
      <c r="C11" s="1" t="s">
        <v>30</v>
      </c>
      <c r="D11" s="2">
        <v>37909</v>
      </c>
      <c r="E11" s="3">
        <v>10820.24</v>
      </c>
      <c r="F11" s="4">
        <v>4437.4343832020995</v>
      </c>
      <c r="G11" s="2">
        <v>37559</v>
      </c>
      <c r="H11" s="3">
        <v>1943</v>
      </c>
      <c r="I11" s="3">
        <v>758.4</v>
      </c>
      <c r="J11" s="3">
        <v>1171.46</v>
      </c>
      <c r="K11" s="6">
        <v>0.39032424086464229</v>
      </c>
      <c r="L11" s="6">
        <v>0.60291302110138967</v>
      </c>
      <c r="M11" s="6">
        <v>6.7627380339679855E-3</v>
      </c>
      <c r="N11" s="4">
        <v>1732.0382070100218</v>
      </c>
      <c r="O11" s="4">
        <v>2675.3869699155593</v>
      </c>
      <c r="P11" s="4">
        <v>4407.4251769255807</v>
      </c>
      <c r="Q11" s="3"/>
    </row>
    <row r="12" spans="1:17" x14ac:dyDescent="0.25">
      <c r="A12">
        <v>6</v>
      </c>
      <c r="B12" s="1" t="s">
        <v>56</v>
      </c>
      <c r="C12" s="1" t="s">
        <v>30</v>
      </c>
      <c r="D12" s="2">
        <v>37909</v>
      </c>
      <c r="E12" s="3">
        <v>13181.8</v>
      </c>
      <c r="F12" s="4">
        <v>5405.9219160104985</v>
      </c>
      <c r="G12" s="2">
        <v>37559</v>
      </c>
      <c r="H12" s="3">
        <v>1938.2</v>
      </c>
      <c r="I12" s="3">
        <v>652.1</v>
      </c>
      <c r="J12" s="3">
        <v>1171.78</v>
      </c>
      <c r="K12" s="6">
        <v>0.33644618718398517</v>
      </c>
      <c r="L12" s="6">
        <v>0.60457125167681347</v>
      </c>
      <c r="M12" s="6">
        <v>5.8982561139201306E-2</v>
      </c>
      <c r="N12" s="4">
        <v>1818.8018168560759</v>
      </c>
      <c r="O12" s="4">
        <v>3268.2649792295847</v>
      </c>
      <c r="P12" s="4">
        <v>5087.0667960856608</v>
      </c>
      <c r="Q12" s="3"/>
    </row>
    <row r="13" spans="1:17" x14ac:dyDescent="0.25">
      <c r="A13">
        <v>7</v>
      </c>
      <c r="B13" s="1" t="s">
        <v>57</v>
      </c>
      <c r="C13" s="1" t="s">
        <v>30</v>
      </c>
      <c r="D13" s="2">
        <v>37909</v>
      </c>
      <c r="E13" s="3">
        <v>11575.09</v>
      </c>
      <c r="F13" s="4">
        <v>4747.002132545932</v>
      </c>
      <c r="G13" s="2">
        <v>37559</v>
      </c>
      <c r="H13" s="3">
        <v>1934.45</v>
      </c>
      <c r="I13" s="3">
        <v>707.9</v>
      </c>
      <c r="J13" s="3">
        <v>1178.54</v>
      </c>
      <c r="K13" s="6">
        <v>0.36594380831760964</v>
      </c>
      <c r="L13" s="6">
        <v>0.60923776784098838</v>
      </c>
      <c r="M13" s="6">
        <v>2.4818423841401982E-2</v>
      </c>
      <c r="N13" s="4">
        <v>1737.1360384756726</v>
      </c>
      <c r="O13" s="4">
        <v>2892.0529831686954</v>
      </c>
      <c r="P13" s="4">
        <v>4629.189021644368</v>
      </c>
      <c r="Q13" s="3"/>
    </row>
    <row r="14" spans="1:17" x14ac:dyDescent="0.25">
      <c r="A14">
        <v>8</v>
      </c>
      <c r="B14" s="1" t="s">
        <v>58</v>
      </c>
      <c r="C14" s="1" t="s">
        <v>30</v>
      </c>
      <c r="D14" s="2">
        <v>37909</v>
      </c>
      <c r="E14" s="3">
        <v>13771.4</v>
      </c>
      <c r="F14" s="4">
        <v>5647.7198162729655</v>
      </c>
      <c r="G14" s="2">
        <v>37559</v>
      </c>
      <c r="H14" s="3">
        <v>2576.1</v>
      </c>
      <c r="I14" s="3">
        <v>935.4</v>
      </c>
      <c r="J14" s="3">
        <v>1553.4</v>
      </c>
      <c r="K14" s="6">
        <v>0.36310702224292535</v>
      </c>
      <c r="L14" s="6">
        <v>0.60300454174915574</v>
      </c>
      <c r="M14" s="6">
        <v>3.388843600791891E-2</v>
      </c>
      <c r="N14" s="4">
        <v>2050.7267249492379</v>
      </c>
      <c r="O14" s="4">
        <v>3405.6006997393056</v>
      </c>
      <c r="P14" s="4">
        <v>5456.327424688543</v>
      </c>
      <c r="Q14" s="3"/>
    </row>
    <row r="15" spans="1:17" x14ac:dyDescent="0.25">
      <c r="A15">
        <v>9</v>
      </c>
      <c r="B15" s="1" t="s">
        <v>59</v>
      </c>
      <c r="C15" s="1" t="s">
        <v>30</v>
      </c>
      <c r="D15" s="2">
        <v>37910</v>
      </c>
      <c r="E15" s="3">
        <v>10954.46</v>
      </c>
      <c r="F15" s="4">
        <v>4492.4786745406818</v>
      </c>
      <c r="G15" s="2">
        <v>37559</v>
      </c>
      <c r="H15" s="3">
        <v>2370.1</v>
      </c>
      <c r="I15" s="3">
        <v>890.2</v>
      </c>
      <c r="J15" s="3">
        <v>1374.75</v>
      </c>
      <c r="K15" s="6">
        <v>0.37559596641491921</v>
      </c>
      <c r="L15" s="6">
        <v>0.58003881692755577</v>
      </c>
      <c r="M15" s="6">
        <v>4.436521665752502E-2</v>
      </c>
      <c r="N15" s="4">
        <v>1687.3568693625227</v>
      </c>
      <c r="O15" s="4">
        <v>2605.812015452851</v>
      </c>
      <c r="P15" s="4">
        <v>4293.1688848153735</v>
      </c>
      <c r="Q15" s="3"/>
    </row>
    <row r="16" spans="1:17" x14ac:dyDescent="0.25">
      <c r="A16">
        <v>10</v>
      </c>
      <c r="B16" s="1" t="s">
        <v>60</v>
      </c>
      <c r="C16" s="1" t="s">
        <v>30</v>
      </c>
      <c r="D16" s="2">
        <v>37910</v>
      </c>
      <c r="E16" s="3">
        <v>12163.8</v>
      </c>
      <c r="F16" s="4">
        <v>4988.4350393700779</v>
      </c>
      <c r="G16" s="2">
        <v>37559</v>
      </c>
      <c r="H16" s="3">
        <v>2243.6999999999998</v>
      </c>
      <c r="I16" s="3">
        <v>786.9</v>
      </c>
      <c r="J16" s="3">
        <v>1377.6</v>
      </c>
      <c r="K16" s="6">
        <v>0.35071533627490309</v>
      </c>
      <c r="L16" s="6">
        <v>0.61398582698221693</v>
      </c>
      <c r="M16" s="6">
        <v>3.5298836742879924E-2</v>
      </c>
      <c r="N16" s="4">
        <v>1749.5206723181864</v>
      </c>
      <c r="O16" s="4">
        <v>3062.8284129947051</v>
      </c>
      <c r="P16" s="4">
        <v>4812.3490853128915</v>
      </c>
      <c r="Q16" s="3"/>
    </row>
    <row r="17" spans="1:17" x14ac:dyDescent="0.25">
      <c r="A17">
        <v>11</v>
      </c>
      <c r="B17" s="1" t="s">
        <v>61</v>
      </c>
      <c r="C17" s="1" t="s">
        <v>30</v>
      </c>
      <c r="D17" s="2">
        <v>37910</v>
      </c>
      <c r="E17" s="3">
        <v>12131.18</v>
      </c>
      <c r="F17" s="4">
        <v>4975.0574146981626</v>
      </c>
      <c r="G17" s="2">
        <v>37559</v>
      </c>
      <c r="H17" s="3">
        <v>2312</v>
      </c>
      <c r="I17" s="3">
        <v>825.4</v>
      </c>
      <c r="J17" s="3">
        <v>1390.4</v>
      </c>
      <c r="K17" s="6">
        <v>0.35700692041522492</v>
      </c>
      <c r="L17" s="6">
        <v>0.6013840830449827</v>
      </c>
      <c r="M17" s="6">
        <v>4.1608996539792442E-2</v>
      </c>
      <c r="N17" s="4">
        <v>1776.1299265103216</v>
      </c>
      <c r="O17" s="4">
        <v>2991.9203414343965</v>
      </c>
      <c r="P17" s="4">
        <v>4768.0502679447181</v>
      </c>
      <c r="Q17" s="3"/>
    </row>
    <row r="18" spans="1:17" x14ac:dyDescent="0.25">
      <c r="A18">
        <v>12</v>
      </c>
      <c r="B18" s="1" t="s">
        <v>62</v>
      </c>
      <c r="C18" s="1" t="s">
        <v>30</v>
      </c>
      <c r="D18" s="2">
        <v>37910</v>
      </c>
      <c r="E18" s="3">
        <v>12805.1</v>
      </c>
      <c r="F18" s="4">
        <v>5251.435367454068</v>
      </c>
      <c r="G18" s="2">
        <v>37559</v>
      </c>
      <c r="H18" s="3">
        <v>2091.3000000000002</v>
      </c>
      <c r="I18" s="3">
        <v>767.6</v>
      </c>
      <c r="J18" s="3">
        <v>1297.75</v>
      </c>
      <c r="K18" s="6">
        <v>0.36704442212977573</v>
      </c>
      <c r="L18" s="6">
        <v>0.62054702816429963</v>
      </c>
      <c r="M18" s="6">
        <v>1.2408549705924643E-2</v>
      </c>
      <c r="N18" s="4">
        <v>1927.5100597990449</v>
      </c>
      <c r="O18" s="4">
        <v>3258.7626108705185</v>
      </c>
      <c r="P18" s="4">
        <v>5186.272670669563</v>
      </c>
      <c r="Q18" s="3"/>
    </row>
    <row r="19" spans="1:17" x14ac:dyDescent="0.25">
      <c r="A19">
        <v>13</v>
      </c>
      <c r="B19" s="1" t="s">
        <v>63</v>
      </c>
      <c r="C19" s="1" t="s">
        <v>30</v>
      </c>
      <c r="D19" s="2">
        <v>37910</v>
      </c>
      <c r="E19" s="3">
        <v>13044.35</v>
      </c>
      <c r="F19" s="4">
        <v>5349.5529855643044</v>
      </c>
      <c r="G19" s="2">
        <v>37559</v>
      </c>
      <c r="H19" s="3">
        <v>2229.8000000000002</v>
      </c>
      <c r="I19" s="3">
        <v>758.3</v>
      </c>
      <c r="J19" s="3">
        <v>1359.1</v>
      </c>
      <c r="K19" s="6">
        <v>0.34007534308009685</v>
      </c>
      <c r="L19" s="6">
        <v>0.60951654856937831</v>
      </c>
      <c r="M19" s="6">
        <v>5.0408108350524783E-2</v>
      </c>
      <c r="N19" s="4">
        <v>1819.2510668909372</v>
      </c>
      <c r="O19" s="4">
        <v>3260.6410721501679</v>
      </c>
      <c r="P19" s="4">
        <v>5079.8921390411051</v>
      </c>
      <c r="Q19" s="3"/>
    </row>
    <row r="20" spans="1:17" x14ac:dyDescent="0.25">
      <c r="A20">
        <v>14</v>
      </c>
      <c r="B20" s="1" t="s">
        <v>64</v>
      </c>
      <c r="C20" s="1" t="s">
        <v>30</v>
      </c>
      <c r="D20" s="2">
        <v>37910</v>
      </c>
      <c r="E20" s="3">
        <v>12076.2</v>
      </c>
      <c r="F20" s="4">
        <v>4952.5098425196848</v>
      </c>
      <c r="G20" s="2">
        <v>37559</v>
      </c>
      <c r="H20" s="3">
        <v>2117.3000000000002</v>
      </c>
      <c r="I20" s="3">
        <v>742.3</v>
      </c>
      <c r="J20" s="3">
        <v>1265.75</v>
      </c>
      <c r="K20" s="6">
        <v>0.35058801303546966</v>
      </c>
      <c r="L20" s="6">
        <v>0.59781325272753028</v>
      </c>
      <c r="M20" s="6">
        <v>5.159873423700001E-2</v>
      </c>
      <c r="N20" s="4">
        <v>1736.2905852275831</v>
      </c>
      <c r="O20" s="4">
        <v>2960.6760181218015</v>
      </c>
      <c r="P20" s="4">
        <v>4696.966603349385</v>
      </c>
      <c r="Q20" s="3"/>
    </row>
    <row r="21" spans="1:17" x14ac:dyDescent="0.25">
      <c r="A21">
        <v>15</v>
      </c>
      <c r="B21" s="1" t="s">
        <v>65</v>
      </c>
      <c r="C21" s="1" t="s">
        <v>30</v>
      </c>
      <c r="D21" s="2">
        <v>37910</v>
      </c>
      <c r="E21" s="3">
        <v>11614.63</v>
      </c>
      <c r="F21" s="4">
        <v>4763.2176837270345</v>
      </c>
      <c r="G21" s="2">
        <v>37559</v>
      </c>
      <c r="H21" s="3">
        <v>2182.85</v>
      </c>
      <c r="I21" s="3">
        <v>799.3</v>
      </c>
      <c r="J21" s="3">
        <v>1308.3499999999999</v>
      </c>
      <c r="K21" s="6">
        <v>0.366172664177566</v>
      </c>
      <c r="L21" s="6">
        <v>0.59937696131204621</v>
      </c>
      <c r="M21" s="6">
        <v>3.4450374510387793E-2</v>
      </c>
      <c r="N21" s="4">
        <v>1744.1601093080233</v>
      </c>
      <c r="O21" s="4">
        <v>2854.962941340113</v>
      </c>
      <c r="P21" s="4">
        <v>4599.1230506481361</v>
      </c>
      <c r="Q21" s="3"/>
    </row>
    <row r="22" spans="1:17" x14ac:dyDescent="0.25">
      <c r="A22">
        <v>16</v>
      </c>
      <c r="B22" s="1" t="s">
        <v>66</v>
      </c>
      <c r="C22" s="1" t="s">
        <v>30</v>
      </c>
      <c r="D22" s="2">
        <v>37910</v>
      </c>
      <c r="E22" s="3">
        <v>10573.7</v>
      </c>
      <c r="F22" s="4">
        <v>4336.327099737533</v>
      </c>
      <c r="G22" s="2">
        <v>37559</v>
      </c>
      <c r="H22" s="3">
        <v>1935.6</v>
      </c>
      <c r="I22" s="3">
        <v>697</v>
      </c>
      <c r="J22" s="3">
        <v>1157.9000000000001</v>
      </c>
      <c r="K22" s="6">
        <v>0.36009506096300892</v>
      </c>
      <c r="L22" s="6">
        <v>0.59821244058689815</v>
      </c>
      <c r="M22" s="6">
        <v>4.169249845009293E-2</v>
      </c>
      <c r="N22" s="4">
        <v>1561.4899713355346</v>
      </c>
      <c r="O22" s="4">
        <v>2594.0448175170955</v>
      </c>
      <c r="P22" s="4">
        <v>4155.5347888526303</v>
      </c>
      <c r="Q22" s="3"/>
    </row>
    <row r="23" spans="1:17" x14ac:dyDescent="0.25">
      <c r="A23">
        <v>17</v>
      </c>
      <c r="B23" s="1" t="s">
        <v>67</v>
      </c>
      <c r="C23" s="1" t="s">
        <v>30</v>
      </c>
      <c r="D23" s="2">
        <v>37911</v>
      </c>
      <c r="E23" s="3">
        <v>11281.95</v>
      </c>
      <c r="F23" s="4">
        <v>4626.7839566929133</v>
      </c>
      <c r="G23" s="2">
        <v>37559</v>
      </c>
      <c r="H23" s="3">
        <v>1930.15</v>
      </c>
      <c r="I23" s="3">
        <v>713.6</v>
      </c>
      <c r="J23" s="3">
        <v>1166.98</v>
      </c>
      <c r="K23" s="6">
        <v>0.36971219853379272</v>
      </c>
      <c r="L23" s="6">
        <v>0.60460585964821389</v>
      </c>
      <c r="M23" s="6">
        <v>2.5681941817993326E-2</v>
      </c>
      <c r="N23" s="4">
        <v>1710.5784687698174</v>
      </c>
      <c r="O23" s="4">
        <v>2797.3806915428831</v>
      </c>
      <c r="P23" s="4">
        <v>4507.959160312701</v>
      </c>
      <c r="Q23" s="3"/>
    </row>
    <row r="24" spans="1:17" x14ac:dyDescent="0.25">
      <c r="A24">
        <v>18</v>
      </c>
      <c r="B24" s="1" t="s">
        <v>68</v>
      </c>
      <c r="C24" s="1" t="s">
        <v>30</v>
      </c>
      <c r="D24" s="2">
        <v>37911</v>
      </c>
      <c r="E24" s="3">
        <v>10766</v>
      </c>
      <c r="F24" s="4">
        <v>4415.1902887139104</v>
      </c>
      <c r="G24" s="2">
        <v>37559</v>
      </c>
      <c r="H24" s="3">
        <v>1946.3</v>
      </c>
      <c r="I24" s="3">
        <v>720.6</v>
      </c>
      <c r="J24" s="3">
        <v>1155.3399999999999</v>
      </c>
      <c r="K24" s="6">
        <v>0.37024097004572781</v>
      </c>
      <c r="L24" s="6">
        <v>0.59360838514103687</v>
      </c>
      <c r="M24" s="6">
        <v>3.6150644813235266E-2</v>
      </c>
      <c r="N24" s="4">
        <v>1634.6843354299153</v>
      </c>
      <c r="O24" s="4">
        <v>2620.8939773738525</v>
      </c>
      <c r="P24" s="4">
        <v>4255.5783128037674</v>
      </c>
      <c r="Q24" s="3"/>
    </row>
    <row r="25" spans="1:17" x14ac:dyDescent="0.25">
      <c r="A25">
        <v>19</v>
      </c>
      <c r="B25" s="1" t="s">
        <v>69</v>
      </c>
      <c r="C25" s="1" t="s">
        <v>30</v>
      </c>
      <c r="D25" s="2">
        <v>37911</v>
      </c>
      <c r="E25" s="3">
        <v>12438.88</v>
      </c>
      <c r="F25" s="4">
        <v>5101.2467191601045</v>
      </c>
      <c r="G25" s="2">
        <v>37559</v>
      </c>
      <c r="H25" s="3">
        <v>2242.4499999999998</v>
      </c>
      <c r="I25" s="3">
        <v>780.3</v>
      </c>
      <c r="J25" s="3">
        <v>1353.9</v>
      </c>
      <c r="K25" s="6">
        <v>0.34796762469620285</v>
      </c>
      <c r="L25" s="6">
        <v>0.60375928114339239</v>
      </c>
      <c r="M25" s="6">
        <v>4.8273094160404706E-2</v>
      </c>
      <c r="N25" s="4">
        <v>1775.0687038554393</v>
      </c>
      <c r="O25" s="4">
        <v>3079.9250520951937</v>
      </c>
      <c r="P25" s="4">
        <v>4854.9937559506325</v>
      </c>
      <c r="Q25" s="3"/>
    </row>
    <row r="26" spans="1:17" x14ac:dyDescent="0.25">
      <c r="A26">
        <v>20</v>
      </c>
      <c r="B26" s="1" t="s">
        <v>70</v>
      </c>
      <c r="C26" s="1" t="s">
        <v>30</v>
      </c>
      <c r="D26" s="2">
        <v>37911</v>
      </c>
      <c r="E26" s="3">
        <v>11411.2</v>
      </c>
      <c r="F26" s="4">
        <v>4679.7900262467192</v>
      </c>
      <c r="G26" s="2">
        <v>37559</v>
      </c>
      <c r="H26" s="3">
        <v>2186.5</v>
      </c>
      <c r="I26" s="3">
        <v>801</v>
      </c>
      <c r="J26" s="3">
        <v>1327.25</v>
      </c>
      <c r="K26" s="6">
        <v>0.36633889778184314</v>
      </c>
      <c r="L26" s="6">
        <v>0.60702035216098793</v>
      </c>
      <c r="M26" s="6">
        <v>2.6640750057168927E-2</v>
      </c>
      <c r="N26" s="4">
        <v>1714.3891200656858</v>
      </c>
      <c r="O26" s="4">
        <v>2840.7277897717622</v>
      </c>
      <c r="P26" s="4">
        <v>4555.1169098374485</v>
      </c>
      <c r="Q26" s="3"/>
    </row>
    <row r="27" spans="1:17" x14ac:dyDescent="0.25">
      <c r="A27">
        <v>21</v>
      </c>
      <c r="B27" s="1" t="s">
        <v>71</v>
      </c>
      <c r="C27" s="1" t="s">
        <v>30</v>
      </c>
      <c r="D27" s="2">
        <v>37911</v>
      </c>
      <c r="E27" s="3">
        <v>11701.2</v>
      </c>
      <c r="F27" s="4">
        <v>4798.7204724409448</v>
      </c>
      <c r="G27" s="2">
        <v>37559</v>
      </c>
      <c r="H27" s="3">
        <v>1905.7</v>
      </c>
      <c r="I27" s="3">
        <v>693.9</v>
      </c>
      <c r="J27" s="3">
        <v>1123.46</v>
      </c>
      <c r="K27" s="6">
        <v>0.3641181718003883</v>
      </c>
      <c r="L27" s="6">
        <v>0.58952615836700428</v>
      </c>
      <c r="M27" s="6">
        <v>4.6355669832607416E-2</v>
      </c>
      <c r="N27" s="4">
        <v>1747.3013254062926</v>
      </c>
      <c r="O27" s="4">
        <v>2828.9712451952059</v>
      </c>
      <c r="P27" s="4">
        <v>4576.272570601499</v>
      </c>
      <c r="Q27" s="3"/>
    </row>
    <row r="28" spans="1:17" x14ac:dyDescent="0.25">
      <c r="A28">
        <v>22</v>
      </c>
      <c r="B28" s="1" t="s">
        <v>72</v>
      </c>
      <c r="C28" s="1" t="s">
        <v>30</v>
      </c>
      <c r="D28" s="2">
        <v>37911</v>
      </c>
      <c r="E28" s="3">
        <v>10740.11</v>
      </c>
      <c r="F28" s="4">
        <v>4404.5726706036749</v>
      </c>
      <c r="G28" s="2">
        <v>37559</v>
      </c>
      <c r="H28" s="3">
        <v>2008.15</v>
      </c>
      <c r="I28" s="3">
        <v>742.9</v>
      </c>
      <c r="J28" s="3">
        <v>1209.2</v>
      </c>
      <c r="K28" s="6">
        <v>0.36994248437616711</v>
      </c>
      <c r="L28" s="6">
        <v>0.6021462540148893</v>
      </c>
      <c r="M28" s="6">
        <v>2.7911261608943527E-2</v>
      </c>
      <c r="N28" s="4">
        <v>1629.4385563784926</v>
      </c>
      <c r="O28" s="4">
        <v>2652.1969341403596</v>
      </c>
      <c r="P28" s="4">
        <v>4281.6354905188527</v>
      </c>
      <c r="Q28" s="3"/>
    </row>
    <row r="29" spans="1:17" x14ac:dyDescent="0.25">
      <c r="A29">
        <v>23</v>
      </c>
      <c r="B29" s="1" t="s">
        <v>73</v>
      </c>
      <c r="C29" s="1" t="s">
        <v>30</v>
      </c>
      <c r="D29" s="2">
        <v>37911</v>
      </c>
      <c r="E29" s="3">
        <v>11898.3</v>
      </c>
      <c r="F29" s="4">
        <v>4879.5521653543301</v>
      </c>
      <c r="G29" s="2">
        <v>37559</v>
      </c>
      <c r="H29" s="3">
        <v>2330</v>
      </c>
      <c r="I29" s="3">
        <v>795.8</v>
      </c>
      <c r="J29" s="3">
        <v>1409.05</v>
      </c>
      <c r="K29" s="6">
        <v>0.34154506437768239</v>
      </c>
      <c r="L29" s="6">
        <v>0.60474248927038621</v>
      </c>
      <c r="M29" s="6">
        <v>5.3712446351931398E-2</v>
      </c>
      <c r="N29" s="4">
        <v>1666.5869584502043</v>
      </c>
      <c r="O29" s="4">
        <v>2950.8725230010809</v>
      </c>
      <c r="P29" s="4">
        <v>4617.4594814512857</v>
      </c>
      <c r="Q29" s="3"/>
    </row>
    <row r="30" spans="1:17" x14ac:dyDescent="0.25">
      <c r="A30">
        <v>24</v>
      </c>
      <c r="B30" s="1" t="s">
        <v>74</v>
      </c>
      <c r="C30" s="1" t="s">
        <v>30</v>
      </c>
      <c r="D30" s="2">
        <v>37911</v>
      </c>
      <c r="E30" s="3">
        <v>12025.88</v>
      </c>
      <c r="F30" s="4">
        <v>4931.8733595800522</v>
      </c>
      <c r="G30" s="2">
        <v>37559</v>
      </c>
      <c r="H30" s="3">
        <v>2306.85</v>
      </c>
      <c r="I30" s="3">
        <v>830.1</v>
      </c>
      <c r="J30" s="3">
        <v>1392</v>
      </c>
      <c r="K30" s="6">
        <v>0.35984134208986285</v>
      </c>
      <c r="L30" s="6">
        <v>0.60342024839066266</v>
      </c>
      <c r="M30" s="6">
        <v>3.6738409519474491E-2</v>
      </c>
      <c r="N30" s="4">
        <v>1774.6919287285268</v>
      </c>
      <c r="O30" s="4">
        <v>2975.9922476690872</v>
      </c>
      <c r="P30" s="4">
        <v>4750.6841763976136</v>
      </c>
      <c r="Q30" s="3"/>
    </row>
    <row r="31" spans="1:17" x14ac:dyDescent="0.25">
      <c r="A31">
        <v>25</v>
      </c>
      <c r="B31" s="1" t="s">
        <v>75</v>
      </c>
      <c r="C31" s="1" t="s">
        <v>30</v>
      </c>
      <c r="D31" s="2">
        <v>37914</v>
      </c>
      <c r="E31" s="3">
        <v>9196.2999999999993</v>
      </c>
      <c r="F31" s="4">
        <v>3771.4484908136483</v>
      </c>
      <c r="G31" s="2">
        <v>37559</v>
      </c>
      <c r="H31" s="3">
        <v>2231.1</v>
      </c>
      <c r="I31" s="3">
        <v>732.1</v>
      </c>
      <c r="J31" s="3">
        <v>1375</v>
      </c>
      <c r="K31" s="6">
        <v>0.32813410425350725</v>
      </c>
      <c r="L31" s="6">
        <v>0.61628792972076551</v>
      </c>
      <c r="M31" s="6">
        <v>5.5577966025727177E-2</v>
      </c>
      <c r="N31" s="4">
        <v>1237.5408722713782</v>
      </c>
      <c r="O31" s="4">
        <v>2324.2981824520489</v>
      </c>
      <c r="P31" s="4">
        <v>3561.8390547234271</v>
      </c>
      <c r="Q31" s="3"/>
    </row>
    <row r="32" spans="1:17" x14ac:dyDescent="0.25">
      <c r="A32">
        <v>26</v>
      </c>
      <c r="B32" s="1" t="s">
        <v>76</v>
      </c>
      <c r="C32" s="1" t="s">
        <v>30</v>
      </c>
      <c r="D32" s="2">
        <v>37914</v>
      </c>
      <c r="E32" s="3">
        <v>11163.89</v>
      </c>
      <c r="F32" s="4">
        <v>4578.3669619422571</v>
      </c>
      <c r="G32" s="2">
        <v>37559</v>
      </c>
      <c r="H32" s="3">
        <v>2131.85</v>
      </c>
      <c r="I32" s="3">
        <v>743.2</v>
      </c>
      <c r="J32" s="3">
        <v>1322.05</v>
      </c>
      <c r="K32" s="6">
        <v>0.34861739803457092</v>
      </c>
      <c r="L32" s="6">
        <v>0.62014213007481767</v>
      </c>
      <c r="M32" s="6">
        <v>3.124047189061141E-2</v>
      </c>
      <c r="N32" s="4">
        <v>1596.0983775197531</v>
      </c>
      <c r="O32" s="4">
        <v>2839.2382400430429</v>
      </c>
      <c r="P32" s="4">
        <v>4435.3366175627962</v>
      </c>
      <c r="Q32" s="3"/>
    </row>
    <row r="33" spans="1:17" x14ac:dyDescent="0.25">
      <c r="A33">
        <v>27</v>
      </c>
      <c r="B33" s="1" t="s">
        <v>77</v>
      </c>
      <c r="C33" s="1" t="s">
        <v>30</v>
      </c>
      <c r="D33" s="2">
        <v>37914</v>
      </c>
      <c r="E33" s="3">
        <v>10547.7</v>
      </c>
      <c r="F33" s="4">
        <v>4325.6643700787408</v>
      </c>
      <c r="G33" s="2">
        <v>37559</v>
      </c>
      <c r="H33" s="3">
        <v>2334.1</v>
      </c>
      <c r="I33" s="3">
        <v>884.4</v>
      </c>
      <c r="J33" s="3">
        <v>1386.05</v>
      </c>
      <c r="K33" s="6">
        <v>0.37890407437556234</v>
      </c>
      <c r="L33" s="6">
        <v>0.59382631421104493</v>
      </c>
      <c r="M33" s="6">
        <v>2.7269611413392791E-2</v>
      </c>
      <c r="N33" s="4">
        <v>1639.0118542040352</v>
      </c>
      <c r="O33" s="4">
        <v>2568.6933293979</v>
      </c>
      <c r="P33" s="4">
        <v>4207.7051836019355</v>
      </c>
      <c r="Q33" s="3"/>
    </row>
    <row r="34" spans="1:17" x14ac:dyDescent="0.25">
      <c r="A34">
        <v>28</v>
      </c>
      <c r="B34" s="1" t="s">
        <v>78</v>
      </c>
      <c r="C34" s="1" t="s">
        <v>30</v>
      </c>
      <c r="D34" s="2">
        <v>37914</v>
      </c>
      <c r="E34" s="3">
        <v>12607.93</v>
      </c>
      <c r="F34" s="4">
        <v>5170.574967191601</v>
      </c>
      <c r="G34" s="2">
        <v>37559</v>
      </c>
      <c r="H34" s="3">
        <v>2271.5500000000002</v>
      </c>
      <c r="I34" s="3">
        <v>790.7</v>
      </c>
      <c r="J34" s="3">
        <v>1365.6</v>
      </c>
      <c r="K34" s="6">
        <v>0.3480883097444476</v>
      </c>
      <c r="L34" s="6">
        <v>0.60117540886179033</v>
      </c>
      <c r="M34" s="6">
        <v>5.0736281393762073E-2</v>
      </c>
      <c r="N34" s="4">
        <v>1799.8167007366769</v>
      </c>
      <c r="O34" s="4">
        <v>3108.4225199519487</v>
      </c>
      <c r="P34" s="4">
        <v>4908.2392206886252</v>
      </c>
      <c r="Q34" s="3"/>
    </row>
    <row r="35" spans="1:17" x14ac:dyDescent="0.25">
      <c r="A35">
        <v>29</v>
      </c>
      <c r="B35" s="1" t="s">
        <v>79</v>
      </c>
      <c r="C35" s="1" t="s">
        <v>30</v>
      </c>
      <c r="D35" s="2">
        <v>37914</v>
      </c>
      <c r="E35" s="3">
        <v>10365.4</v>
      </c>
      <c r="F35" s="4">
        <v>4250.9022309711281</v>
      </c>
      <c r="G35" s="2">
        <v>37559</v>
      </c>
      <c r="H35" s="3">
        <v>1883.1</v>
      </c>
      <c r="I35" s="3">
        <v>702</v>
      </c>
      <c r="J35" s="3">
        <v>1104.2</v>
      </c>
      <c r="K35" s="6">
        <v>0.37278954914768203</v>
      </c>
      <c r="L35" s="6">
        <v>0.58637353300408901</v>
      </c>
      <c r="M35" s="6">
        <v>4.083691784822896E-2</v>
      </c>
      <c r="N35" s="4">
        <v>1584.6919261546025</v>
      </c>
      <c r="O35" s="4">
        <v>2492.6165596295045</v>
      </c>
      <c r="P35" s="4">
        <v>4077.3084857841068</v>
      </c>
      <c r="Q35" s="3"/>
    </row>
    <row r="36" spans="1:17" x14ac:dyDescent="0.25">
      <c r="A36">
        <v>30</v>
      </c>
      <c r="B36" s="1" t="s">
        <v>80</v>
      </c>
      <c r="C36" s="1" t="s">
        <v>30</v>
      </c>
      <c r="D36" s="2">
        <v>37914</v>
      </c>
      <c r="E36" s="3">
        <v>13312.34</v>
      </c>
      <c r="F36" s="4">
        <v>5459.4570209973763</v>
      </c>
      <c r="G36" s="2">
        <v>37559</v>
      </c>
      <c r="H36" s="3">
        <v>2189.85</v>
      </c>
      <c r="I36" s="3">
        <v>769</v>
      </c>
      <c r="J36" s="3">
        <v>1314.75</v>
      </c>
      <c r="K36" s="6">
        <v>0.35116560495011073</v>
      </c>
      <c r="L36" s="6">
        <v>0.60038358791698065</v>
      </c>
      <c r="M36" s="6">
        <v>4.8450807132908613E-2</v>
      </c>
      <c r="N36" s="4">
        <v>1917.1735274776731</v>
      </c>
      <c r="O36" s="4">
        <v>3277.7683943449556</v>
      </c>
      <c r="P36" s="4">
        <v>5194.9419218226285</v>
      </c>
      <c r="Q36" s="3"/>
    </row>
    <row r="37" spans="1:17" x14ac:dyDescent="0.25">
      <c r="A37">
        <v>31</v>
      </c>
      <c r="B37" s="1" t="s">
        <v>81</v>
      </c>
      <c r="C37" s="1" t="s">
        <v>30</v>
      </c>
      <c r="D37" s="2">
        <v>37914</v>
      </c>
      <c r="E37" s="3">
        <v>11962.7</v>
      </c>
      <c r="F37" s="4">
        <v>4905.9629265091862</v>
      </c>
      <c r="G37" s="2">
        <v>37559</v>
      </c>
      <c r="H37" s="3"/>
      <c r="I37" s="3"/>
      <c r="J37" s="3"/>
      <c r="K37" s="6"/>
      <c r="L37" s="6"/>
      <c r="M37" s="6"/>
      <c r="N37" s="4"/>
      <c r="O37" s="4"/>
      <c r="P37" s="4"/>
      <c r="Q37" s="3"/>
    </row>
    <row r="38" spans="1:17" x14ac:dyDescent="0.25">
      <c r="A38">
        <v>32</v>
      </c>
      <c r="B38" s="1" t="s">
        <v>82</v>
      </c>
      <c r="C38" s="1" t="s">
        <v>30</v>
      </c>
      <c r="D38" s="2">
        <v>37914</v>
      </c>
      <c r="E38" s="3">
        <v>11265.12</v>
      </c>
      <c r="F38" s="4">
        <v>4619.8818897637802</v>
      </c>
      <c r="G38" s="2">
        <v>37559</v>
      </c>
      <c r="H38" s="3">
        <v>1955.95</v>
      </c>
      <c r="I38" s="3">
        <v>708.5</v>
      </c>
      <c r="J38" s="3">
        <v>1154.3800000000001</v>
      </c>
      <c r="K38" s="6">
        <v>0.36222807331475754</v>
      </c>
      <c r="L38" s="6">
        <v>0.59018891075947755</v>
      </c>
      <c r="M38" s="6">
        <v>4.758301592576486E-2</v>
      </c>
      <c r="N38" s="4">
        <v>1673.4509158708752</v>
      </c>
      <c r="O38" s="4">
        <v>2726.6030603571221</v>
      </c>
      <c r="P38" s="4">
        <v>4400.0539762279968</v>
      </c>
      <c r="Q38" s="3"/>
    </row>
    <row r="39" spans="1:17" x14ac:dyDescent="0.25">
      <c r="A39">
        <v>34</v>
      </c>
      <c r="B39" s="1" t="s">
        <v>83</v>
      </c>
      <c r="C39" s="1" t="s">
        <v>30</v>
      </c>
      <c r="D39" s="2">
        <v>37914</v>
      </c>
      <c r="E39" s="3">
        <v>2727.5</v>
      </c>
      <c r="F39" s="4">
        <v>2237.1227034120734</v>
      </c>
      <c r="G39" s="2">
        <v>37559</v>
      </c>
      <c r="H39">
        <v>2683.3</v>
      </c>
      <c r="I39">
        <v>935.9</v>
      </c>
      <c r="J39">
        <v>1581.55</v>
      </c>
      <c r="K39" s="6">
        <v>0.34878694145268885</v>
      </c>
      <c r="L39" s="6">
        <v>0.58940483732717175</v>
      </c>
      <c r="M39" s="6">
        <v>6.1808221220139403E-2</v>
      </c>
      <c r="N39" s="4">
        <v>780.2791853774678</v>
      </c>
      <c r="O39" s="4">
        <v>1318.5709430855159</v>
      </c>
      <c r="P39" s="4">
        <v>2098.8501284629838</v>
      </c>
      <c r="Q39" s="3"/>
    </row>
    <row r="40" spans="1:17" x14ac:dyDescent="0.25">
      <c r="A40">
        <v>36</v>
      </c>
      <c r="B40" s="1" t="s">
        <v>84</v>
      </c>
      <c r="C40" s="1" t="s">
        <v>30</v>
      </c>
      <c r="D40" s="2">
        <v>37914</v>
      </c>
      <c r="E40" s="3">
        <v>1045.49</v>
      </c>
      <c r="F40" s="4">
        <v>857.5213254593175</v>
      </c>
      <c r="G40" s="2">
        <v>37559</v>
      </c>
      <c r="H40">
        <v>1028.3399999999999</v>
      </c>
      <c r="I40">
        <v>314.60000000000002</v>
      </c>
      <c r="J40">
        <v>567.67999999999995</v>
      </c>
      <c r="K40" s="6">
        <v>0.30592994534881462</v>
      </c>
      <c r="L40" s="6">
        <v>0.55203531905789915</v>
      </c>
      <c r="M40" s="6">
        <v>0.14203473559328617</v>
      </c>
      <c r="N40" s="4">
        <v>262.34145223321207</v>
      </c>
      <c r="O40" s="4">
        <v>473.38205849888692</v>
      </c>
      <c r="P40" s="4">
        <v>735.72351073209893</v>
      </c>
      <c r="Q40" s="3"/>
    </row>
    <row r="41" spans="1:17" x14ac:dyDescent="0.25">
      <c r="A41">
        <v>38</v>
      </c>
      <c r="B41" s="1" t="s">
        <v>85</v>
      </c>
      <c r="C41" s="1" t="s">
        <v>30</v>
      </c>
      <c r="D41" s="2">
        <v>37914</v>
      </c>
      <c r="E41" s="3">
        <v>3126.6</v>
      </c>
      <c r="F41" s="4">
        <v>2564.4685039370074</v>
      </c>
      <c r="G41" s="2">
        <v>37559</v>
      </c>
      <c r="H41">
        <v>2421.6999999999998</v>
      </c>
      <c r="I41">
        <v>855.4</v>
      </c>
      <c r="J41">
        <v>1481.55</v>
      </c>
      <c r="K41" s="6">
        <v>0.35322294256101089</v>
      </c>
      <c r="L41" s="6">
        <v>0.61178098030309291</v>
      </c>
      <c r="M41" s="6">
        <v>3.4996077135896142E-2</v>
      </c>
      <c r="N41" s="4">
        <v>905.82911106566314</v>
      </c>
      <c r="O41" s="4">
        <v>1568.8930552949885</v>
      </c>
      <c r="P41" s="4">
        <v>2474.7221663606515</v>
      </c>
      <c r="Q41" s="3"/>
    </row>
    <row r="42" spans="1:17" x14ac:dyDescent="0.25">
      <c r="A42">
        <v>40</v>
      </c>
      <c r="B42" s="1" t="s">
        <v>86</v>
      </c>
      <c r="C42" s="1" t="s">
        <v>30</v>
      </c>
      <c r="D42" s="2">
        <v>37914</v>
      </c>
      <c r="E42" s="3">
        <v>1440.38</v>
      </c>
      <c r="F42" s="4">
        <v>1181.4140419947507</v>
      </c>
      <c r="G42" s="2">
        <v>37559</v>
      </c>
      <c r="H42">
        <v>1403.35</v>
      </c>
      <c r="I42">
        <v>461</v>
      </c>
      <c r="J42">
        <v>864.58</v>
      </c>
      <c r="K42" s="6">
        <v>0.32849966152420995</v>
      </c>
      <c r="L42" s="6">
        <v>0.61608294438308342</v>
      </c>
      <c r="M42" s="6">
        <v>5.5417394092706629E-2</v>
      </c>
      <c r="N42" s="4">
        <v>388.0941129152244</v>
      </c>
      <c r="O42" s="4">
        <v>727.8490415276458</v>
      </c>
      <c r="P42" s="4">
        <v>1115.9431544428703</v>
      </c>
      <c r="Q42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D9C7D-972E-4183-BA7B-49952E257057}">
  <dimension ref="A1:N40"/>
  <sheetViews>
    <sheetView workbookViewId="0"/>
  </sheetViews>
  <sheetFormatPr defaultRowHeight="15" x14ac:dyDescent="0.25"/>
  <sheetData>
    <row r="1" spans="1:14" x14ac:dyDescent="0.25">
      <c r="B1" t="s">
        <v>45</v>
      </c>
      <c r="C1" t="s">
        <v>45</v>
      </c>
    </row>
    <row r="2" spans="1:14" x14ac:dyDescent="0.25">
      <c r="B2" t="s">
        <v>46</v>
      </c>
      <c r="C2" t="s">
        <v>46</v>
      </c>
    </row>
    <row r="3" spans="1:14" x14ac:dyDescent="0.25">
      <c r="N3">
        <v>0</v>
      </c>
    </row>
    <row r="4" spans="1:14" x14ac:dyDescent="0.25">
      <c r="A4" t="s">
        <v>28</v>
      </c>
      <c r="B4" t="s">
        <v>43</v>
      </c>
      <c r="C4" t="s">
        <v>44</v>
      </c>
      <c r="N4">
        <v>2500</v>
      </c>
    </row>
    <row r="5" spans="1:14" x14ac:dyDescent="0.25">
      <c r="A5">
        <v>101</v>
      </c>
      <c r="B5">
        <v>1411.513035464701</v>
      </c>
      <c r="C5">
        <v>3947.7539916885394</v>
      </c>
    </row>
    <row r="6" spans="1:14" x14ac:dyDescent="0.25">
      <c r="A6">
        <v>102</v>
      </c>
      <c r="B6">
        <v>1453.5868442745239</v>
      </c>
      <c r="C6">
        <v>4034.1138998250217</v>
      </c>
    </row>
    <row r="7" spans="1:14" x14ac:dyDescent="0.25">
      <c r="A7">
        <v>103</v>
      </c>
      <c r="B7">
        <v>1868.6518252248575</v>
      </c>
      <c r="C7">
        <v>5038.1691546369202</v>
      </c>
    </row>
    <row r="8" spans="1:14" x14ac:dyDescent="0.25">
      <c r="A8">
        <v>104</v>
      </c>
      <c r="B8">
        <v>1740.7652176573783</v>
      </c>
      <c r="C8">
        <v>4753.3628608923882</v>
      </c>
    </row>
    <row r="9" spans="1:14" x14ac:dyDescent="0.25">
      <c r="A9">
        <v>105</v>
      </c>
      <c r="B9">
        <v>1698.7388302851746</v>
      </c>
      <c r="C9">
        <v>4352.1222933070876</v>
      </c>
    </row>
    <row r="10" spans="1:14" x14ac:dyDescent="0.25">
      <c r="A10">
        <v>106</v>
      </c>
      <c r="B10">
        <v>1754.5844353961515</v>
      </c>
      <c r="C10">
        <v>5215.0522200349951</v>
      </c>
    </row>
    <row r="11" spans="1:14" x14ac:dyDescent="0.25">
      <c r="A11">
        <v>107</v>
      </c>
      <c r="B11">
        <v>1696.3505525120154</v>
      </c>
      <c r="C11">
        <v>4635.5492672790906</v>
      </c>
    </row>
    <row r="12" spans="1:14" x14ac:dyDescent="0.25">
      <c r="A12">
        <v>108</v>
      </c>
      <c r="B12">
        <v>1989.6852140400031</v>
      </c>
      <c r="C12">
        <v>5479.6109470691163</v>
      </c>
    </row>
    <row r="13" spans="1:14" x14ac:dyDescent="0.25">
      <c r="A13">
        <v>201</v>
      </c>
      <c r="B13">
        <v>1655.5309234167814</v>
      </c>
      <c r="C13">
        <v>4407.7441491688533</v>
      </c>
    </row>
    <row r="14" spans="1:14" x14ac:dyDescent="0.25">
      <c r="A14">
        <v>202</v>
      </c>
      <c r="B14">
        <v>1678.1449810343856</v>
      </c>
      <c r="C14">
        <v>4784.9204396325458</v>
      </c>
    </row>
    <row r="15" spans="1:14" x14ac:dyDescent="0.25">
      <c r="A15">
        <v>203</v>
      </c>
      <c r="B15">
        <v>1720.481804653987</v>
      </c>
      <c r="C15">
        <v>4819.183344269466</v>
      </c>
    </row>
    <row r="16" spans="1:14" x14ac:dyDescent="0.25">
      <c r="A16">
        <v>204</v>
      </c>
      <c r="B16">
        <v>1880.8467679436351</v>
      </c>
      <c r="C16">
        <v>5124.3028215223094</v>
      </c>
    </row>
    <row r="17" spans="1:14" x14ac:dyDescent="0.25">
      <c r="A17">
        <v>205</v>
      </c>
      <c r="B17">
        <v>1769.6962615600878</v>
      </c>
      <c r="C17">
        <v>5203.8358486439183</v>
      </c>
    </row>
    <row r="18" spans="1:14" x14ac:dyDescent="0.25">
      <c r="A18">
        <v>206</v>
      </c>
      <c r="B18">
        <v>1682.6135053665093</v>
      </c>
      <c r="C18">
        <v>4799.4039807524059</v>
      </c>
    </row>
    <row r="19" spans="1:14" x14ac:dyDescent="0.25">
      <c r="A19">
        <v>207</v>
      </c>
      <c r="B19">
        <v>1708.6638562342978</v>
      </c>
      <c r="C19">
        <v>4666.2791174540689</v>
      </c>
    </row>
    <row r="20" spans="1:14" x14ac:dyDescent="0.25">
      <c r="A20">
        <v>208</v>
      </c>
      <c r="B20">
        <v>1524.681533858078</v>
      </c>
      <c r="C20">
        <v>4234.108431758531</v>
      </c>
      <c r="N20">
        <v>0</v>
      </c>
    </row>
    <row r="21" spans="1:14" x14ac:dyDescent="0.25">
      <c r="A21">
        <v>301</v>
      </c>
      <c r="B21">
        <v>1682.9569465552941</v>
      </c>
      <c r="C21">
        <v>4552.0730807086611</v>
      </c>
      <c r="N21">
        <v>6000</v>
      </c>
    </row>
    <row r="22" spans="1:14" x14ac:dyDescent="0.25">
      <c r="A22">
        <v>302</v>
      </c>
      <c r="B22">
        <v>1598.2053356540434</v>
      </c>
      <c r="C22">
        <v>4316.6625656167989</v>
      </c>
    </row>
    <row r="23" spans="1:14" x14ac:dyDescent="0.25">
      <c r="A23">
        <v>303</v>
      </c>
      <c r="B23">
        <v>1735.2461704722039</v>
      </c>
      <c r="C23">
        <v>4986.8035050306216</v>
      </c>
    </row>
    <row r="24" spans="1:14" x14ac:dyDescent="0.25">
      <c r="A24">
        <v>304</v>
      </c>
      <c r="B24">
        <v>1690.0381400451226</v>
      </c>
      <c r="C24">
        <v>4613.3188429571301</v>
      </c>
    </row>
    <row r="25" spans="1:14" x14ac:dyDescent="0.25">
      <c r="A25">
        <v>305</v>
      </c>
      <c r="B25">
        <v>1714.959655714787</v>
      </c>
      <c r="C25">
        <v>4709.8985673665793</v>
      </c>
    </row>
    <row r="26" spans="1:14" x14ac:dyDescent="0.25">
      <c r="A26">
        <v>306</v>
      </c>
      <c r="B26">
        <v>1602.144981518227</v>
      </c>
      <c r="C26">
        <v>4330.7947834645674</v>
      </c>
    </row>
    <row r="27" spans="1:14" x14ac:dyDescent="0.25">
      <c r="A27">
        <v>307</v>
      </c>
      <c r="B27">
        <v>1632.2232818067805</v>
      </c>
      <c r="C27">
        <v>4778.939741907262</v>
      </c>
    </row>
    <row r="28" spans="1:14" x14ac:dyDescent="0.25">
      <c r="A28">
        <v>308</v>
      </c>
      <c r="B28">
        <v>1732.029882583379</v>
      </c>
      <c r="C28">
        <v>4813.3154254155725</v>
      </c>
    </row>
    <row r="29" spans="1:14" x14ac:dyDescent="0.25">
      <c r="A29">
        <v>401</v>
      </c>
      <c r="B29">
        <v>1225.2614115540505</v>
      </c>
      <c r="C29">
        <v>3734.0264107611547</v>
      </c>
    </row>
    <row r="30" spans="1:14" x14ac:dyDescent="0.25">
      <c r="A30">
        <v>402</v>
      </c>
      <c r="B30">
        <v>1576.8725226146112</v>
      </c>
      <c r="C30">
        <v>4523.2180938320207</v>
      </c>
    </row>
    <row r="31" spans="1:14" x14ac:dyDescent="0.25">
      <c r="A31">
        <v>403</v>
      </c>
      <c r="B31">
        <v>1624.3792534533929</v>
      </c>
      <c r="C31">
        <v>4287.0461504811901</v>
      </c>
    </row>
    <row r="32" spans="1:14" x14ac:dyDescent="0.25">
      <c r="A32">
        <v>404</v>
      </c>
      <c r="B32">
        <v>1777.2915061247352</v>
      </c>
      <c r="C32">
        <v>5105.8638178040246</v>
      </c>
    </row>
    <row r="33" spans="1:3" x14ac:dyDescent="0.25">
      <c r="A33">
        <v>405</v>
      </c>
      <c r="B33">
        <v>1573.2129719297675</v>
      </c>
      <c r="C33">
        <v>4220.1101815398079</v>
      </c>
    </row>
    <row r="34" spans="1:3" x14ac:dyDescent="0.25">
      <c r="A34">
        <v>406</v>
      </c>
      <c r="B34">
        <v>1901.0618755527248</v>
      </c>
      <c r="C34">
        <v>5413.5765255905508</v>
      </c>
    </row>
    <row r="35" spans="1:3" x14ac:dyDescent="0.25">
      <c r="A35">
        <v>407</v>
      </c>
      <c r="B35">
        <v>1666.6220877175294</v>
      </c>
      <c r="C35">
        <v>4933.2280730533685</v>
      </c>
    </row>
    <row r="36" spans="1:3" x14ac:dyDescent="0.25">
      <c r="A36">
        <v>408</v>
      </c>
      <c r="B36">
        <v>1659.2196784104278</v>
      </c>
      <c r="C36">
        <v>4580.593832020998</v>
      </c>
    </row>
    <row r="37" spans="1:3" x14ac:dyDescent="0.25">
      <c r="A37">
        <v>902</v>
      </c>
      <c r="B37">
        <v>780.27918537746791</v>
      </c>
      <c r="C37">
        <v>2237.1227034120734</v>
      </c>
    </row>
    <row r="38" spans="1:3" x14ac:dyDescent="0.25">
      <c r="A38">
        <v>904</v>
      </c>
      <c r="B38">
        <v>262.34145223321212</v>
      </c>
      <c r="C38">
        <v>857.52132545931761</v>
      </c>
    </row>
    <row r="39" spans="1:3" x14ac:dyDescent="0.25">
      <c r="A39">
        <v>906</v>
      </c>
      <c r="B39">
        <v>905.82911106566326</v>
      </c>
      <c r="C39">
        <v>2564.4685039370083</v>
      </c>
    </row>
    <row r="40" spans="1:3" x14ac:dyDescent="0.25">
      <c r="A40">
        <v>908</v>
      </c>
      <c r="B40">
        <v>388.09411291522434</v>
      </c>
      <c r="C40">
        <v>1181.4140419947505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FD852-67B0-41C3-9955-26F6B540D518}">
  <sheetPr codeName="Sheet6">
    <pageSetUpPr autoPageBreaks="0" fitToPage="1"/>
  </sheetPr>
  <dimension ref="A1:Q22"/>
  <sheetViews>
    <sheetView topLeftCell="B1" zoomScale="85" workbookViewId="0">
      <selection activeCell="I5" sqref="I5"/>
    </sheetView>
  </sheetViews>
  <sheetFormatPr defaultRowHeight="12.75" x14ac:dyDescent="0.2"/>
  <cols>
    <col min="1" max="3" width="9.140625" style="7"/>
    <col min="4" max="4" width="6.85546875" style="7" customWidth="1"/>
    <col min="5" max="7" width="9.140625" style="7"/>
    <col min="8" max="8" width="12.140625" style="7" customWidth="1"/>
    <col min="9" max="9" width="36.5703125" style="7" customWidth="1"/>
    <col min="10" max="16384" width="9.140625" style="7"/>
  </cols>
  <sheetData>
    <row r="1" spans="1:17" s="36" customFormat="1" ht="50.1" customHeight="1" x14ac:dyDescent="0.25">
      <c r="A1" s="57" t="s">
        <v>121</v>
      </c>
    </row>
    <row r="2" spans="1:17" ht="24.95" customHeight="1" thickBot="1" x14ac:dyDescent="0.3">
      <c r="H2" s="56" t="s">
        <v>120</v>
      </c>
      <c r="I2" s="55">
        <v>101</v>
      </c>
      <c r="J2" s="54"/>
      <c r="K2" s="47" t="s">
        <v>119</v>
      </c>
      <c r="L2" s="53">
        <v>37924</v>
      </c>
      <c r="N2" s="47" t="s">
        <v>118</v>
      </c>
      <c r="O2" s="48" t="s">
        <v>117</v>
      </c>
    </row>
    <row r="3" spans="1:17" ht="24.95" customHeight="1" thickTop="1" thickBot="1" x14ac:dyDescent="0.25">
      <c r="B3" s="50" t="s">
        <v>116</v>
      </c>
      <c r="C3" s="52">
        <v>37909</v>
      </c>
      <c r="K3" s="47" t="s">
        <v>115</v>
      </c>
      <c r="L3" s="48">
        <v>2069.65</v>
      </c>
      <c r="N3" s="47" t="s">
        <v>114</v>
      </c>
      <c r="O3" s="46">
        <f>(L3-(L4+L5))/L3</f>
        <v>1.1427052883337806E-2</v>
      </c>
    </row>
    <row r="4" spans="1:17" ht="24.95" customHeight="1" thickTop="1" thickBot="1" x14ac:dyDescent="0.25">
      <c r="B4" s="50" t="s">
        <v>113</v>
      </c>
      <c r="C4" s="52">
        <v>37921</v>
      </c>
      <c r="F4" s="45"/>
      <c r="G4" s="45"/>
      <c r="H4" s="50" t="s">
        <v>112</v>
      </c>
      <c r="I4" s="51" t="s">
        <v>111</v>
      </c>
      <c r="K4" s="47" t="s">
        <v>110</v>
      </c>
      <c r="L4" s="48">
        <v>740</v>
      </c>
      <c r="N4" s="47" t="s">
        <v>109</v>
      </c>
      <c r="O4" s="46">
        <f>L4/L3</f>
        <v>0.35754837774502934</v>
      </c>
    </row>
    <row r="5" spans="1:17" ht="24.95" customHeight="1" thickTop="1" thickBot="1" x14ac:dyDescent="0.25">
      <c r="B5" s="50" t="s">
        <v>108</v>
      </c>
      <c r="C5" s="49">
        <v>0.39583333333333331</v>
      </c>
      <c r="F5" s="45"/>
      <c r="G5" s="45"/>
      <c r="K5" s="47" t="s">
        <v>107</v>
      </c>
      <c r="L5" s="48">
        <v>1306</v>
      </c>
      <c r="N5" s="47" t="s">
        <v>106</v>
      </c>
      <c r="O5" s="46">
        <f>L5/L3</f>
        <v>0.63102456937163287</v>
      </c>
      <c r="Q5" s="20"/>
    </row>
    <row r="6" spans="1:17" ht="24.95" customHeight="1" thickTop="1" thickBot="1" x14ac:dyDescent="0.25">
      <c r="F6" s="45"/>
      <c r="G6" s="45"/>
      <c r="K6" s="43" t="s">
        <v>105</v>
      </c>
      <c r="L6" s="43"/>
      <c r="M6" s="44"/>
      <c r="N6" s="43" t="s">
        <v>104</v>
      </c>
      <c r="O6" s="43"/>
      <c r="P6" s="43"/>
    </row>
    <row r="7" spans="1:17" s="36" customFormat="1" ht="30" customHeight="1" thickBot="1" x14ac:dyDescent="0.3">
      <c r="C7" s="35" t="s">
        <v>103</v>
      </c>
      <c r="D7" s="39" t="s">
        <v>102</v>
      </c>
      <c r="E7" s="42" t="s">
        <v>101</v>
      </c>
      <c r="F7" s="42" t="s">
        <v>100</v>
      </c>
      <c r="G7" s="42" t="s">
        <v>99</v>
      </c>
      <c r="H7" s="42" t="s">
        <v>98</v>
      </c>
      <c r="I7" s="35" t="s">
        <v>97</v>
      </c>
      <c r="J7" s="38"/>
      <c r="K7" s="38" t="s">
        <v>96</v>
      </c>
      <c r="L7" s="38" t="s">
        <v>95</v>
      </c>
      <c r="M7" s="41" t="s">
        <v>94</v>
      </c>
      <c r="N7" s="38" t="s">
        <v>95</v>
      </c>
      <c r="O7" s="38" t="s">
        <v>94</v>
      </c>
      <c r="P7" s="40" t="s">
        <v>93</v>
      </c>
    </row>
    <row r="8" spans="1:17" s="36" customFormat="1" ht="24.95" customHeight="1" thickBot="1" x14ac:dyDescent="0.3">
      <c r="C8" s="35"/>
      <c r="D8" s="39"/>
      <c r="E8" s="35"/>
      <c r="F8" s="35"/>
      <c r="G8" s="35"/>
      <c r="H8" s="35"/>
      <c r="I8" s="35"/>
      <c r="J8" s="38"/>
      <c r="M8" s="37"/>
    </row>
    <row r="9" spans="1:17" ht="24.95" customHeight="1" thickBot="1" x14ac:dyDescent="0.25">
      <c r="C9" s="35">
        <v>3</v>
      </c>
      <c r="D9" s="35">
        <v>4</v>
      </c>
      <c r="E9" s="28">
        <v>1487.9</v>
      </c>
      <c r="F9" s="28"/>
      <c r="G9" s="23"/>
      <c r="H9" s="23">
        <f>SUM(E9:G9)</f>
        <v>1487.9</v>
      </c>
      <c r="I9" s="28"/>
      <c r="K9" s="7">
        <f>H9/D9</f>
        <v>371.97500000000002</v>
      </c>
      <c r="L9" s="21">
        <f>K9/1.016*10</f>
        <v>3661.1712598425197</v>
      </c>
      <c r="M9" s="22">
        <f>L9/1.12085</f>
        <v>3266.4239281282244</v>
      </c>
      <c r="N9" s="21">
        <f>L9*$O$4</f>
        <v>1309.0458446034181</v>
      </c>
      <c r="O9" s="21">
        <f>M9*$O$4</f>
        <v>1167.9045765297928</v>
      </c>
      <c r="P9" s="20">
        <f>O9/480</f>
        <v>2.4331345344370683</v>
      </c>
    </row>
    <row r="10" spans="1:17" ht="24.95" customHeight="1" thickBot="1" x14ac:dyDescent="0.25">
      <c r="C10" s="35">
        <v>4</v>
      </c>
      <c r="D10" s="35">
        <v>4</v>
      </c>
      <c r="E10" s="28">
        <v>1621.95</v>
      </c>
      <c r="F10" s="28"/>
      <c r="G10" s="23"/>
      <c r="H10" s="23">
        <f>SUM(E10:G10)</f>
        <v>1621.95</v>
      </c>
      <c r="I10" s="28"/>
      <c r="K10" s="7">
        <f>H10/D10</f>
        <v>405.48750000000001</v>
      </c>
      <c r="L10" s="21">
        <f>K10/1.016*10</f>
        <v>3991.0187007874015</v>
      </c>
      <c r="M10" s="22">
        <f>L10/1.12085</f>
        <v>3560.7072318217442</v>
      </c>
      <c r="N10" s="21">
        <f>L10*$O$4</f>
        <v>1426.9822620166101</v>
      </c>
      <c r="O10" s="21">
        <f>M10*$O$4</f>
        <v>1273.1250943628588</v>
      </c>
      <c r="P10" s="20">
        <f>O10/480</f>
        <v>2.6523439465892893</v>
      </c>
    </row>
    <row r="11" spans="1:17" ht="24.95" customHeight="1" thickBot="1" x14ac:dyDescent="0.25">
      <c r="C11" s="35">
        <v>5</v>
      </c>
      <c r="D11" s="35">
        <v>4</v>
      </c>
      <c r="E11" s="28">
        <v>1544.65</v>
      </c>
      <c r="F11" s="28"/>
      <c r="G11" s="23"/>
      <c r="H11" s="23">
        <f>SUM(E11:G11)</f>
        <v>1544.65</v>
      </c>
      <c r="I11" s="28"/>
      <c r="K11" s="7">
        <f>H11/D11</f>
        <v>386.16250000000002</v>
      </c>
      <c r="L11" s="21">
        <f>K11/1.016*10</f>
        <v>3800.8120078740158</v>
      </c>
      <c r="M11" s="22">
        <f>L11/1.12085</f>
        <v>3391.0086165624448</v>
      </c>
      <c r="N11" s="21">
        <f>L11*$O$4</f>
        <v>1358.9741675291821</v>
      </c>
      <c r="O11" s="21">
        <f>M11*$O$4</f>
        <v>1212.4496297713183</v>
      </c>
      <c r="P11" s="20">
        <f>O11/480</f>
        <v>2.5259367286902465</v>
      </c>
    </row>
    <row r="12" spans="1:17" ht="24.95" customHeight="1" thickBot="1" x14ac:dyDescent="0.25">
      <c r="C12" s="35">
        <v>6</v>
      </c>
      <c r="D12" s="35">
        <v>4</v>
      </c>
      <c r="E12" s="28">
        <v>1517.3</v>
      </c>
      <c r="F12" s="28"/>
      <c r="G12" s="23"/>
      <c r="H12" s="23">
        <f>SUM(E12:G12)</f>
        <v>1517.3</v>
      </c>
      <c r="I12" s="28"/>
      <c r="K12" s="7">
        <f>H12/D12</f>
        <v>379.32499999999999</v>
      </c>
      <c r="L12" s="21">
        <f>K12/1.016*10</f>
        <v>3733.5137795275591</v>
      </c>
      <c r="M12" s="22">
        <f>L12/1.12085</f>
        <v>3330.9664803743226</v>
      </c>
      <c r="N12" s="21">
        <f>L12*$O$4</f>
        <v>1334.9117951587918</v>
      </c>
      <c r="O12" s="21">
        <f>M12*$O$4</f>
        <v>1190.9816613809091</v>
      </c>
      <c r="P12" s="20">
        <f>O12/480</f>
        <v>2.4812117945435608</v>
      </c>
    </row>
    <row r="13" spans="1:17" ht="24.95" customHeight="1" thickBot="1" x14ac:dyDescent="0.25">
      <c r="C13" s="35">
        <v>7</v>
      </c>
      <c r="D13" s="35">
        <v>4</v>
      </c>
      <c r="E13" s="28">
        <v>619.27</v>
      </c>
      <c r="F13" s="28">
        <v>875.4</v>
      </c>
      <c r="G13" s="23"/>
      <c r="H13" s="23">
        <f>SUM(E13:G13)</f>
        <v>1494.67</v>
      </c>
      <c r="I13" s="28"/>
      <c r="K13" s="7">
        <f>H13/D13</f>
        <v>373.66750000000002</v>
      </c>
      <c r="L13" s="21">
        <f>K13/1.016*10</f>
        <v>3677.8297244094488</v>
      </c>
      <c r="M13" s="22">
        <f>L13/1.12085</f>
        <v>3281.2862777440773</v>
      </c>
      <c r="N13" s="21">
        <f>L13*$O$4</f>
        <v>1315.0020515850467</v>
      </c>
      <c r="O13" s="21">
        <f>M13*$O$4</f>
        <v>1173.2185855244206</v>
      </c>
      <c r="P13" s="20">
        <f>O13/480</f>
        <v>2.4442053865092097</v>
      </c>
    </row>
    <row r="14" spans="1:17" ht="24.95" customHeight="1" thickBot="1" x14ac:dyDescent="0.25">
      <c r="C14" s="35">
        <v>8</v>
      </c>
      <c r="D14" s="35">
        <v>4</v>
      </c>
      <c r="E14" s="28">
        <v>645.44000000000005</v>
      </c>
      <c r="F14" s="28">
        <v>1211</v>
      </c>
      <c r="G14" s="23"/>
      <c r="H14" s="23">
        <f>SUM(E14:G14)</f>
        <v>1856.44</v>
      </c>
      <c r="I14" s="28"/>
      <c r="K14" s="7">
        <f>H14/D14</f>
        <v>464.11</v>
      </c>
      <c r="L14" s="21">
        <f>K14/1.016*10</f>
        <v>4568.0118110236217</v>
      </c>
      <c r="M14" s="22">
        <f>L14/1.12085</f>
        <v>4075.4889691070366</v>
      </c>
      <c r="N14" s="21">
        <f>L14*$O$4</f>
        <v>1633.2852125516295</v>
      </c>
      <c r="O14" s="21">
        <f>M14*$O$4</f>
        <v>1457.1844694219831</v>
      </c>
      <c r="P14" s="20">
        <f>O14/480</f>
        <v>3.0358009779624648</v>
      </c>
    </row>
    <row r="15" spans="1:17" ht="24.95" customHeight="1" thickBot="1" x14ac:dyDescent="0.25">
      <c r="C15" s="35"/>
      <c r="D15" s="35"/>
      <c r="E15" s="23"/>
      <c r="F15" s="23"/>
      <c r="G15" s="23"/>
      <c r="H15" s="23"/>
      <c r="I15" s="23"/>
      <c r="M15" s="34"/>
    </row>
    <row r="16" spans="1:17" ht="24.95" customHeight="1" thickBot="1" x14ac:dyDescent="0.25">
      <c r="C16" s="33" t="s">
        <v>92</v>
      </c>
      <c r="D16" s="32"/>
      <c r="E16" s="31">
        <v>37915</v>
      </c>
      <c r="F16" s="30" t="s">
        <v>91</v>
      </c>
      <c r="G16" s="29"/>
      <c r="H16" s="28">
        <v>619.76</v>
      </c>
      <c r="I16" s="23"/>
      <c r="K16" s="7">
        <f>H16/SUM($D$9:$D$14)</f>
        <v>25.823333333333334</v>
      </c>
      <c r="L16" s="21">
        <f>K16/1.016*10</f>
        <v>254.16666666666669</v>
      </c>
      <c r="M16" s="22">
        <f>L16/1.12085</f>
        <v>226.76242732450078</v>
      </c>
      <c r="N16" s="21">
        <f>L16*$O$4</f>
        <v>90.876879343528302</v>
      </c>
      <c r="O16" s="21">
        <f>M16*$O$4</f>
        <v>81.07853802340037</v>
      </c>
      <c r="P16" s="20">
        <f>O16/480</f>
        <v>0.16891362088208411</v>
      </c>
    </row>
    <row r="17" spans="3:16" ht="24.95" customHeight="1" thickBot="1" x14ac:dyDescent="0.25">
      <c r="C17" s="27"/>
      <c r="D17" s="25"/>
      <c r="E17" s="26"/>
      <c r="F17" s="25"/>
      <c r="G17" s="24"/>
      <c r="H17" s="23"/>
      <c r="I17" s="23"/>
      <c r="L17" s="21"/>
      <c r="M17" s="22"/>
      <c r="N17" s="21"/>
      <c r="O17" s="21"/>
      <c r="P17" s="20"/>
    </row>
    <row r="18" spans="3:16" ht="24.95" customHeight="1" thickBot="1" x14ac:dyDescent="0.25">
      <c r="C18" s="15" t="s">
        <v>90</v>
      </c>
      <c r="D18" s="14"/>
      <c r="E18" s="14"/>
      <c r="F18" s="14"/>
      <c r="G18" s="19"/>
      <c r="H18" s="13">
        <f>SUM(H9:H14,H16)</f>
        <v>10142.67</v>
      </c>
      <c r="I18" s="12"/>
      <c r="J18" s="11"/>
      <c r="K18" s="17">
        <f>AVERAGE(K9:K14)+K16/6</f>
        <v>401.09180555555554</v>
      </c>
      <c r="L18" s="17">
        <f>AVERAGE(L9:L14)+L16/6</f>
        <v>3947.7539916885394</v>
      </c>
      <c r="M18" s="18">
        <f>AVERAGE(M9:M14)+M16/6</f>
        <v>3522.1073218437255</v>
      </c>
      <c r="N18" s="17">
        <f>AVERAGE(N9:N14)+N16/6</f>
        <v>1411.513035464701</v>
      </c>
      <c r="O18" s="17">
        <f>AVERAGE(O9:O14)+O16/6</f>
        <v>1259.3237591691141</v>
      </c>
      <c r="P18" s="16">
        <f>AVERAGE(P9:P14)+P16/6</f>
        <v>2.6235911649356543</v>
      </c>
    </row>
    <row r="19" spans="3:16" ht="24.95" customHeight="1" thickBot="1" x14ac:dyDescent="0.25">
      <c r="C19" s="15" t="s">
        <v>89</v>
      </c>
      <c r="D19" s="14"/>
      <c r="E19" s="14"/>
      <c r="F19" s="14"/>
      <c r="G19" s="14"/>
      <c r="H19" s="13">
        <f>STDEV(H9:H14)/SQRT(COUNT(H9:H14))</f>
        <v>57.392371584654974</v>
      </c>
      <c r="I19" s="12"/>
      <c r="J19" s="11"/>
      <c r="K19" s="9">
        <f>STDEV(K9:K14)/SQRT(COUNT(K9:K14))</f>
        <v>14.348092896163744</v>
      </c>
      <c r="L19" s="9">
        <f>STDEV(L9:L14)/SQRT(COUNT(L9:L14))</f>
        <v>141.22138677326512</v>
      </c>
      <c r="M19" s="10">
        <f>STDEV(M9:M14)/SQRT(COUNT(M9:M14))</f>
        <v>125.99490277313211</v>
      </c>
      <c r="N19" s="9">
        <f>STDEV(N9:N14)/SQRT(COUNT(N9:N14))</f>
        <v>50.493477743684295</v>
      </c>
      <c r="O19" s="9">
        <f>STDEV(O9:O14)/SQRT(COUNT(O9:O14))</f>
        <v>45.04927309067611</v>
      </c>
      <c r="P19" s="8">
        <f>STDEV(P9:P14)/SQRT(COUNT(P9:P14))</f>
        <v>9.3852652272241918E-2</v>
      </c>
    </row>
    <row r="21" spans="3:16" x14ac:dyDescent="0.2">
      <c r="C21" s="7" t="s">
        <v>88</v>
      </c>
    </row>
    <row r="22" spans="3:16" x14ac:dyDescent="0.2">
      <c r="C22" s="7" t="s">
        <v>87</v>
      </c>
    </row>
  </sheetData>
  <mergeCells count="6">
    <mergeCell ref="K6:M6"/>
    <mergeCell ref="N6:P6"/>
    <mergeCell ref="C19:G19"/>
    <mergeCell ref="C18:G18"/>
    <mergeCell ref="F16:G16"/>
    <mergeCell ref="C16:D16"/>
  </mergeCells>
  <pageMargins left="0.75" right="0.75" top="1" bottom="0.52" header="0.5" footer="0.5"/>
  <pageSetup scale="64" orientation="landscape" r:id="rId1"/>
  <headerFooter alignWithMargins="0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51F89-4800-4191-AE32-A23B0EB72E21}">
  <sheetPr codeName="Sheet7">
    <pageSetUpPr autoPageBreaks="0" fitToPage="1"/>
  </sheetPr>
  <dimension ref="A1:Q22"/>
  <sheetViews>
    <sheetView topLeftCell="A2" workbookViewId="0">
      <selection activeCell="I5" sqref="I5"/>
    </sheetView>
  </sheetViews>
  <sheetFormatPr defaultRowHeight="12.75" x14ac:dyDescent="0.2"/>
  <cols>
    <col min="1" max="3" width="9.140625" style="7"/>
    <col min="4" max="4" width="6.85546875" style="7" customWidth="1"/>
    <col min="5" max="7" width="9.140625" style="7"/>
    <col min="8" max="8" width="12.140625" style="7" customWidth="1"/>
    <col min="9" max="9" width="36.5703125" style="7" customWidth="1"/>
    <col min="10" max="16384" width="9.140625" style="7"/>
  </cols>
  <sheetData>
    <row r="1" spans="1:17" s="36" customFormat="1" ht="50.1" customHeight="1" x14ac:dyDescent="0.25">
      <c r="A1" s="57" t="s">
        <v>121</v>
      </c>
    </row>
    <row r="2" spans="1:17" ht="24.95" customHeight="1" thickBot="1" x14ac:dyDescent="0.3">
      <c r="H2" s="56" t="s">
        <v>120</v>
      </c>
      <c r="I2" s="55">
        <v>102</v>
      </c>
      <c r="J2" s="54"/>
      <c r="K2" s="47" t="s">
        <v>119</v>
      </c>
      <c r="L2" s="53">
        <v>37924</v>
      </c>
      <c r="N2" s="47"/>
      <c r="O2" s="48" t="s">
        <v>117</v>
      </c>
    </row>
    <row r="3" spans="1:17" ht="24.95" customHeight="1" thickTop="1" thickBot="1" x14ac:dyDescent="0.25">
      <c r="B3" s="50" t="s">
        <v>116</v>
      </c>
      <c r="C3" s="52">
        <v>37909</v>
      </c>
      <c r="K3" s="47" t="s">
        <v>115</v>
      </c>
      <c r="L3" s="48">
        <v>2162.5</v>
      </c>
      <c r="N3" s="47" t="s">
        <v>114</v>
      </c>
      <c r="O3" s="46">
        <f>(L3-(L4+L5))/L3</f>
        <v>2.9410404624277416E-2</v>
      </c>
    </row>
    <row r="4" spans="1:17" ht="24.95" customHeight="1" thickTop="1" thickBot="1" x14ac:dyDescent="0.25">
      <c r="B4" s="50" t="s">
        <v>113</v>
      </c>
      <c r="C4" s="52">
        <v>37921</v>
      </c>
      <c r="F4" s="45"/>
      <c r="G4" s="45"/>
      <c r="H4" s="50" t="s">
        <v>112</v>
      </c>
      <c r="I4" s="51" t="s">
        <v>123</v>
      </c>
      <c r="K4" s="47" t="s">
        <v>110</v>
      </c>
      <c r="L4" s="48">
        <v>779.2</v>
      </c>
      <c r="N4" s="47" t="s">
        <v>109</v>
      </c>
      <c r="O4" s="46">
        <f>L4/L3</f>
        <v>0.36032369942196535</v>
      </c>
    </row>
    <row r="5" spans="1:17" ht="24.95" customHeight="1" thickTop="1" thickBot="1" x14ac:dyDescent="0.25">
      <c r="B5" s="50" t="s">
        <v>108</v>
      </c>
      <c r="C5" s="49"/>
      <c r="F5" s="45"/>
      <c r="G5" s="45"/>
      <c r="K5" s="47" t="s">
        <v>107</v>
      </c>
      <c r="L5" s="48">
        <v>1319.7</v>
      </c>
      <c r="N5" s="47" t="s">
        <v>106</v>
      </c>
      <c r="O5" s="46">
        <f>L5/L3</f>
        <v>0.61026589595375724</v>
      </c>
      <c r="Q5" s="20"/>
    </row>
    <row r="6" spans="1:17" ht="24.95" customHeight="1" thickTop="1" thickBot="1" x14ac:dyDescent="0.25">
      <c r="F6" s="45"/>
      <c r="G6" s="45"/>
      <c r="K6" s="43" t="s">
        <v>105</v>
      </c>
      <c r="L6" s="43"/>
      <c r="M6" s="44"/>
      <c r="N6" s="43" t="s">
        <v>104</v>
      </c>
      <c r="O6" s="43"/>
      <c r="P6" s="43"/>
    </row>
    <row r="7" spans="1:17" s="36" customFormat="1" ht="30" customHeight="1" thickBot="1" x14ac:dyDescent="0.3">
      <c r="C7" s="35" t="s">
        <v>103</v>
      </c>
      <c r="D7" s="39" t="s">
        <v>102</v>
      </c>
      <c r="E7" s="42" t="s">
        <v>101</v>
      </c>
      <c r="F7" s="42" t="s">
        <v>100</v>
      </c>
      <c r="G7" s="42" t="s">
        <v>99</v>
      </c>
      <c r="H7" s="42" t="s">
        <v>98</v>
      </c>
      <c r="I7" s="35" t="s">
        <v>97</v>
      </c>
      <c r="J7" s="38"/>
      <c r="K7" s="38" t="s">
        <v>96</v>
      </c>
      <c r="L7" s="38" t="s">
        <v>95</v>
      </c>
      <c r="M7" s="41" t="s">
        <v>94</v>
      </c>
      <c r="N7" s="38" t="s">
        <v>95</v>
      </c>
      <c r="O7" s="38" t="s">
        <v>94</v>
      </c>
      <c r="P7" s="40" t="s">
        <v>93</v>
      </c>
    </row>
    <row r="8" spans="1:17" s="36" customFormat="1" ht="24.95" customHeight="1" thickBot="1" x14ac:dyDescent="0.3">
      <c r="C8" s="35"/>
      <c r="D8" s="39"/>
      <c r="E8" s="35"/>
      <c r="F8" s="35"/>
      <c r="G8" s="35"/>
      <c r="H8" s="35"/>
      <c r="I8" s="35"/>
      <c r="J8" s="38"/>
      <c r="M8" s="37"/>
    </row>
    <row r="9" spans="1:17" ht="24.95" customHeight="1" thickBot="1" x14ac:dyDescent="0.25">
      <c r="C9" s="35">
        <v>3</v>
      </c>
      <c r="D9" s="35">
        <v>4</v>
      </c>
      <c r="E9" s="28">
        <v>704.5</v>
      </c>
      <c r="F9" s="28">
        <v>1152.5999999999999</v>
      </c>
      <c r="G9" s="23"/>
      <c r="H9" s="23">
        <f>SUM(E9:G9)</f>
        <v>1857.1</v>
      </c>
      <c r="I9" s="28"/>
      <c r="K9" s="7">
        <f>H9/D9</f>
        <v>464.27499999999998</v>
      </c>
      <c r="L9" s="21">
        <f>K9/1.016*10</f>
        <v>4569.6358267716532</v>
      </c>
      <c r="M9" s="22">
        <f>L9/1.12085</f>
        <v>4076.9378835452144</v>
      </c>
      <c r="N9" s="21">
        <f>L9*$O$4</f>
        <v>1646.5480861135134</v>
      </c>
      <c r="O9" s="21">
        <f>M9*$O$4</f>
        <v>1469.0173405125695</v>
      </c>
      <c r="P9" s="20">
        <f>O9/480</f>
        <v>3.06045279273452</v>
      </c>
    </row>
    <row r="10" spans="1:17" ht="24.95" customHeight="1" thickBot="1" x14ac:dyDescent="0.25">
      <c r="C10" s="35">
        <v>4</v>
      </c>
      <c r="D10" s="35">
        <v>4</v>
      </c>
      <c r="E10" s="28">
        <v>828.6</v>
      </c>
      <c r="F10" s="28">
        <v>793.6</v>
      </c>
      <c r="G10" s="23"/>
      <c r="H10" s="23">
        <f>SUM(E10:G10)</f>
        <v>1622.2</v>
      </c>
      <c r="I10" s="28"/>
      <c r="K10" s="7">
        <f>H10/D10</f>
        <v>405.55</v>
      </c>
      <c r="L10" s="21">
        <f>K10/1.016*10</f>
        <v>3991.6338582677167</v>
      </c>
      <c r="M10" s="22">
        <f>L10/1.12085</f>
        <v>3561.2560630483267</v>
      </c>
      <c r="N10" s="21">
        <f>L10*$O$4</f>
        <v>1438.2802785489966</v>
      </c>
      <c r="O10" s="21">
        <f>M10*$O$4</f>
        <v>1283.2049592264771</v>
      </c>
      <c r="P10" s="20">
        <f>O10/480</f>
        <v>2.6733436650551607</v>
      </c>
    </row>
    <row r="11" spans="1:17" ht="24.95" customHeight="1" thickBot="1" x14ac:dyDescent="0.25">
      <c r="C11" s="35">
        <v>5</v>
      </c>
      <c r="D11" s="35">
        <v>4</v>
      </c>
      <c r="E11" s="28">
        <v>1618</v>
      </c>
      <c r="F11" s="28"/>
      <c r="G11" s="23"/>
      <c r="H11" s="23">
        <f>SUM(E11:G11)</f>
        <v>1618</v>
      </c>
      <c r="I11" s="28"/>
      <c r="K11" s="7">
        <f>H11/D11</f>
        <v>404.5</v>
      </c>
      <c r="L11" s="21">
        <f>K11/1.016*10</f>
        <v>3981.2992125984247</v>
      </c>
      <c r="M11" s="22">
        <f>L11/1.12085</f>
        <v>3552.0356984417408</v>
      </c>
      <c r="N11" s="21">
        <f>L11*$O$4</f>
        <v>1434.556460789222</v>
      </c>
      <c r="O11" s="21">
        <f>M11*$O$4</f>
        <v>1279.8826433414126</v>
      </c>
      <c r="P11" s="20">
        <f>O11/480</f>
        <v>2.666422173627943</v>
      </c>
    </row>
    <row r="12" spans="1:17" ht="24.95" customHeight="1" thickBot="1" x14ac:dyDescent="0.25">
      <c r="C12" s="35">
        <v>6</v>
      </c>
      <c r="D12" s="35">
        <v>4</v>
      </c>
      <c r="E12" s="28">
        <v>832.6</v>
      </c>
      <c r="F12" s="28">
        <v>446.8</v>
      </c>
      <c r="G12" s="23"/>
      <c r="H12" s="23">
        <f>SUM(E12:G12)</f>
        <v>1279.4000000000001</v>
      </c>
      <c r="I12" s="28"/>
      <c r="K12" s="7">
        <f>H12/D12</f>
        <v>319.85000000000002</v>
      </c>
      <c r="L12" s="21">
        <f>K12/1.016*10</f>
        <v>3148.1299212598428</v>
      </c>
      <c r="M12" s="22">
        <f>L12/1.12085</f>
        <v>2808.6986851584452</v>
      </c>
      <c r="N12" s="21">
        <f>L12*$O$4</f>
        <v>1134.3458194893271</v>
      </c>
      <c r="O12" s="21">
        <f>M12*$O$4</f>
        <v>1012.0407007979009</v>
      </c>
      <c r="P12" s="20">
        <f>O12/480</f>
        <v>2.1084181266622934</v>
      </c>
    </row>
    <row r="13" spans="1:17" ht="24.95" customHeight="1" thickBot="1" x14ac:dyDescent="0.25">
      <c r="C13" s="35">
        <v>7</v>
      </c>
      <c r="D13" s="35">
        <v>4</v>
      </c>
      <c r="E13" s="28">
        <v>655.6</v>
      </c>
      <c r="F13" s="28">
        <v>900</v>
      </c>
      <c r="G13" s="23"/>
      <c r="H13" s="23">
        <f>SUM(E13:G13)</f>
        <v>1555.6</v>
      </c>
      <c r="I13" s="28"/>
      <c r="K13" s="7">
        <f>H13/D13</f>
        <v>388.9</v>
      </c>
      <c r="L13" s="21">
        <f>K13/1.016*10</f>
        <v>3827.7559055118109</v>
      </c>
      <c r="M13" s="22">
        <f>L13/1.12085</f>
        <v>3415.0474242867567</v>
      </c>
      <c r="N13" s="21">
        <f>L13*$O$4</f>
        <v>1379.2311683582905</v>
      </c>
      <c r="O13" s="21">
        <f>M13*$O$4</f>
        <v>1230.5225216204583</v>
      </c>
      <c r="P13" s="20">
        <f>O13/480</f>
        <v>2.563588586709288</v>
      </c>
    </row>
    <row r="14" spans="1:17" ht="24.95" customHeight="1" thickBot="1" x14ac:dyDescent="0.25">
      <c r="C14" s="35">
        <v>8</v>
      </c>
      <c r="D14" s="35">
        <v>4</v>
      </c>
      <c r="E14" s="28">
        <v>1851.8</v>
      </c>
      <c r="F14" s="28"/>
      <c r="G14" s="23"/>
      <c r="H14" s="23">
        <f>SUM(E14:G14)</f>
        <v>1851.8</v>
      </c>
      <c r="I14" s="28"/>
      <c r="K14" s="7">
        <f>H14/D14</f>
        <v>462.95</v>
      </c>
      <c r="L14" s="21">
        <f>K14/1.016*10</f>
        <v>4556.5944881889764</v>
      </c>
      <c r="M14" s="22">
        <f>L14/1.12085</f>
        <v>4065.3026615416666</v>
      </c>
      <c r="N14" s="21">
        <f>L14*$O$4</f>
        <v>1641.8489827499889</v>
      </c>
      <c r="O14" s="21">
        <f>M14*$O$4</f>
        <v>1464.8248942766552</v>
      </c>
      <c r="P14" s="20">
        <f>O14/480</f>
        <v>3.0517185297430318</v>
      </c>
    </row>
    <row r="15" spans="1:17" ht="24.95" customHeight="1" thickBot="1" x14ac:dyDescent="0.25">
      <c r="C15" s="35"/>
      <c r="D15" s="35"/>
      <c r="E15" s="23"/>
      <c r="F15" s="23"/>
      <c r="G15" s="23"/>
      <c r="H15" s="23"/>
      <c r="I15" s="23"/>
      <c r="M15" s="34"/>
    </row>
    <row r="16" spans="1:17" ht="24.95" customHeight="1" thickBot="1" x14ac:dyDescent="0.25">
      <c r="C16" s="33" t="s">
        <v>92</v>
      </c>
      <c r="D16" s="32"/>
      <c r="E16" s="31">
        <v>37915</v>
      </c>
      <c r="F16" s="30" t="s">
        <v>91</v>
      </c>
      <c r="G16" s="29"/>
      <c r="H16" s="28">
        <v>316.10000000000002</v>
      </c>
      <c r="I16" s="23"/>
      <c r="K16" s="7">
        <f>H16/SUM($D$9:$D$14)</f>
        <v>13.170833333333334</v>
      </c>
      <c r="L16" s="21">
        <f>K16/1.016*10</f>
        <v>129.63418635170603</v>
      </c>
      <c r="M16" s="22">
        <f>L16/1.12085</f>
        <v>115.6570338151457</v>
      </c>
      <c r="N16" s="21">
        <f>L16*$O$4</f>
        <v>46.710269597803169</v>
      </c>
      <c r="O16" s="21">
        <f>M16*$O$4</f>
        <v>41.673970288444643</v>
      </c>
      <c r="P16" s="20">
        <f>O16/480</f>
        <v>8.6820771434259675E-2</v>
      </c>
    </row>
    <row r="17" spans="3:16" ht="24.95" customHeight="1" thickBot="1" x14ac:dyDescent="0.25">
      <c r="C17" s="27"/>
      <c r="D17" s="25"/>
      <c r="E17" s="26"/>
      <c r="F17" s="25"/>
      <c r="G17" s="24"/>
      <c r="H17" s="23"/>
      <c r="I17" s="23"/>
      <c r="L17" s="21"/>
      <c r="M17" s="22"/>
      <c r="N17" s="21"/>
      <c r="O17" s="21"/>
      <c r="P17" s="20"/>
    </row>
    <row r="18" spans="3:16" ht="24.95" customHeight="1" thickBot="1" x14ac:dyDescent="0.25">
      <c r="C18" s="15" t="s">
        <v>90</v>
      </c>
      <c r="D18" s="14"/>
      <c r="E18" s="14"/>
      <c r="F18" s="14"/>
      <c r="G18" s="19"/>
      <c r="H18" s="13">
        <f>SUM(H9:H14,H16)</f>
        <v>10100.200000000001</v>
      </c>
      <c r="I18" s="12"/>
      <c r="J18" s="11"/>
      <c r="K18" s="17">
        <f>AVERAGE(K9:K14)+K16/6</f>
        <v>409.86597222222224</v>
      </c>
      <c r="L18" s="17">
        <f>AVERAGE(L9:L14)+L16/6</f>
        <v>4034.1138998250217</v>
      </c>
      <c r="M18" s="18">
        <f>AVERAGE(M9:M14)+M16/6</f>
        <v>3599.1559083062161</v>
      </c>
      <c r="N18" s="17">
        <f>AVERAGE(N9:N14)+N16/6</f>
        <v>1453.5868442745239</v>
      </c>
      <c r="O18" s="17">
        <f>AVERAGE(O9:O14)+O16/6</f>
        <v>1296.8611716773196</v>
      </c>
      <c r="P18" s="16">
        <f>AVERAGE(P9:P14)+P16/6</f>
        <v>2.7017941076610827</v>
      </c>
    </row>
    <row r="19" spans="3:16" ht="24.95" customHeight="1" thickBot="1" x14ac:dyDescent="0.25">
      <c r="C19" s="15" t="s">
        <v>89</v>
      </c>
      <c r="D19" s="14"/>
      <c r="E19" s="14"/>
      <c r="F19" s="14"/>
      <c r="G19" s="14"/>
      <c r="H19" s="13">
        <f>STDEV(H9:H14)/SQRT(COUNT(H9:H14))</f>
        <v>87.450444697426846</v>
      </c>
      <c r="I19" s="12"/>
      <c r="J19" s="11"/>
      <c r="K19" s="9">
        <f>STDEV(K9:K14)/SQRT(COUNT(K9:K14))</f>
        <v>21.862611174356712</v>
      </c>
      <c r="L19" s="9">
        <f>STDEV(L9:L14)/SQRT(COUNT(L9:L14))</f>
        <v>215.18318084996861</v>
      </c>
      <c r="M19" s="10">
        <f>STDEV(M9:M14)/SQRT(COUNT(M9:M14))</f>
        <v>191.98213931388315</v>
      </c>
      <c r="N19" s="9">
        <f>STDEV(N9:N14)/SQRT(COUNT(N9:N14))</f>
        <v>77.535599777245437</v>
      </c>
      <c r="O19" s="9">
        <f>STDEV(O9:O14)/SQRT(COUNT(O9:O14))</f>
        <v>69.175714660522701</v>
      </c>
      <c r="P19" s="58">
        <f>STDEV(P9:P14)/SQRT(COUNT(P9:P14))</f>
        <v>0.14411607220942158</v>
      </c>
    </row>
    <row r="21" spans="3:16" x14ac:dyDescent="0.2">
      <c r="C21" s="7" t="s">
        <v>122</v>
      </c>
    </row>
    <row r="22" spans="3:16" x14ac:dyDescent="0.2">
      <c r="C22" s="7" t="s">
        <v>87</v>
      </c>
    </row>
  </sheetData>
  <mergeCells count="6">
    <mergeCell ref="K6:M6"/>
    <mergeCell ref="N6:P6"/>
    <mergeCell ref="C19:G19"/>
    <mergeCell ref="C18:G18"/>
    <mergeCell ref="F16:G16"/>
    <mergeCell ref="C16:D16"/>
  </mergeCells>
  <pageMargins left="0.75" right="0.75" top="1" bottom="0.52" header="0.5" footer="0.5"/>
  <pageSetup scale="64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F6DD1-218E-46E0-BBD9-658F610CBB10}">
  <sheetPr codeName="Sheet8">
    <pageSetUpPr autoPageBreaks="0" fitToPage="1"/>
  </sheetPr>
  <dimension ref="A1:Q22"/>
  <sheetViews>
    <sheetView topLeftCell="B1" workbookViewId="0">
      <selection activeCell="I5" sqref="I5"/>
    </sheetView>
  </sheetViews>
  <sheetFormatPr defaultRowHeight="12.75" x14ac:dyDescent="0.2"/>
  <cols>
    <col min="1" max="3" width="9.140625" style="7"/>
    <col min="4" max="4" width="6.85546875" style="7" customWidth="1"/>
    <col min="5" max="7" width="9.140625" style="7"/>
    <col min="8" max="8" width="12.140625" style="7" customWidth="1"/>
    <col min="9" max="9" width="36.5703125" style="7" customWidth="1"/>
    <col min="10" max="16384" width="9.140625" style="7"/>
  </cols>
  <sheetData>
    <row r="1" spans="1:17" s="36" customFormat="1" ht="50.1" customHeight="1" x14ac:dyDescent="0.25">
      <c r="A1" s="57" t="s">
        <v>121</v>
      </c>
    </row>
    <row r="2" spans="1:17" ht="24.95" customHeight="1" thickBot="1" x14ac:dyDescent="0.3">
      <c r="H2" s="56" t="s">
        <v>120</v>
      </c>
      <c r="I2" s="55">
        <v>103</v>
      </c>
      <c r="J2" s="54"/>
      <c r="K2" s="47" t="s">
        <v>119</v>
      </c>
      <c r="L2" s="53">
        <v>37924</v>
      </c>
      <c r="N2" s="47"/>
      <c r="O2" s="48"/>
    </row>
    <row r="3" spans="1:17" ht="24.95" customHeight="1" thickTop="1" thickBot="1" x14ac:dyDescent="0.25">
      <c r="B3" s="50" t="s">
        <v>116</v>
      </c>
      <c r="C3" s="52">
        <v>37909</v>
      </c>
      <c r="K3" s="47" t="s">
        <v>115</v>
      </c>
      <c r="L3" s="48">
        <v>2122.9499999999998</v>
      </c>
      <c r="N3" s="47" t="s">
        <v>114</v>
      </c>
      <c r="O3" s="46">
        <f>(L3-(L4+L5))/L3</f>
        <v>1.8771049718551973E-2</v>
      </c>
    </row>
    <row r="4" spans="1:17" ht="24.95" customHeight="1" thickTop="1" thickBot="1" x14ac:dyDescent="0.25">
      <c r="B4" s="50" t="s">
        <v>113</v>
      </c>
      <c r="C4" s="52">
        <v>37921</v>
      </c>
      <c r="F4" s="45"/>
      <c r="G4" s="45"/>
      <c r="H4" s="50" t="s">
        <v>112</v>
      </c>
      <c r="I4" s="51" t="s">
        <v>111</v>
      </c>
      <c r="K4" s="47" t="s">
        <v>110</v>
      </c>
      <c r="L4" s="48">
        <v>787.4</v>
      </c>
      <c r="N4" s="47" t="s">
        <v>109</v>
      </c>
      <c r="O4" s="46">
        <f>L4/L3</f>
        <v>0.37089898490308298</v>
      </c>
    </row>
    <row r="5" spans="1:17" ht="24.95" customHeight="1" thickTop="1" thickBot="1" x14ac:dyDescent="0.25">
      <c r="B5" s="50" t="s">
        <v>108</v>
      </c>
      <c r="C5" s="49">
        <v>0.40625</v>
      </c>
      <c r="F5" s="45"/>
      <c r="G5" s="45"/>
      <c r="K5" s="47" t="s">
        <v>107</v>
      </c>
      <c r="L5" s="48">
        <v>1295.7</v>
      </c>
      <c r="N5" s="47" t="s">
        <v>106</v>
      </c>
      <c r="O5" s="46">
        <f>L5/L3</f>
        <v>0.61032996537836504</v>
      </c>
      <c r="Q5" s="20"/>
    </row>
    <row r="6" spans="1:17" ht="24.95" customHeight="1" thickTop="1" thickBot="1" x14ac:dyDescent="0.25">
      <c r="F6" s="45"/>
      <c r="G6" s="45"/>
      <c r="K6" s="43" t="s">
        <v>105</v>
      </c>
      <c r="L6" s="43"/>
      <c r="M6" s="44"/>
      <c r="N6" s="43" t="s">
        <v>104</v>
      </c>
      <c r="O6" s="43"/>
      <c r="P6" s="43"/>
    </row>
    <row r="7" spans="1:17" s="36" customFormat="1" ht="30" customHeight="1" thickBot="1" x14ac:dyDescent="0.3">
      <c r="C7" s="35" t="s">
        <v>103</v>
      </c>
      <c r="D7" s="39" t="s">
        <v>102</v>
      </c>
      <c r="E7" s="42" t="s">
        <v>101</v>
      </c>
      <c r="F7" s="42" t="s">
        <v>100</v>
      </c>
      <c r="G7" s="42" t="s">
        <v>99</v>
      </c>
      <c r="H7" s="42" t="s">
        <v>98</v>
      </c>
      <c r="I7" s="35" t="s">
        <v>97</v>
      </c>
      <c r="J7" s="38"/>
      <c r="K7" s="38" t="s">
        <v>96</v>
      </c>
      <c r="L7" s="38" t="s">
        <v>95</v>
      </c>
      <c r="M7" s="41" t="s">
        <v>94</v>
      </c>
      <c r="N7" s="38" t="s">
        <v>95</v>
      </c>
      <c r="O7" s="38" t="s">
        <v>94</v>
      </c>
      <c r="P7" s="40" t="s">
        <v>93</v>
      </c>
    </row>
    <row r="8" spans="1:17" s="36" customFormat="1" ht="24.95" customHeight="1" thickBot="1" x14ac:dyDescent="0.3">
      <c r="C8" s="35"/>
      <c r="D8" s="39"/>
      <c r="E8" s="35"/>
      <c r="F8" s="35"/>
      <c r="G8" s="35"/>
      <c r="H8" s="35"/>
      <c r="I8" s="35"/>
      <c r="J8" s="38"/>
      <c r="M8" s="37"/>
    </row>
    <row r="9" spans="1:17" ht="24.95" customHeight="1" thickBot="1" x14ac:dyDescent="0.25">
      <c r="C9" s="35">
        <v>3</v>
      </c>
      <c r="D9" s="35">
        <v>4</v>
      </c>
      <c r="E9" s="28">
        <v>1207.75</v>
      </c>
      <c r="F9" s="28">
        <v>852.96</v>
      </c>
      <c r="G9" s="23"/>
      <c r="H9" s="23">
        <f>SUM(E9:G9)</f>
        <v>2060.71</v>
      </c>
      <c r="I9" s="28"/>
      <c r="K9" s="7">
        <f>H9/D9</f>
        <v>515.17750000000001</v>
      </c>
      <c r="L9" s="21">
        <f>K9/1.016*10</f>
        <v>5070.6446850393704</v>
      </c>
      <c r="M9" s="22">
        <f>L9/1.12085</f>
        <v>4523.927987723041</v>
      </c>
      <c r="N9" s="21">
        <f>L9*$O$4</f>
        <v>1880.6969664853154</v>
      </c>
      <c r="O9" s="21">
        <f>M9*$O$4</f>
        <v>1677.9202984211229</v>
      </c>
      <c r="P9" s="20">
        <f>O9/480</f>
        <v>3.4956672883773394</v>
      </c>
    </row>
    <row r="10" spans="1:17" ht="24.95" customHeight="1" thickBot="1" x14ac:dyDescent="0.25">
      <c r="C10" s="35">
        <v>4</v>
      </c>
      <c r="D10" s="35">
        <v>4</v>
      </c>
      <c r="E10" s="28">
        <v>1393.6</v>
      </c>
      <c r="F10" s="28">
        <v>878.42</v>
      </c>
      <c r="G10" s="23"/>
      <c r="H10" s="23">
        <f>SUM(E10:G10)</f>
        <v>2272.02</v>
      </c>
      <c r="I10" s="28"/>
      <c r="K10" s="7">
        <f>H10/D10</f>
        <v>568.005</v>
      </c>
      <c r="L10" s="21">
        <f>K10/1.016*10</f>
        <v>5590.6003937007872</v>
      </c>
      <c r="M10" s="22">
        <f>L10/1.12085</f>
        <v>4987.822093679607</v>
      </c>
      <c r="N10" s="21">
        <f>L10*$O$4</f>
        <v>2073.548011022398</v>
      </c>
      <c r="O10" s="21">
        <f>M10*$O$4</f>
        <v>1849.9781514229362</v>
      </c>
      <c r="P10" s="20">
        <f>O10/480</f>
        <v>3.8541211487977836</v>
      </c>
    </row>
    <row r="11" spans="1:17" ht="24.95" customHeight="1" thickBot="1" x14ac:dyDescent="0.25">
      <c r="C11" s="35">
        <v>5</v>
      </c>
      <c r="D11" s="35">
        <v>4</v>
      </c>
      <c r="E11" s="28">
        <v>1208.2</v>
      </c>
      <c r="F11" s="28">
        <v>931.7</v>
      </c>
      <c r="G11" s="23"/>
      <c r="H11" s="23">
        <f>SUM(E11:G11)</f>
        <v>2139.9</v>
      </c>
      <c r="I11" s="28"/>
      <c r="K11" s="7">
        <f>H11/D11</f>
        <v>534.97500000000002</v>
      </c>
      <c r="L11" s="21">
        <f>K11/1.016*10</f>
        <v>5265.501968503937</v>
      </c>
      <c r="M11" s="22">
        <f>L11/1.12085</f>
        <v>4697.7757670553037</v>
      </c>
      <c r="N11" s="21">
        <f>L11*$O$4</f>
        <v>1952.9693351232954</v>
      </c>
      <c r="O11" s="21">
        <f>M11*$O$4</f>
        <v>1742.4002633031141</v>
      </c>
      <c r="P11" s="20">
        <f>O11/480</f>
        <v>3.6300005485481543</v>
      </c>
    </row>
    <row r="12" spans="1:17" ht="24.95" customHeight="1" thickBot="1" x14ac:dyDescent="0.25">
      <c r="C12" s="35">
        <v>6</v>
      </c>
      <c r="D12" s="35">
        <v>4</v>
      </c>
      <c r="E12" s="28">
        <v>1176.28</v>
      </c>
      <c r="F12" s="28">
        <v>831.42</v>
      </c>
      <c r="G12" s="23"/>
      <c r="H12" s="23">
        <f>SUM(E12:G12)</f>
        <v>2007.6999999999998</v>
      </c>
      <c r="I12" s="28"/>
      <c r="K12" s="7">
        <f>H12/D12</f>
        <v>501.92499999999995</v>
      </c>
      <c r="L12" s="21">
        <f>K12/1.016*10</f>
        <v>4940.2066929133853</v>
      </c>
      <c r="M12" s="22">
        <f>L12/1.12085</f>
        <v>4407.5538144384936</v>
      </c>
      <c r="N12" s="21">
        <f>L12*$O$4</f>
        <v>1832.3176476129911</v>
      </c>
      <c r="O12" s="21">
        <f>M12*$O$4</f>
        <v>1634.7572356809487</v>
      </c>
      <c r="P12" s="20">
        <f>O12/480</f>
        <v>3.4057442410019765</v>
      </c>
    </row>
    <row r="13" spans="1:17" ht="24.95" customHeight="1" thickBot="1" x14ac:dyDescent="0.25">
      <c r="C13" s="35">
        <v>7</v>
      </c>
      <c r="D13" s="35">
        <v>4</v>
      </c>
      <c r="E13" s="28">
        <v>895.12</v>
      </c>
      <c r="F13" s="28">
        <v>973.38</v>
      </c>
      <c r="G13" s="23"/>
      <c r="H13" s="23">
        <f>SUM(E13:G13)</f>
        <v>1868.5</v>
      </c>
      <c r="I13" s="28"/>
      <c r="K13" s="7">
        <f>H13/D13</f>
        <v>467.125</v>
      </c>
      <c r="L13" s="21">
        <f>K13/1.016*10</f>
        <v>4597.6870078740158</v>
      </c>
      <c r="M13" s="22">
        <f>L13/1.12085</f>
        <v>4101.9645874773751</v>
      </c>
      <c r="N13" s="21">
        <f>L13*$O$4</f>
        <v>1705.2774441225654</v>
      </c>
      <c r="O13" s="21">
        <f>M13*$O$4</f>
        <v>1521.4145016037519</v>
      </c>
      <c r="P13" s="20">
        <f>O13/480</f>
        <v>3.1696135450078162</v>
      </c>
    </row>
    <row r="14" spans="1:17" ht="24.95" customHeight="1" thickBot="1" x14ac:dyDescent="0.25">
      <c r="C14" s="35">
        <v>8</v>
      </c>
      <c r="D14" s="35">
        <v>4</v>
      </c>
      <c r="E14" s="28">
        <v>1177.5</v>
      </c>
      <c r="F14" s="28">
        <v>686.6</v>
      </c>
      <c r="G14" s="23"/>
      <c r="H14" s="23">
        <f>SUM(E14:G14)</f>
        <v>1864.1</v>
      </c>
      <c r="I14" s="28"/>
      <c r="K14" s="7">
        <f>H14/D14</f>
        <v>466.02499999999998</v>
      </c>
      <c r="L14" s="21">
        <f>K14/1.016*10</f>
        <v>4586.860236220472</v>
      </c>
      <c r="M14" s="22">
        <f>L14/1.12085</f>
        <v>4092.3051578895233</v>
      </c>
      <c r="N14" s="21">
        <f>L14*$O$4</f>
        <v>1701.2618055064884</v>
      </c>
      <c r="O14" s="21">
        <f>M14*$O$4</f>
        <v>1517.831828974875</v>
      </c>
      <c r="P14" s="20">
        <f>O14/480</f>
        <v>3.1621496436976559</v>
      </c>
    </row>
    <row r="15" spans="1:17" ht="24.95" customHeight="1" thickBot="1" x14ac:dyDescent="0.25">
      <c r="C15" s="35"/>
      <c r="D15" s="35"/>
      <c r="E15" s="23"/>
      <c r="F15" s="23"/>
      <c r="G15" s="23"/>
      <c r="H15" s="23"/>
      <c r="I15" s="23"/>
      <c r="M15" s="34"/>
    </row>
    <row r="16" spans="1:17" ht="24.95" customHeight="1" thickBot="1" x14ac:dyDescent="0.25">
      <c r="C16" s="33" t="s">
        <v>92</v>
      </c>
      <c r="D16" s="32"/>
      <c r="E16" s="31">
        <v>37915</v>
      </c>
      <c r="F16" s="30" t="s">
        <v>91</v>
      </c>
      <c r="G16" s="29"/>
      <c r="H16" s="28">
        <v>432.85</v>
      </c>
      <c r="I16" s="23"/>
      <c r="K16" s="7">
        <f>H16/SUM($D$9:$D$14)</f>
        <v>18.035416666666666</v>
      </c>
      <c r="L16" s="21">
        <f>K16/1.016*10</f>
        <v>177.51394356955382</v>
      </c>
      <c r="M16" s="22">
        <f>L16/1.12085</f>
        <v>158.37439761748124</v>
      </c>
      <c r="N16" s="21">
        <f>L16*$O$4</f>
        <v>65.839741476090666</v>
      </c>
      <c r="O16" s="21">
        <f>M16*$O$4</f>
        <v>58.740903310961038</v>
      </c>
      <c r="P16" s="20">
        <f>O16/480</f>
        <v>0.12237688189783549</v>
      </c>
    </row>
    <row r="17" spans="3:16" ht="24.95" customHeight="1" thickBot="1" x14ac:dyDescent="0.25">
      <c r="C17" s="27"/>
      <c r="D17" s="25"/>
      <c r="E17" s="26"/>
      <c r="F17" s="25"/>
      <c r="G17" s="24"/>
      <c r="H17" s="23"/>
      <c r="I17" s="23"/>
      <c r="L17" s="21"/>
      <c r="M17" s="22"/>
      <c r="N17" s="21"/>
      <c r="O17" s="21"/>
      <c r="P17" s="20"/>
    </row>
    <row r="18" spans="3:16" ht="24.95" customHeight="1" thickBot="1" x14ac:dyDescent="0.25">
      <c r="C18" s="15" t="s">
        <v>90</v>
      </c>
      <c r="D18" s="14"/>
      <c r="E18" s="14"/>
      <c r="F18" s="14"/>
      <c r="G18" s="19"/>
      <c r="H18" s="13">
        <f>SUM(H9:H14,H16)</f>
        <v>12645.779999999999</v>
      </c>
      <c r="I18" s="12"/>
      <c r="J18" s="11"/>
      <c r="K18" s="17">
        <f>AVERAGE(K9:K14)+K16/6</f>
        <v>511.87798611111106</v>
      </c>
      <c r="L18" s="17">
        <f>AVERAGE(L9:L14)+L16/6</f>
        <v>5038.1691546369202</v>
      </c>
      <c r="M18" s="18">
        <f>AVERAGE(M9:M14)+M16/6</f>
        <v>4494.9539676468039</v>
      </c>
      <c r="N18" s="17">
        <f>AVERAGE(N9:N14)+N16/6</f>
        <v>1868.6518252248575</v>
      </c>
      <c r="O18" s="17">
        <f>AVERAGE(O9:O14)+O16/6</f>
        <v>1667.1738637862848</v>
      </c>
      <c r="P18" s="16">
        <f>AVERAGE(P9:P14)+P16/6</f>
        <v>3.4732788828880938</v>
      </c>
    </row>
    <row r="19" spans="3:16" ht="24.95" customHeight="1" thickBot="1" x14ac:dyDescent="0.25">
      <c r="C19" s="15" t="s">
        <v>89</v>
      </c>
      <c r="D19" s="14"/>
      <c r="E19" s="14"/>
      <c r="F19" s="14"/>
      <c r="G19" s="14"/>
      <c r="H19" s="13">
        <f>STDEV(H9:H14)/SQRT(COUNT(H9:H14))</f>
        <v>64.682922445658832</v>
      </c>
      <c r="I19" s="12"/>
      <c r="J19" s="11"/>
      <c r="K19" s="9">
        <f>STDEV(K9:K14)/SQRT(COUNT(K9:K14))</f>
        <v>16.170730611414708</v>
      </c>
      <c r="L19" s="9">
        <f>STDEV(L9:L14)/SQRT(COUNT(L9:L14))</f>
        <v>159.16073436431796</v>
      </c>
      <c r="M19" s="10">
        <f>STDEV(M9:M14)/SQRT(COUNT(M9:M14))</f>
        <v>142.00003065915863</v>
      </c>
      <c r="N19" s="9">
        <f>STDEV(N9:N14)/SQRT(COUNT(N9:N14))</f>
        <v>59.032554812154764</v>
      </c>
      <c r="O19" s="9">
        <f>STDEV(O9:O14)/SQRT(COUNT(O9:O14))</f>
        <v>52.667667227688597</v>
      </c>
      <c r="P19" s="58">
        <f>STDEV(P9:P14)/SQRT(COUNT(P9:P14))</f>
        <v>0.10972430672435124</v>
      </c>
    </row>
    <row r="21" spans="3:16" x14ac:dyDescent="0.2">
      <c r="C21" s="7" t="s">
        <v>122</v>
      </c>
    </row>
    <row r="22" spans="3:16" x14ac:dyDescent="0.2">
      <c r="C22" s="7" t="s">
        <v>87</v>
      </c>
    </row>
  </sheetData>
  <mergeCells count="6">
    <mergeCell ref="K6:M6"/>
    <mergeCell ref="N6:P6"/>
    <mergeCell ref="C19:G19"/>
    <mergeCell ref="C18:G18"/>
    <mergeCell ref="F16:G16"/>
    <mergeCell ref="C16:D16"/>
  </mergeCells>
  <pageMargins left="0.75" right="0.75" top="1" bottom="0.52" header="0.5" footer="0.5"/>
  <pageSetup scale="64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460DD-CDED-459E-989C-FD3E5021FFEB}">
  <sheetPr codeName="Sheet9">
    <pageSetUpPr fitToPage="1"/>
  </sheetPr>
  <dimension ref="A1:R22"/>
  <sheetViews>
    <sheetView workbookViewId="0">
      <selection activeCell="I5" sqref="I5"/>
    </sheetView>
  </sheetViews>
  <sheetFormatPr defaultRowHeight="12.75" x14ac:dyDescent="0.2"/>
  <cols>
    <col min="1" max="16384" width="9.140625" style="7"/>
  </cols>
  <sheetData>
    <row r="1" spans="1:18" ht="37.5" x14ac:dyDescent="0.2">
      <c r="A1" s="57" t="s">
        <v>121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</row>
    <row r="2" spans="1:18" ht="18.75" thickBot="1" x14ac:dyDescent="0.3">
      <c r="H2" s="56" t="s">
        <v>120</v>
      </c>
      <c r="I2" s="55">
        <v>104</v>
      </c>
      <c r="J2" s="54"/>
      <c r="K2" s="47" t="s">
        <v>119</v>
      </c>
      <c r="L2" s="53">
        <v>37924</v>
      </c>
      <c r="N2" s="47"/>
      <c r="O2" s="48"/>
    </row>
    <row r="3" spans="1:18" ht="17.25" thickTop="1" thickBot="1" x14ac:dyDescent="0.25">
      <c r="B3" s="50" t="s">
        <v>116</v>
      </c>
      <c r="C3" s="52">
        <v>37909</v>
      </c>
      <c r="K3" s="47" t="s">
        <v>115</v>
      </c>
      <c r="L3" s="48">
        <v>2412.5</v>
      </c>
      <c r="N3" s="47" t="s">
        <v>114</v>
      </c>
      <c r="O3" s="46">
        <f>(L3-(L4+L5))/L3</f>
        <v>5.0797927461139973E-2</v>
      </c>
    </row>
    <row r="4" spans="1:18" ht="17.25" thickTop="1" thickBot="1" x14ac:dyDescent="0.25">
      <c r="B4" s="50" t="s">
        <v>113</v>
      </c>
      <c r="C4" s="52">
        <v>37921</v>
      </c>
      <c r="F4" s="45"/>
      <c r="G4" s="45"/>
      <c r="H4" s="50" t="s">
        <v>112</v>
      </c>
      <c r="I4" s="51" t="s">
        <v>117</v>
      </c>
      <c r="K4" s="47" t="s">
        <v>110</v>
      </c>
      <c r="L4" s="48">
        <v>883.5</v>
      </c>
      <c r="N4" s="47" t="s">
        <v>109</v>
      </c>
      <c r="O4" s="46">
        <f>L4/L3</f>
        <v>0.36621761658031088</v>
      </c>
    </row>
    <row r="5" spans="1:18" ht="17.25" thickTop="1" thickBot="1" x14ac:dyDescent="0.25">
      <c r="B5" s="50" t="s">
        <v>108</v>
      </c>
      <c r="C5" s="49">
        <v>0.40625</v>
      </c>
      <c r="F5" s="45"/>
      <c r="G5" s="45"/>
      <c r="K5" s="47" t="s">
        <v>107</v>
      </c>
      <c r="L5" s="48">
        <v>1406.45</v>
      </c>
      <c r="N5" s="47" t="s">
        <v>106</v>
      </c>
      <c r="O5" s="46">
        <f>L5/L3</f>
        <v>0.5829844559585492</v>
      </c>
      <c r="Q5" s="20"/>
    </row>
    <row r="6" spans="1:18" ht="17.25" thickTop="1" thickBot="1" x14ac:dyDescent="0.25">
      <c r="F6" s="45"/>
      <c r="G6" s="45"/>
      <c r="K6" s="43" t="s">
        <v>105</v>
      </c>
      <c r="L6" s="43"/>
      <c r="M6" s="44"/>
      <c r="N6" s="43" t="s">
        <v>104</v>
      </c>
      <c r="O6" s="43"/>
      <c r="P6" s="43"/>
    </row>
    <row r="7" spans="1:18" ht="26.25" thickBot="1" x14ac:dyDescent="0.25">
      <c r="A7" s="36"/>
      <c r="B7" s="36"/>
      <c r="C7" s="35" t="s">
        <v>103</v>
      </c>
      <c r="D7" s="39" t="s">
        <v>102</v>
      </c>
      <c r="E7" s="42" t="s">
        <v>101</v>
      </c>
      <c r="F7" s="42" t="s">
        <v>100</v>
      </c>
      <c r="G7" s="42" t="s">
        <v>99</v>
      </c>
      <c r="H7" s="42" t="s">
        <v>98</v>
      </c>
      <c r="I7" s="35" t="s">
        <v>97</v>
      </c>
      <c r="J7" s="38"/>
      <c r="K7" s="38" t="s">
        <v>96</v>
      </c>
      <c r="L7" s="38" t="s">
        <v>95</v>
      </c>
      <c r="M7" s="41" t="s">
        <v>94</v>
      </c>
      <c r="N7" s="38" t="s">
        <v>95</v>
      </c>
      <c r="O7" s="38" t="s">
        <v>94</v>
      </c>
      <c r="P7" s="40" t="s">
        <v>93</v>
      </c>
      <c r="Q7" s="36"/>
      <c r="R7" s="36"/>
    </row>
    <row r="8" spans="1:18" ht="13.5" thickBot="1" x14ac:dyDescent="0.25">
      <c r="A8" s="36"/>
      <c r="B8" s="36"/>
      <c r="C8" s="35"/>
      <c r="D8" s="39"/>
      <c r="E8" s="35"/>
      <c r="F8" s="35"/>
      <c r="G8" s="35"/>
      <c r="H8" s="35"/>
      <c r="I8" s="35"/>
      <c r="J8" s="38"/>
      <c r="K8" s="36"/>
      <c r="L8" s="36"/>
      <c r="M8" s="37"/>
      <c r="N8" s="36"/>
      <c r="O8" s="36"/>
      <c r="P8" s="36"/>
      <c r="Q8" s="36"/>
      <c r="R8" s="36"/>
    </row>
    <row r="9" spans="1:18" ht="13.5" thickBot="1" x14ac:dyDescent="0.25">
      <c r="C9" s="35">
        <v>3</v>
      </c>
      <c r="D9" s="35">
        <v>4</v>
      </c>
      <c r="E9" s="28">
        <v>788.5</v>
      </c>
      <c r="F9" s="28">
        <v>1111</v>
      </c>
      <c r="G9" s="23"/>
      <c r="H9" s="23">
        <f>SUM(E9:G9)</f>
        <v>1899.5</v>
      </c>
      <c r="I9" s="28"/>
      <c r="K9" s="7">
        <f>H9/D9</f>
        <v>474.875</v>
      </c>
      <c r="L9" s="21">
        <f>K9/1.016*10</f>
        <v>4673.9665354330709</v>
      </c>
      <c r="M9" s="22">
        <f>L9/1.12085</f>
        <v>4170.0196595736015</v>
      </c>
      <c r="N9" s="21">
        <f>L9*$O$4</f>
        <v>1711.6888845824324</v>
      </c>
      <c r="O9" s="21">
        <f>M9*$O$4</f>
        <v>1527.1346608220838</v>
      </c>
      <c r="P9" s="20">
        <f>O9/480</f>
        <v>3.181530543379341</v>
      </c>
    </row>
    <row r="10" spans="1:18" ht="13.5" thickBot="1" x14ac:dyDescent="0.25">
      <c r="C10" s="35">
        <v>4</v>
      </c>
      <c r="D10" s="35">
        <v>4</v>
      </c>
      <c r="E10" s="28">
        <v>853.3</v>
      </c>
      <c r="F10" s="28">
        <v>838.2</v>
      </c>
      <c r="G10" s="23">
        <v>587.5</v>
      </c>
      <c r="H10" s="23">
        <f>SUM(E10:G10)</f>
        <v>2279</v>
      </c>
      <c r="I10" s="28"/>
      <c r="K10" s="7">
        <f>H10/D10</f>
        <v>569.75</v>
      </c>
      <c r="L10" s="21">
        <f>K10/1.016*10</f>
        <v>5607.7755905511813</v>
      </c>
      <c r="M10" s="22">
        <f>L10/1.12085</f>
        <v>5003.1454615257899</v>
      </c>
      <c r="N10" s="21">
        <f>L10*$O$4</f>
        <v>2053.6662110888988</v>
      </c>
      <c r="O10" s="21">
        <f>M10*$O$4</f>
        <v>1832.2400063245743</v>
      </c>
      <c r="P10" s="20">
        <f>O10/480</f>
        <v>3.8171666798428632</v>
      </c>
    </row>
    <row r="11" spans="1:18" ht="13.5" thickBot="1" x14ac:dyDescent="0.25">
      <c r="C11" s="35">
        <v>5</v>
      </c>
      <c r="D11" s="35">
        <v>4</v>
      </c>
      <c r="E11" s="28">
        <v>598.5</v>
      </c>
      <c r="F11" s="28">
        <v>1244.7</v>
      </c>
      <c r="G11" s="23"/>
      <c r="H11" s="23">
        <f>SUM(E11:G11)</f>
        <v>1843.2</v>
      </c>
      <c r="I11" s="28"/>
      <c r="K11" s="7">
        <f>H11/D11</f>
        <v>460.8</v>
      </c>
      <c r="L11" s="21">
        <f>K11/1.016*10</f>
        <v>4535.4330708661419</v>
      </c>
      <c r="M11" s="22">
        <f>L11/1.12085</f>
        <v>4046.4228673472294</v>
      </c>
      <c r="N11" s="21">
        <f>L11*$O$4</f>
        <v>1660.9554893721188</v>
      </c>
      <c r="O11" s="21">
        <f>M11*$O$4</f>
        <v>1481.8713381559699</v>
      </c>
      <c r="P11" s="20">
        <f>O11/480</f>
        <v>3.087231954491604</v>
      </c>
    </row>
    <row r="12" spans="1:18" ht="13.5" thickBot="1" x14ac:dyDescent="0.25">
      <c r="C12" s="35">
        <v>6</v>
      </c>
      <c r="D12" s="35">
        <v>4</v>
      </c>
      <c r="E12" s="28">
        <v>1132.7</v>
      </c>
      <c r="F12" s="28">
        <v>658.5</v>
      </c>
      <c r="G12" s="23"/>
      <c r="H12" s="23">
        <f>SUM(E12:G12)</f>
        <v>1791.2</v>
      </c>
      <c r="I12" s="28"/>
      <c r="K12" s="7">
        <f>H12/D12</f>
        <v>447.8</v>
      </c>
      <c r="L12" s="21">
        <f>K12/1.016*10</f>
        <v>4407.4803149606296</v>
      </c>
      <c r="M12" s="22">
        <f>L12/1.12085</f>
        <v>3932.2659722180756</v>
      </c>
      <c r="N12" s="21">
        <f>L12*$O$4</f>
        <v>1614.0969360695196</v>
      </c>
      <c r="O12" s="21">
        <f>M12*$O$4</f>
        <v>1440.0650721055626</v>
      </c>
      <c r="P12" s="20">
        <f>O12/480</f>
        <v>3.000135566886589</v>
      </c>
    </row>
    <row r="13" spans="1:18" ht="13.5" thickBot="1" x14ac:dyDescent="0.25">
      <c r="C13" s="35">
        <v>7</v>
      </c>
      <c r="D13" s="35">
        <v>4</v>
      </c>
      <c r="E13" s="28">
        <v>971.7</v>
      </c>
      <c r="F13" s="28">
        <v>885.7</v>
      </c>
      <c r="G13" s="23"/>
      <c r="H13" s="23">
        <f>SUM(E13:G13)</f>
        <v>1857.4</v>
      </c>
      <c r="I13" s="28"/>
      <c r="K13" s="7">
        <f>H13/D13</f>
        <v>464.35</v>
      </c>
      <c r="L13" s="21">
        <f>K13/1.016*10</f>
        <v>4570.3740157480315</v>
      </c>
      <c r="M13" s="22">
        <f>L13/1.12085</f>
        <v>4077.5964810171135</v>
      </c>
      <c r="N13" s="21">
        <f>L13*$O$4</f>
        <v>1673.7514789278284</v>
      </c>
      <c r="O13" s="21">
        <f>M13*$O$4</f>
        <v>1493.2876646543502</v>
      </c>
      <c r="P13" s="20">
        <f>O13/480</f>
        <v>3.1110159680298963</v>
      </c>
    </row>
    <row r="14" spans="1:18" ht="13.5" thickBot="1" x14ac:dyDescent="0.25">
      <c r="C14" s="35">
        <v>8</v>
      </c>
      <c r="D14" s="35">
        <v>4</v>
      </c>
      <c r="E14" s="28">
        <v>1093</v>
      </c>
      <c r="F14" s="28">
        <v>773.1</v>
      </c>
      <c r="G14" s="23"/>
      <c r="H14" s="23">
        <f>SUM(E14:G14)</f>
        <v>1866.1</v>
      </c>
      <c r="I14" s="28"/>
      <c r="K14" s="7">
        <f>H14/D14</f>
        <v>466.52499999999998</v>
      </c>
      <c r="L14" s="21">
        <f>K14/1.016*10</f>
        <v>4591.7814960629921</v>
      </c>
      <c r="M14" s="22">
        <f>L14/1.12085</f>
        <v>4096.6958077021836</v>
      </c>
      <c r="N14" s="21">
        <f>L14*$O$4</f>
        <v>1681.5912753457631</v>
      </c>
      <c r="O14" s="21">
        <f>M14*$O$4</f>
        <v>1500.2821745512454</v>
      </c>
      <c r="P14" s="20">
        <f>O14/480</f>
        <v>3.1255878636484278</v>
      </c>
    </row>
    <row r="15" spans="1:18" ht="13.5" thickBot="1" x14ac:dyDescent="0.25">
      <c r="C15" s="35"/>
      <c r="D15" s="35"/>
      <c r="E15" s="23"/>
      <c r="F15" s="23"/>
      <c r="G15" s="23"/>
      <c r="H15" s="23"/>
      <c r="I15" s="23"/>
      <c r="M15" s="34"/>
    </row>
    <row r="16" spans="1:18" ht="13.5" thickBot="1" x14ac:dyDescent="0.25">
      <c r="C16" s="33" t="s">
        <v>92</v>
      </c>
      <c r="D16" s="32"/>
      <c r="E16" s="31">
        <v>37915</v>
      </c>
      <c r="F16" s="30" t="s">
        <v>91</v>
      </c>
      <c r="G16" s="29"/>
      <c r="H16" s="28">
        <v>325.2</v>
      </c>
      <c r="I16" s="23"/>
      <c r="K16" s="7">
        <f>H16/SUM($D$9:$D$14)</f>
        <v>13.549999999999999</v>
      </c>
      <c r="L16" s="21">
        <f>K16/1.016*10</f>
        <v>133.36614173228344</v>
      </c>
      <c r="M16" s="22">
        <f>L16/1.12085</f>
        <v>118.98660992307931</v>
      </c>
      <c r="N16" s="21">
        <f>L16*$O$4</f>
        <v>48.841030557708777</v>
      </c>
      <c r="O16" s="21">
        <f>M16*$O$4</f>
        <v>43.57499269100127</v>
      </c>
      <c r="P16" s="20">
        <f>O16/480</f>
        <v>9.0781234772919314E-2</v>
      </c>
    </row>
    <row r="17" spans="3:16" ht="13.5" thickBot="1" x14ac:dyDescent="0.25">
      <c r="C17" s="27"/>
      <c r="D17" s="25"/>
      <c r="E17" s="26"/>
      <c r="F17" s="25"/>
      <c r="G17" s="24"/>
      <c r="H17" s="23"/>
      <c r="I17" s="23"/>
      <c r="L17" s="21"/>
      <c r="M17" s="22"/>
      <c r="N17" s="21"/>
      <c r="O17" s="21"/>
      <c r="P17" s="20"/>
    </row>
    <row r="18" spans="3:16" ht="16.5" thickBot="1" x14ac:dyDescent="0.25">
      <c r="C18" s="15" t="s">
        <v>90</v>
      </c>
      <c r="D18" s="14"/>
      <c r="E18" s="14"/>
      <c r="F18" s="14"/>
      <c r="G18" s="19"/>
      <c r="H18" s="13">
        <f>SUM(H9:H14,H16)</f>
        <v>11861.6</v>
      </c>
      <c r="I18" s="12"/>
      <c r="J18" s="11"/>
      <c r="K18" s="17">
        <f>AVERAGE(K9:K14)+K16/6</f>
        <v>482.94166666666666</v>
      </c>
      <c r="L18" s="17">
        <f>AVERAGE(L9:L14)+L16/6</f>
        <v>4753.3628608923882</v>
      </c>
      <c r="M18" s="18">
        <f>AVERAGE(M9:M14)+M16/6</f>
        <v>4240.855476551179</v>
      </c>
      <c r="N18" s="17">
        <f>AVERAGE(N9:N14)+N16/6</f>
        <v>1740.7652176573783</v>
      </c>
      <c r="O18" s="17">
        <f>AVERAGE(O9:O14)+O16/6</f>
        <v>1553.075984884131</v>
      </c>
      <c r="P18" s="16">
        <f>AVERAGE(P9:P14)+P16/6</f>
        <v>3.2355749685086068</v>
      </c>
    </row>
    <row r="19" spans="3:16" ht="16.5" thickBot="1" x14ac:dyDescent="0.25">
      <c r="C19" s="15" t="s">
        <v>89</v>
      </c>
      <c r="D19" s="14"/>
      <c r="E19" s="14"/>
      <c r="F19" s="14"/>
      <c r="G19" s="14"/>
      <c r="H19" s="13">
        <f>STDEV(H9:H14)/SQRT(COUNT(H9:H14))</f>
        <v>72.702148829621564</v>
      </c>
      <c r="I19" s="12"/>
      <c r="J19" s="11"/>
      <c r="K19" s="9">
        <f>STDEV(K9:K14)/SQRT(COUNT(K9:K14))</f>
        <v>18.175537207405391</v>
      </c>
      <c r="L19" s="9">
        <f>STDEV(L9:L14)/SQRT(COUNT(L9:L14))</f>
        <v>178.89308275005314</v>
      </c>
      <c r="M19" s="10">
        <f>STDEV(M9:M14)/SQRT(COUNT(M9:M14))</f>
        <v>159.60483806936978</v>
      </c>
      <c r="N19" s="9">
        <f>STDEV(N9:N14)/SQRT(COUNT(N9:N14))</f>
        <v>65.51379838742875</v>
      </c>
      <c r="O19" s="9">
        <f>STDEV(O9:O14)/SQRT(COUNT(O9:O14))</f>
        <v>58.450103392451076</v>
      </c>
      <c r="P19" s="58">
        <f>STDEV(P9:P14)/SQRT(COUNT(P9:P14))</f>
        <v>0.12177104873427304</v>
      </c>
    </row>
    <row r="21" spans="3:16" x14ac:dyDescent="0.2">
      <c r="C21" s="7" t="s">
        <v>122</v>
      </c>
    </row>
    <row r="22" spans="3:16" x14ac:dyDescent="0.2">
      <c r="C22" s="7" t="s">
        <v>87</v>
      </c>
    </row>
  </sheetData>
  <mergeCells count="6">
    <mergeCell ref="C18:G18"/>
    <mergeCell ref="C19:G19"/>
    <mergeCell ref="K6:M6"/>
    <mergeCell ref="N6:P6"/>
    <mergeCell ref="C16:D16"/>
    <mergeCell ref="F16:G16"/>
  </mergeCells>
  <pageMargins left="0.75" right="0.75" top="1" bottom="0.52" header="0.5" footer="0.5"/>
  <pageSetup scale="75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5C5F7-3480-4649-85E0-1D7225B8A1AF}">
  <sheetPr codeName="Sheet10">
    <pageSetUpPr fitToPage="1"/>
  </sheetPr>
  <dimension ref="A1:R22"/>
  <sheetViews>
    <sheetView workbookViewId="0">
      <selection activeCell="I5" sqref="I5"/>
    </sheetView>
  </sheetViews>
  <sheetFormatPr defaultRowHeight="12.75" x14ac:dyDescent="0.2"/>
  <cols>
    <col min="1" max="16384" width="9.140625" style="7"/>
  </cols>
  <sheetData>
    <row r="1" spans="1:18" ht="37.5" x14ac:dyDescent="0.2">
      <c r="A1" s="57" t="s">
        <v>121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</row>
    <row r="2" spans="1:18" ht="18.75" thickBot="1" x14ac:dyDescent="0.3">
      <c r="H2" s="56" t="s">
        <v>120</v>
      </c>
      <c r="I2" s="55">
        <v>105</v>
      </c>
      <c r="J2" s="54"/>
      <c r="K2" s="47" t="s">
        <v>119</v>
      </c>
      <c r="L2" s="53">
        <v>37924</v>
      </c>
      <c r="N2" s="47"/>
      <c r="O2" s="48"/>
    </row>
    <row r="3" spans="1:18" ht="17.25" thickTop="1" thickBot="1" x14ac:dyDescent="0.25">
      <c r="B3" s="50" t="s">
        <v>116</v>
      </c>
      <c r="C3" s="52">
        <v>37909</v>
      </c>
      <c r="K3" s="47" t="s">
        <v>115</v>
      </c>
      <c r="L3" s="48">
        <v>1943</v>
      </c>
      <c r="N3" s="47" t="s">
        <v>114</v>
      </c>
      <c r="O3" s="46">
        <f>(L3-(L4+L5))/L3</f>
        <v>6.7627380339680254E-3</v>
      </c>
    </row>
    <row r="4" spans="1:18" ht="17.25" thickTop="1" thickBot="1" x14ac:dyDescent="0.25">
      <c r="B4" s="50" t="s">
        <v>113</v>
      </c>
      <c r="C4" s="52">
        <v>37921</v>
      </c>
      <c r="F4" s="45"/>
      <c r="G4" s="45"/>
      <c r="H4" s="50" t="s">
        <v>112</v>
      </c>
      <c r="I4" s="51" t="s">
        <v>111</v>
      </c>
      <c r="K4" s="47" t="s">
        <v>110</v>
      </c>
      <c r="L4" s="48">
        <v>758.4</v>
      </c>
      <c r="N4" s="47" t="s">
        <v>109</v>
      </c>
      <c r="O4" s="46">
        <f>L4/L3</f>
        <v>0.39032424086464229</v>
      </c>
    </row>
    <row r="5" spans="1:18" ht="17.25" thickTop="1" thickBot="1" x14ac:dyDescent="0.25">
      <c r="B5" s="50" t="s">
        <v>108</v>
      </c>
      <c r="C5" s="49">
        <v>0.40277777777777773</v>
      </c>
      <c r="F5" s="45"/>
      <c r="G5" s="45"/>
      <c r="K5" s="47" t="s">
        <v>107</v>
      </c>
      <c r="L5" s="48">
        <v>1171.46</v>
      </c>
      <c r="N5" s="47" t="s">
        <v>106</v>
      </c>
      <c r="O5" s="46">
        <f>L5/L3</f>
        <v>0.60291302110138967</v>
      </c>
      <c r="Q5" s="20"/>
    </row>
    <row r="6" spans="1:18" ht="17.25" thickTop="1" thickBot="1" x14ac:dyDescent="0.25">
      <c r="F6" s="45"/>
      <c r="G6" s="45"/>
      <c r="K6" s="43" t="s">
        <v>105</v>
      </c>
      <c r="L6" s="43"/>
      <c r="M6" s="44"/>
      <c r="N6" s="43" t="s">
        <v>104</v>
      </c>
      <c r="O6" s="43"/>
      <c r="P6" s="43"/>
    </row>
    <row r="7" spans="1:18" ht="26.25" thickBot="1" x14ac:dyDescent="0.25">
      <c r="A7" s="36"/>
      <c r="B7" s="36"/>
      <c r="C7" s="35" t="s">
        <v>103</v>
      </c>
      <c r="D7" s="39" t="s">
        <v>102</v>
      </c>
      <c r="E7" s="42" t="s">
        <v>101</v>
      </c>
      <c r="F7" s="42" t="s">
        <v>100</v>
      </c>
      <c r="G7" s="42" t="s">
        <v>99</v>
      </c>
      <c r="H7" s="42" t="s">
        <v>98</v>
      </c>
      <c r="I7" s="35" t="s">
        <v>97</v>
      </c>
      <c r="J7" s="38"/>
      <c r="K7" s="38" t="s">
        <v>96</v>
      </c>
      <c r="L7" s="38" t="s">
        <v>95</v>
      </c>
      <c r="M7" s="41" t="s">
        <v>94</v>
      </c>
      <c r="N7" s="38" t="s">
        <v>95</v>
      </c>
      <c r="O7" s="38" t="s">
        <v>94</v>
      </c>
      <c r="P7" s="40" t="s">
        <v>93</v>
      </c>
      <c r="Q7" s="36"/>
      <c r="R7" s="36"/>
    </row>
    <row r="8" spans="1:18" ht="13.5" thickBot="1" x14ac:dyDescent="0.25">
      <c r="A8" s="36"/>
      <c r="B8" s="36"/>
      <c r="C8" s="35"/>
      <c r="D8" s="39"/>
      <c r="E8" s="35"/>
      <c r="F8" s="35"/>
      <c r="G8" s="35"/>
      <c r="H8" s="35"/>
      <c r="I8" s="35"/>
      <c r="J8" s="38"/>
      <c r="K8" s="36"/>
      <c r="L8" s="36"/>
      <c r="M8" s="37"/>
      <c r="N8" s="36"/>
      <c r="O8" s="36"/>
      <c r="P8" s="36"/>
      <c r="Q8" s="36"/>
      <c r="R8" s="36"/>
    </row>
    <row r="9" spans="1:18" ht="13.5" thickBot="1" x14ac:dyDescent="0.25">
      <c r="C9" s="35">
        <v>3</v>
      </c>
      <c r="D9" s="35">
        <v>4</v>
      </c>
      <c r="E9" s="28">
        <v>982.3</v>
      </c>
      <c r="F9" s="28">
        <v>924.7</v>
      </c>
      <c r="G9" s="23"/>
      <c r="H9" s="23">
        <f>SUM(E9:G9)</f>
        <v>1907</v>
      </c>
      <c r="I9" s="28"/>
      <c r="K9" s="7">
        <f>H9/D9</f>
        <v>476.75</v>
      </c>
      <c r="L9" s="21">
        <f>K9/1.016*10</f>
        <v>4692.4212598425202</v>
      </c>
      <c r="M9" s="22">
        <f>L9/1.12085</f>
        <v>4186.4845963710759</v>
      </c>
      <c r="N9" s="21">
        <f>L9*$O$4</f>
        <v>1831.56576606514</v>
      </c>
      <c r="O9" s="21">
        <f>M9*$O$4</f>
        <v>1634.0864219700586</v>
      </c>
      <c r="P9" s="20">
        <f>O9/480</f>
        <v>3.4043467124376221</v>
      </c>
    </row>
    <row r="10" spans="1:18" ht="13.5" thickBot="1" x14ac:dyDescent="0.25">
      <c r="C10" s="35">
        <v>4</v>
      </c>
      <c r="D10" s="35">
        <v>4</v>
      </c>
      <c r="E10" s="28">
        <v>1238.45</v>
      </c>
      <c r="F10" s="28">
        <v>622.46</v>
      </c>
      <c r="G10" s="23"/>
      <c r="H10" s="23">
        <f>SUM(E10:G10)</f>
        <v>1860.91</v>
      </c>
      <c r="I10" s="28"/>
      <c r="K10" s="7">
        <f>H10/D10</f>
        <v>465.22750000000002</v>
      </c>
      <c r="L10" s="21">
        <f>K10/1.016*10</f>
        <v>4579.0108267716541</v>
      </c>
      <c r="M10" s="22">
        <f>L10/1.12085</f>
        <v>4085.302071438332</v>
      </c>
      <c r="N10" s="21">
        <f>L10*$O$4</f>
        <v>1787.298924870624</v>
      </c>
      <c r="O10" s="21">
        <f>M10*$O$4</f>
        <v>1594.5924297369177</v>
      </c>
      <c r="P10" s="20">
        <f>O10/480</f>
        <v>3.3220675619519118</v>
      </c>
    </row>
    <row r="11" spans="1:18" ht="13.5" thickBot="1" x14ac:dyDescent="0.25">
      <c r="C11" s="35">
        <v>5</v>
      </c>
      <c r="D11" s="35">
        <v>4</v>
      </c>
      <c r="E11" s="28">
        <v>801.2</v>
      </c>
      <c r="F11" s="28">
        <v>1011.2</v>
      </c>
      <c r="G11" s="23"/>
      <c r="H11" s="23">
        <f>SUM(E11:G11)</f>
        <v>1812.4</v>
      </c>
      <c r="I11" s="28"/>
      <c r="K11" s="7">
        <f>H11/D11</f>
        <v>453.1</v>
      </c>
      <c r="L11" s="21">
        <f>K11/1.016*10</f>
        <v>4459.6456692913389</v>
      </c>
      <c r="M11" s="22">
        <f>L11/1.12085</f>
        <v>3978.8068602322696</v>
      </c>
      <c r="N11" s="21">
        <f>L11*$O$4</f>
        <v>1740.7078103914314</v>
      </c>
      <c r="O11" s="21">
        <f>M11*$O$4</f>
        <v>1553.0247672671915</v>
      </c>
      <c r="P11" s="20">
        <f>O11/480</f>
        <v>3.2354682651399824</v>
      </c>
    </row>
    <row r="12" spans="1:18" ht="13.5" thickBot="1" x14ac:dyDescent="0.25">
      <c r="C12" s="35">
        <v>6</v>
      </c>
      <c r="D12" s="35">
        <v>4</v>
      </c>
      <c r="E12" s="28">
        <v>944.58</v>
      </c>
      <c r="F12" s="28">
        <v>747.56</v>
      </c>
      <c r="G12" s="23"/>
      <c r="H12" s="23">
        <f>SUM(E12:G12)</f>
        <v>1692.1399999999999</v>
      </c>
      <c r="I12" s="28"/>
      <c r="K12" s="7">
        <f>H12/D12</f>
        <v>423.03499999999997</v>
      </c>
      <c r="L12" s="21">
        <f>K12/1.016*10</f>
        <v>4163.7303149606296</v>
      </c>
      <c r="M12" s="22">
        <f>L12/1.12085</f>
        <v>3714.7970869970377</v>
      </c>
      <c r="N12" s="21">
        <f>L12*$O$4</f>
        <v>1625.2048743521057</v>
      </c>
      <c r="O12" s="21">
        <f>M12*$O$4</f>
        <v>1449.9753529483032</v>
      </c>
      <c r="P12" s="20">
        <f>O12/480</f>
        <v>3.020781985308965</v>
      </c>
    </row>
    <row r="13" spans="1:18" ht="13.5" thickBot="1" x14ac:dyDescent="0.25">
      <c r="C13" s="35">
        <v>7</v>
      </c>
      <c r="D13" s="35">
        <v>4</v>
      </c>
      <c r="E13" s="28">
        <v>661</v>
      </c>
      <c r="F13" s="28">
        <v>827.38</v>
      </c>
      <c r="G13" s="23"/>
      <c r="H13" s="23">
        <f>SUM(E13:G13)</f>
        <v>1488.38</v>
      </c>
      <c r="I13" s="28"/>
      <c r="K13" s="7">
        <f>H13/D13</f>
        <v>372.09500000000003</v>
      </c>
      <c r="L13" s="21">
        <f>K13/1.016*10</f>
        <v>3662.3523622047246</v>
      </c>
      <c r="M13" s="22">
        <f>L13/1.12085</f>
        <v>3267.4776840832628</v>
      </c>
      <c r="N13" s="21">
        <f>L13*$O$4</f>
        <v>1429.5049055563886</v>
      </c>
      <c r="O13" s="21">
        <f>M13*$O$4</f>
        <v>1275.375746581959</v>
      </c>
      <c r="P13" s="20">
        <f>O13/480</f>
        <v>2.6570328053790813</v>
      </c>
    </row>
    <row r="14" spans="1:18" ht="13.5" thickBot="1" x14ac:dyDescent="0.25">
      <c r="C14" s="35">
        <v>8</v>
      </c>
      <c r="D14" s="35">
        <v>4</v>
      </c>
      <c r="E14" s="28">
        <v>1168.46</v>
      </c>
      <c r="F14" s="28">
        <v>641.32000000000005</v>
      </c>
      <c r="G14" s="23"/>
      <c r="H14" s="23">
        <f>SUM(E14:G14)</f>
        <v>1809.7800000000002</v>
      </c>
      <c r="I14" s="28"/>
      <c r="K14" s="7">
        <f>H14/D14</f>
        <v>452.44500000000005</v>
      </c>
      <c r="L14" s="21">
        <f>K14/1.016*10</f>
        <v>4453.1988188976384</v>
      </c>
      <c r="M14" s="22">
        <f>L14/1.12085</f>
        <v>3973.0551089776854</v>
      </c>
      <c r="N14" s="21">
        <f>L14*$O$4</f>
        <v>1738.1914484055424</v>
      </c>
      <c r="O14" s="21">
        <f>M14*$O$4</f>
        <v>1550.7797193251038</v>
      </c>
      <c r="P14" s="20">
        <f>O14/480</f>
        <v>3.2307910819272996</v>
      </c>
    </row>
    <row r="15" spans="1:18" ht="13.5" thickBot="1" x14ac:dyDescent="0.25">
      <c r="C15" s="35"/>
      <c r="D15" s="35"/>
      <c r="E15" s="23"/>
      <c r="F15" s="23"/>
      <c r="G15" s="23"/>
      <c r="H15" s="23"/>
      <c r="I15" s="23"/>
      <c r="M15" s="34"/>
    </row>
    <row r="16" spans="1:18" ht="13.5" thickBot="1" x14ac:dyDescent="0.25">
      <c r="C16" s="33" t="s">
        <v>92</v>
      </c>
      <c r="D16" s="32"/>
      <c r="E16" s="31">
        <v>37915</v>
      </c>
      <c r="F16" s="30" t="s">
        <v>91</v>
      </c>
      <c r="G16" s="29"/>
      <c r="H16" s="28">
        <v>249.63</v>
      </c>
      <c r="I16" s="23"/>
      <c r="K16" s="7">
        <f>H16/SUM($D$9:$D$14)</f>
        <v>10.401249999999999</v>
      </c>
      <c r="L16" s="21">
        <f>K16/1.016*10</f>
        <v>102.37450787401573</v>
      </c>
      <c r="M16" s="22">
        <f>L16/1.12085</f>
        <v>91.33649272785452</v>
      </c>
      <c r="N16" s="21">
        <f>L16*$O$4</f>
        <v>39.959252069816536</v>
      </c>
      <c r="O16" s="21">
        <f>M16*$O$4</f>
        <v>35.650847187238739</v>
      </c>
      <c r="P16" s="20">
        <f>O16/480</f>
        <v>7.4272598306747373E-2</v>
      </c>
    </row>
    <row r="17" spans="3:16" ht="13.5" thickBot="1" x14ac:dyDescent="0.25">
      <c r="C17" s="27"/>
      <c r="D17" s="25"/>
      <c r="E17" s="26"/>
      <c r="F17" s="25"/>
      <c r="G17" s="24"/>
      <c r="H17" s="23"/>
      <c r="I17" s="23"/>
      <c r="L17" s="21"/>
      <c r="M17" s="22"/>
      <c r="N17" s="21"/>
      <c r="O17" s="21"/>
      <c r="P17" s="20"/>
    </row>
    <row r="18" spans="3:16" ht="16.5" thickBot="1" x14ac:dyDescent="0.25">
      <c r="C18" s="15" t="s">
        <v>90</v>
      </c>
      <c r="D18" s="14"/>
      <c r="E18" s="14"/>
      <c r="F18" s="14"/>
      <c r="G18" s="19"/>
      <c r="H18" s="13">
        <f>SUM(H9:H14,H16)</f>
        <v>10820.239999999998</v>
      </c>
      <c r="I18" s="12"/>
      <c r="J18" s="11"/>
      <c r="K18" s="17">
        <f>AVERAGE(K9:K14)+K16/6</f>
        <v>442.17562499999997</v>
      </c>
      <c r="L18" s="17">
        <f>AVERAGE(L9:L14)+L16/6</f>
        <v>4352.1222933070876</v>
      </c>
      <c r="M18" s="18">
        <f>AVERAGE(M9:M14)+M16/6</f>
        <v>3882.8766501379196</v>
      </c>
      <c r="N18" s="17">
        <f>AVERAGE(N9:N14)+N16/6</f>
        <v>1698.7388302851746</v>
      </c>
      <c r="O18" s="17">
        <f>AVERAGE(O9:O14)+O16/6</f>
        <v>1515.5808808361287</v>
      </c>
      <c r="P18" s="16">
        <f>AVERAGE(P9:P14)+P16/6</f>
        <v>3.1574601684086012</v>
      </c>
    </row>
    <row r="19" spans="3:16" ht="16.5" thickBot="1" x14ac:dyDescent="0.25">
      <c r="C19" s="15" t="s">
        <v>89</v>
      </c>
      <c r="D19" s="14"/>
      <c r="E19" s="14"/>
      <c r="F19" s="14"/>
      <c r="G19" s="14"/>
      <c r="H19" s="13">
        <f>STDEV(H9:H14)/SQRT(COUNT(H9:H14))</f>
        <v>62.015933028895454</v>
      </c>
      <c r="I19" s="12"/>
      <c r="J19" s="11"/>
      <c r="K19" s="9">
        <f>STDEV(K9:K14)/SQRT(COUNT(K9:K14))</f>
        <v>15.503983257223863</v>
      </c>
      <c r="L19" s="9">
        <f>STDEV(L9:L14)/SQRT(COUNT(L9:L14))</f>
        <v>152.59826040574674</v>
      </c>
      <c r="M19" s="10">
        <f>STDEV(M9:M14)/SQRT(COUNT(M9:M14))</f>
        <v>136.14512236761985</v>
      </c>
      <c r="N19" s="9">
        <f>STDEV(N9:N14)/SQRT(COUNT(N9:N14))</f>
        <v>59.562800150138088</v>
      </c>
      <c r="O19" s="9">
        <f>STDEV(O9:O14)/SQRT(COUNT(O9:O14))</f>
        <v>53.140741535565063</v>
      </c>
      <c r="P19" s="58">
        <f>STDEV(P9:P14)/SQRT(COUNT(P9:P14))</f>
        <v>0.11070987819909388</v>
      </c>
    </row>
    <row r="21" spans="3:16" x14ac:dyDescent="0.2">
      <c r="C21" s="7" t="s">
        <v>122</v>
      </c>
    </row>
    <row r="22" spans="3:16" x14ac:dyDescent="0.2">
      <c r="C22" s="7" t="s">
        <v>87</v>
      </c>
    </row>
  </sheetData>
  <mergeCells count="6">
    <mergeCell ref="C18:G18"/>
    <mergeCell ref="C19:G19"/>
    <mergeCell ref="K6:M6"/>
    <mergeCell ref="N6:P6"/>
    <mergeCell ref="C16:D16"/>
    <mergeCell ref="F16:G16"/>
  </mergeCells>
  <pageMargins left="0.75" right="0.75" top="1" bottom="0.52" header="0.5" footer="0.5"/>
  <pageSetup scale="75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2A60D-4780-4367-8755-1653EC60D319}">
  <sheetPr codeName="Sheet11">
    <pageSetUpPr fitToPage="1"/>
  </sheetPr>
  <dimension ref="A1:R22"/>
  <sheetViews>
    <sheetView workbookViewId="0">
      <selection activeCell="I5" sqref="I5"/>
    </sheetView>
  </sheetViews>
  <sheetFormatPr defaultRowHeight="12.75" x14ac:dyDescent="0.2"/>
  <cols>
    <col min="1" max="16384" width="9.140625" style="7"/>
  </cols>
  <sheetData>
    <row r="1" spans="1:18" ht="37.5" x14ac:dyDescent="0.2">
      <c r="A1" s="57" t="s">
        <v>121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</row>
    <row r="2" spans="1:18" ht="18.75" thickBot="1" x14ac:dyDescent="0.3">
      <c r="H2" s="56" t="s">
        <v>120</v>
      </c>
      <c r="I2" s="55">
        <v>106</v>
      </c>
      <c r="J2" s="54"/>
      <c r="K2" s="47" t="s">
        <v>119</v>
      </c>
      <c r="L2" s="53">
        <v>37924</v>
      </c>
      <c r="N2" s="47"/>
      <c r="O2" s="48"/>
    </row>
    <row r="3" spans="1:18" ht="17.25" thickTop="1" thickBot="1" x14ac:dyDescent="0.25">
      <c r="B3" s="50" t="s">
        <v>116</v>
      </c>
      <c r="C3" s="52">
        <v>37909</v>
      </c>
      <c r="K3" s="47" t="s">
        <v>115</v>
      </c>
      <c r="L3" s="48">
        <v>1938.2</v>
      </c>
      <c r="N3" s="47" t="s">
        <v>114</v>
      </c>
      <c r="O3" s="46">
        <f>(L3-(L4+L5))/L3</f>
        <v>5.8982561139201285E-2</v>
      </c>
    </row>
    <row r="4" spans="1:18" ht="17.25" thickTop="1" thickBot="1" x14ac:dyDescent="0.25">
      <c r="B4" s="50" t="s">
        <v>113</v>
      </c>
      <c r="C4" s="52">
        <v>37921</v>
      </c>
      <c r="F4" s="45"/>
      <c r="G4" s="45"/>
      <c r="H4" s="50" t="s">
        <v>112</v>
      </c>
      <c r="I4" s="51" t="s">
        <v>117</v>
      </c>
      <c r="K4" s="47" t="s">
        <v>110</v>
      </c>
      <c r="L4" s="48">
        <v>652.1</v>
      </c>
      <c r="N4" s="47" t="s">
        <v>109</v>
      </c>
      <c r="O4" s="46">
        <f>L4/L3</f>
        <v>0.33644618718398517</v>
      </c>
    </row>
    <row r="5" spans="1:18" ht="17.25" thickTop="1" thickBot="1" x14ac:dyDescent="0.25">
      <c r="B5" s="50" t="s">
        <v>108</v>
      </c>
      <c r="C5" s="49"/>
      <c r="F5" s="45"/>
      <c r="G5" s="45"/>
      <c r="K5" s="47" t="s">
        <v>107</v>
      </c>
      <c r="L5" s="48">
        <v>1171.78</v>
      </c>
      <c r="N5" s="47" t="s">
        <v>106</v>
      </c>
      <c r="O5" s="46">
        <f>L5/L3</f>
        <v>0.60457125167681347</v>
      </c>
      <c r="Q5" s="20"/>
    </row>
    <row r="6" spans="1:18" ht="17.25" thickTop="1" thickBot="1" x14ac:dyDescent="0.25">
      <c r="F6" s="45"/>
      <c r="G6" s="45"/>
      <c r="K6" s="43" t="s">
        <v>105</v>
      </c>
      <c r="L6" s="43"/>
      <c r="M6" s="44"/>
      <c r="N6" s="43" t="s">
        <v>104</v>
      </c>
      <c r="O6" s="43"/>
      <c r="P6" s="43"/>
    </row>
    <row r="7" spans="1:18" ht="26.25" thickBot="1" x14ac:dyDescent="0.25">
      <c r="A7" s="36"/>
      <c r="B7" s="36"/>
      <c r="C7" s="35" t="s">
        <v>103</v>
      </c>
      <c r="D7" s="39" t="s">
        <v>102</v>
      </c>
      <c r="E7" s="42" t="s">
        <v>101</v>
      </c>
      <c r="F7" s="42" t="s">
        <v>100</v>
      </c>
      <c r="G7" s="42" t="s">
        <v>99</v>
      </c>
      <c r="H7" s="42" t="s">
        <v>98</v>
      </c>
      <c r="I7" s="35" t="s">
        <v>97</v>
      </c>
      <c r="J7" s="38"/>
      <c r="K7" s="38" t="s">
        <v>96</v>
      </c>
      <c r="L7" s="38" t="s">
        <v>95</v>
      </c>
      <c r="M7" s="41" t="s">
        <v>94</v>
      </c>
      <c r="N7" s="38" t="s">
        <v>95</v>
      </c>
      <c r="O7" s="38" t="s">
        <v>94</v>
      </c>
      <c r="P7" s="40" t="s">
        <v>93</v>
      </c>
      <c r="Q7" s="36"/>
      <c r="R7" s="36"/>
    </row>
    <row r="8" spans="1:18" ht="13.5" thickBot="1" x14ac:dyDescent="0.25">
      <c r="A8" s="36"/>
      <c r="B8" s="36"/>
      <c r="C8" s="35"/>
      <c r="D8" s="39"/>
      <c r="E8" s="35"/>
      <c r="F8" s="35"/>
      <c r="G8" s="35"/>
      <c r="H8" s="35"/>
      <c r="I8" s="35"/>
      <c r="J8" s="38"/>
      <c r="K8" s="36"/>
      <c r="L8" s="36"/>
      <c r="M8" s="37"/>
      <c r="N8" s="36"/>
      <c r="O8" s="36"/>
      <c r="P8" s="36"/>
      <c r="Q8" s="36"/>
      <c r="R8" s="36"/>
    </row>
    <row r="9" spans="1:18" ht="13.5" thickBot="1" x14ac:dyDescent="0.25">
      <c r="C9" s="35">
        <v>3</v>
      </c>
      <c r="D9" s="35">
        <v>4</v>
      </c>
      <c r="E9" s="28">
        <v>757.6</v>
      </c>
      <c r="F9" s="28">
        <v>1128.9000000000001</v>
      </c>
      <c r="G9" s="23"/>
      <c r="H9" s="23">
        <f>SUM(E9:G9)</f>
        <v>1886.5</v>
      </c>
      <c r="I9" s="28"/>
      <c r="K9" s="7">
        <f>H9/D9</f>
        <v>471.625</v>
      </c>
      <c r="L9" s="21">
        <f>K9/1.016*10</f>
        <v>4641.9783464566926</v>
      </c>
      <c r="M9" s="22">
        <f>L9/1.12085</f>
        <v>4141.4804357913126</v>
      </c>
      <c r="N9" s="21">
        <f>L9*$O$4</f>
        <v>1561.7759156559744</v>
      </c>
      <c r="O9" s="21">
        <f>M9*$O$4</f>
        <v>1393.3853019190565</v>
      </c>
      <c r="P9" s="20">
        <f>O9/480</f>
        <v>2.902886045664701</v>
      </c>
    </row>
    <row r="10" spans="1:18" ht="13.5" thickBot="1" x14ac:dyDescent="0.25">
      <c r="C10" s="35">
        <v>4</v>
      </c>
      <c r="D10" s="35">
        <v>4</v>
      </c>
      <c r="E10" s="28">
        <v>821.7</v>
      </c>
      <c r="F10" s="28">
        <v>869.5</v>
      </c>
      <c r="G10" s="23">
        <v>1152.8</v>
      </c>
      <c r="H10" s="23">
        <f>SUM(E10:G10)</f>
        <v>2844</v>
      </c>
      <c r="I10" s="28"/>
      <c r="K10" s="7">
        <f>H10/D10</f>
        <v>711</v>
      </c>
      <c r="L10" s="21">
        <f>K10/1.016*10</f>
        <v>6998.031496062993</v>
      </c>
      <c r="M10" s="22">
        <f>L10/1.12085</f>
        <v>6243.5040336021711</v>
      </c>
      <c r="N10" s="21">
        <f>L10*$O$4</f>
        <v>2354.4610146438336</v>
      </c>
      <c r="O10" s="21">
        <f>M10*$O$4</f>
        <v>2100.6031267732824</v>
      </c>
      <c r="P10" s="20">
        <f>O10/480</f>
        <v>4.376256514111005</v>
      </c>
    </row>
    <row r="11" spans="1:18" ht="13.5" thickBot="1" x14ac:dyDescent="0.25">
      <c r="C11" s="35">
        <v>5</v>
      </c>
      <c r="D11" s="35">
        <v>4</v>
      </c>
      <c r="E11" s="28">
        <v>1105.4000000000001</v>
      </c>
      <c r="F11" s="28">
        <v>821.3</v>
      </c>
      <c r="G11" s="23"/>
      <c r="H11" s="23">
        <f>SUM(E11:G11)</f>
        <v>1926.7</v>
      </c>
      <c r="I11" s="28"/>
      <c r="K11" s="7">
        <f>H11/D11</f>
        <v>481.67500000000001</v>
      </c>
      <c r="L11" s="21">
        <f>K11/1.016*10</f>
        <v>4740.8956692913389</v>
      </c>
      <c r="M11" s="22">
        <f>L11/1.12085</f>
        <v>4229.7324970257741</v>
      </c>
      <c r="N11" s="21">
        <f>L11*$O$4</f>
        <v>1595.0562717701384</v>
      </c>
      <c r="O11" s="21">
        <f>M11*$O$4</f>
        <v>1423.0773714325187</v>
      </c>
      <c r="P11" s="20">
        <f>O11/480</f>
        <v>2.9647445238177474</v>
      </c>
    </row>
    <row r="12" spans="1:18" ht="13.5" thickBot="1" x14ac:dyDescent="0.25">
      <c r="C12" s="35">
        <v>6</v>
      </c>
      <c r="D12" s="35">
        <v>4</v>
      </c>
      <c r="E12" s="28">
        <v>1390</v>
      </c>
      <c r="F12" s="28"/>
      <c r="G12" s="23"/>
      <c r="H12" s="23">
        <f>SUM(E12:G12)</f>
        <v>1390</v>
      </c>
      <c r="I12" s="28"/>
      <c r="K12" s="7">
        <f>H12/D12</f>
        <v>347.5</v>
      </c>
      <c r="L12" s="21">
        <f>K12/1.016*10</f>
        <v>3420.2755905511813</v>
      </c>
      <c r="M12" s="22">
        <f>L12/1.12085</f>
        <v>3051.5016197985292</v>
      </c>
      <c r="N12" s="21">
        <f>L12*$O$4</f>
        <v>1150.7386815593982</v>
      </c>
      <c r="O12" s="21">
        <f>M12*$O$4</f>
        <v>1026.6660851669699</v>
      </c>
      <c r="P12" s="20">
        <f>O12/480</f>
        <v>2.1388876774311871</v>
      </c>
    </row>
    <row r="13" spans="1:18" ht="13.5" thickBot="1" x14ac:dyDescent="0.25">
      <c r="C13" s="35">
        <v>7</v>
      </c>
      <c r="D13" s="35">
        <v>4</v>
      </c>
      <c r="E13" s="28">
        <v>1292.4000000000001</v>
      </c>
      <c r="F13" s="28">
        <v>1088.5</v>
      </c>
      <c r="G13" s="23"/>
      <c r="H13" s="23">
        <f>SUM(E13:G13)</f>
        <v>2380.9</v>
      </c>
      <c r="I13" s="28"/>
      <c r="K13" s="7">
        <f>H13/D13</f>
        <v>595.22500000000002</v>
      </c>
      <c r="L13" s="21">
        <f>K13/1.016*10</f>
        <v>5858.5137795275587</v>
      </c>
      <c r="M13" s="22">
        <f>L13/1.12085</f>
        <v>5226.8490694808042</v>
      </c>
      <c r="N13" s="21">
        <f>L13*$O$4</f>
        <v>1971.0746236868854</v>
      </c>
      <c r="O13" s="21">
        <f>M13*$O$4</f>
        <v>1758.5534404129774</v>
      </c>
      <c r="P13" s="20">
        <f>O13/480</f>
        <v>3.6636530008603696</v>
      </c>
    </row>
    <row r="14" spans="1:18" ht="13.5" thickBot="1" x14ac:dyDescent="0.25">
      <c r="C14" s="35">
        <v>8</v>
      </c>
      <c r="D14" s="35">
        <v>4</v>
      </c>
      <c r="E14" s="28">
        <v>2195.1999999999998</v>
      </c>
      <c r="F14" s="28"/>
      <c r="G14" s="23"/>
      <c r="H14" s="23">
        <f>SUM(E14:G14)</f>
        <v>2195.1999999999998</v>
      </c>
      <c r="I14" s="28"/>
      <c r="K14" s="7">
        <f>H14/D14</f>
        <v>548.79999999999995</v>
      </c>
      <c r="L14" s="21">
        <f>K14/1.016*10</f>
        <v>5401.5748031496059</v>
      </c>
      <c r="M14" s="22">
        <f>L14/1.12085</f>
        <v>4819.1772343753455</v>
      </c>
      <c r="N14" s="21">
        <f>L14*$O$4</f>
        <v>1817.3392473087702</v>
      </c>
      <c r="O14" s="21">
        <f>M14*$O$4</f>
        <v>1621.3938058694475</v>
      </c>
      <c r="P14" s="20">
        <f>O14/480</f>
        <v>3.3779037622280157</v>
      </c>
    </row>
    <row r="15" spans="1:18" ht="13.5" thickBot="1" x14ac:dyDescent="0.25">
      <c r="C15" s="35"/>
      <c r="D15" s="35"/>
      <c r="E15" s="23"/>
      <c r="F15" s="23"/>
      <c r="G15" s="23"/>
      <c r="H15" s="23"/>
      <c r="I15" s="23"/>
      <c r="M15" s="34"/>
    </row>
    <row r="16" spans="1:18" ht="13.5" thickBot="1" x14ac:dyDescent="0.25">
      <c r="C16" s="33" t="s">
        <v>92</v>
      </c>
      <c r="D16" s="32"/>
      <c r="E16" s="31">
        <v>37915</v>
      </c>
      <c r="F16" s="30" t="s">
        <v>91</v>
      </c>
      <c r="G16" s="29"/>
      <c r="H16" s="28">
        <v>558.5</v>
      </c>
      <c r="I16" s="23"/>
      <c r="K16" s="7">
        <f>H16/SUM($D$9:$D$14)</f>
        <v>23.270833333333332</v>
      </c>
      <c r="L16" s="21">
        <f>K16/1.016*10</f>
        <v>229.04363517060364</v>
      </c>
      <c r="M16" s="22">
        <f>L16/1.12085</f>
        <v>204.34816003087269</v>
      </c>
      <c r="N16" s="21">
        <f>L16*$O$4</f>
        <v>77.060857751909325</v>
      </c>
      <c r="O16" s="21">
        <f>M16*$O$4</f>
        <v>68.752159300449946</v>
      </c>
      <c r="P16" s="20">
        <f>O16/480</f>
        <v>0.14323366520927072</v>
      </c>
    </row>
    <row r="17" spans="3:16" ht="13.5" thickBot="1" x14ac:dyDescent="0.25">
      <c r="C17" s="27"/>
      <c r="D17" s="25"/>
      <c r="E17" s="26"/>
      <c r="F17" s="25"/>
      <c r="G17" s="24"/>
      <c r="H17" s="23"/>
      <c r="I17" s="23"/>
      <c r="L17" s="21"/>
      <c r="M17" s="22"/>
      <c r="N17" s="21"/>
      <c r="O17" s="21"/>
      <c r="P17" s="20"/>
    </row>
    <row r="18" spans="3:16" ht="16.5" thickBot="1" x14ac:dyDescent="0.25">
      <c r="C18" s="15" t="s">
        <v>90</v>
      </c>
      <c r="D18" s="14"/>
      <c r="E18" s="14"/>
      <c r="F18" s="14"/>
      <c r="G18" s="19"/>
      <c r="H18" s="13">
        <f>SUM(H9:H14,H16)</f>
        <v>13181.8</v>
      </c>
      <c r="I18" s="12"/>
      <c r="J18" s="11"/>
      <c r="K18" s="17">
        <f>AVERAGE(K9:K14)+K16/6</f>
        <v>529.84930555555547</v>
      </c>
      <c r="L18" s="17">
        <f>AVERAGE(L9:L14)+L16/6</f>
        <v>5215.0522200349951</v>
      </c>
      <c r="M18" s="18">
        <f>AVERAGE(M9:M14)+M16/6</f>
        <v>4652.7655083508025</v>
      </c>
      <c r="N18" s="17">
        <f>AVERAGE(N9:N14)+N16/6</f>
        <v>1754.5844353961515</v>
      </c>
      <c r="O18" s="17">
        <f>AVERAGE(O9:O14)+O16/6</f>
        <v>1565.4052151457838</v>
      </c>
      <c r="P18" s="16">
        <f>AVERAGE(P9:P14)+P16/6</f>
        <v>3.2612608648870496</v>
      </c>
    </row>
    <row r="19" spans="3:16" ht="16.5" thickBot="1" x14ac:dyDescent="0.25">
      <c r="C19" s="15" t="s">
        <v>89</v>
      </c>
      <c r="D19" s="14"/>
      <c r="E19" s="14"/>
      <c r="F19" s="14"/>
      <c r="G19" s="14"/>
      <c r="H19" s="13">
        <f>STDEV(H9:H14)/SQRT(COUNT(H9:H14))</f>
        <v>201.75302627497618</v>
      </c>
      <c r="I19" s="12"/>
      <c r="J19" s="11"/>
      <c r="K19" s="9">
        <f>STDEV(K9:K14)/SQRT(COUNT(K9:K14))</f>
        <v>50.438256568744045</v>
      </c>
      <c r="L19" s="9">
        <f>STDEV(L9:L14)/SQRT(COUNT(L9:L14))</f>
        <v>496.43953315693017</v>
      </c>
      <c r="M19" s="10">
        <f>STDEV(M9:M14)/SQRT(COUNT(M9:M14))</f>
        <v>442.91344350887999</v>
      </c>
      <c r="N19" s="9">
        <f>STDEV(N9:N14)/SQRT(COUNT(N9:N14))</f>
        <v>167.02518809804667</v>
      </c>
      <c r="O19" s="9">
        <f>STDEV(O9:O14)/SQRT(COUNT(O9:O14))</f>
        <v>149.01653932109241</v>
      </c>
      <c r="P19" s="58">
        <f>STDEV(P9:P14)/SQRT(COUNT(P9:P14))</f>
        <v>0.31045112358560967</v>
      </c>
    </row>
    <row r="21" spans="3:16" x14ac:dyDescent="0.2">
      <c r="C21" s="7" t="s">
        <v>122</v>
      </c>
    </row>
    <row r="22" spans="3:16" x14ac:dyDescent="0.2">
      <c r="C22" s="7" t="s">
        <v>87</v>
      </c>
    </row>
  </sheetData>
  <mergeCells count="6">
    <mergeCell ref="C18:G18"/>
    <mergeCell ref="C19:G19"/>
    <mergeCell ref="K6:M6"/>
    <mergeCell ref="N6:P6"/>
    <mergeCell ref="C16:D16"/>
    <mergeCell ref="F16:G16"/>
  </mergeCells>
  <pageMargins left="0.75" right="0.75" top="1" bottom="0.52" header="0.5" footer="0.5"/>
  <pageSetup scale="75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CA101-D9A9-4C37-BD61-C8C4D3B51B21}">
  <sheetPr codeName="Sheet12">
    <pageSetUpPr fitToPage="1"/>
  </sheetPr>
  <dimension ref="A1:R22"/>
  <sheetViews>
    <sheetView workbookViewId="0">
      <selection activeCell="I5" sqref="I5"/>
    </sheetView>
  </sheetViews>
  <sheetFormatPr defaultRowHeight="12.75" x14ac:dyDescent="0.2"/>
  <cols>
    <col min="1" max="16384" width="9.140625" style="7"/>
  </cols>
  <sheetData>
    <row r="1" spans="1:18" ht="37.5" x14ac:dyDescent="0.2">
      <c r="A1" s="57" t="s">
        <v>121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</row>
    <row r="2" spans="1:18" ht="18.75" thickBot="1" x14ac:dyDescent="0.3">
      <c r="H2" s="56" t="s">
        <v>120</v>
      </c>
      <c r="I2" s="55">
        <v>107</v>
      </c>
      <c r="J2" s="54"/>
      <c r="K2" s="47" t="s">
        <v>119</v>
      </c>
      <c r="L2" s="53">
        <v>37924</v>
      </c>
      <c r="N2" s="47"/>
      <c r="O2" s="48"/>
    </row>
    <row r="3" spans="1:18" ht="17.25" thickTop="1" thickBot="1" x14ac:dyDescent="0.25">
      <c r="B3" s="50" t="s">
        <v>116</v>
      </c>
      <c r="C3" s="52">
        <v>37909</v>
      </c>
      <c r="K3" s="47" t="s">
        <v>115</v>
      </c>
      <c r="L3" s="48">
        <v>1934.45</v>
      </c>
      <c r="N3" s="47" t="s">
        <v>114</v>
      </c>
      <c r="O3" s="46">
        <f>(L3-(L4+L5))/L3</f>
        <v>2.4818423841401944E-2</v>
      </c>
    </row>
    <row r="4" spans="1:18" ht="17.25" thickTop="1" thickBot="1" x14ac:dyDescent="0.25">
      <c r="B4" s="50" t="s">
        <v>113</v>
      </c>
      <c r="C4" s="52">
        <v>37921</v>
      </c>
      <c r="F4" s="45"/>
      <c r="G4" s="45"/>
      <c r="H4" s="50" t="s">
        <v>112</v>
      </c>
      <c r="I4" s="51" t="s">
        <v>111</v>
      </c>
      <c r="K4" s="47" t="s">
        <v>110</v>
      </c>
      <c r="L4" s="48">
        <v>707.9</v>
      </c>
      <c r="N4" s="47" t="s">
        <v>109</v>
      </c>
      <c r="O4" s="46">
        <f>L4/L3</f>
        <v>0.36594380831760964</v>
      </c>
    </row>
    <row r="5" spans="1:18" ht="17.25" thickTop="1" thickBot="1" x14ac:dyDescent="0.25">
      <c r="B5" s="50" t="s">
        <v>108</v>
      </c>
      <c r="C5" s="49">
        <v>0.40972222222222227</v>
      </c>
      <c r="F5" s="45"/>
      <c r="G5" s="45"/>
      <c r="K5" s="47" t="s">
        <v>107</v>
      </c>
      <c r="L5" s="48">
        <v>1178.54</v>
      </c>
      <c r="N5" s="47" t="s">
        <v>106</v>
      </c>
      <c r="O5" s="46">
        <f>L5/L3</f>
        <v>0.60923776784098838</v>
      </c>
      <c r="Q5" s="20"/>
    </row>
    <row r="6" spans="1:18" ht="17.25" thickTop="1" thickBot="1" x14ac:dyDescent="0.25">
      <c r="F6" s="45"/>
      <c r="G6" s="45"/>
      <c r="K6" s="43" t="s">
        <v>105</v>
      </c>
      <c r="L6" s="43"/>
      <c r="M6" s="44"/>
      <c r="N6" s="43" t="s">
        <v>104</v>
      </c>
      <c r="O6" s="43"/>
      <c r="P6" s="43"/>
    </row>
    <row r="7" spans="1:18" ht="26.25" thickBot="1" x14ac:dyDescent="0.25">
      <c r="A7" s="36"/>
      <c r="B7" s="36"/>
      <c r="C7" s="35" t="s">
        <v>103</v>
      </c>
      <c r="D7" s="39" t="s">
        <v>102</v>
      </c>
      <c r="E7" s="42" t="s">
        <v>101</v>
      </c>
      <c r="F7" s="42" t="s">
        <v>100</v>
      </c>
      <c r="G7" s="42" t="s">
        <v>99</v>
      </c>
      <c r="H7" s="42" t="s">
        <v>98</v>
      </c>
      <c r="I7" s="35" t="s">
        <v>97</v>
      </c>
      <c r="J7" s="38"/>
      <c r="K7" s="38" t="s">
        <v>96</v>
      </c>
      <c r="L7" s="38" t="s">
        <v>95</v>
      </c>
      <c r="M7" s="41" t="s">
        <v>94</v>
      </c>
      <c r="N7" s="38" t="s">
        <v>95</v>
      </c>
      <c r="O7" s="38" t="s">
        <v>94</v>
      </c>
      <c r="P7" s="40" t="s">
        <v>93</v>
      </c>
      <c r="Q7" s="36"/>
      <c r="R7" s="36"/>
    </row>
    <row r="8" spans="1:18" ht="13.5" thickBot="1" x14ac:dyDescent="0.25">
      <c r="A8" s="36"/>
      <c r="B8" s="36"/>
      <c r="C8" s="35"/>
      <c r="D8" s="39"/>
      <c r="E8" s="35"/>
      <c r="F8" s="35"/>
      <c r="G8" s="35"/>
      <c r="H8" s="35"/>
      <c r="I8" s="35"/>
      <c r="J8" s="38"/>
      <c r="K8" s="36"/>
      <c r="L8" s="36"/>
      <c r="M8" s="37"/>
      <c r="N8" s="36"/>
      <c r="O8" s="36"/>
      <c r="P8" s="36"/>
      <c r="Q8" s="36"/>
      <c r="R8" s="36"/>
    </row>
    <row r="9" spans="1:18" ht="13.5" thickBot="1" x14ac:dyDescent="0.25">
      <c r="C9" s="35">
        <v>3</v>
      </c>
      <c r="D9" s="35">
        <v>4</v>
      </c>
      <c r="E9" s="28">
        <v>899.36</v>
      </c>
      <c r="F9" s="28">
        <v>828.56</v>
      </c>
      <c r="G9" s="23"/>
      <c r="H9" s="23">
        <f>SUM(E9:G9)</f>
        <v>1727.92</v>
      </c>
      <c r="I9" s="28"/>
      <c r="K9" s="7">
        <f>H9/D9</f>
        <v>431.98</v>
      </c>
      <c r="L9" s="21">
        <f>K9/1.016*10</f>
        <v>4251.7716535433074</v>
      </c>
      <c r="M9" s="22">
        <f>L9/1.12085</f>
        <v>3793.3458121455214</v>
      </c>
      <c r="N9" s="21">
        <f>L9*$O$4</f>
        <v>1555.9095109944983</v>
      </c>
      <c r="O9" s="21">
        <f>M9*$O$4</f>
        <v>1388.1514127621879</v>
      </c>
      <c r="P9" s="20">
        <f>O9/480</f>
        <v>2.8919821099212246</v>
      </c>
    </row>
    <row r="10" spans="1:18" ht="13.5" thickBot="1" x14ac:dyDescent="0.25">
      <c r="C10" s="35">
        <v>4</v>
      </c>
      <c r="D10" s="35">
        <v>4</v>
      </c>
      <c r="E10" s="28">
        <v>1005.08</v>
      </c>
      <c r="F10" s="28">
        <v>1038.1600000000001</v>
      </c>
      <c r="G10" s="23"/>
      <c r="H10" s="23">
        <f>SUM(E10:G10)</f>
        <v>2043.2400000000002</v>
      </c>
      <c r="I10" s="28"/>
      <c r="K10" s="7">
        <f>H10/D10</f>
        <v>510.81000000000006</v>
      </c>
      <c r="L10" s="21">
        <f>K10/1.016*10</f>
        <v>5027.6574803149615</v>
      </c>
      <c r="M10" s="22">
        <f>L10/1.12085</f>
        <v>4485.5756616094586</v>
      </c>
      <c r="N10" s="21">
        <f>L10*$O$4</f>
        <v>1839.8401252629747</v>
      </c>
      <c r="O10" s="21">
        <f>M10*$O$4</f>
        <v>1641.4686401061467</v>
      </c>
      <c r="P10" s="20">
        <f>O10/480</f>
        <v>3.4197263335544723</v>
      </c>
    </row>
    <row r="11" spans="1:18" ht="13.5" thickBot="1" x14ac:dyDescent="0.25">
      <c r="C11" s="35">
        <v>5</v>
      </c>
      <c r="D11" s="35">
        <v>4</v>
      </c>
      <c r="E11" s="28">
        <v>1070.58</v>
      </c>
      <c r="F11" s="28">
        <v>845.84</v>
      </c>
      <c r="G11" s="23"/>
      <c r="H11" s="23">
        <f>SUM(E11:G11)</f>
        <v>1916.42</v>
      </c>
      <c r="I11" s="28"/>
      <c r="K11" s="7">
        <f>H11/D11</f>
        <v>479.10500000000002</v>
      </c>
      <c r="L11" s="21">
        <f>K11/1.016*10</f>
        <v>4715.6003937007872</v>
      </c>
      <c r="M11" s="22">
        <f>L11/1.12085</f>
        <v>4207.1645569887032</v>
      </c>
      <c r="N11" s="21">
        <f>L11*$O$4</f>
        <v>1725.6447665748854</v>
      </c>
      <c r="O11" s="21">
        <f>M11*$O$4</f>
        <v>1539.5858202033151</v>
      </c>
      <c r="P11" s="20">
        <f>O11/480</f>
        <v>3.2074704587569065</v>
      </c>
    </row>
    <row r="12" spans="1:18" ht="13.5" thickBot="1" x14ac:dyDescent="0.25">
      <c r="C12" s="35">
        <v>6</v>
      </c>
      <c r="D12" s="35">
        <v>4</v>
      </c>
      <c r="E12" s="28">
        <v>1710.85</v>
      </c>
      <c r="F12" s="28"/>
      <c r="G12" s="23"/>
      <c r="H12" s="23">
        <f>SUM(E12:G12)</f>
        <v>1710.85</v>
      </c>
      <c r="I12" s="28"/>
      <c r="K12" s="7">
        <f>H12/D12</f>
        <v>427.71249999999998</v>
      </c>
      <c r="L12" s="21">
        <f>K12/1.016*10</f>
        <v>4209.768700787401</v>
      </c>
      <c r="M12" s="22">
        <f>L12/1.12085</f>
        <v>3755.8716159944697</v>
      </c>
      <c r="N12" s="21">
        <f>L12*$O$4</f>
        <v>1540.5387905024172</v>
      </c>
      <c r="O12" s="21">
        <f>M12*$O$4</f>
        <v>1374.4379627090309</v>
      </c>
      <c r="P12" s="20">
        <f>O12/480</f>
        <v>2.8634124223104811</v>
      </c>
    </row>
    <row r="13" spans="1:18" ht="13.5" thickBot="1" x14ac:dyDescent="0.25">
      <c r="C13" s="35">
        <v>7</v>
      </c>
      <c r="D13" s="35">
        <v>4</v>
      </c>
      <c r="E13" s="28">
        <v>556.59</v>
      </c>
      <c r="F13" s="28">
        <v>1324.85</v>
      </c>
      <c r="G13" s="23"/>
      <c r="H13" s="23">
        <f>SUM(E13:G13)</f>
        <v>1881.44</v>
      </c>
      <c r="I13" s="28"/>
      <c r="K13" s="7">
        <f>H13/D13</f>
        <v>470.36</v>
      </c>
      <c r="L13" s="21">
        <f>K13/1.016*10</f>
        <v>4629.5275590551182</v>
      </c>
      <c r="M13" s="22">
        <f>L13/1.12085</f>
        <v>4130.3720917652845</v>
      </c>
      <c r="N13" s="21">
        <f>L13*$O$4</f>
        <v>1694.1469456719574</v>
      </c>
      <c r="O13" s="21">
        <f>M13*$O$4</f>
        <v>1511.4840930293597</v>
      </c>
      <c r="P13" s="20">
        <f>O13/480</f>
        <v>3.148925193811166</v>
      </c>
    </row>
    <row r="14" spans="1:18" ht="13.5" thickBot="1" x14ac:dyDescent="0.25">
      <c r="C14" s="35">
        <v>8</v>
      </c>
      <c r="D14" s="35">
        <v>4</v>
      </c>
      <c r="E14" s="28">
        <v>1969.1</v>
      </c>
      <c r="F14" s="28"/>
      <c r="G14" s="23"/>
      <c r="H14" s="23">
        <f>SUM(E14:G14)</f>
        <v>1969.1</v>
      </c>
      <c r="I14" s="28"/>
      <c r="K14" s="7">
        <f>H14/D14</f>
        <v>492.27499999999998</v>
      </c>
      <c r="L14" s="21">
        <f>K14/1.016*10</f>
        <v>4845.2263779527557</v>
      </c>
      <c r="M14" s="22">
        <f>L14/1.12085</f>
        <v>4322.8142730541604</v>
      </c>
      <c r="N14" s="21">
        <f>L14*$O$4</f>
        <v>1773.0805929089693</v>
      </c>
      <c r="O14" s="21">
        <f>M14*$O$4</f>
        <v>1581.9071177311587</v>
      </c>
      <c r="P14" s="20">
        <f>O14/480</f>
        <v>3.2956398286065807</v>
      </c>
    </row>
    <row r="15" spans="1:18" ht="13.5" thickBot="1" x14ac:dyDescent="0.25">
      <c r="C15" s="35"/>
      <c r="D15" s="35"/>
      <c r="E15" s="23"/>
      <c r="F15" s="23"/>
      <c r="G15" s="23"/>
      <c r="H15" s="23"/>
      <c r="I15" s="23"/>
      <c r="M15" s="34"/>
    </row>
    <row r="16" spans="1:18" ht="13.5" thickBot="1" x14ac:dyDescent="0.25">
      <c r="C16" s="33" t="s">
        <v>92</v>
      </c>
      <c r="D16" s="32"/>
      <c r="E16" s="31">
        <v>37915</v>
      </c>
      <c r="F16" s="30" t="s">
        <v>91</v>
      </c>
      <c r="G16" s="29"/>
      <c r="H16" s="28">
        <v>326.12</v>
      </c>
      <c r="I16" s="23"/>
      <c r="K16" s="7">
        <f>H16/SUM($D$9:$D$14)</f>
        <v>13.588333333333333</v>
      </c>
      <c r="L16" s="21">
        <f>K16/1.016*10</f>
        <v>133.74343832020998</v>
      </c>
      <c r="M16" s="22">
        <f>L16/1.12085</f>
        <v>119.32322640871659</v>
      </c>
      <c r="N16" s="21">
        <f>L16*$O$4</f>
        <v>48.94258315638897</v>
      </c>
      <c r="O16" s="21">
        <f>M16*$O$4</f>
        <v>43.665595892750119</v>
      </c>
      <c r="P16" s="20">
        <f>O16/480</f>
        <v>9.0969991443229412E-2</v>
      </c>
    </row>
    <row r="17" spans="3:16" ht="13.5" thickBot="1" x14ac:dyDescent="0.25">
      <c r="C17" s="27"/>
      <c r="D17" s="25"/>
      <c r="E17" s="26"/>
      <c r="F17" s="25"/>
      <c r="G17" s="24"/>
      <c r="H17" s="23"/>
      <c r="I17" s="23"/>
      <c r="L17" s="21"/>
      <c r="M17" s="22"/>
      <c r="N17" s="21"/>
      <c r="O17" s="21"/>
      <c r="P17" s="20"/>
    </row>
    <row r="18" spans="3:16" ht="16.5" thickBot="1" x14ac:dyDescent="0.25">
      <c r="C18" s="15" t="s">
        <v>90</v>
      </c>
      <c r="D18" s="14"/>
      <c r="E18" s="14"/>
      <c r="F18" s="14"/>
      <c r="G18" s="19"/>
      <c r="H18" s="13">
        <f>SUM(H9:H14,H16)</f>
        <v>11575.090000000002</v>
      </c>
      <c r="I18" s="12"/>
      <c r="J18" s="11"/>
      <c r="K18" s="17">
        <f>AVERAGE(K9:K14)+K16/6</f>
        <v>470.97180555555565</v>
      </c>
      <c r="L18" s="17">
        <f>AVERAGE(L9:L14)+L16/6</f>
        <v>4635.5492672790906</v>
      </c>
      <c r="M18" s="18">
        <f>AVERAGE(M9:M14)+M16/6</f>
        <v>4135.7445396610519</v>
      </c>
      <c r="N18" s="17">
        <f>AVERAGE(N9:N14)+N16/6</f>
        <v>1696.3505525120154</v>
      </c>
      <c r="O18" s="17">
        <f>AVERAGE(O9:O14)+O16/6</f>
        <v>1513.4501070723247</v>
      </c>
      <c r="P18" s="16">
        <f>AVERAGE(P9:P14)+P16/6</f>
        <v>3.1530210564006773</v>
      </c>
    </row>
    <row r="19" spans="3:16" ht="16.5" thickBot="1" x14ac:dyDescent="0.25">
      <c r="C19" s="15" t="s">
        <v>89</v>
      </c>
      <c r="D19" s="14"/>
      <c r="E19" s="14"/>
      <c r="F19" s="14"/>
      <c r="G19" s="14"/>
      <c r="H19" s="13">
        <f>STDEV(H9:H14)/SQRT(COUNT(H9:H14))</f>
        <v>54.004373181972781</v>
      </c>
      <c r="I19" s="12"/>
      <c r="J19" s="11"/>
      <c r="K19" s="9">
        <f>STDEV(K9:K14)/SQRT(COUNT(K9:K14))</f>
        <v>13.501093295493195</v>
      </c>
      <c r="L19" s="9">
        <f>STDEV(L9:L14)/SQRT(COUNT(L9:L14))</f>
        <v>132.8847765304449</v>
      </c>
      <c r="M19" s="10">
        <f>STDEV(M9:M14)/SQRT(COUNT(M9:M14))</f>
        <v>118.55714549711813</v>
      </c>
      <c r="N19" s="9">
        <f>STDEV(N9:N14)/SQRT(COUNT(N9:N14))</f>
        <v>48.628361190985515</v>
      </c>
      <c r="O19" s="9">
        <f>STDEV(O9:O14)/SQRT(COUNT(O9:O14))</f>
        <v>43.38525332648036</v>
      </c>
      <c r="P19" s="58">
        <f>STDEV(P9:P14)/SQRT(COUNT(P9:P14))</f>
        <v>9.0385944430167425E-2</v>
      </c>
    </row>
    <row r="21" spans="3:16" x14ac:dyDescent="0.2">
      <c r="C21" s="7" t="s">
        <v>122</v>
      </c>
    </row>
    <row r="22" spans="3:16" x14ac:dyDescent="0.2">
      <c r="C22" s="7" t="s">
        <v>87</v>
      </c>
    </row>
  </sheetData>
  <mergeCells count="6">
    <mergeCell ref="C18:G18"/>
    <mergeCell ref="C19:G19"/>
    <mergeCell ref="K6:M6"/>
    <mergeCell ref="N6:P6"/>
    <mergeCell ref="C16:D16"/>
    <mergeCell ref="F16:G16"/>
  </mergeCells>
  <pageMargins left="0.75" right="0.75" top="1" bottom="0.52" header="0.5" footer="0.5"/>
  <pageSetup scale="75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69CBB-E0FD-448D-81CA-7F35F22F5854}">
  <sheetPr codeName="Sheet13">
    <pageSetUpPr fitToPage="1"/>
  </sheetPr>
  <dimension ref="A1:R22"/>
  <sheetViews>
    <sheetView workbookViewId="0">
      <selection activeCell="I5" sqref="I5"/>
    </sheetView>
  </sheetViews>
  <sheetFormatPr defaultRowHeight="12.75" x14ac:dyDescent="0.2"/>
  <cols>
    <col min="1" max="16384" width="9.140625" style="7"/>
  </cols>
  <sheetData>
    <row r="1" spans="1:18" ht="37.5" x14ac:dyDescent="0.2">
      <c r="A1" s="57" t="s">
        <v>121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</row>
    <row r="2" spans="1:18" ht="18.75" thickBot="1" x14ac:dyDescent="0.3">
      <c r="H2" s="56" t="s">
        <v>120</v>
      </c>
      <c r="I2" s="55">
        <v>108</v>
      </c>
      <c r="J2" s="54"/>
      <c r="K2" s="47" t="s">
        <v>119</v>
      </c>
      <c r="L2" s="53">
        <v>37924</v>
      </c>
      <c r="N2" s="47"/>
      <c r="O2" s="48"/>
    </row>
    <row r="3" spans="1:18" ht="17.25" thickTop="1" thickBot="1" x14ac:dyDescent="0.25">
      <c r="B3" s="50" t="s">
        <v>116</v>
      </c>
      <c r="C3" s="52">
        <v>37909</v>
      </c>
      <c r="K3" s="47" t="s">
        <v>115</v>
      </c>
      <c r="L3" s="48">
        <v>2576.1</v>
      </c>
      <c r="N3" s="47" t="s">
        <v>114</v>
      </c>
      <c r="O3" s="46">
        <f>(L3-(L4+L5))/L3</f>
        <v>3.388843600791884E-2</v>
      </c>
    </row>
    <row r="4" spans="1:18" ht="17.25" thickTop="1" thickBot="1" x14ac:dyDescent="0.25">
      <c r="B4" s="50" t="s">
        <v>113</v>
      </c>
      <c r="C4" s="52">
        <v>37921</v>
      </c>
      <c r="F4" s="45"/>
      <c r="G4" s="45"/>
      <c r="H4" s="50" t="s">
        <v>112</v>
      </c>
      <c r="I4" s="51" t="s">
        <v>124</v>
      </c>
      <c r="K4" s="47" t="s">
        <v>110</v>
      </c>
      <c r="L4" s="48">
        <v>935.4</v>
      </c>
      <c r="N4" s="47" t="s">
        <v>109</v>
      </c>
      <c r="O4" s="46">
        <f>L4/L3</f>
        <v>0.36310702224292535</v>
      </c>
    </row>
    <row r="5" spans="1:18" ht="17.25" thickTop="1" thickBot="1" x14ac:dyDescent="0.25">
      <c r="B5" s="50" t="s">
        <v>108</v>
      </c>
      <c r="C5" s="49">
        <v>0.40972222222222227</v>
      </c>
      <c r="F5" s="45"/>
      <c r="G5" s="45"/>
      <c r="K5" s="47" t="s">
        <v>107</v>
      </c>
      <c r="L5" s="48">
        <v>1553.4</v>
      </c>
      <c r="N5" s="47" t="s">
        <v>106</v>
      </c>
      <c r="O5" s="46">
        <f>L5/L3</f>
        <v>0.60300454174915574</v>
      </c>
      <c r="Q5" s="20"/>
    </row>
    <row r="6" spans="1:18" ht="17.25" thickTop="1" thickBot="1" x14ac:dyDescent="0.25">
      <c r="F6" s="45"/>
      <c r="G6" s="45"/>
      <c r="K6" s="43" t="s">
        <v>105</v>
      </c>
      <c r="L6" s="43"/>
      <c r="M6" s="44"/>
      <c r="N6" s="43" t="s">
        <v>104</v>
      </c>
      <c r="O6" s="43"/>
      <c r="P6" s="43"/>
    </row>
    <row r="7" spans="1:18" ht="26.25" thickBot="1" x14ac:dyDescent="0.25">
      <c r="A7" s="36"/>
      <c r="B7" s="36"/>
      <c r="C7" s="35" t="s">
        <v>103</v>
      </c>
      <c r="D7" s="39" t="s">
        <v>102</v>
      </c>
      <c r="E7" s="42" t="s">
        <v>101</v>
      </c>
      <c r="F7" s="42" t="s">
        <v>100</v>
      </c>
      <c r="G7" s="42" t="s">
        <v>99</v>
      </c>
      <c r="H7" s="42" t="s">
        <v>98</v>
      </c>
      <c r="I7" s="35" t="s">
        <v>97</v>
      </c>
      <c r="J7" s="38"/>
      <c r="K7" s="38" t="s">
        <v>96</v>
      </c>
      <c r="L7" s="38" t="s">
        <v>95</v>
      </c>
      <c r="M7" s="41" t="s">
        <v>94</v>
      </c>
      <c r="N7" s="38" t="s">
        <v>95</v>
      </c>
      <c r="O7" s="38" t="s">
        <v>94</v>
      </c>
      <c r="P7" s="40" t="s">
        <v>93</v>
      </c>
      <c r="Q7" s="36"/>
      <c r="R7" s="36"/>
    </row>
    <row r="8" spans="1:18" ht="13.5" thickBot="1" x14ac:dyDescent="0.25">
      <c r="A8" s="36"/>
      <c r="B8" s="36"/>
      <c r="C8" s="35"/>
      <c r="D8" s="39"/>
      <c r="E8" s="35"/>
      <c r="F8" s="35"/>
      <c r="G8" s="35"/>
      <c r="H8" s="35"/>
      <c r="I8" s="35"/>
      <c r="J8" s="38"/>
      <c r="K8" s="36"/>
      <c r="L8" s="36"/>
      <c r="M8" s="37"/>
      <c r="N8" s="36"/>
      <c r="O8" s="36"/>
      <c r="P8" s="36"/>
      <c r="Q8" s="36"/>
      <c r="R8" s="36"/>
    </row>
    <row r="9" spans="1:18" ht="13.5" thickBot="1" x14ac:dyDescent="0.25">
      <c r="C9" s="35">
        <v>3</v>
      </c>
      <c r="D9" s="35">
        <v>4</v>
      </c>
      <c r="E9" s="28">
        <v>1339.7</v>
      </c>
      <c r="F9" s="28">
        <v>842.8</v>
      </c>
      <c r="G9" s="23"/>
      <c r="H9" s="23">
        <f>SUM(E9:G9)</f>
        <v>2182.5</v>
      </c>
      <c r="I9" s="28"/>
      <c r="K9" s="7">
        <f>H9/D9</f>
        <v>545.625</v>
      </c>
      <c r="L9" s="21">
        <f>K9/1.016*10</f>
        <v>5370.3248031496059</v>
      </c>
      <c r="M9" s="22">
        <f>L9/1.12085</f>
        <v>4791.2966080649567</v>
      </c>
      <c r="N9" s="21">
        <f>L9*$O$4</f>
        <v>1950.0026477489776</v>
      </c>
      <c r="O9" s="21">
        <f>M9*$O$4</f>
        <v>1739.7534440370951</v>
      </c>
      <c r="P9" s="20">
        <f>O9/480</f>
        <v>3.6244863417439479</v>
      </c>
    </row>
    <row r="10" spans="1:18" ht="13.5" thickBot="1" x14ac:dyDescent="0.25">
      <c r="C10" s="35">
        <v>4</v>
      </c>
      <c r="D10" s="35">
        <v>4</v>
      </c>
      <c r="E10" s="28">
        <v>1295.3</v>
      </c>
      <c r="F10" s="28">
        <v>919.3</v>
      </c>
      <c r="G10" s="23"/>
      <c r="H10" s="23">
        <f>SUM(E10:G10)</f>
        <v>2214.6</v>
      </c>
      <c r="I10" s="28"/>
      <c r="K10" s="7">
        <f>H10/D10</f>
        <v>553.65</v>
      </c>
      <c r="L10" s="21">
        <f>K10/1.016*10</f>
        <v>5449.3110236220473</v>
      </c>
      <c r="M10" s="22">
        <f>L10/1.12085</f>
        <v>4861.7665375581455</v>
      </c>
      <c r="N10" s="21">
        <f>L10*$O$4</f>
        <v>1978.6830990629489</v>
      </c>
      <c r="O10" s="21">
        <f>M10*$O$4</f>
        <v>1765.3415702930356</v>
      </c>
      <c r="P10" s="20">
        <f>O10/480</f>
        <v>3.6777949381104906</v>
      </c>
    </row>
    <row r="11" spans="1:18" ht="13.5" thickBot="1" x14ac:dyDescent="0.25">
      <c r="C11" s="35">
        <v>5</v>
      </c>
      <c r="D11" s="35">
        <v>4</v>
      </c>
      <c r="E11" s="28">
        <v>1182.7</v>
      </c>
      <c r="F11" s="28">
        <v>1009.8</v>
      </c>
      <c r="G11" s="23"/>
      <c r="H11" s="23">
        <f>SUM(E11:G11)</f>
        <v>2192.5</v>
      </c>
      <c r="I11" s="28"/>
      <c r="K11" s="7">
        <f>H11/D11</f>
        <v>548.125</v>
      </c>
      <c r="L11" s="21">
        <f>K11/1.016*10</f>
        <v>5394.9311023622049</v>
      </c>
      <c r="M11" s="22">
        <f>L11/1.12085</f>
        <v>4813.2498571282558</v>
      </c>
      <c r="N11" s="21">
        <f>L11*$O$4</f>
        <v>1958.9373677844828</v>
      </c>
      <c r="O11" s="21">
        <f>M11*$O$4</f>
        <v>1747.7248229330269</v>
      </c>
      <c r="P11" s="20">
        <f>O11/480</f>
        <v>3.6410933811104726</v>
      </c>
    </row>
    <row r="12" spans="1:18" ht="13.5" thickBot="1" x14ac:dyDescent="0.25">
      <c r="C12" s="35">
        <v>6</v>
      </c>
      <c r="D12" s="35">
        <v>4</v>
      </c>
      <c r="E12" s="28">
        <v>600.29999999999995</v>
      </c>
      <c r="F12" s="28">
        <v>827.6</v>
      </c>
      <c r="G12" s="23">
        <v>832.5</v>
      </c>
      <c r="H12" s="23">
        <f>SUM(E12:G12)</f>
        <v>2260.4</v>
      </c>
      <c r="I12" s="28"/>
      <c r="K12" s="7">
        <f>H12/D12</f>
        <v>565.1</v>
      </c>
      <c r="L12" s="21">
        <f>K12/1.016*10</f>
        <v>5562.0078740157487</v>
      </c>
      <c r="M12" s="22">
        <f>L12/1.12085</f>
        <v>4962.3124182680549</v>
      </c>
      <c r="N12" s="21">
        <f>L12*$O$4</f>
        <v>2019.6041168255624</v>
      </c>
      <c r="O12" s="21">
        <f>M12*$O$4</f>
        <v>1801.8504856364034</v>
      </c>
      <c r="P12" s="20">
        <f>O12/480</f>
        <v>3.7538551784091738</v>
      </c>
    </row>
    <row r="13" spans="1:18" ht="13.5" thickBot="1" x14ac:dyDescent="0.25">
      <c r="C13" s="35">
        <v>7</v>
      </c>
      <c r="D13" s="35">
        <v>4</v>
      </c>
      <c r="E13" s="28">
        <v>1222.5</v>
      </c>
      <c r="F13" s="28">
        <v>1081.0999999999999</v>
      </c>
      <c r="H13" s="23">
        <f>SUM(E13:G13)</f>
        <v>2303.6</v>
      </c>
      <c r="I13" s="28"/>
      <c r="K13" s="7">
        <f>H13/D13</f>
        <v>575.9</v>
      </c>
      <c r="L13" s="21">
        <f>K13/1.016*10</f>
        <v>5668.3070866141725</v>
      </c>
      <c r="M13" s="22">
        <f>L13/1.12085</f>
        <v>5057.1504542215043</v>
      </c>
      <c r="N13" s="21">
        <f>L13*$O$4</f>
        <v>2058.2021073789438</v>
      </c>
      <c r="O13" s="21">
        <f>M13*$O$4</f>
        <v>1836.2868424668277</v>
      </c>
      <c r="P13" s="20">
        <f>O13/480</f>
        <v>3.8255975884725575</v>
      </c>
    </row>
    <row r="14" spans="1:18" ht="13.5" thickBot="1" x14ac:dyDescent="0.25">
      <c r="C14" s="35">
        <v>8</v>
      </c>
      <c r="D14" s="35">
        <v>4</v>
      </c>
      <c r="E14" s="28">
        <v>2125.9</v>
      </c>
      <c r="F14" s="28"/>
      <c r="G14" s="23"/>
      <c r="H14" s="23">
        <f>SUM(E14:G14)</f>
        <v>2125.9</v>
      </c>
      <c r="I14" s="28"/>
      <c r="K14" s="7">
        <f>H14/D14</f>
        <v>531.47500000000002</v>
      </c>
      <c r="L14" s="21">
        <f>K14/1.016*10</f>
        <v>5231.0531496062995</v>
      </c>
      <c r="M14" s="22">
        <f>L14/1.12085</f>
        <v>4667.0412183666858</v>
      </c>
      <c r="N14" s="21">
        <f>L14*$O$4</f>
        <v>1899.4321323480192</v>
      </c>
      <c r="O14" s="21">
        <f>M14*$O$4</f>
        <v>1694.6354394861216</v>
      </c>
      <c r="P14" s="20">
        <f>O14/480</f>
        <v>3.5304904989294199</v>
      </c>
    </row>
    <row r="15" spans="1:18" ht="13.5" thickBot="1" x14ac:dyDescent="0.25">
      <c r="C15" s="35"/>
      <c r="D15" s="35"/>
      <c r="E15" s="23"/>
      <c r="F15" s="23"/>
      <c r="G15" s="23"/>
      <c r="H15" s="23"/>
      <c r="I15" s="23"/>
      <c r="M15" s="34"/>
    </row>
    <row r="16" spans="1:18" ht="13.5" thickBot="1" x14ac:dyDescent="0.25">
      <c r="C16" s="33" t="s">
        <v>92</v>
      </c>
      <c r="D16" s="32"/>
      <c r="E16" s="31">
        <v>37915</v>
      </c>
      <c r="F16" s="30" t="s">
        <v>91</v>
      </c>
      <c r="G16" s="29"/>
      <c r="H16" s="28">
        <v>491.9</v>
      </c>
      <c r="I16" s="23"/>
      <c r="K16" s="7">
        <f>H16/SUM($D$9:$D$14)</f>
        <v>20.495833333333334</v>
      </c>
      <c r="L16" s="21">
        <f>K16/1.016*10</f>
        <v>201.73064304461943</v>
      </c>
      <c r="M16" s="22">
        <f>L16/1.12085</f>
        <v>179.98005357061109</v>
      </c>
      <c r="N16" s="21">
        <f>L16*$O$4</f>
        <v>73.24981309108226</v>
      </c>
      <c r="O16" s="21">
        <f>M16*$O$4</f>
        <v>65.352021315146771</v>
      </c>
      <c r="P16" s="20">
        <f>O16/480</f>
        <v>0.13615004440655579</v>
      </c>
    </row>
    <row r="17" spans="3:16" ht="13.5" thickBot="1" x14ac:dyDescent="0.25">
      <c r="C17" s="27"/>
      <c r="D17" s="25"/>
      <c r="E17" s="26"/>
      <c r="F17" s="25"/>
      <c r="G17" s="24"/>
      <c r="H17" s="23"/>
      <c r="I17" s="23"/>
      <c r="L17" s="21"/>
      <c r="M17" s="22"/>
      <c r="N17" s="21"/>
      <c r="O17" s="21"/>
      <c r="P17" s="20"/>
    </row>
    <row r="18" spans="3:16" ht="16.5" thickBot="1" x14ac:dyDescent="0.25">
      <c r="C18" s="15" t="s">
        <v>90</v>
      </c>
      <c r="D18" s="14"/>
      <c r="E18" s="14"/>
      <c r="F18" s="14"/>
      <c r="G18" s="19"/>
      <c r="H18" s="13">
        <f>SUM(H9:H14,H16)</f>
        <v>13771.4</v>
      </c>
      <c r="I18" s="12"/>
      <c r="J18" s="11"/>
      <c r="K18" s="17">
        <f>AVERAGE(K9:K14)+K16/6</f>
        <v>556.72847222222219</v>
      </c>
      <c r="L18" s="17">
        <f>AVERAGE(L9:L14)+L16/6</f>
        <v>5479.6109470691163</v>
      </c>
      <c r="M18" s="18">
        <f>AVERAGE(M9:M14)+M16/6</f>
        <v>4888.7995245297025</v>
      </c>
      <c r="N18" s="17">
        <f>AVERAGE(N9:N14)+N16/6</f>
        <v>1989.6852140400031</v>
      </c>
      <c r="O18" s="17">
        <f>AVERAGE(O9:O14)+O16/6</f>
        <v>1775.1574376946094</v>
      </c>
      <c r="P18" s="16">
        <f>AVERAGE(P9:P14)+P16/6</f>
        <v>3.6982446618637699</v>
      </c>
    </row>
    <row r="19" spans="3:16" ht="16.5" thickBot="1" x14ac:dyDescent="0.25">
      <c r="C19" s="15" t="s">
        <v>89</v>
      </c>
      <c r="D19" s="14"/>
      <c r="E19" s="14"/>
      <c r="F19" s="14"/>
      <c r="G19" s="14"/>
      <c r="H19" s="13">
        <f>STDEV(H9:H14)/SQRT(COUNT(H9:H14))</f>
        <v>25.425849707204133</v>
      </c>
      <c r="I19" s="12"/>
      <c r="J19" s="11"/>
      <c r="K19" s="9">
        <f>STDEV(K9:K14)/SQRT(COUNT(K9:K14))</f>
        <v>6.3564624268010332</v>
      </c>
      <c r="L19" s="9">
        <f>STDEV(L9:L14)/SQRT(COUNT(L9:L14))</f>
        <v>62.563606563002274</v>
      </c>
      <c r="M19" s="10">
        <f>STDEV(M9:M14)/SQRT(COUNT(M9:M14))</f>
        <v>55.81800112682545</v>
      </c>
      <c r="N19" s="9">
        <f>STDEV(N9:N14)/SQRT(COUNT(N9:N14))</f>
        <v>22.717284879869723</v>
      </c>
      <c r="O19" s="9">
        <f>STDEV(O9:O14)/SQRT(COUNT(O9:O14))</f>
        <v>20.267908176713828</v>
      </c>
      <c r="P19" s="58">
        <f>STDEV(P9:P14)/SQRT(COUNT(P9:P14))</f>
        <v>4.2224808701487142E-2</v>
      </c>
    </row>
    <row r="21" spans="3:16" x14ac:dyDescent="0.2">
      <c r="C21" s="7" t="s">
        <v>122</v>
      </c>
    </row>
    <row r="22" spans="3:16" x14ac:dyDescent="0.2">
      <c r="C22" s="7" t="s">
        <v>87</v>
      </c>
    </row>
  </sheetData>
  <mergeCells count="6">
    <mergeCell ref="C18:G18"/>
    <mergeCell ref="C19:G19"/>
    <mergeCell ref="K6:M6"/>
    <mergeCell ref="N6:P6"/>
    <mergeCell ref="C16:D16"/>
    <mergeCell ref="F16:G16"/>
  </mergeCells>
  <pageMargins left="0.75" right="0.75" top="1" bottom="0.52" header="0.5" footer="0.5"/>
  <pageSetup scale="75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DEED0-757A-4442-BD4D-8F97CFD12280}">
  <sheetPr codeName="Sheet14">
    <pageSetUpPr fitToPage="1"/>
  </sheetPr>
  <dimension ref="A1:R22"/>
  <sheetViews>
    <sheetView workbookViewId="0">
      <selection activeCell="E17" sqref="E17"/>
    </sheetView>
  </sheetViews>
  <sheetFormatPr defaultRowHeight="12.75" x14ac:dyDescent="0.2"/>
  <cols>
    <col min="1" max="16384" width="9.140625" style="7"/>
  </cols>
  <sheetData>
    <row r="1" spans="1:18" ht="37.5" x14ac:dyDescent="0.2">
      <c r="A1" s="57" t="s">
        <v>121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</row>
    <row r="2" spans="1:18" ht="18.75" thickBot="1" x14ac:dyDescent="0.3">
      <c r="H2" s="56" t="s">
        <v>120</v>
      </c>
      <c r="I2" s="55">
        <v>201</v>
      </c>
      <c r="J2" s="54"/>
      <c r="K2" s="47" t="s">
        <v>119</v>
      </c>
      <c r="L2" s="53">
        <v>37924</v>
      </c>
      <c r="N2" s="47"/>
      <c r="O2" s="48"/>
    </row>
    <row r="3" spans="1:18" ht="17.25" thickTop="1" thickBot="1" x14ac:dyDescent="0.25">
      <c r="B3" s="50" t="s">
        <v>116</v>
      </c>
      <c r="C3" s="52">
        <v>37910</v>
      </c>
      <c r="K3" s="47" t="s">
        <v>115</v>
      </c>
      <c r="L3" s="48">
        <v>2370.1</v>
      </c>
      <c r="N3" s="47" t="s">
        <v>114</v>
      </c>
      <c r="O3" s="46">
        <f>(L3-(L4+L5))/L3</f>
        <v>4.436521665752504E-2</v>
      </c>
    </row>
    <row r="4" spans="1:18" ht="17.25" thickTop="1" thickBot="1" x14ac:dyDescent="0.25">
      <c r="B4" s="50" t="s">
        <v>113</v>
      </c>
      <c r="C4" s="52">
        <v>37921</v>
      </c>
      <c r="F4" s="45"/>
      <c r="G4" s="45"/>
      <c r="H4" s="50" t="s">
        <v>112</v>
      </c>
      <c r="I4" s="51" t="s">
        <v>111</v>
      </c>
      <c r="K4" s="47" t="s">
        <v>110</v>
      </c>
      <c r="L4" s="48">
        <v>890.2</v>
      </c>
      <c r="N4" s="47" t="s">
        <v>109</v>
      </c>
      <c r="O4" s="46">
        <f>L4/L3</f>
        <v>0.37559596641491921</v>
      </c>
    </row>
    <row r="5" spans="1:18" ht="17.25" thickTop="1" thickBot="1" x14ac:dyDescent="0.25">
      <c r="B5" s="50" t="s">
        <v>108</v>
      </c>
      <c r="C5" s="49">
        <v>0.41666666666666669</v>
      </c>
      <c r="F5" s="45"/>
      <c r="G5" s="45"/>
      <c r="K5" s="47" t="s">
        <v>107</v>
      </c>
      <c r="L5" s="48">
        <v>1374.75</v>
      </c>
      <c r="N5" s="47" t="s">
        <v>106</v>
      </c>
      <c r="O5" s="46">
        <f>L5/L3</f>
        <v>0.58003881692755577</v>
      </c>
      <c r="Q5" s="20"/>
    </row>
    <row r="6" spans="1:18" ht="17.25" thickTop="1" thickBot="1" x14ac:dyDescent="0.25">
      <c r="F6" s="45"/>
      <c r="G6" s="45"/>
      <c r="K6" s="43" t="s">
        <v>105</v>
      </c>
      <c r="L6" s="43"/>
      <c r="M6" s="44"/>
      <c r="N6" s="43" t="s">
        <v>104</v>
      </c>
      <c r="O6" s="43"/>
      <c r="P6" s="43"/>
    </row>
    <row r="7" spans="1:18" ht="26.25" thickBot="1" x14ac:dyDescent="0.25">
      <c r="A7" s="36"/>
      <c r="B7" s="36"/>
      <c r="C7" s="35" t="s">
        <v>103</v>
      </c>
      <c r="D7" s="39" t="s">
        <v>102</v>
      </c>
      <c r="E7" s="42" t="s">
        <v>101</v>
      </c>
      <c r="F7" s="42" t="s">
        <v>100</v>
      </c>
      <c r="G7" s="42" t="s">
        <v>99</v>
      </c>
      <c r="H7" s="42" t="s">
        <v>98</v>
      </c>
      <c r="I7" s="35" t="s">
        <v>97</v>
      </c>
      <c r="J7" s="38"/>
      <c r="K7" s="38" t="s">
        <v>96</v>
      </c>
      <c r="L7" s="38" t="s">
        <v>95</v>
      </c>
      <c r="M7" s="41" t="s">
        <v>94</v>
      </c>
      <c r="N7" s="38" t="s">
        <v>95</v>
      </c>
      <c r="O7" s="38" t="s">
        <v>94</v>
      </c>
      <c r="P7" s="40" t="s">
        <v>93</v>
      </c>
      <c r="Q7" s="36"/>
      <c r="R7" s="36"/>
    </row>
    <row r="8" spans="1:18" ht="13.5" thickBot="1" x14ac:dyDescent="0.25">
      <c r="A8" s="36"/>
      <c r="B8" s="36"/>
      <c r="C8" s="35"/>
      <c r="D8" s="39"/>
      <c r="E8" s="35"/>
      <c r="F8" s="35"/>
      <c r="G8" s="35"/>
      <c r="H8" s="35"/>
      <c r="I8" s="35"/>
      <c r="J8" s="38"/>
      <c r="K8" s="36"/>
      <c r="L8" s="36"/>
      <c r="M8" s="37"/>
      <c r="N8" s="36"/>
      <c r="O8" s="36"/>
      <c r="P8" s="36"/>
      <c r="Q8" s="36"/>
      <c r="R8" s="36"/>
    </row>
    <row r="9" spans="1:18" ht="13.5" thickBot="1" x14ac:dyDescent="0.25">
      <c r="C9" s="35">
        <v>3</v>
      </c>
      <c r="D9" s="35">
        <v>4</v>
      </c>
      <c r="E9" s="28">
        <v>817.85</v>
      </c>
      <c r="F9" s="28">
        <v>982.84</v>
      </c>
      <c r="G9" s="23"/>
      <c r="H9" s="23">
        <f>SUM(E9:G9)</f>
        <v>1800.69</v>
      </c>
      <c r="I9" s="28"/>
      <c r="K9" s="7">
        <f>H9/D9</f>
        <v>450.17250000000001</v>
      </c>
      <c r="L9" s="21">
        <f>K9/1.016*10</f>
        <v>4430.8316929133862</v>
      </c>
      <c r="M9" s="22">
        <f>L9/1.12085</f>
        <v>3953.0996055791466</v>
      </c>
      <c r="N9" s="21">
        <f>L9*$O$4</f>
        <v>1664.2025117216558</v>
      </c>
      <c r="O9" s="21">
        <f>M9*$O$4</f>
        <v>1484.7682666919354</v>
      </c>
      <c r="P9" s="20">
        <f>O9/480</f>
        <v>3.0932672222748656</v>
      </c>
    </row>
    <row r="10" spans="1:18" ht="13.5" thickBot="1" x14ac:dyDescent="0.25">
      <c r="C10" s="35">
        <v>4</v>
      </c>
      <c r="D10" s="35">
        <v>4</v>
      </c>
      <c r="E10" s="28">
        <v>1423.8</v>
      </c>
      <c r="F10" s="28">
        <v>577.25</v>
      </c>
      <c r="G10" s="23"/>
      <c r="H10" s="23">
        <f>SUM(E10:G10)</f>
        <v>2001.05</v>
      </c>
      <c r="I10" s="28"/>
      <c r="K10" s="7">
        <f>H10/D10</f>
        <v>500.26249999999999</v>
      </c>
      <c r="L10" s="21">
        <f>K10/1.016*10</f>
        <v>4923.843503937007</v>
      </c>
      <c r="M10" s="22">
        <f>L10/1.12085</f>
        <v>4392.9549038114001</v>
      </c>
      <c r="N10" s="21">
        <f>L10*$O$4</f>
        <v>1849.3757593370422</v>
      </c>
      <c r="O10" s="21">
        <f>M10*$O$4</f>
        <v>1649.9761425142012</v>
      </c>
      <c r="P10" s="20">
        <f>O10/480</f>
        <v>3.4374502969045859</v>
      </c>
    </row>
    <row r="11" spans="1:18" ht="13.5" thickBot="1" x14ac:dyDescent="0.25">
      <c r="C11" s="35">
        <v>5</v>
      </c>
      <c r="D11" s="35">
        <v>4</v>
      </c>
      <c r="E11" s="28">
        <v>1023</v>
      </c>
      <c r="F11" s="28">
        <v>729.44</v>
      </c>
      <c r="G11" s="23"/>
      <c r="H11" s="23">
        <f>SUM(E11:G11)</f>
        <v>1752.44</v>
      </c>
      <c r="I11" s="28"/>
      <c r="K11" s="7">
        <f>H11/D11</f>
        <v>438.11</v>
      </c>
      <c r="L11" s="21">
        <f>K11/1.016*10</f>
        <v>4312.106299212599</v>
      </c>
      <c r="M11" s="22">
        <f>L11/1.12085</f>
        <v>3847.1751788487304</v>
      </c>
      <c r="N11" s="21">
        <f>L11*$O$4</f>
        <v>1619.6097327366169</v>
      </c>
      <c r="O11" s="21">
        <f>M11*$O$4</f>
        <v>1444.9834792671786</v>
      </c>
      <c r="P11" s="20">
        <f>O11/480</f>
        <v>3.0103822484732889</v>
      </c>
    </row>
    <row r="12" spans="1:18" ht="13.5" thickBot="1" x14ac:dyDescent="0.25">
      <c r="C12" s="35">
        <v>6</v>
      </c>
      <c r="D12" s="35">
        <v>4</v>
      </c>
      <c r="E12" s="28">
        <v>955.46</v>
      </c>
      <c r="F12" s="28">
        <v>721.8</v>
      </c>
      <c r="G12" s="23"/>
      <c r="H12" s="23">
        <f>SUM(E12:G12)</f>
        <v>1677.26</v>
      </c>
      <c r="I12" s="28"/>
      <c r="K12" s="7">
        <f>H12/D12</f>
        <v>419.315</v>
      </c>
      <c r="L12" s="21">
        <f>K12/1.016*10</f>
        <v>4127.1161417322837</v>
      </c>
      <c r="M12" s="22">
        <f>L12/1.12085</f>
        <v>3682.1306523908497</v>
      </c>
      <c r="N12" s="21">
        <f>L12*$O$4</f>
        <v>1550.1281757605498</v>
      </c>
      <c r="O12" s="21">
        <f>M12*$O$4</f>
        <v>1382.9934208507382</v>
      </c>
      <c r="P12" s="20">
        <f>O12/480</f>
        <v>2.8812362934390379</v>
      </c>
    </row>
    <row r="13" spans="1:18" ht="13.5" thickBot="1" x14ac:dyDescent="0.25">
      <c r="C13" s="35">
        <v>7</v>
      </c>
      <c r="D13" s="35">
        <v>4</v>
      </c>
      <c r="E13" s="28">
        <v>1654.45</v>
      </c>
      <c r="F13" s="28"/>
      <c r="G13" s="23"/>
      <c r="H13" s="23">
        <f>SUM(E13:G13)</f>
        <v>1654.45</v>
      </c>
      <c r="I13" s="28"/>
      <c r="K13" s="7">
        <f>H13/D13</f>
        <v>413.61250000000001</v>
      </c>
      <c r="L13" s="21">
        <f>K13/1.016*10</f>
        <v>4070.9891732283468</v>
      </c>
      <c r="M13" s="22">
        <f>L13/1.12085</f>
        <v>3632.0552912774656</v>
      </c>
      <c r="N13" s="21">
        <f>L13*$O$4</f>
        <v>1529.0471127833739</v>
      </c>
      <c r="O13" s="21">
        <f>M13*$O$4</f>
        <v>1364.1853171997807</v>
      </c>
      <c r="P13" s="20">
        <f>O13/480</f>
        <v>2.8420527441662098</v>
      </c>
    </row>
    <row r="14" spans="1:18" ht="13.5" thickBot="1" x14ac:dyDescent="0.25">
      <c r="C14" s="35">
        <v>8</v>
      </c>
      <c r="D14" s="35">
        <v>4</v>
      </c>
      <c r="E14" s="28">
        <v>854.35</v>
      </c>
      <c r="F14" s="28">
        <v>966.28</v>
      </c>
      <c r="G14" s="23"/>
      <c r="H14" s="23">
        <f>SUM(E14:G14)</f>
        <v>1820.63</v>
      </c>
      <c r="I14" s="28"/>
      <c r="K14" s="7">
        <f>H14/D14</f>
        <v>455.15750000000003</v>
      </c>
      <c r="L14" s="21">
        <f>K14/1.016*10</f>
        <v>4479.8966535433074</v>
      </c>
      <c r="M14" s="22">
        <f>L14/1.12085</f>
        <v>3996.8743842113645</v>
      </c>
      <c r="N14" s="21">
        <f>L14*$O$4</f>
        <v>1682.631113026561</v>
      </c>
      <c r="O14" s="21">
        <f>M14*$O$4</f>
        <v>1501.2098969769027</v>
      </c>
      <c r="P14" s="20">
        <f>O14/480</f>
        <v>3.1275206187018805</v>
      </c>
    </row>
    <row r="15" spans="1:18" ht="13.5" thickBot="1" x14ac:dyDescent="0.25">
      <c r="C15" s="35"/>
      <c r="D15" s="35"/>
      <c r="E15" s="23"/>
      <c r="F15" s="23"/>
      <c r="G15" s="23"/>
      <c r="H15" s="23"/>
      <c r="I15" s="23"/>
      <c r="M15" s="34"/>
    </row>
    <row r="16" spans="1:18" ht="13.5" thickBot="1" x14ac:dyDescent="0.25">
      <c r="C16" s="33" t="s">
        <v>92</v>
      </c>
      <c r="D16" s="32"/>
      <c r="E16" s="31">
        <v>295</v>
      </c>
      <c r="F16" s="30" t="s">
        <v>91</v>
      </c>
      <c r="G16" s="29"/>
      <c r="H16" s="28">
        <v>247.94</v>
      </c>
      <c r="I16" s="23"/>
      <c r="K16" s="7">
        <f>H16/SUM($D$9:$D$14)</f>
        <v>10.330833333333333</v>
      </c>
      <c r="L16" s="21">
        <f>K16/1.016*10</f>
        <v>101.68143044619421</v>
      </c>
      <c r="M16" s="22">
        <f>L16/1.12085</f>
        <v>90.718142879238272</v>
      </c>
      <c r="N16" s="21">
        <f>L16*$O$4</f>
        <v>38.191135134889706</v>
      </c>
      <c r="O16" s="21">
        <f>M16*$O$4</f>
        <v>34.073368546094223</v>
      </c>
      <c r="P16" s="20">
        <f>O16/480</f>
        <v>7.0986184471029626E-2</v>
      </c>
    </row>
    <row r="17" spans="3:16" ht="13.5" thickBot="1" x14ac:dyDescent="0.25">
      <c r="C17" s="27"/>
      <c r="D17" s="25"/>
      <c r="E17" s="26"/>
      <c r="F17" s="25"/>
      <c r="G17" s="24"/>
      <c r="H17" s="23"/>
      <c r="I17" s="23"/>
      <c r="L17" s="21"/>
      <c r="M17" s="22"/>
      <c r="N17" s="21"/>
      <c r="O17" s="21"/>
      <c r="P17" s="20"/>
    </row>
    <row r="18" spans="3:16" ht="16.5" thickBot="1" x14ac:dyDescent="0.25">
      <c r="C18" s="15" t="s">
        <v>90</v>
      </c>
      <c r="D18" s="14"/>
      <c r="E18" s="14"/>
      <c r="F18" s="14"/>
      <c r="G18" s="19"/>
      <c r="H18" s="13">
        <f>SUM(H9:H14,H16)</f>
        <v>10954.460000000001</v>
      </c>
      <c r="I18" s="12"/>
      <c r="J18" s="11"/>
      <c r="K18" s="17">
        <f>AVERAGE(K9:K14)+K16/6</f>
        <v>447.82680555555555</v>
      </c>
      <c r="L18" s="17">
        <f>AVERAGE(L9:L14)+L16/6</f>
        <v>4407.7441491688533</v>
      </c>
      <c r="M18" s="18">
        <f>AVERAGE(M9:M14)+M16/6</f>
        <v>3932.5013598330324</v>
      </c>
      <c r="N18" s="17">
        <f>AVERAGE(N9:N14)+N16/6</f>
        <v>1655.5309234167814</v>
      </c>
      <c r="O18" s="17">
        <f>AVERAGE(O9:O14)+O16/6</f>
        <v>1477.0316486744721</v>
      </c>
      <c r="P18" s="16">
        <f>AVERAGE(P9:P14)+P16/6</f>
        <v>3.0771492680718167</v>
      </c>
    </row>
    <row r="19" spans="3:16" ht="16.5" thickBot="1" x14ac:dyDescent="0.25">
      <c r="C19" s="15" t="s">
        <v>89</v>
      </c>
      <c r="D19" s="14"/>
      <c r="E19" s="14"/>
      <c r="F19" s="14"/>
      <c r="G19" s="14"/>
      <c r="H19" s="13">
        <f>STDEV(H9:H14)/SQRT(COUNT(H9:H14))</f>
        <v>50.958355808117147</v>
      </c>
      <c r="I19" s="12"/>
      <c r="J19" s="11"/>
      <c r="K19" s="9">
        <f>STDEV(K9:K14)/SQRT(COUNT(K9:K14))</f>
        <v>12.739588952029287</v>
      </c>
      <c r="L19" s="9">
        <f>STDEV(L9:L14)/SQRT(COUNT(L9:L14))</f>
        <v>125.38965503965817</v>
      </c>
      <c r="M19" s="10">
        <f>STDEV(M9:M14)/SQRT(COUNT(M9:M14))</f>
        <v>111.87014769117921</v>
      </c>
      <c r="N19" s="9">
        <f>STDEV(N9:N14)/SQRT(COUNT(N9:N14))</f>
        <v>47.095848663053744</v>
      </c>
      <c r="O19" s="9">
        <f>STDEV(O9:O14)/SQRT(COUNT(O9:O14))</f>
        <v>42.017976235048188</v>
      </c>
      <c r="P19" s="58">
        <f>STDEV(P9:P14)/SQRT(COUNT(P9:P14))</f>
        <v>8.7537450489683713E-2</v>
      </c>
    </row>
    <row r="21" spans="3:16" x14ac:dyDescent="0.2">
      <c r="C21" s="7" t="s">
        <v>122</v>
      </c>
    </row>
    <row r="22" spans="3:16" x14ac:dyDescent="0.2">
      <c r="C22" s="7" t="s">
        <v>87</v>
      </c>
    </row>
  </sheetData>
  <mergeCells count="6">
    <mergeCell ref="C18:G18"/>
    <mergeCell ref="C19:G19"/>
    <mergeCell ref="K6:M6"/>
    <mergeCell ref="N6:P6"/>
    <mergeCell ref="C16:D16"/>
    <mergeCell ref="F16:G16"/>
  </mergeCells>
  <pageMargins left="0.75" right="0.75" top="1" bottom="0.52" header="0.5" footer="0.5"/>
  <pageSetup scale="75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F9CFC-5BAE-46FF-8E12-34C048404E9A}">
  <sheetPr codeName="Sheet15">
    <pageSetUpPr fitToPage="1"/>
  </sheetPr>
  <dimension ref="A1:R22"/>
  <sheetViews>
    <sheetView workbookViewId="0">
      <selection activeCell="E17" sqref="E17"/>
    </sheetView>
  </sheetViews>
  <sheetFormatPr defaultRowHeight="12.75" x14ac:dyDescent="0.2"/>
  <cols>
    <col min="1" max="16384" width="9.140625" style="7"/>
  </cols>
  <sheetData>
    <row r="1" spans="1:18" ht="37.5" x14ac:dyDescent="0.2">
      <c r="A1" s="57" t="s">
        <v>121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</row>
    <row r="2" spans="1:18" ht="18.75" thickBot="1" x14ac:dyDescent="0.3">
      <c r="H2" s="56" t="s">
        <v>120</v>
      </c>
      <c r="I2" s="55">
        <v>202</v>
      </c>
      <c r="J2" s="54"/>
      <c r="K2" s="47" t="s">
        <v>119</v>
      </c>
      <c r="L2" s="53">
        <v>37924</v>
      </c>
      <c r="N2" s="47"/>
      <c r="O2" s="48"/>
    </row>
    <row r="3" spans="1:18" ht="17.25" thickTop="1" thickBot="1" x14ac:dyDescent="0.25">
      <c r="B3" s="50" t="s">
        <v>116</v>
      </c>
      <c r="C3" s="52">
        <v>37910</v>
      </c>
      <c r="K3" s="47" t="s">
        <v>115</v>
      </c>
      <c r="L3" s="48">
        <v>2243.6999999999998</v>
      </c>
      <c r="N3" s="47" t="s">
        <v>114</v>
      </c>
      <c r="O3" s="46">
        <f>(L3-(L4+L5))/L3</f>
        <v>3.5298836742879987E-2</v>
      </c>
    </row>
    <row r="4" spans="1:18" ht="17.25" thickTop="1" thickBot="1" x14ac:dyDescent="0.25">
      <c r="B4" s="50" t="s">
        <v>113</v>
      </c>
      <c r="C4" s="52">
        <v>37921</v>
      </c>
      <c r="F4" s="45"/>
      <c r="G4" s="45"/>
      <c r="H4" s="50" t="s">
        <v>112</v>
      </c>
      <c r="I4" s="51" t="s">
        <v>124</v>
      </c>
      <c r="K4" s="47" t="s">
        <v>110</v>
      </c>
      <c r="L4" s="48">
        <v>786.9</v>
      </c>
      <c r="N4" s="47" t="s">
        <v>109</v>
      </c>
      <c r="O4" s="46">
        <f>L4/L3</f>
        <v>0.35071533627490309</v>
      </c>
    </row>
    <row r="5" spans="1:18" ht="17.25" thickTop="1" thickBot="1" x14ac:dyDescent="0.25">
      <c r="B5" s="50" t="s">
        <v>108</v>
      </c>
      <c r="C5" s="49">
        <v>0.41944444444444445</v>
      </c>
      <c r="F5" s="45"/>
      <c r="G5" s="45"/>
      <c r="K5" s="47" t="s">
        <v>107</v>
      </c>
      <c r="L5" s="48">
        <v>1377.6</v>
      </c>
      <c r="N5" s="47" t="s">
        <v>106</v>
      </c>
      <c r="O5" s="46">
        <f>L5/L3</f>
        <v>0.61398582698221693</v>
      </c>
      <c r="Q5" s="20"/>
    </row>
    <row r="6" spans="1:18" ht="17.25" thickTop="1" thickBot="1" x14ac:dyDescent="0.25">
      <c r="F6" s="45"/>
      <c r="G6" s="45"/>
      <c r="K6" s="43" t="s">
        <v>105</v>
      </c>
      <c r="L6" s="43"/>
      <c r="M6" s="44"/>
      <c r="N6" s="43" t="s">
        <v>104</v>
      </c>
      <c r="O6" s="43"/>
      <c r="P6" s="43"/>
    </row>
    <row r="7" spans="1:18" ht="26.25" thickBot="1" x14ac:dyDescent="0.25">
      <c r="A7" s="36"/>
      <c r="B7" s="36"/>
      <c r="C7" s="35" t="s">
        <v>103</v>
      </c>
      <c r="D7" s="39" t="s">
        <v>102</v>
      </c>
      <c r="E7" s="42" t="s">
        <v>101</v>
      </c>
      <c r="F7" s="42" t="s">
        <v>100</v>
      </c>
      <c r="G7" s="42" t="s">
        <v>99</v>
      </c>
      <c r="H7" s="42" t="s">
        <v>98</v>
      </c>
      <c r="I7" s="35" t="s">
        <v>97</v>
      </c>
      <c r="J7" s="38"/>
      <c r="K7" s="38" t="s">
        <v>96</v>
      </c>
      <c r="L7" s="38" t="s">
        <v>95</v>
      </c>
      <c r="M7" s="41" t="s">
        <v>94</v>
      </c>
      <c r="N7" s="38" t="s">
        <v>95</v>
      </c>
      <c r="O7" s="38" t="s">
        <v>94</v>
      </c>
      <c r="P7" s="40" t="s">
        <v>93</v>
      </c>
      <c r="Q7" s="36"/>
      <c r="R7" s="36"/>
    </row>
    <row r="8" spans="1:18" ht="13.5" thickBot="1" x14ac:dyDescent="0.25">
      <c r="A8" s="36"/>
      <c r="B8" s="36"/>
      <c r="C8" s="35"/>
      <c r="D8" s="39"/>
      <c r="E8" s="35"/>
      <c r="F8" s="35"/>
      <c r="G8" s="35"/>
      <c r="H8" s="35"/>
      <c r="I8" s="35"/>
      <c r="J8" s="38"/>
      <c r="K8" s="36"/>
      <c r="L8" s="36"/>
      <c r="M8" s="37"/>
      <c r="N8" s="36"/>
      <c r="O8" s="36"/>
      <c r="P8" s="36"/>
      <c r="Q8" s="36"/>
      <c r="R8" s="36"/>
    </row>
    <row r="9" spans="1:18" ht="13.5" thickBot="1" x14ac:dyDescent="0.25">
      <c r="C9" s="35">
        <v>3</v>
      </c>
      <c r="D9" s="35">
        <v>4</v>
      </c>
      <c r="E9" s="28">
        <v>999.1</v>
      </c>
      <c r="F9" s="28">
        <v>1094.3</v>
      </c>
      <c r="G9" s="23"/>
      <c r="H9" s="23">
        <f>SUM(E9:G9)</f>
        <v>2093.4</v>
      </c>
      <c r="I9" s="28"/>
      <c r="K9" s="7">
        <f>H9/D9</f>
        <v>523.35</v>
      </c>
      <c r="L9" s="21">
        <f>K9/1.016*10</f>
        <v>5151.0826771653547</v>
      </c>
      <c r="M9" s="22">
        <f>L9/1.12085</f>
        <v>4595.6931589109654</v>
      </c>
      <c r="N9" s="21">
        <f>L9*$O$4</f>
        <v>1806.5636933018754</v>
      </c>
      <c r="O9" s="21">
        <f>M9*$O$4</f>
        <v>1611.7800716437309</v>
      </c>
      <c r="P9" s="20">
        <f>O9/480</f>
        <v>3.3578751492577728</v>
      </c>
    </row>
    <row r="10" spans="1:18" ht="13.5" thickBot="1" x14ac:dyDescent="0.25">
      <c r="C10" s="35">
        <v>4</v>
      </c>
      <c r="D10" s="35">
        <v>4</v>
      </c>
      <c r="E10" s="28">
        <v>1881.8</v>
      </c>
      <c r="F10" s="28"/>
      <c r="G10" s="23"/>
      <c r="H10" s="23">
        <f>SUM(E10:G10)</f>
        <v>1881.8</v>
      </c>
      <c r="I10" s="28" t="s">
        <v>125</v>
      </c>
      <c r="K10" s="7">
        <f>H10/D10</f>
        <v>470.45</v>
      </c>
      <c r="L10" s="21">
        <f>K10/1.016*10</f>
        <v>4630.4133858267714</v>
      </c>
      <c r="M10" s="22">
        <f>L10/1.12085</f>
        <v>4131.1624087315622</v>
      </c>
      <c r="N10" s="21">
        <f>L10*$O$4</f>
        <v>1623.9569877020488</v>
      </c>
      <c r="O10" s="21">
        <f>M10*$O$4</f>
        <v>1448.8620133845284</v>
      </c>
      <c r="P10" s="20">
        <f>O10/480</f>
        <v>3.0184625278844339</v>
      </c>
    </row>
    <row r="11" spans="1:18" ht="13.5" thickBot="1" x14ac:dyDescent="0.25">
      <c r="C11" s="35">
        <v>5</v>
      </c>
      <c r="D11" s="35">
        <v>4</v>
      </c>
      <c r="E11" s="28">
        <v>1259.7</v>
      </c>
      <c r="F11" s="28">
        <v>859</v>
      </c>
      <c r="G11" s="23"/>
      <c r="H11" s="23">
        <f>SUM(E11:G11)</f>
        <v>2118.6999999999998</v>
      </c>
      <c r="I11" s="28"/>
      <c r="K11" s="7">
        <f>H11/D11</f>
        <v>529.67499999999995</v>
      </c>
      <c r="L11" s="21">
        <f>K11/1.016*10</f>
        <v>5213.3366141732276</v>
      </c>
      <c r="M11" s="22">
        <f>L11/1.12085</f>
        <v>4651.2348790411097</v>
      </c>
      <c r="N11" s="21">
        <f>L11*$O$4</f>
        <v>1828.3971037540282</v>
      </c>
      <c r="O11" s="21">
        <f>M11*$O$4</f>
        <v>1631.2594046964609</v>
      </c>
      <c r="P11" s="20">
        <f>O11/480</f>
        <v>3.398457093117627</v>
      </c>
    </row>
    <row r="12" spans="1:18" ht="13.5" thickBot="1" x14ac:dyDescent="0.25">
      <c r="C12" s="35">
        <v>6</v>
      </c>
      <c r="D12" s="35">
        <v>4</v>
      </c>
      <c r="E12" s="28">
        <v>683.9</v>
      </c>
      <c r="F12" s="28">
        <v>832.5</v>
      </c>
      <c r="G12" s="23"/>
      <c r="H12" s="23">
        <f>SUM(E12:G12)</f>
        <v>1516.4</v>
      </c>
      <c r="I12" s="28"/>
      <c r="K12" s="7">
        <f>H12/D12</f>
        <v>379.1</v>
      </c>
      <c r="L12" s="21">
        <f>K12/1.016*10</f>
        <v>3731.2992125984256</v>
      </c>
      <c r="M12" s="22">
        <f>L12/1.12085</f>
        <v>3328.990687958626</v>
      </c>
      <c r="N12" s="21">
        <f>L12*$O$4</f>
        <v>1308.623858088738</v>
      </c>
      <c r="O12" s="21">
        <f>M12*$O$4</f>
        <v>1167.5280885834304</v>
      </c>
      <c r="P12" s="20">
        <f>O12/480</f>
        <v>2.4323501845488136</v>
      </c>
    </row>
    <row r="13" spans="1:18" ht="13.5" thickBot="1" x14ac:dyDescent="0.25">
      <c r="C13" s="35">
        <v>7</v>
      </c>
      <c r="D13" s="35">
        <v>4</v>
      </c>
      <c r="E13" s="28">
        <v>1941.5</v>
      </c>
      <c r="F13" s="28"/>
      <c r="G13" s="23"/>
      <c r="H13" s="23">
        <f>SUM(E13:G13)</f>
        <v>1941.5</v>
      </c>
      <c r="I13" s="28"/>
      <c r="K13" s="7">
        <f>H13/D13</f>
        <v>485.375</v>
      </c>
      <c r="L13" s="21">
        <f>K13/1.016*10</f>
        <v>4777.3129921259842</v>
      </c>
      <c r="M13" s="22">
        <f>L13/1.12085</f>
        <v>4262.2233056394562</v>
      </c>
      <c r="N13" s="21">
        <f>L13*$O$4</f>
        <v>1675.4769325239281</v>
      </c>
      <c r="O13" s="21">
        <f>M13*$O$4</f>
        <v>1494.8270799160709</v>
      </c>
      <c r="P13" s="20">
        <f>O13/480</f>
        <v>3.114223083158481</v>
      </c>
    </row>
    <row r="14" spans="1:18" ht="13.5" thickBot="1" x14ac:dyDescent="0.25">
      <c r="C14" s="35">
        <v>8</v>
      </c>
      <c r="D14" s="35">
        <v>4</v>
      </c>
      <c r="E14" s="28">
        <v>1506.5</v>
      </c>
      <c r="F14" s="28">
        <v>510</v>
      </c>
      <c r="G14" s="23"/>
      <c r="H14" s="23">
        <f>SUM(E14:G14)</f>
        <v>2016.5</v>
      </c>
      <c r="I14" s="28"/>
      <c r="K14" s="7">
        <f>H14/D14</f>
        <v>504.125</v>
      </c>
      <c r="L14" s="21">
        <f>K14/1.016*10</f>
        <v>4961.860236220472</v>
      </c>
      <c r="M14" s="22">
        <f>L14/1.12085</f>
        <v>4426.8726736141971</v>
      </c>
      <c r="N14" s="21">
        <f>L14*$O$4</f>
        <v>1740.2004812951329</v>
      </c>
      <c r="O14" s="21">
        <f>M14*$O$4</f>
        <v>1552.5721383727825</v>
      </c>
      <c r="P14" s="20">
        <f>O14/480</f>
        <v>3.2345252882766302</v>
      </c>
    </row>
    <row r="15" spans="1:18" ht="13.5" thickBot="1" x14ac:dyDescent="0.25">
      <c r="C15" s="35"/>
      <c r="D15" s="35"/>
      <c r="E15" s="23"/>
      <c r="F15" s="23"/>
      <c r="G15" s="23"/>
      <c r="H15" s="23"/>
      <c r="I15" s="23"/>
      <c r="M15" s="34"/>
    </row>
    <row r="16" spans="1:18" ht="13.5" thickBot="1" x14ac:dyDescent="0.25">
      <c r="C16" s="33" t="s">
        <v>92</v>
      </c>
      <c r="D16" s="32"/>
      <c r="E16" s="31">
        <v>37915</v>
      </c>
      <c r="F16" s="30" t="s">
        <v>91</v>
      </c>
      <c r="G16" s="29"/>
      <c r="H16" s="28">
        <v>595.5</v>
      </c>
      <c r="I16" s="23"/>
      <c r="K16" s="7">
        <f>H16/SUM($D$9:$D$14)</f>
        <v>24.8125</v>
      </c>
      <c r="L16" s="21">
        <f>K16/1.016*10</f>
        <v>244.21751968503938</v>
      </c>
      <c r="M16" s="22">
        <f>L16/1.12085</f>
        <v>217.88599695324029</v>
      </c>
      <c r="N16" s="21">
        <f>L16*$O$4</f>
        <v>85.650829540561347</v>
      </c>
      <c r="O16" s="21">
        <f>M16*$O$4</f>
        <v>76.415960691048184</v>
      </c>
      <c r="P16" s="20">
        <f>O16/480</f>
        <v>0.1591999181063504</v>
      </c>
    </row>
    <row r="17" spans="3:16" ht="13.5" thickBot="1" x14ac:dyDescent="0.25">
      <c r="C17" s="27"/>
      <c r="D17" s="25"/>
      <c r="E17" s="26"/>
      <c r="F17" s="25"/>
      <c r="G17" s="24"/>
      <c r="H17" s="23"/>
      <c r="I17" s="23"/>
      <c r="L17" s="21"/>
      <c r="M17" s="22"/>
      <c r="N17" s="21"/>
      <c r="O17" s="21"/>
      <c r="P17" s="20"/>
    </row>
    <row r="18" spans="3:16" ht="16.5" thickBot="1" x14ac:dyDescent="0.25">
      <c r="C18" s="15" t="s">
        <v>90</v>
      </c>
      <c r="D18" s="14"/>
      <c r="E18" s="14"/>
      <c r="F18" s="14"/>
      <c r="G18" s="19"/>
      <c r="H18" s="13">
        <f>SUM(H9:H14,H16)</f>
        <v>12163.8</v>
      </c>
      <c r="I18" s="12"/>
      <c r="J18" s="11"/>
      <c r="K18" s="17">
        <f>AVERAGE(K9:K14)+K16/6</f>
        <v>486.14791666666667</v>
      </c>
      <c r="L18" s="17">
        <f>AVERAGE(L9:L14)+L16/6</f>
        <v>4784.9204396325458</v>
      </c>
      <c r="M18" s="18">
        <f>AVERAGE(M9:M14)+M16/6</f>
        <v>4269.0105184748591</v>
      </c>
      <c r="N18" s="17">
        <f>AVERAGE(N9:N14)+N16/6</f>
        <v>1678.1449810343856</v>
      </c>
      <c r="O18" s="17">
        <f>AVERAGE(O9:O14)+O16/6</f>
        <v>1497.2074595480087</v>
      </c>
      <c r="P18" s="16">
        <f>AVERAGE(P9:P14)+P16/6</f>
        <v>3.1191822073916846</v>
      </c>
    </row>
    <row r="19" spans="3:16" ht="16.5" thickBot="1" x14ac:dyDescent="0.25">
      <c r="C19" s="15" t="s">
        <v>89</v>
      </c>
      <c r="D19" s="14"/>
      <c r="E19" s="14"/>
      <c r="F19" s="14"/>
      <c r="G19" s="14"/>
      <c r="H19" s="13">
        <f>STDEV(H9:H14)/SQRT(COUNT(H9:H14))</f>
        <v>90.053157449735465</v>
      </c>
      <c r="I19" s="12"/>
      <c r="J19" s="11"/>
      <c r="K19" s="9">
        <f>STDEV(K9:K14)/SQRT(COUNT(K9:K14))</f>
        <v>22.513289362433866</v>
      </c>
      <c r="L19" s="9">
        <f>STDEV(L9:L14)/SQRT(COUNT(L9:L14))</f>
        <v>221.58749372473829</v>
      </c>
      <c r="M19" s="10">
        <f>STDEV(M9:M14)/SQRT(COUNT(M9:M14))</f>
        <v>197.69593944304805</v>
      </c>
      <c r="N19" s="9">
        <f>STDEV(N9:N14)/SQRT(COUNT(N9:N14))</f>
        <v>77.714132375984988</v>
      </c>
      <c r="O19" s="9">
        <f>STDEV(O9:O14)/SQRT(COUNT(O9:O14))</f>
        <v>69.334997881950329</v>
      </c>
      <c r="P19" s="58">
        <f>STDEV(P9:P14)/SQRT(COUNT(P9:P14))</f>
        <v>0.1444479122540647</v>
      </c>
    </row>
    <row r="21" spans="3:16" x14ac:dyDescent="0.2">
      <c r="C21" s="7" t="s">
        <v>122</v>
      </c>
    </row>
    <row r="22" spans="3:16" x14ac:dyDescent="0.2">
      <c r="C22" s="7" t="s">
        <v>87</v>
      </c>
    </row>
  </sheetData>
  <mergeCells count="6">
    <mergeCell ref="C18:G18"/>
    <mergeCell ref="C19:G19"/>
    <mergeCell ref="K6:M6"/>
    <mergeCell ref="N6:P6"/>
    <mergeCell ref="C16:D16"/>
    <mergeCell ref="F16:G16"/>
  </mergeCells>
  <pageMargins left="0.75" right="0.75" top="1" bottom="0.52" header="0.5" footer="0.5"/>
  <pageSetup scale="75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4DA66-0205-4F62-BF66-34A8539D3B70}">
  <sheetPr codeName="Sheet16">
    <pageSetUpPr fitToPage="1"/>
  </sheetPr>
  <dimension ref="A1:R22"/>
  <sheetViews>
    <sheetView workbookViewId="0">
      <selection activeCell="E17" sqref="E17"/>
    </sheetView>
  </sheetViews>
  <sheetFormatPr defaultRowHeight="12.75" x14ac:dyDescent="0.2"/>
  <cols>
    <col min="1" max="16384" width="9.140625" style="7"/>
  </cols>
  <sheetData>
    <row r="1" spans="1:18" ht="37.5" x14ac:dyDescent="0.2">
      <c r="A1" s="57" t="s">
        <v>121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</row>
    <row r="2" spans="1:18" ht="18.75" thickBot="1" x14ac:dyDescent="0.3">
      <c r="H2" s="56" t="s">
        <v>120</v>
      </c>
      <c r="I2" s="55">
        <v>203</v>
      </c>
      <c r="J2" s="54"/>
      <c r="K2" s="47" t="s">
        <v>119</v>
      </c>
      <c r="L2" s="53">
        <v>37924</v>
      </c>
      <c r="N2" s="47"/>
      <c r="O2" s="48"/>
    </row>
    <row r="3" spans="1:18" ht="17.25" thickTop="1" thickBot="1" x14ac:dyDescent="0.25">
      <c r="B3" s="50" t="s">
        <v>116</v>
      </c>
      <c r="C3" s="52">
        <v>37910</v>
      </c>
      <c r="K3" s="47" t="s">
        <v>115</v>
      </c>
      <c r="L3" s="48">
        <v>2312</v>
      </c>
      <c r="N3" s="47" t="s">
        <v>114</v>
      </c>
      <c r="O3" s="46">
        <f>(L3-(L4+L5))/L3</f>
        <v>4.160899653979231E-2</v>
      </c>
    </row>
    <row r="4" spans="1:18" ht="17.25" thickTop="1" thickBot="1" x14ac:dyDescent="0.25">
      <c r="B4" s="50" t="s">
        <v>113</v>
      </c>
      <c r="C4" s="52">
        <v>37921</v>
      </c>
      <c r="F4" s="45"/>
      <c r="G4" s="45"/>
      <c r="H4" s="50" t="s">
        <v>112</v>
      </c>
      <c r="I4" s="51" t="s">
        <v>111</v>
      </c>
      <c r="K4" s="47" t="s">
        <v>110</v>
      </c>
      <c r="L4" s="48">
        <v>825.4</v>
      </c>
      <c r="N4" s="47" t="s">
        <v>109</v>
      </c>
      <c r="O4" s="46">
        <f>L4/L3</f>
        <v>0.35700692041522492</v>
      </c>
    </row>
    <row r="5" spans="1:18" ht="17.25" thickTop="1" thickBot="1" x14ac:dyDescent="0.25">
      <c r="B5" s="50" t="s">
        <v>108</v>
      </c>
      <c r="C5" s="49">
        <v>0.4236111111111111</v>
      </c>
      <c r="F5" s="45"/>
      <c r="G5" s="45"/>
      <c r="K5" s="47" t="s">
        <v>107</v>
      </c>
      <c r="L5" s="48">
        <v>1390.4</v>
      </c>
      <c r="N5" s="47" t="s">
        <v>106</v>
      </c>
      <c r="O5" s="46">
        <f>L5/L3</f>
        <v>0.6013840830449827</v>
      </c>
      <c r="Q5" s="20"/>
    </row>
    <row r="6" spans="1:18" ht="17.25" thickTop="1" thickBot="1" x14ac:dyDescent="0.25">
      <c r="F6" s="45"/>
      <c r="G6" s="45"/>
      <c r="K6" s="43" t="s">
        <v>105</v>
      </c>
      <c r="L6" s="43"/>
      <c r="M6" s="44"/>
      <c r="N6" s="43" t="s">
        <v>104</v>
      </c>
      <c r="O6" s="43"/>
      <c r="P6" s="43"/>
    </row>
    <row r="7" spans="1:18" ht="26.25" thickBot="1" x14ac:dyDescent="0.25">
      <c r="A7" s="36"/>
      <c r="B7" s="36"/>
      <c r="C7" s="35" t="s">
        <v>103</v>
      </c>
      <c r="D7" s="39" t="s">
        <v>102</v>
      </c>
      <c r="E7" s="42" t="s">
        <v>101</v>
      </c>
      <c r="F7" s="42" t="s">
        <v>100</v>
      </c>
      <c r="G7" s="42" t="s">
        <v>99</v>
      </c>
      <c r="H7" s="42" t="s">
        <v>98</v>
      </c>
      <c r="I7" s="35" t="s">
        <v>97</v>
      </c>
      <c r="J7" s="38"/>
      <c r="K7" s="38" t="s">
        <v>96</v>
      </c>
      <c r="L7" s="38" t="s">
        <v>95</v>
      </c>
      <c r="M7" s="41" t="s">
        <v>94</v>
      </c>
      <c r="N7" s="38" t="s">
        <v>95</v>
      </c>
      <c r="O7" s="38" t="s">
        <v>94</v>
      </c>
      <c r="P7" s="40" t="s">
        <v>93</v>
      </c>
      <c r="Q7" s="36"/>
      <c r="R7" s="36"/>
    </row>
    <row r="8" spans="1:18" ht="13.5" thickBot="1" x14ac:dyDescent="0.25">
      <c r="A8" s="36"/>
      <c r="B8" s="36"/>
      <c r="C8" s="35"/>
      <c r="D8" s="39"/>
      <c r="E8" s="35"/>
      <c r="F8" s="35"/>
      <c r="G8" s="35"/>
      <c r="H8" s="35"/>
      <c r="I8" s="35"/>
      <c r="J8" s="38"/>
      <c r="K8" s="36"/>
      <c r="L8" s="36"/>
      <c r="M8" s="37"/>
      <c r="N8" s="36"/>
      <c r="O8" s="36"/>
      <c r="P8" s="36"/>
      <c r="Q8" s="36"/>
      <c r="R8" s="36"/>
    </row>
    <row r="9" spans="1:18" ht="13.5" thickBot="1" x14ac:dyDescent="0.25">
      <c r="C9" s="35">
        <v>3</v>
      </c>
      <c r="D9" s="35">
        <v>4</v>
      </c>
      <c r="E9" s="28">
        <v>1389.6</v>
      </c>
      <c r="F9" s="28">
        <v>556.33000000000004</v>
      </c>
      <c r="G9" s="23"/>
      <c r="H9" s="23">
        <f>SUM(E9:G9)</f>
        <v>1945.9299999999998</v>
      </c>
      <c r="I9" s="28"/>
      <c r="K9" s="7">
        <f>H9/D9</f>
        <v>486.48249999999996</v>
      </c>
      <c r="L9" s="21">
        <f>K9/1.016*10</f>
        <v>4788.2135826771646</v>
      </c>
      <c r="M9" s="22">
        <f>L9/1.12085</f>
        <v>4271.9485949744967</v>
      </c>
      <c r="N9" s="21">
        <f>L9*$O$4</f>
        <v>1709.4253854419255</v>
      </c>
      <c r="O9" s="21">
        <f>M9*$O$4</f>
        <v>1525.115212063992</v>
      </c>
      <c r="P9" s="20">
        <f>O9/480</f>
        <v>3.17732335846665</v>
      </c>
    </row>
    <row r="10" spans="1:18" ht="13.5" thickBot="1" x14ac:dyDescent="0.25">
      <c r="C10" s="35">
        <v>4</v>
      </c>
      <c r="D10" s="35">
        <v>4</v>
      </c>
      <c r="E10" s="28">
        <v>998.7</v>
      </c>
      <c r="F10" s="28">
        <v>1048.22</v>
      </c>
      <c r="G10" s="23"/>
      <c r="H10" s="23">
        <f>SUM(E10:G10)</f>
        <v>2046.92</v>
      </c>
      <c r="I10" s="28"/>
      <c r="K10" s="7">
        <f>H10/D10</f>
        <v>511.73</v>
      </c>
      <c r="L10" s="21">
        <f>K10/1.016*10</f>
        <v>5036.712598425197</v>
      </c>
      <c r="M10" s="22">
        <f>L10/1.12085</f>
        <v>4493.6544572647517</v>
      </c>
      <c r="N10" s="21">
        <f>L10*$O$4</f>
        <v>1798.1412537803451</v>
      </c>
      <c r="O10" s="21">
        <f>M10*$O$4</f>
        <v>1604.265739198238</v>
      </c>
      <c r="P10" s="20">
        <f>O10/480</f>
        <v>3.3422202899963289</v>
      </c>
    </row>
    <row r="11" spans="1:18" ht="13.5" thickBot="1" x14ac:dyDescent="0.25">
      <c r="C11" s="35">
        <v>5</v>
      </c>
      <c r="D11" s="35">
        <v>4</v>
      </c>
      <c r="E11" s="28">
        <v>935.94</v>
      </c>
      <c r="F11" s="28">
        <v>959.92</v>
      </c>
      <c r="G11" s="23"/>
      <c r="H11" s="23">
        <f>SUM(E11:G11)</f>
        <v>1895.8600000000001</v>
      </c>
      <c r="I11" s="28"/>
      <c r="K11" s="7">
        <f>H11/D11</f>
        <v>473.96500000000003</v>
      </c>
      <c r="L11" s="21">
        <f>K11/1.016*10</f>
        <v>4665.0098425196857</v>
      </c>
      <c r="M11" s="22">
        <f>L11/1.12085</f>
        <v>4162.0286769145614</v>
      </c>
      <c r="N11" s="21">
        <f>L11*$O$4</f>
        <v>1665.4407975846664</v>
      </c>
      <c r="O11" s="21">
        <f>M11*$O$4</f>
        <v>1485.8730406251207</v>
      </c>
      <c r="P11" s="20">
        <f>O11/480</f>
        <v>3.0955688346356682</v>
      </c>
    </row>
    <row r="12" spans="1:18" ht="13.5" thickBot="1" x14ac:dyDescent="0.25">
      <c r="C12" s="35">
        <v>6</v>
      </c>
      <c r="D12" s="35">
        <v>4</v>
      </c>
      <c r="E12" s="28">
        <v>918.24</v>
      </c>
      <c r="F12" s="28">
        <v>894.62</v>
      </c>
      <c r="G12" s="23"/>
      <c r="H12" s="23">
        <f>SUM(E12:G12)</f>
        <v>1812.8600000000001</v>
      </c>
      <c r="I12" s="28"/>
      <c r="K12" s="7">
        <f>H12/D12</f>
        <v>453.21500000000003</v>
      </c>
      <c r="L12" s="21">
        <f>K12/1.016*10</f>
        <v>4460.7775590551182</v>
      </c>
      <c r="M12" s="22">
        <f>L12/1.12085</f>
        <v>3979.8167096891812</v>
      </c>
      <c r="N12" s="21">
        <f>L12*$O$4</f>
        <v>1592.5284590156118</v>
      </c>
      <c r="O12" s="21">
        <f>M12*$O$4</f>
        <v>1420.8221073431878</v>
      </c>
      <c r="P12" s="20">
        <f>O12/480</f>
        <v>2.9600460569649747</v>
      </c>
    </row>
    <row r="13" spans="1:18" ht="13.5" thickBot="1" x14ac:dyDescent="0.25">
      <c r="C13" s="35">
        <v>7</v>
      </c>
      <c r="D13" s="35">
        <v>4</v>
      </c>
      <c r="E13" s="28">
        <v>1077.9000000000001</v>
      </c>
      <c r="F13" s="28">
        <v>921.56</v>
      </c>
      <c r="G13" s="23"/>
      <c r="H13" s="23">
        <f>SUM(E13:G13)</f>
        <v>1999.46</v>
      </c>
      <c r="I13" s="28"/>
      <c r="K13" s="7">
        <f>H13/D13</f>
        <v>499.86500000000001</v>
      </c>
      <c r="L13" s="21">
        <f>K13/1.016*10</f>
        <v>4919.9311023622049</v>
      </c>
      <c r="M13" s="22">
        <f>L13/1.12085</f>
        <v>4389.4643372103365</v>
      </c>
      <c r="N13" s="21">
        <f>L13*$O$4</f>
        <v>1756.4494515094134</v>
      </c>
      <c r="O13" s="21">
        <f>M13*$O$4</f>
        <v>1567.0691452999185</v>
      </c>
      <c r="P13" s="20">
        <f>O13/480</f>
        <v>3.2647273860414971</v>
      </c>
    </row>
    <row r="14" spans="1:18" ht="13.5" thickBot="1" x14ac:dyDescent="0.25">
      <c r="C14" s="35">
        <v>8</v>
      </c>
      <c r="D14" s="35">
        <v>4</v>
      </c>
      <c r="E14" s="28">
        <v>1974.05</v>
      </c>
      <c r="F14" s="28"/>
      <c r="G14" s="23"/>
      <c r="H14" s="23">
        <f>SUM(E14:G14)</f>
        <v>1974.05</v>
      </c>
      <c r="I14" s="28"/>
      <c r="K14" s="7">
        <f>H14/D14</f>
        <v>493.51249999999999</v>
      </c>
      <c r="L14" s="21">
        <f>K14/1.016*10</f>
        <v>4857.4064960629921</v>
      </c>
      <c r="M14" s="22">
        <f>L14/1.12085</f>
        <v>4333.6811313404942</v>
      </c>
      <c r="N14" s="21">
        <f>L14*$O$4</f>
        <v>1734.1277343643571</v>
      </c>
      <c r="O14" s="21">
        <f>M14*$O$4</f>
        <v>1547.1541547614377</v>
      </c>
      <c r="P14" s="20">
        <f>O14/480</f>
        <v>3.2232378224196618</v>
      </c>
    </row>
    <row r="15" spans="1:18" ht="13.5" thickBot="1" x14ac:dyDescent="0.25">
      <c r="C15" s="35"/>
      <c r="D15" s="35"/>
      <c r="E15" s="23"/>
      <c r="F15" s="23"/>
      <c r="G15" s="23"/>
      <c r="H15" s="23"/>
      <c r="I15" s="23"/>
      <c r="M15" s="34"/>
    </row>
    <row r="16" spans="1:18" ht="13.5" thickBot="1" x14ac:dyDescent="0.25">
      <c r="C16" s="33" t="s">
        <v>92</v>
      </c>
      <c r="D16" s="32"/>
      <c r="E16" s="31">
        <v>295</v>
      </c>
      <c r="F16" s="30" t="s">
        <v>91</v>
      </c>
      <c r="G16" s="29"/>
      <c r="H16" s="28">
        <v>456.1</v>
      </c>
      <c r="I16" s="23"/>
      <c r="K16" s="7">
        <f>H16/SUM($D$9:$D$14)</f>
        <v>19.004166666666666</v>
      </c>
      <c r="L16" s="21">
        <f>K16/1.016*10</f>
        <v>187.04888451443568</v>
      </c>
      <c r="M16" s="22">
        <f>L16/1.12085</f>
        <v>166.88128162950949</v>
      </c>
      <c r="N16" s="21">
        <f>L16*$O$4</f>
        <v>66.777746227601739</v>
      </c>
      <c r="O16" s="21">
        <f>M16*$O$4</f>
        <v>59.577772429497031</v>
      </c>
      <c r="P16" s="20">
        <f>O16/480</f>
        <v>0.12412035922811882</v>
      </c>
    </row>
    <row r="17" spans="3:16" ht="13.5" thickBot="1" x14ac:dyDescent="0.25">
      <c r="C17" s="27"/>
      <c r="D17" s="25"/>
      <c r="E17" s="26"/>
      <c r="F17" s="25"/>
      <c r="G17" s="24"/>
      <c r="H17" s="23"/>
      <c r="I17" s="23"/>
      <c r="L17" s="21"/>
      <c r="M17" s="22"/>
      <c r="N17" s="21"/>
      <c r="O17" s="21"/>
      <c r="P17" s="20"/>
    </row>
    <row r="18" spans="3:16" ht="16.5" thickBot="1" x14ac:dyDescent="0.25">
      <c r="C18" s="15" t="s">
        <v>90</v>
      </c>
      <c r="D18" s="14"/>
      <c r="E18" s="14"/>
      <c r="F18" s="14"/>
      <c r="G18" s="19"/>
      <c r="H18" s="13">
        <f>SUM(H9:H14,H16)</f>
        <v>12131.179999999998</v>
      </c>
      <c r="I18" s="12"/>
      <c r="J18" s="11"/>
      <c r="K18" s="17">
        <f>AVERAGE(K9:K14)+K16/6</f>
        <v>489.62902777777771</v>
      </c>
      <c r="L18" s="17">
        <f>AVERAGE(L9:L14)+L16/6</f>
        <v>4819.183344269466</v>
      </c>
      <c r="M18" s="18">
        <f>AVERAGE(M9:M14)+M16/6</f>
        <v>4299.5791981705552</v>
      </c>
      <c r="N18" s="17">
        <f>AVERAGE(N9:N14)+N16/6</f>
        <v>1720.481804653987</v>
      </c>
      <c r="O18" s="17">
        <f>AVERAGE(O9:O14)+O16/6</f>
        <v>1534.9795286202318</v>
      </c>
      <c r="P18" s="16">
        <f>AVERAGE(P9:P14)+P16/6</f>
        <v>3.1978740179588168</v>
      </c>
    </row>
    <row r="19" spans="3:16" ht="16.5" thickBot="1" x14ac:dyDescent="0.25">
      <c r="C19" s="15" t="s">
        <v>89</v>
      </c>
      <c r="D19" s="14"/>
      <c r="E19" s="14"/>
      <c r="F19" s="14"/>
      <c r="G19" s="14"/>
      <c r="H19" s="13">
        <f>STDEV(H9:H14)/SQRT(COUNT(H9:H14))</f>
        <v>33.699536858011029</v>
      </c>
      <c r="I19" s="12"/>
      <c r="J19" s="11"/>
      <c r="K19" s="9">
        <f>STDEV(K9:K14)/SQRT(COUNT(K9:K14))</f>
        <v>8.4248842145027574</v>
      </c>
      <c r="L19" s="9">
        <f>STDEV(L9:L14)/SQRT(COUNT(L9:L14))</f>
        <v>82.922088725420849</v>
      </c>
      <c r="M19" s="10">
        <f>STDEV(M9:M14)/SQRT(COUNT(M9:M14))</f>
        <v>73.981432596173278</v>
      </c>
      <c r="N19" s="9">
        <f>STDEV(N9:N14)/SQRT(COUNT(N9:N14))</f>
        <v>29.603759530260547</v>
      </c>
      <c r="O19" s="9">
        <f>STDEV(O9:O14)/SQRT(COUNT(O9:O14))</f>
        <v>26.411883419066363</v>
      </c>
      <c r="P19" s="58">
        <f>STDEV(P9:P14)/SQRT(COUNT(P9:P14))</f>
        <v>5.5024757123054886E-2</v>
      </c>
    </row>
    <row r="21" spans="3:16" x14ac:dyDescent="0.2">
      <c r="C21" s="7" t="s">
        <v>122</v>
      </c>
    </row>
    <row r="22" spans="3:16" x14ac:dyDescent="0.2">
      <c r="C22" s="7" t="s">
        <v>87</v>
      </c>
    </row>
  </sheetData>
  <mergeCells count="6">
    <mergeCell ref="C18:G18"/>
    <mergeCell ref="C19:G19"/>
    <mergeCell ref="K6:M6"/>
    <mergeCell ref="N6:P6"/>
    <mergeCell ref="C16:D16"/>
    <mergeCell ref="F16:G16"/>
  </mergeCells>
  <pageMargins left="0.75" right="0.75" top="1" bottom="0.52" header="0.5" footer="0.5"/>
  <pageSetup scale="75" orientation="landscape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FC1BA-ADEE-4364-9511-C02E1A1A99DC}">
  <sheetPr codeName="Sheet17">
    <pageSetUpPr fitToPage="1"/>
  </sheetPr>
  <dimension ref="A1:R22"/>
  <sheetViews>
    <sheetView topLeftCell="A2" workbookViewId="0">
      <selection activeCell="E17" sqref="E17"/>
    </sheetView>
  </sheetViews>
  <sheetFormatPr defaultRowHeight="12.75" x14ac:dyDescent="0.2"/>
  <cols>
    <col min="1" max="16384" width="9.140625" style="7"/>
  </cols>
  <sheetData>
    <row r="1" spans="1:18" ht="37.5" x14ac:dyDescent="0.2">
      <c r="A1" s="57" t="s">
        <v>121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</row>
    <row r="2" spans="1:18" ht="18.75" thickBot="1" x14ac:dyDescent="0.3">
      <c r="H2" s="56" t="s">
        <v>120</v>
      </c>
      <c r="I2" s="55">
        <v>204</v>
      </c>
      <c r="J2" s="54"/>
      <c r="K2" s="47" t="s">
        <v>119</v>
      </c>
      <c r="L2" s="53">
        <v>37924</v>
      </c>
      <c r="N2" s="47"/>
      <c r="O2" s="48"/>
    </row>
    <row r="3" spans="1:18" ht="17.25" thickTop="1" thickBot="1" x14ac:dyDescent="0.25">
      <c r="B3" s="50" t="s">
        <v>116</v>
      </c>
      <c r="C3" s="52">
        <v>37910</v>
      </c>
      <c r="K3" s="47" t="s">
        <v>115</v>
      </c>
      <c r="L3" s="48">
        <v>2091.3000000000002</v>
      </c>
      <c r="N3" s="47" t="s">
        <v>114</v>
      </c>
      <c r="O3" s="46">
        <f>(L3-(L4+L5))/L3</f>
        <v>1.2408549705924674E-2</v>
      </c>
    </row>
    <row r="4" spans="1:18" ht="17.25" thickTop="1" thickBot="1" x14ac:dyDescent="0.25">
      <c r="B4" s="50" t="s">
        <v>113</v>
      </c>
      <c r="C4" s="52">
        <v>37921</v>
      </c>
      <c r="F4" s="45"/>
      <c r="G4" s="45"/>
      <c r="H4" s="50" t="s">
        <v>112</v>
      </c>
      <c r="I4" s="51" t="s">
        <v>124</v>
      </c>
      <c r="K4" s="47" t="s">
        <v>110</v>
      </c>
      <c r="L4" s="48">
        <v>767.6</v>
      </c>
      <c r="N4" s="47" t="s">
        <v>109</v>
      </c>
      <c r="O4" s="46">
        <f>L4/L3</f>
        <v>0.36704442212977573</v>
      </c>
    </row>
    <row r="5" spans="1:18" ht="17.25" thickTop="1" thickBot="1" x14ac:dyDescent="0.25">
      <c r="B5" s="50" t="s">
        <v>108</v>
      </c>
      <c r="C5" s="49">
        <v>0.42291666666666666</v>
      </c>
      <c r="F5" s="45"/>
      <c r="G5" s="45"/>
      <c r="K5" s="47" t="s">
        <v>107</v>
      </c>
      <c r="L5" s="48">
        <v>1297.75</v>
      </c>
      <c r="N5" s="47" t="s">
        <v>106</v>
      </c>
      <c r="O5" s="46">
        <f>L5/L3</f>
        <v>0.62054702816429963</v>
      </c>
      <c r="Q5" s="20"/>
    </row>
    <row r="6" spans="1:18" ht="17.25" thickTop="1" thickBot="1" x14ac:dyDescent="0.25">
      <c r="F6" s="45"/>
      <c r="G6" s="45"/>
      <c r="K6" s="43" t="s">
        <v>105</v>
      </c>
      <c r="L6" s="43"/>
      <c r="M6" s="44"/>
      <c r="N6" s="43" t="s">
        <v>104</v>
      </c>
      <c r="O6" s="43"/>
      <c r="P6" s="43"/>
    </row>
    <row r="7" spans="1:18" ht="26.25" thickBot="1" x14ac:dyDescent="0.25">
      <c r="A7" s="36"/>
      <c r="B7" s="36"/>
      <c r="C7" s="35" t="s">
        <v>103</v>
      </c>
      <c r="D7" s="39" t="s">
        <v>102</v>
      </c>
      <c r="E7" s="42" t="s">
        <v>101</v>
      </c>
      <c r="F7" s="42" t="s">
        <v>100</v>
      </c>
      <c r="G7" s="42" t="s">
        <v>99</v>
      </c>
      <c r="H7" s="42" t="s">
        <v>98</v>
      </c>
      <c r="I7" s="35" t="s">
        <v>97</v>
      </c>
      <c r="J7" s="38"/>
      <c r="K7" s="38" t="s">
        <v>96</v>
      </c>
      <c r="L7" s="38" t="s">
        <v>95</v>
      </c>
      <c r="M7" s="41" t="s">
        <v>94</v>
      </c>
      <c r="N7" s="38" t="s">
        <v>95</v>
      </c>
      <c r="O7" s="38" t="s">
        <v>94</v>
      </c>
      <c r="P7" s="40" t="s">
        <v>93</v>
      </c>
      <c r="Q7" s="36"/>
      <c r="R7" s="36"/>
    </row>
    <row r="8" spans="1:18" ht="13.5" thickBot="1" x14ac:dyDescent="0.25">
      <c r="A8" s="36"/>
      <c r="B8" s="36"/>
      <c r="C8" s="35"/>
      <c r="D8" s="39"/>
      <c r="E8" s="35"/>
      <c r="F8" s="35"/>
      <c r="G8" s="35"/>
      <c r="H8" s="35"/>
      <c r="I8" s="35"/>
      <c r="J8" s="38"/>
      <c r="K8" s="36"/>
      <c r="L8" s="36"/>
      <c r="M8" s="37"/>
      <c r="N8" s="36"/>
      <c r="O8" s="36"/>
      <c r="P8" s="36"/>
      <c r="Q8" s="36"/>
      <c r="R8" s="36"/>
    </row>
    <row r="9" spans="1:18" ht="13.5" thickBot="1" x14ac:dyDescent="0.25">
      <c r="C9" s="35">
        <v>3</v>
      </c>
      <c r="D9" s="35">
        <v>4</v>
      </c>
      <c r="E9" s="28">
        <v>1251.0999999999999</v>
      </c>
      <c r="F9" s="28">
        <v>822.5</v>
      </c>
      <c r="G9" s="23"/>
      <c r="H9" s="23">
        <f>SUM(E9:G9)</f>
        <v>2073.6</v>
      </c>
      <c r="I9" s="28"/>
      <c r="K9" s="7">
        <f>H9/D9</f>
        <v>518.4</v>
      </c>
      <c r="L9" s="21">
        <f>K9/1.016*10</f>
        <v>5102.3622047244089</v>
      </c>
      <c r="M9" s="22">
        <f>L9/1.12085</f>
        <v>4552.2257257656329</v>
      </c>
      <c r="N9" s="21">
        <f>L9*$O$4</f>
        <v>1872.7935869298792</v>
      </c>
      <c r="O9" s="21">
        <f>M9*$O$4</f>
        <v>1670.8690609179457</v>
      </c>
      <c r="P9" s="20">
        <f>O9/480</f>
        <v>3.4809772102457202</v>
      </c>
    </row>
    <row r="10" spans="1:18" ht="13.5" thickBot="1" x14ac:dyDescent="0.25">
      <c r="C10" s="35">
        <v>4</v>
      </c>
      <c r="D10" s="35">
        <v>4</v>
      </c>
      <c r="E10" s="28">
        <v>758.7</v>
      </c>
      <c r="F10" s="28">
        <v>1131.8</v>
      </c>
      <c r="G10" s="23"/>
      <c r="H10" s="23">
        <f>SUM(E10:G10)</f>
        <v>1890.5</v>
      </c>
      <c r="I10" s="28"/>
      <c r="K10" s="7">
        <f>H10/D10</f>
        <v>472.625</v>
      </c>
      <c r="L10" s="21">
        <f>K10/1.016*10</f>
        <v>4651.820866141732</v>
      </c>
      <c r="M10" s="22">
        <f>L10/1.12085</f>
        <v>4150.2617354166323</v>
      </c>
      <c r="N10" s="21">
        <f>L10*$O$4</f>
        <v>1707.4249016642248</v>
      </c>
      <c r="O10" s="21">
        <f>M10*$O$4</f>
        <v>1523.3304203633179</v>
      </c>
      <c r="P10" s="20">
        <f>O10/480</f>
        <v>3.1736050424235791</v>
      </c>
    </row>
    <row r="11" spans="1:18" ht="13.5" thickBot="1" x14ac:dyDescent="0.25">
      <c r="C11" s="35">
        <v>5</v>
      </c>
      <c r="D11" s="35">
        <v>4</v>
      </c>
      <c r="E11" s="28">
        <v>1152.3</v>
      </c>
      <c r="F11" s="28">
        <v>872.8</v>
      </c>
      <c r="G11" s="23"/>
      <c r="H11" s="23">
        <f>SUM(E11:G11)</f>
        <v>2025.1</v>
      </c>
      <c r="I11" s="28"/>
      <c r="K11" s="7">
        <f>H11/D11</f>
        <v>506.27499999999998</v>
      </c>
      <c r="L11" s="21">
        <f>K11/1.016*10</f>
        <v>4983.0216535433065</v>
      </c>
      <c r="M11" s="22">
        <f>L11/1.12085</f>
        <v>4445.7524678086338</v>
      </c>
      <c r="N11" s="21">
        <f>L11*$O$4</f>
        <v>1828.9903032849625</v>
      </c>
      <c r="O11" s="21">
        <f>M11*$O$4</f>
        <v>1631.7886454788443</v>
      </c>
      <c r="P11" s="20">
        <f>O11/480</f>
        <v>3.3995596780809256</v>
      </c>
    </row>
    <row r="12" spans="1:18" ht="13.5" thickBot="1" x14ac:dyDescent="0.25">
      <c r="C12" s="35">
        <v>6</v>
      </c>
      <c r="D12" s="35">
        <v>4</v>
      </c>
      <c r="E12" s="28">
        <v>1156.3</v>
      </c>
      <c r="F12" s="28">
        <v>869.2</v>
      </c>
      <c r="G12" s="23"/>
      <c r="H12" s="23">
        <f>SUM(E12:G12)</f>
        <v>2025.5</v>
      </c>
      <c r="I12" s="28"/>
      <c r="K12" s="7">
        <f>H12/D12</f>
        <v>506.375</v>
      </c>
      <c r="L12" s="21">
        <f>K12/1.016*10</f>
        <v>4984.0059055118109</v>
      </c>
      <c r="M12" s="22">
        <f>L12/1.12085</f>
        <v>4446.6305977711663</v>
      </c>
      <c r="N12" s="21">
        <f>L12*$O$4</f>
        <v>1829.3515674799721</v>
      </c>
      <c r="O12" s="21">
        <f>M12*$O$4</f>
        <v>1632.1109581834969</v>
      </c>
      <c r="P12" s="20">
        <f>O12/480</f>
        <v>3.4002311628822852</v>
      </c>
    </row>
    <row r="13" spans="1:18" ht="13.5" thickBot="1" x14ac:dyDescent="0.25">
      <c r="C13" s="35">
        <v>7</v>
      </c>
      <c r="D13" s="35">
        <v>4</v>
      </c>
      <c r="E13" s="28">
        <v>1439.9</v>
      </c>
      <c r="F13" s="28">
        <v>884.4</v>
      </c>
      <c r="G13" s="23"/>
      <c r="H13" s="23">
        <f>SUM(E13:G13)</f>
        <v>2324.3000000000002</v>
      </c>
      <c r="I13" s="28"/>
      <c r="K13" s="7">
        <f>H13/D13</f>
        <v>581.07500000000005</v>
      </c>
      <c r="L13" s="21">
        <f>K13/1.016*10</f>
        <v>5719.2421259842522</v>
      </c>
      <c r="M13" s="22">
        <f>L13/1.12085</f>
        <v>5102.5936797825334</v>
      </c>
      <c r="N13" s="21">
        <f>L13*$O$4</f>
        <v>2099.2159211521598</v>
      </c>
      <c r="O13" s="21">
        <f>M13*$O$4</f>
        <v>1872.878548558826</v>
      </c>
      <c r="P13" s="20">
        <f>O13/480</f>
        <v>3.9018303094975542</v>
      </c>
    </row>
    <row r="14" spans="1:18" ht="13.5" thickBot="1" x14ac:dyDescent="0.25">
      <c r="C14" s="35">
        <v>8</v>
      </c>
      <c r="D14" s="35">
        <v>4</v>
      </c>
      <c r="E14" s="28">
        <v>2094.1</v>
      </c>
      <c r="F14" s="28"/>
      <c r="G14" s="23"/>
      <c r="H14" s="23">
        <f>SUM(E14:G14)</f>
        <v>2094.1</v>
      </c>
      <c r="I14" s="28"/>
      <c r="K14" s="7">
        <f>H14/D14</f>
        <v>523.52499999999998</v>
      </c>
      <c r="L14" s="21">
        <f>K14/1.016*10</f>
        <v>5152.8051181102364</v>
      </c>
      <c r="M14" s="22">
        <f>L14/1.12085</f>
        <v>4597.2298863453962</v>
      </c>
      <c r="N14" s="21">
        <f>L14*$O$4</f>
        <v>1891.3083769241225</v>
      </c>
      <c r="O14" s="21">
        <f>M14*$O$4</f>
        <v>1687.3875870313805</v>
      </c>
      <c r="P14" s="20">
        <f>O14/480</f>
        <v>3.5153908063153758</v>
      </c>
    </row>
    <row r="15" spans="1:18" ht="13.5" thickBot="1" x14ac:dyDescent="0.25">
      <c r="C15" s="35"/>
      <c r="D15" s="35"/>
      <c r="E15" s="23"/>
      <c r="F15" s="23"/>
      <c r="G15" s="23"/>
      <c r="H15" s="23"/>
      <c r="I15" s="23"/>
      <c r="M15" s="34"/>
    </row>
    <row r="16" spans="1:18" ht="13.5" thickBot="1" x14ac:dyDescent="0.25">
      <c r="C16" s="33" t="s">
        <v>92</v>
      </c>
      <c r="D16" s="32"/>
      <c r="E16" s="31">
        <v>37915</v>
      </c>
      <c r="F16" s="30" t="s">
        <v>91</v>
      </c>
      <c r="G16" s="29"/>
      <c r="H16" s="28">
        <v>372</v>
      </c>
      <c r="I16" s="23"/>
      <c r="K16" s="7">
        <f>H16/SUM($D$9:$D$14)</f>
        <v>15.5</v>
      </c>
      <c r="L16" s="21">
        <f>K16/1.016*10</f>
        <v>152.55905511811025</v>
      </c>
      <c r="M16" s="22">
        <f>L16/1.12085</f>
        <v>136.1101441924524</v>
      </c>
      <c r="N16" s="21">
        <f>L16*$O$4</f>
        <v>55.995950226491381</v>
      </c>
      <c r="O16" s="21">
        <f>M16*$O$4</f>
        <v>49.958469221119138</v>
      </c>
      <c r="P16" s="20">
        <f>O16/480</f>
        <v>0.10408014421066487</v>
      </c>
    </row>
    <row r="17" spans="3:16" ht="13.5" thickBot="1" x14ac:dyDescent="0.25">
      <c r="C17" s="27"/>
      <c r="D17" s="25"/>
      <c r="E17" s="26"/>
      <c r="F17" s="25"/>
      <c r="G17" s="24"/>
      <c r="H17" s="23"/>
      <c r="I17" s="23"/>
      <c r="L17" s="21"/>
      <c r="M17" s="22"/>
      <c r="N17" s="21"/>
      <c r="O17" s="21"/>
      <c r="P17" s="20"/>
    </row>
    <row r="18" spans="3:16" ht="16.5" thickBot="1" x14ac:dyDescent="0.25">
      <c r="C18" s="15" t="s">
        <v>90</v>
      </c>
      <c r="D18" s="14"/>
      <c r="E18" s="14"/>
      <c r="F18" s="14"/>
      <c r="G18" s="19"/>
      <c r="H18" s="13">
        <f>SUM(H9:H14,H16)</f>
        <v>12805.1</v>
      </c>
      <c r="I18" s="12"/>
      <c r="J18" s="11"/>
      <c r="K18" s="17">
        <f>AVERAGE(K9:K14)+K16/6</f>
        <v>520.62916666666672</v>
      </c>
      <c r="L18" s="17">
        <f>AVERAGE(L9:L14)+L16/6</f>
        <v>5124.3028215223094</v>
      </c>
      <c r="M18" s="18">
        <f>AVERAGE(M9:M14)+M16/6</f>
        <v>4571.8007061804074</v>
      </c>
      <c r="N18" s="17">
        <f>AVERAGE(N9:N14)+N16/6</f>
        <v>1880.8467679436351</v>
      </c>
      <c r="O18" s="17">
        <f>AVERAGE(O9:O14)+O16/6</f>
        <v>1678.0539482924883</v>
      </c>
      <c r="P18" s="16">
        <f>AVERAGE(P9:P14)+P16/6</f>
        <v>3.4959457256093507</v>
      </c>
    </row>
    <row r="19" spans="3:16" ht="16.5" thickBot="1" x14ac:dyDescent="0.25">
      <c r="C19" s="15" t="s">
        <v>89</v>
      </c>
      <c r="D19" s="14"/>
      <c r="E19" s="14"/>
      <c r="F19" s="14"/>
      <c r="G19" s="14"/>
      <c r="H19" s="13">
        <f>STDEV(H9:H14)/SQRT(COUNT(H9:H14))</f>
        <v>58.152147662642534</v>
      </c>
      <c r="I19" s="12"/>
      <c r="J19" s="11"/>
      <c r="K19" s="9">
        <f>STDEV(K9:K14)/SQRT(COUNT(K9:K14))</f>
        <v>14.538036915660633</v>
      </c>
      <c r="L19" s="9">
        <f>STDEV(L9:L14)/SQRT(COUNT(L9:L14))</f>
        <v>143.09091452421887</v>
      </c>
      <c r="M19" s="10">
        <f>STDEV(M9:M14)/SQRT(COUNT(M9:M14))</f>
        <v>127.66285812037188</v>
      </c>
      <c r="N19" s="9">
        <f>STDEV(N9:N14)/SQRT(COUNT(N9:N14))</f>
        <v>52.520722033563047</v>
      </c>
      <c r="O19" s="9">
        <f>STDEV(O9:O14)/SQRT(COUNT(O9:O14))</f>
        <v>46.857939986227478</v>
      </c>
      <c r="P19" s="58">
        <f>STDEV(P9:P14)/SQRT(COUNT(P9:P14))</f>
        <v>9.7620708304640549E-2</v>
      </c>
    </row>
    <row r="21" spans="3:16" x14ac:dyDescent="0.2">
      <c r="C21" s="7" t="s">
        <v>122</v>
      </c>
    </row>
    <row r="22" spans="3:16" x14ac:dyDescent="0.2">
      <c r="C22" s="7" t="s">
        <v>87</v>
      </c>
    </row>
  </sheetData>
  <mergeCells count="6">
    <mergeCell ref="C18:G18"/>
    <mergeCell ref="C19:G19"/>
    <mergeCell ref="K6:M6"/>
    <mergeCell ref="N6:P6"/>
    <mergeCell ref="C16:D16"/>
    <mergeCell ref="F16:G16"/>
  </mergeCells>
  <pageMargins left="0.75" right="0.75" top="1" bottom="0.52" header="0.5" footer="0.5"/>
  <pageSetup scale="75" orientation="landscape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9B407-2763-48F6-9E24-FF75A35566B0}">
  <sheetPr codeName="Sheet18">
    <pageSetUpPr fitToPage="1"/>
  </sheetPr>
  <dimension ref="A1:R22"/>
  <sheetViews>
    <sheetView workbookViewId="0">
      <selection activeCell="E17" sqref="E17"/>
    </sheetView>
  </sheetViews>
  <sheetFormatPr defaultRowHeight="12.75" x14ac:dyDescent="0.2"/>
  <cols>
    <col min="1" max="16384" width="9.140625" style="7"/>
  </cols>
  <sheetData>
    <row r="1" spans="1:18" ht="37.5" x14ac:dyDescent="0.2">
      <c r="A1" s="57" t="s">
        <v>121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</row>
    <row r="2" spans="1:18" ht="18.75" thickBot="1" x14ac:dyDescent="0.3">
      <c r="H2" s="56" t="s">
        <v>120</v>
      </c>
      <c r="I2" s="55">
        <v>205</v>
      </c>
      <c r="J2" s="54"/>
      <c r="K2" s="47" t="s">
        <v>119</v>
      </c>
      <c r="L2" s="53">
        <v>37924</v>
      </c>
      <c r="N2" s="47"/>
      <c r="O2" s="48"/>
    </row>
    <row r="3" spans="1:18" ht="17.25" thickTop="1" thickBot="1" x14ac:dyDescent="0.25">
      <c r="B3" s="50" t="s">
        <v>116</v>
      </c>
      <c r="C3" s="52">
        <v>37910</v>
      </c>
      <c r="K3" s="47" t="s">
        <v>115</v>
      </c>
      <c r="L3" s="48">
        <v>2229.8000000000002</v>
      </c>
      <c r="N3" s="47" t="s">
        <v>114</v>
      </c>
      <c r="O3" s="46">
        <f>(L3-(L4+L5))/L3</f>
        <v>5.0408108350524949E-2</v>
      </c>
    </row>
    <row r="4" spans="1:18" ht="17.25" thickTop="1" thickBot="1" x14ac:dyDescent="0.25">
      <c r="B4" s="50" t="s">
        <v>113</v>
      </c>
      <c r="C4" s="52">
        <v>37921</v>
      </c>
      <c r="F4" s="45"/>
      <c r="G4" s="45"/>
      <c r="H4" s="50" t="s">
        <v>112</v>
      </c>
      <c r="I4" s="51" t="s">
        <v>111</v>
      </c>
      <c r="K4" s="47" t="s">
        <v>110</v>
      </c>
      <c r="L4" s="48">
        <v>758.3</v>
      </c>
      <c r="N4" s="47" t="s">
        <v>109</v>
      </c>
      <c r="O4" s="46">
        <f>L4/L3</f>
        <v>0.34007534308009685</v>
      </c>
    </row>
    <row r="5" spans="1:18" ht="17.25" thickTop="1" thickBot="1" x14ac:dyDescent="0.25">
      <c r="B5" s="50" t="s">
        <v>108</v>
      </c>
      <c r="C5" s="49">
        <v>0.42708333333333331</v>
      </c>
      <c r="F5" s="45"/>
      <c r="G5" s="45"/>
      <c r="K5" s="47" t="s">
        <v>107</v>
      </c>
      <c r="L5" s="48">
        <v>1359.1</v>
      </c>
      <c r="N5" s="47" t="s">
        <v>106</v>
      </c>
      <c r="O5" s="46">
        <f>L5/L3</f>
        <v>0.60951654856937831</v>
      </c>
      <c r="Q5" s="20"/>
    </row>
    <row r="6" spans="1:18" ht="17.25" thickTop="1" thickBot="1" x14ac:dyDescent="0.25">
      <c r="F6" s="45"/>
      <c r="G6" s="45"/>
      <c r="K6" s="43" t="s">
        <v>105</v>
      </c>
      <c r="L6" s="43"/>
      <c r="M6" s="44"/>
      <c r="N6" s="43" t="s">
        <v>104</v>
      </c>
      <c r="O6" s="43"/>
      <c r="P6" s="43"/>
    </row>
    <row r="7" spans="1:18" ht="26.25" thickBot="1" x14ac:dyDescent="0.25">
      <c r="A7" s="36"/>
      <c r="B7" s="36"/>
      <c r="C7" s="35" t="s">
        <v>103</v>
      </c>
      <c r="D7" s="39" t="s">
        <v>102</v>
      </c>
      <c r="E7" s="42" t="s">
        <v>101</v>
      </c>
      <c r="F7" s="42" t="s">
        <v>100</v>
      </c>
      <c r="G7" s="42" t="s">
        <v>99</v>
      </c>
      <c r="H7" s="42" t="s">
        <v>98</v>
      </c>
      <c r="I7" s="35" t="s">
        <v>97</v>
      </c>
      <c r="J7" s="38"/>
      <c r="K7" s="38" t="s">
        <v>96</v>
      </c>
      <c r="L7" s="38" t="s">
        <v>95</v>
      </c>
      <c r="M7" s="41" t="s">
        <v>94</v>
      </c>
      <c r="N7" s="38" t="s">
        <v>95</v>
      </c>
      <c r="O7" s="38" t="s">
        <v>94</v>
      </c>
      <c r="P7" s="40" t="s">
        <v>93</v>
      </c>
      <c r="Q7" s="36"/>
      <c r="R7" s="36"/>
    </row>
    <row r="8" spans="1:18" ht="13.5" thickBot="1" x14ac:dyDescent="0.25">
      <c r="A8" s="36"/>
      <c r="B8" s="36"/>
      <c r="C8" s="35"/>
      <c r="D8" s="39"/>
      <c r="E8" s="35"/>
      <c r="F8" s="35"/>
      <c r="G8" s="35"/>
      <c r="H8" s="35"/>
      <c r="I8" s="35"/>
      <c r="J8" s="38"/>
      <c r="K8" s="36"/>
      <c r="L8" s="36"/>
      <c r="M8" s="37"/>
      <c r="N8" s="36"/>
      <c r="O8" s="36"/>
      <c r="P8" s="36"/>
      <c r="Q8" s="36"/>
      <c r="R8" s="36"/>
    </row>
    <row r="9" spans="1:18" ht="13.5" thickBot="1" x14ac:dyDescent="0.25">
      <c r="C9" s="35">
        <v>3</v>
      </c>
      <c r="D9" s="35">
        <v>4</v>
      </c>
      <c r="E9" s="28">
        <v>1000.48</v>
      </c>
      <c r="F9" s="28">
        <v>886.52</v>
      </c>
      <c r="G9" s="23"/>
      <c r="H9" s="23">
        <f>SUM(E9:G9)</f>
        <v>1887</v>
      </c>
      <c r="I9" s="28"/>
      <c r="K9" s="7">
        <f>H9/D9</f>
        <v>471.75</v>
      </c>
      <c r="L9" s="21">
        <f>K9/1.016*10</f>
        <v>4643.2086614173222</v>
      </c>
      <c r="M9" s="22">
        <f>L9/1.12085</f>
        <v>4142.5780982444776</v>
      </c>
      <c r="N9" s="21">
        <f>L9*$O$4</f>
        <v>1579.0407785239731</v>
      </c>
      <c r="O9" s="21">
        <f>M9*$O$4</f>
        <v>1408.7886679965859</v>
      </c>
      <c r="P9" s="20">
        <f>O9/480</f>
        <v>2.9349763916595539</v>
      </c>
    </row>
    <row r="10" spans="1:18" ht="13.5" thickBot="1" x14ac:dyDescent="0.25">
      <c r="C10" s="35">
        <v>4</v>
      </c>
      <c r="D10" s="35">
        <v>4</v>
      </c>
      <c r="E10" s="28">
        <v>1014.3</v>
      </c>
      <c r="F10" s="28">
        <v>1185.5</v>
      </c>
      <c r="G10" s="23"/>
      <c r="H10" s="23">
        <f>SUM(E10:G10)</f>
        <v>2199.8000000000002</v>
      </c>
      <c r="I10" s="28"/>
      <c r="K10" s="7">
        <f>H10/D10</f>
        <v>549.95000000000005</v>
      </c>
      <c r="L10" s="21">
        <f>K10/1.016*10</f>
        <v>5412.893700787401</v>
      </c>
      <c r="M10" s="22">
        <f>L10/1.12085</f>
        <v>4829.2757289444635</v>
      </c>
      <c r="N10" s="21">
        <f>L10*$O$4</f>
        <v>1840.7916823513706</v>
      </c>
      <c r="O10" s="21">
        <f>M10*$O$4</f>
        <v>1642.3176003491733</v>
      </c>
      <c r="P10" s="20">
        <f>O10/480</f>
        <v>3.4214950007274445</v>
      </c>
    </row>
    <row r="11" spans="1:18" ht="13.5" thickBot="1" x14ac:dyDescent="0.25">
      <c r="C11" s="35">
        <v>5</v>
      </c>
      <c r="D11" s="35">
        <v>4</v>
      </c>
      <c r="E11" s="28">
        <v>1366.35</v>
      </c>
      <c r="F11" s="28">
        <v>849.1</v>
      </c>
      <c r="G11" s="23"/>
      <c r="H11" s="23">
        <f>SUM(E11:G11)</f>
        <v>2215.4499999999998</v>
      </c>
      <c r="I11" s="28"/>
      <c r="K11" s="7">
        <f>H11/D11</f>
        <v>553.86249999999995</v>
      </c>
      <c r="L11" s="21">
        <f>K11/1.016*10</f>
        <v>5451.4025590551173</v>
      </c>
      <c r="M11" s="22">
        <f>L11/1.12085</f>
        <v>4863.6325637285254</v>
      </c>
      <c r="N11" s="21">
        <f>L11*$O$4</f>
        <v>1853.8875955383869</v>
      </c>
      <c r="O11" s="21">
        <f>M11*$O$4</f>
        <v>1654.0015127255092</v>
      </c>
      <c r="P11" s="20">
        <f>O11/480</f>
        <v>3.4458364848448109</v>
      </c>
    </row>
    <row r="12" spans="1:18" ht="13.5" thickBot="1" x14ac:dyDescent="0.25">
      <c r="C12" s="35">
        <v>6</v>
      </c>
      <c r="D12" s="35">
        <v>4</v>
      </c>
      <c r="E12" s="28">
        <v>913.06</v>
      </c>
      <c r="F12" s="28">
        <v>1168.6199999999999</v>
      </c>
      <c r="G12" s="23"/>
      <c r="H12" s="23">
        <f>SUM(E12:G12)</f>
        <v>2081.6799999999998</v>
      </c>
      <c r="I12" s="28"/>
      <c r="K12" s="7">
        <f>H12/D12</f>
        <v>520.41999999999996</v>
      </c>
      <c r="L12" s="21">
        <f>K12/1.016*10</f>
        <v>5122.2440944881882</v>
      </c>
      <c r="M12" s="22">
        <f>L12/1.12085</f>
        <v>4569.9639510087782</v>
      </c>
      <c r="N12" s="21">
        <f>L12*$O$4</f>
        <v>1741.9489177730707</v>
      </c>
      <c r="O12" s="21">
        <f>M12*$O$4</f>
        <v>1554.132058502985</v>
      </c>
      <c r="P12" s="20">
        <f>O12/480</f>
        <v>3.237775121881219</v>
      </c>
    </row>
    <row r="13" spans="1:18" ht="13.5" thickBot="1" x14ac:dyDescent="0.25">
      <c r="C13" s="35">
        <v>7</v>
      </c>
      <c r="D13" s="35">
        <v>4</v>
      </c>
      <c r="E13" s="28">
        <v>1561.8</v>
      </c>
      <c r="F13" s="28">
        <v>723.04</v>
      </c>
      <c r="G13" s="23"/>
      <c r="H13" s="23">
        <f>SUM(E13:G13)</f>
        <v>2284.84</v>
      </c>
      <c r="I13" s="28"/>
      <c r="K13" s="7">
        <f>H13/D13</f>
        <v>571.21</v>
      </c>
      <c r="L13" s="21">
        <f>K13/1.016*10</f>
        <v>5622.1456692913389</v>
      </c>
      <c r="M13" s="22">
        <f>L13/1.12085</f>
        <v>5015.9661589787565</v>
      </c>
      <c r="N13" s="21">
        <f>L13*$O$4</f>
        <v>1911.9531173305327</v>
      </c>
      <c r="O13" s="21">
        <f>M13*$O$4</f>
        <v>1705.8064123928561</v>
      </c>
      <c r="P13" s="20">
        <f>O13/480</f>
        <v>3.5537633591517834</v>
      </c>
    </row>
    <row r="14" spans="1:18" ht="13.5" thickBot="1" x14ac:dyDescent="0.25">
      <c r="C14" s="35">
        <v>8</v>
      </c>
      <c r="D14" s="35">
        <v>4</v>
      </c>
      <c r="E14" s="28">
        <v>1949.2</v>
      </c>
      <c r="F14" s="28"/>
      <c r="G14" s="23"/>
      <c r="H14" s="23">
        <f>SUM(E14:G14)</f>
        <v>1949.2</v>
      </c>
      <c r="I14" s="28"/>
      <c r="K14" s="7">
        <f>H14/D14</f>
        <v>487.3</v>
      </c>
      <c r="L14" s="21">
        <f>K14/1.016*10</f>
        <v>4796.2598425196857</v>
      </c>
      <c r="M14" s="22">
        <f>L14/1.12085</f>
        <v>4279.1273074181972</v>
      </c>
      <c r="N14" s="21">
        <f>L14*$O$4</f>
        <v>1631.0897114461734</v>
      </c>
      <c r="O14" s="21">
        <f>M14*$O$4</f>
        <v>1455.2256871536545</v>
      </c>
      <c r="P14" s="20">
        <f>O14/480</f>
        <v>3.0317201815701136</v>
      </c>
    </row>
    <row r="15" spans="1:18" ht="13.5" thickBot="1" x14ac:dyDescent="0.25">
      <c r="C15" s="35"/>
      <c r="D15" s="35"/>
      <c r="E15" s="23"/>
      <c r="F15" s="23"/>
      <c r="G15" s="23"/>
      <c r="H15" s="23"/>
      <c r="I15" s="23"/>
      <c r="M15" s="34"/>
    </row>
    <row r="16" spans="1:18" ht="13.5" thickBot="1" x14ac:dyDescent="0.25">
      <c r="C16" s="33" t="s">
        <v>92</v>
      </c>
      <c r="D16" s="32"/>
      <c r="E16" s="31">
        <v>37915</v>
      </c>
      <c r="F16" s="30" t="s">
        <v>91</v>
      </c>
      <c r="G16" s="29"/>
      <c r="H16" s="28">
        <v>426.38</v>
      </c>
      <c r="I16" s="23"/>
      <c r="K16" s="7">
        <f>H16/SUM($D$9:$D$14)</f>
        <v>17.765833333333333</v>
      </c>
      <c r="L16" s="21">
        <f>K16/1.016*10</f>
        <v>174.86056430446195</v>
      </c>
      <c r="M16" s="22">
        <f>L16/1.12085</f>
        <v>156.00710559348883</v>
      </c>
      <c r="N16" s="21">
        <f>L16*$O$4</f>
        <v>59.46576639701923</v>
      </c>
      <c r="O16" s="21">
        <f>M16*$O$4</f>
        <v>53.054169957638607</v>
      </c>
      <c r="P16" s="20">
        <f>O16/480</f>
        <v>0.11052952074508043</v>
      </c>
    </row>
    <row r="17" spans="3:16" ht="13.5" thickBot="1" x14ac:dyDescent="0.25">
      <c r="C17" s="27"/>
      <c r="D17" s="25"/>
      <c r="E17" s="26"/>
      <c r="F17" s="25"/>
      <c r="G17" s="24"/>
      <c r="H17" s="23"/>
      <c r="I17" s="23"/>
      <c r="L17" s="21"/>
      <c r="M17" s="22"/>
      <c r="N17" s="21"/>
      <c r="O17" s="21"/>
      <c r="P17" s="20"/>
    </row>
    <row r="18" spans="3:16" ht="16.5" thickBot="1" x14ac:dyDescent="0.25">
      <c r="C18" s="15" t="s">
        <v>90</v>
      </c>
      <c r="D18" s="14"/>
      <c r="E18" s="14"/>
      <c r="F18" s="14"/>
      <c r="G18" s="19"/>
      <c r="H18" s="13">
        <f>SUM(H9:H14,H16)</f>
        <v>13044.35</v>
      </c>
      <c r="I18" s="12"/>
      <c r="J18" s="11"/>
      <c r="K18" s="17">
        <f>AVERAGE(K9:K14)+K16/6</f>
        <v>528.70972222222235</v>
      </c>
      <c r="L18" s="17">
        <f>AVERAGE(L9:L14)+L16/6</f>
        <v>5203.8358486439183</v>
      </c>
      <c r="M18" s="18">
        <f>AVERAGE(M9:M14)+M16/6</f>
        <v>4642.758485652781</v>
      </c>
      <c r="N18" s="17">
        <f>AVERAGE(N9:N14)+N16/6</f>
        <v>1769.6962615600878</v>
      </c>
      <c r="O18" s="17">
        <f>AVERAGE(O9:O14)+O16/6</f>
        <v>1578.8876848464006</v>
      </c>
      <c r="P18" s="16">
        <f>AVERAGE(P9:P14)+P16/6</f>
        <v>3.2893493434300014</v>
      </c>
    </row>
    <row r="19" spans="3:16" ht="16.5" thickBot="1" x14ac:dyDescent="0.25">
      <c r="C19" s="15" t="s">
        <v>89</v>
      </c>
      <c r="D19" s="14"/>
      <c r="E19" s="14"/>
      <c r="F19" s="14"/>
      <c r="G19" s="14"/>
      <c r="H19" s="13">
        <f>STDEV(H9:H14)/SQRT(COUNT(H9:H14))</f>
        <v>64.767793012165143</v>
      </c>
      <c r="I19" s="12"/>
      <c r="J19" s="11"/>
      <c r="K19" s="9">
        <f>STDEV(K9:K14)/SQRT(COUNT(K9:K14))</f>
        <v>16.191948253041286</v>
      </c>
      <c r="L19" s="9">
        <f>STDEV(L9:L14)/SQRT(COUNT(L9:L14))</f>
        <v>159.36956941969768</v>
      </c>
      <c r="M19" s="10">
        <f>STDEV(M9:M14)/SQRT(COUNT(M9:M14))</f>
        <v>142.18634912762425</v>
      </c>
      <c r="N19" s="9">
        <f>STDEV(N9:N14)/SQRT(COUNT(N9:N14))</f>
        <v>54.197660996930992</v>
      </c>
      <c r="O19" s="9">
        <f>STDEV(O9:O14)/SQRT(COUNT(O9:O14))</f>
        <v>48.35407146088324</v>
      </c>
      <c r="P19" s="58">
        <f>STDEV(P9:P14)/SQRT(COUNT(P9:P14))</f>
        <v>0.10073764887684004</v>
      </c>
    </row>
    <row r="21" spans="3:16" x14ac:dyDescent="0.2">
      <c r="C21" s="7" t="s">
        <v>122</v>
      </c>
    </row>
    <row r="22" spans="3:16" x14ac:dyDescent="0.2">
      <c r="C22" s="7" t="s">
        <v>87</v>
      </c>
    </row>
  </sheetData>
  <mergeCells count="6">
    <mergeCell ref="C18:G18"/>
    <mergeCell ref="C19:G19"/>
    <mergeCell ref="K6:M6"/>
    <mergeCell ref="N6:P6"/>
    <mergeCell ref="C16:D16"/>
    <mergeCell ref="F16:G16"/>
  </mergeCells>
  <pageMargins left="0.75" right="0.75" top="1" bottom="0.52" header="0.5" footer="0.5"/>
  <pageSetup scale="75" orientation="landscape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3AADF-5FDF-4AB8-92DC-DCC5BFF931DC}">
  <sheetPr codeName="Sheet19">
    <pageSetUpPr fitToPage="1"/>
  </sheetPr>
  <dimension ref="A1:R22"/>
  <sheetViews>
    <sheetView workbookViewId="0">
      <selection activeCell="E17" sqref="E17"/>
    </sheetView>
  </sheetViews>
  <sheetFormatPr defaultRowHeight="12.75" x14ac:dyDescent="0.2"/>
  <cols>
    <col min="1" max="16384" width="9.140625" style="7"/>
  </cols>
  <sheetData>
    <row r="1" spans="1:18" ht="37.5" x14ac:dyDescent="0.2">
      <c r="A1" s="57" t="s">
        <v>121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</row>
    <row r="2" spans="1:18" ht="18.75" thickBot="1" x14ac:dyDescent="0.3">
      <c r="H2" s="56" t="s">
        <v>120</v>
      </c>
      <c r="I2" s="55">
        <v>206</v>
      </c>
      <c r="J2" s="54"/>
      <c r="K2" s="47" t="s">
        <v>119</v>
      </c>
      <c r="L2" s="53">
        <v>37924</v>
      </c>
      <c r="N2" s="47"/>
      <c r="O2" s="48"/>
    </row>
    <row r="3" spans="1:18" ht="17.25" thickTop="1" thickBot="1" x14ac:dyDescent="0.25">
      <c r="B3" s="50" t="s">
        <v>116</v>
      </c>
      <c r="C3" s="52">
        <v>37910</v>
      </c>
      <c r="K3" s="47" t="s">
        <v>115</v>
      </c>
      <c r="L3" s="48">
        <v>2117.3000000000002</v>
      </c>
      <c r="N3" s="47" t="s">
        <v>114</v>
      </c>
      <c r="O3" s="46">
        <f>(L3-(L4+L5))/L3</f>
        <v>5.1598734237000059E-2</v>
      </c>
    </row>
    <row r="4" spans="1:18" ht="17.25" thickTop="1" thickBot="1" x14ac:dyDescent="0.25">
      <c r="B4" s="50" t="s">
        <v>113</v>
      </c>
      <c r="C4" s="52">
        <v>37921</v>
      </c>
      <c r="F4" s="45"/>
      <c r="G4" s="45"/>
      <c r="H4" s="50" t="s">
        <v>112</v>
      </c>
      <c r="I4" s="51" t="s">
        <v>124</v>
      </c>
      <c r="K4" s="47" t="s">
        <v>110</v>
      </c>
      <c r="L4" s="48">
        <v>742.3</v>
      </c>
      <c r="N4" s="47" t="s">
        <v>109</v>
      </c>
      <c r="O4" s="46">
        <f>L4/L3</f>
        <v>0.35058801303546966</v>
      </c>
    </row>
    <row r="5" spans="1:18" ht="17.25" thickTop="1" thickBot="1" x14ac:dyDescent="0.25">
      <c r="B5" s="50" t="s">
        <v>108</v>
      </c>
      <c r="C5" s="49">
        <v>0.42708333333333331</v>
      </c>
      <c r="F5" s="45"/>
      <c r="G5" s="45"/>
      <c r="K5" s="47" t="s">
        <v>107</v>
      </c>
      <c r="L5" s="48">
        <v>1265.75</v>
      </c>
      <c r="N5" s="47" t="s">
        <v>106</v>
      </c>
      <c r="O5" s="46">
        <f>L5/L3</f>
        <v>0.59781325272753028</v>
      </c>
      <c r="Q5" s="20"/>
    </row>
    <row r="6" spans="1:18" ht="17.25" thickTop="1" thickBot="1" x14ac:dyDescent="0.25">
      <c r="F6" s="45"/>
      <c r="G6" s="45"/>
      <c r="K6" s="43" t="s">
        <v>105</v>
      </c>
      <c r="L6" s="43"/>
      <c r="M6" s="44"/>
      <c r="N6" s="43" t="s">
        <v>104</v>
      </c>
      <c r="O6" s="43"/>
      <c r="P6" s="43"/>
    </row>
    <row r="7" spans="1:18" ht="26.25" thickBot="1" x14ac:dyDescent="0.25">
      <c r="A7" s="36"/>
      <c r="B7" s="36"/>
      <c r="C7" s="35" t="s">
        <v>103</v>
      </c>
      <c r="D7" s="39" t="s">
        <v>102</v>
      </c>
      <c r="E7" s="42" t="s">
        <v>101</v>
      </c>
      <c r="F7" s="42" t="s">
        <v>100</v>
      </c>
      <c r="G7" s="42" t="s">
        <v>99</v>
      </c>
      <c r="H7" s="42" t="s">
        <v>98</v>
      </c>
      <c r="I7" s="35" t="s">
        <v>97</v>
      </c>
      <c r="J7" s="38"/>
      <c r="K7" s="38" t="s">
        <v>96</v>
      </c>
      <c r="L7" s="38" t="s">
        <v>95</v>
      </c>
      <c r="M7" s="41" t="s">
        <v>94</v>
      </c>
      <c r="N7" s="38" t="s">
        <v>95</v>
      </c>
      <c r="O7" s="38" t="s">
        <v>94</v>
      </c>
      <c r="P7" s="40" t="s">
        <v>93</v>
      </c>
      <c r="Q7" s="36"/>
      <c r="R7" s="36"/>
    </row>
    <row r="8" spans="1:18" ht="13.5" thickBot="1" x14ac:dyDescent="0.25">
      <c r="A8" s="36"/>
      <c r="B8" s="36"/>
      <c r="C8" s="35"/>
      <c r="D8" s="39"/>
      <c r="E8" s="35"/>
      <c r="F8" s="35"/>
      <c r="G8" s="35"/>
      <c r="H8" s="35"/>
      <c r="I8" s="35"/>
      <c r="J8" s="38"/>
      <c r="K8" s="36"/>
      <c r="L8" s="36"/>
      <c r="M8" s="37"/>
      <c r="N8" s="36"/>
      <c r="O8" s="36"/>
      <c r="P8" s="36"/>
      <c r="Q8" s="36"/>
      <c r="R8" s="36"/>
    </row>
    <row r="9" spans="1:18" ht="13.5" thickBot="1" x14ac:dyDescent="0.25">
      <c r="C9" s="35">
        <v>3</v>
      </c>
      <c r="D9" s="35">
        <v>4</v>
      </c>
      <c r="E9" s="28">
        <v>2069.1999999999998</v>
      </c>
      <c r="F9" s="28"/>
      <c r="G9" s="23"/>
      <c r="H9" s="23">
        <f>SUM(E9:G9)</f>
        <v>2069.1999999999998</v>
      </c>
      <c r="I9" s="28"/>
      <c r="K9" s="7">
        <f>H9/D9</f>
        <v>517.29999999999995</v>
      </c>
      <c r="L9" s="21">
        <f>K9/1.016*10</f>
        <v>5091.535433070866</v>
      </c>
      <c r="M9" s="22">
        <f>L9/1.12085</f>
        <v>4542.5662961777816</v>
      </c>
      <c r="N9" s="21">
        <f>L9*$O$4</f>
        <v>1785.0312907800044</v>
      </c>
      <c r="O9" s="21">
        <f>M9*$O$4</f>
        <v>1592.5692918588613</v>
      </c>
      <c r="P9" s="20">
        <f>O9/480</f>
        <v>3.3178526913726278</v>
      </c>
    </row>
    <row r="10" spans="1:18" ht="13.5" thickBot="1" x14ac:dyDescent="0.25">
      <c r="C10" s="35">
        <v>4</v>
      </c>
      <c r="D10" s="35">
        <v>4</v>
      </c>
      <c r="E10" s="28">
        <v>1155.5</v>
      </c>
      <c r="F10" s="28">
        <v>775.6</v>
      </c>
      <c r="G10" s="23"/>
      <c r="H10" s="23">
        <f>SUM(E10:G10)</f>
        <v>1931.1</v>
      </c>
      <c r="I10" s="28"/>
      <c r="K10" s="7">
        <f>H10/D10</f>
        <v>482.77499999999998</v>
      </c>
      <c r="L10" s="21">
        <f>K10/1.016*10</f>
        <v>4751.7224409448818</v>
      </c>
      <c r="M10" s="22">
        <f>L10/1.12085</f>
        <v>4239.3919266136254</v>
      </c>
      <c r="N10" s="21">
        <f>L10*$O$4</f>
        <v>1665.8969290669179</v>
      </c>
      <c r="O10" s="21">
        <f>M10*$O$4</f>
        <v>1486.2799920300824</v>
      </c>
      <c r="P10" s="20">
        <f>O10/480</f>
        <v>3.0964166500626717</v>
      </c>
    </row>
    <row r="11" spans="1:18" ht="13.5" thickBot="1" x14ac:dyDescent="0.25">
      <c r="C11" s="35">
        <v>5</v>
      </c>
      <c r="D11" s="35">
        <v>4</v>
      </c>
      <c r="E11" s="28">
        <v>1058.0999999999999</v>
      </c>
      <c r="F11" s="28">
        <v>919.3</v>
      </c>
      <c r="G11" s="23"/>
      <c r="H11" s="23">
        <f>SUM(E11:G11)</f>
        <v>1977.3999999999999</v>
      </c>
      <c r="I11" s="28"/>
      <c r="K11" s="7">
        <f>H11/D11</f>
        <v>494.34999999999997</v>
      </c>
      <c r="L11" s="21">
        <f>K11/1.016*10</f>
        <v>4865.6496062992128</v>
      </c>
      <c r="M11" s="22">
        <f>L11/1.12085</f>
        <v>4341.0354697766988</v>
      </c>
      <c r="N11" s="21">
        <f>L11*$O$4</f>
        <v>1705.8384275992562</v>
      </c>
      <c r="O11" s="21">
        <f>M11*$O$4</f>
        <v>1521.9149998655093</v>
      </c>
      <c r="P11" s="20">
        <f>O11/480</f>
        <v>3.1706562497198112</v>
      </c>
    </row>
    <row r="12" spans="1:18" ht="13.5" thickBot="1" x14ac:dyDescent="0.25">
      <c r="C12" s="35">
        <v>6</v>
      </c>
      <c r="D12" s="35">
        <v>4</v>
      </c>
      <c r="E12" s="28">
        <v>767.1</v>
      </c>
      <c r="F12" s="28">
        <v>1014.6</v>
      </c>
      <c r="G12" s="23"/>
      <c r="H12" s="23">
        <f>SUM(E12:G12)</f>
        <v>1781.7</v>
      </c>
      <c r="I12" s="28"/>
      <c r="K12" s="7">
        <f>H12/D12</f>
        <v>445.42500000000001</v>
      </c>
      <c r="L12" s="21">
        <f>K12/1.016*10</f>
        <v>4384.1043307086611</v>
      </c>
      <c r="M12" s="22">
        <f>L12/1.12085</f>
        <v>3911.4103856079419</v>
      </c>
      <c r="N12" s="21">
        <f>L12*$O$4</f>
        <v>1537.0144262433471</v>
      </c>
      <c r="O12" s="21">
        <f>M12*$O$4</f>
        <v>1371.2935952565886</v>
      </c>
      <c r="P12" s="20">
        <f>O12/480</f>
        <v>2.8568616567845595</v>
      </c>
    </row>
    <row r="13" spans="1:18" ht="13.5" thickBot="1" x14ac:dyDescent="0.25">
      <c r="C13" s="35">
        <v>7</v>
      </c>
      <c r="D13" s="35">
        <v>4</v>
      </c>
      <c r="E13" s="28">
        <v>853.5</v>
      </c>
      <c r="F13" s="28">
        <v>1047.3</v>
      </c>
      <c r="G13" s="23"/>
      <c r="H13" s="23">
        <f>SUM(E13:G13)</f>
        <v>1900.8</v>
      </c>
      <c r="I13" s="28"/>
      <c r="K13" s="7">
        <f>H13/D13</f>
        <v>475.2</v>
      </c>
      <c r="L13" s="21">
        <f>K13/1.016*10</f>
        <v>4677.1653543307084</v>
      </c>
      <c r="M13" s="22">
        <f>L13/1.12085</f>
        <v>4172.8735819518297</v>
      </c>
      <c r="N13" s="21">
        <f>L13*$O$4</f>
        <v>1639.7581082131414</v>
      </c>
      <c r="O13" s="21">
        <f>M13*$O$4</f>
        <v>1462.9594577446951</v>
      </c>
      <c r="P13" s="20">
        <f>O13/480</f>
        <v>3.0478322036347816</v>
      </c>
    </row>
    <row r="14" spans="1:18" ht="13.5" thickBot="1" x14ac:dyDescent="0.25">
      <c r="C14" s="35">
        <v>8</v>
      </c>
      <c r="D14" s="35">
        <v>4</v>
      </c>
      <c r="E14" s="28">
        <v>1968</v>
      </c>
      <c r="F14" s="28"/>
      <c r="G14" s="23"/>
      <c r="H14" s="23">
        <f>SUM(E14:G14)</f>
        <v>1968</v>
      </c>
      <c r="I14" s="28"/>
      <c r="K14" s="7">
        <f>H14/D14</f>
        <v>492</v>
      </c>
      <c r="L14" s="21">
        <f>K14/1.016*10</f>
        <v>4842.5196850393704</v>
      </c>
      <c r="M14" s="22">
        <f>L14/1.12085</f>
        <v>4320.399415657198</v>
      </c>
      <c r="N14" s="21">
        <f>L14*$O$4</f>
        <v>1697.7293544631011</v>
      </c>
      <c r="O14" s="21">
        <f>M14*$O$4</f>
        <v>1514.6802466548613</v>
      </c>
      <c r="P14" s="20">
        <f>O14/480</f>
        <v>3.1555838471976276</v>
      </c>
    </row>
    <row r="15" spans="1:18" ht="13.5" thickBot="1" x14ac:dyDescent="0.25">
      <c r="C15" s="35"/>
      <c r="D15" s="35"/>
      <c r="E15" s="23"/>
      <c r="F15" s="23"/>
      <c r="G15" s="23"/>
      <c r="H15" s="23"/>
      <c r="I15" s="23"/>
      <c r="M15" s="34"/>
    </row>
    <row r="16" spans="1:18" ht="13.5" thickBot="1" x14ac:dyDescent="0.25">
      <c r="C16" s="33" t="s">
        <v>92</v>
      </c>
      <c r="D16" s="32"/>
      <c r="E16" s="31">
        <v>37915</v>
      </c>
      <c r="F16" s="30" t="s">
        <v>91</v>
      </c>
      <c r="G16" s="29"/>
      <c r="H16" s="28">
        <v>448</v>
      </c>
      <c r="I16" s="23"/>
      <c r="K16" s="7">
        <f>H16/SUM($D$9:$D$14)</f>
        <v>18.666666666666668</v>
      </c>
      <c r="L16" s="21">
        <f>K16/1.016*10</f>
        <v>183.72703412073491</v>
      </c>
      <c r="M16" s="22">
        <f>L16/1.12085</f>
        <v>163.91759300596416</v>
      </c>
      <c r="N16" s="21">
        <f>L16*$O$4</f>
        <v>64.412495833288389</v>
      </c>
      <c r="O16" s="21">
        <f>M16*$O$4</f>
        <v>57.467543233517773</v>
      </c>
      <c r="P16" s="20">
        <f>O16/480</f>
        <v>0.11972404840316203</v>
      </c>
    </row>
    <row r="17" spans="3:16" ht="13.5" thickBot="1" x14ac:dyDescent="0.25">
      <c r="C17" s="27"/>
      <c r="D17" s="25"/>
      <c r="E17" s="26"/>
      <c r="F17" s="25"/>
      <c r="G17" s="24"/>
      <c r="H17" s="23"/>
      <c r="I17" s="23"/>
      <c r="L17" s="21"/>
      <c r="M17" s="22"/>
      <c r="N17" s="21"/>
      <c r="O17" s="21"/>
      <c r="P17" s="20"/>
    </row>
    <row r="18" spans="3:16" ht="16.5" thickBot="1" x14ac:dyDescent="0.25">
      <c r="C18" s="15" t="s">
        <v>90</v>
      </c>
      <c r="D18" s="14"/>
      <c r="E18" s="14"/>
      <c r="F18" s="14"/>
      <c r="G18" s="19"/>
      <c r="H18" s="13">
        <f>SUM(H9:H14,H16)</f>
        <v>12076.199999999999</v>
      </c>
      <c r="I18" s="12"/>
      <c r="J18" s="11"/>
      <c r="K18" s="17">
        <f>AVERAGE(K9:K14)+K16/6</f>
        <v>487.61944444444435</v>
      </c>
      <c r="L18" s="17">
        <f>AVERAGE(L9:L14)+L16/6</f>
        <v>4799.4039807524059</v>
      </c>
      <c r="M18" s="18">
        <f>AVERAGE(M9:M14)+M16/6</f>
        <v>4281.9324447985073</v>
      </c>
      <c r="N18" s="17">
        <f>AVERAGE(N9:N14)+N16/6</f>
        <v>1682.6135053665093</v>
      </c>
      <c r="O18" s="17">
        <f>AVERAGE(O9:O14)+O16/6</f>
        <v>1501.1941877740194</v>
      </c>
      <c r="P18" s="16">
        <f>AVERAGE(P9:P14)+P16/6</f>
        <v>3.1274878911958739</v>
      </c>
    </row>
    <row r="19" spans="3:16" ht="16.5" thickBot="1" x14ac:dyDescent="0.25">
      <c r="C19" s="15" t="s">
        <v>89</v>
      </c>
      <c r="D19" s="14"/>
      <c r="E19" s="14"/>
      <c r="F19" s="14"/>
      <c r="G19" s="14"/>
      <c r="H19" s="13">
        <f>STDEV(H9:H14)/SQRT(COUNT(H9:H14))</f>
        <v>38.955929515857299</v>
      </c>
      <c r="I19" s="12"/>
      <c r="J19" s="11"/>
      <c r="K19" s="9">
        <f>STDEV(K9:K14)/SQRT(COUNT(K9:K14))</f>
        <v>9.7389823789643248</v>
      </c>
      <c r="L19" s="9">
        <f>STDEV(L9:L14)/SQRT(COUNT(L9:L14))</f>
        <v>95.856125777208078</v>
      </c>
      <c r="M19" s="10">
        <f>STDEV(M9:M14)/SQRT(COUNT(M9:M14))</f>
        <v>85.520922315392824</v>
      </c>
      <c r="N19" s="9">
        <f>STDEV(N9:N14)/SQRT(COUNT(N9:N14))</f>
        <v>33.606008673509429</v>
      </c>
      <c r="O19" s="9">
        <f>STDEV(O9:O14)/SQRT(COUNT(O9:O14))</f>
        <v>29.982610227514332</v>
      </c>
      <c r="P19" s="58">
        <f>STDEV(P9:P14)/SQRT(COUNT(P9:P14))</f>
        <v>6.2463771307321531E-2</v>
      </c>
    </row>
    <row r="21" spans="3:16" x14ac:dyDescent="0.2">
      <c r="C21" s="7" t="s">
        <v>122</v>
      </c>
    </row>
    <row r="22" spans="3:16" x14ac:dyDescent="0.2">
      <c r="C22" s="7" t="s">
        <v>87</v>
      </c>
    </row>
  </sheetData>
  <mergeCells count="6">
    <mergeCell ref="C18:G18"/>
    <mergeCell ref="C19:G19"/>
    <mergeCell ref="K6:M6"/>
    <mergeCell ref="N6:P6"/>
    <mergeCell ref="C16:D16"/>
    <mergeCell ref="F16:G16"/>
  </mergeCells>
  <pageMargins left="0.75" right="0.75" top="1" bottom="0.52" header="0.5" footer="0.5"/>
  <pageSetup scale="75" orientation="landscape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467F4-C405-4815-A3DC-821045344583}">
  <sheetPr codeName="Sheet20">
    <pageSetUpPr fitToPage="1"/>
  </sheetPr>
  <dimension ref="A1:R22"/>
  <sheetViews>
    <sheetView workbookViewId="0">
      <selection activeCell="E17" sqref="E17"/>
    </sheetView>
  </sheetViews>
  <sheetFormatPr defaultRowHeight="12.75" x14ac:dyDescent="0.2"/>
  <cols>
    <col min="1" max="16384" width="9.140625" style="7"/>
  </cols>
  <sheetData>
    <row r="1" spans="1:18" ht="37.5" x14ac:dyDescent="0.2">
      <c r="A1" s="57" t="s">
        <v>121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</row>
    <row r="2" spans="1:18" ht="18.75" thickBot="1" x14ac:dyDescent="0.3">
      <c r="H2" s="56" t="s">
        <v>120</v>
      </c>
      <c r="I2" s="55">
        <v>207</v>
      </c>
      <c r="J2" s="54"/>
      <c r="K2" s="47" t="s">
        <v>119</v>
      </c>
      <c r="L2" s="53">
        <v>37924</v>
      </c>
      <c r="N2" s="47"/>
      <c r="O2" s="48"/>
    </row>
    <row r="3" spans="1:18" ht="17.25" thickTop="1" thickBot="1" x14ac:dyDescent="0.25">
      <c r="B3" s="50" t="s">
        <v>116</v>
      </c>
      <c r="C3" s="52">
        <v>37910</v>
      </c>
      <c r="K3" s="47" t="s">
        <v>115</v>
      </c>
      <c r="L3" s="48">
        <v>2182.85</v>
      </c>
      <c r="N3" s="47" t="s">
        <v>114</v>
      </c>
      <c r="O3" s="46">
        <f>(L3-(L4+L5))/L3</f>
        <v>3.4450374510387925E-2</v>
      </c>
    </row>
    <row r="4" spans="1:18" ht="17.25" thickTop="1" thickBot="1" x14ac:dyDescent="0.25">
      <c r="B4" s="50" t="s">
        <v>113</v>
      </c>
      <c r="C4" s="52">
        <v>37921</v>
      </c>
      <c r="F4" s="45"/>
      <c r="G4" s="45"/>
      <c r="H4" s="50" t="s">
        <v>112</v>
      </c>
      <c r="I4" s="51" t="s">
        <v>111</v>
      </c>
      <c r="K4" s="47" t="s">
        <v>110</v>
      </c>
      <c r="L4" s="48">
        <v>799.3</v>
      </c>
      <c r="N4" s="47" t="s">
        <v>109</v>
      </c>
      <c r="O4" s="46">
        <f>L4/L3</f>
        <v>0.366172664177566</v>
      </c>
    </row>
    <row r="5" spans="1:18" ht="17.25" thickTop="1" thickBot="1" x14ac:dyDescent="0.25">
      <c r="B5" s="50" t="s">
        <v>108</v>
      </c>
      <c r="C5" s="49">
        <v>0.43333333333333335</v>
      </c>
      <c r="F5" s="45"/>
      <c r="G5" s="45"/>
      <c r="K5" s="47" t="s">
        <v>107</v>
      </c>
      <c r="L5" s="48">
        <v>1308.3499999999999</v>
      </c>
      <c r="N5" s="47" t="s">
        <v>106</v>
      </c>
      <c r="O5" s="46">
        <f>L5/L3</f>
        <v>0.59937696131204621</v>
      </c>
      <c r="Q5" s="20"/>
    </row>
    <row r="6" spans="1:18" ht="17.25" thickTop="1" thickBot="1" x14ac:dyDescent="0.25">
      <c r="F6" s="45"/>
      <c r="G6" s="45"/>
      <c r="K6" s="43" t="s">
        <v>105</v>
      </c>
      <c r="L6" s="43"/>
      <c r="M6" s="44"/>
      <c r="N6" s="43" t="s">
        <v>104</v>
      </c>
      <c r="O6" s="43"/>
      <c r="P6" s="43"/>
    </row>
    <row r="7" spans="1:18" ht="26.25" thickBot="1" x14ac:dyDescent="0.25">
      <c r="A7" s="36"/>
      <c r="B7" s="36"/>
      <c r="C7" s="35" t="s">
        <v>103</v>
      </c>
      <c r="D7" s="39" t="s">
        <v>102</v>
      </c>
      <c r="E7" s="42" t="s">
        <v>101</v>
      </c>
      <c r="F7" s="42" t="s">
        <v>100</v>
      </c>
      <c r="G7" s="42" t="s">
        <v>99</v>
      </c>
      <c r="H7" s="42" t="s">
        <v>98</v>
      </c>
      <c r="I7" s="35" t="s">
        <v>97</v>
      </c>
      <c r="J7" s="38"/>
      <c r="K7" s="38" t="s">
        <v>96</v>
      </c>
      <c r="L7" s="38" t="s">
        <v>95</v>
      </c>
      <c r="M7" s="41" t="s">
        <v>94</v>
      </c>
      <c r="N7" s="38" t="s">
        <v>95</v>
      </c>
      <c r="O7" s="38" t="s">
        <v>94</v>
      </c>
      <c r="P7" s="40" t="s">
        <v>93</v>
      </c>
      <c r="Q7" s="36"/>
      <c r="R7" s="36"/>
    </row>
    <row r="8" spans="1:18" ht="13.5" thickBot="1" x14ac:dyDescent="0.25">
      <c r="A8" s="36"/>
      <c r="B8" s="36"/>
      <c r="C8" s="35"/>
      <c r="D8" s="39"/>
      <c r="E8" s="35"/>
      <c r="F8" s="35"/>
      <c r="G8" s="35"/>
      <c r="H8" s="35"/>
      <c r="I8" s="35"/>
      <c r="J8" s="38"/>
      <c r="K8" s="36"/>
      <c r="L8" s="36"/>
      <c r="M8" s="37"/>
      <c r="N8" s="36"/>
      <c r="O8" s="36"/>
      <c r="P8" s="36"/>
      <c r="Q8" s="36"/>
      <c r="R8" s="36"/>
    </row>
    <row r="9" spans="1:18" ht="13.5" thickBot="1" x14ac:dyDescent="0.25">
      <c r="C9" s="35">
        <v>3</v>
      </c>
      <c r="D9" s="35">
        <v>4</v>
      </c>
      <c r="E9" s="28">
        <v>851.32</v>
      </c>
      <c r="F9" s="28">
        <v>1029.6600000000001</v>
      </c>
      <c r="G9" s="23"/>
      <c r="H9" s="23">
        <f>SUM(E9:G9)</f>
        <v>1880.98</v>
      </c>
      <c r="I9" s="28"/>
      <c r="K9" s="7">
        <f>H9/D9</f>
        <v>470.245</v>
      </c>
      <c r="L9" s="21">
        <f>K9/1.016*10</f>
        <v>4628.3956692913389</v>
      </c>
      <c r="M9" s="22">
        <f>L9/1.12085</f>
        <v>4129.3622423083725</v>
      </c>
      <c r="N9" s="21">
        <f>L9*$O$4</f>
        <v>1694.7919730923184</v>
      </c>
      <c r="O9" s="21">
        <f>M9*$O$4</f>
        <v>1512.0595736203045</v>
      </c>
      <c r="P9" s="20">
        <f>O9/480</f>
        <v>3.1501241117089678</v>
      </c>
    </row>
    <row r="10" spans="1:18" ht="13.5" thickBot="1" x14ac:dyDescent="0.25">
      <c r="C10" s="35">
        <v>4</v>
      </c>
      <c r="D10" s="35">
        <v>4</v>
      </c>
      <c r="E10" s="28">
        <v>1283.8</v>
      </c>
      <c r="F10" s="28"/>
      <c r="G10" s="23"/>
      <c r="H10" s="23">
        <f>SUM(E10:G10)</f>
        <v>1283.8</v>
      </c>
      <c r="I10" s="28"/>
      <c r="K10" s="7">
        <f>H10/D10</f>
        <v>320.95</v>
      </c>
      <c r="L10" s="21">
        <f>K10/1.016*10</f>
        <v>3158.9566929133853</v>
      </c>
      <c r="M10" s="22">
        <f>L10/1.12085</f>
        <v>2818.3581147462955</v>
      </c>
      <c r="N10" s="21">
        <f>L10*$O$4</f>
        <v>1156.7235882656475</v>
      </c>
      <c r="O10" s="21">
        <f>M10*$O$4</f>
        <v>1032.0056994831134</v>
      </c>
      <c r="P10" s="20">
        <f>O10/480</f>
        <v>2.1500118739231531</v>
      </c>
    </row>
    <row r="11" spans="1:18" ht="13.5" thickBot="1" x14ac:dyDescent="0.25">
      <c r="C11" s="35">
        <v>5</v>
      </c>
      <c r="D11" s="35">
        <v>4</v>
      </c>
      <c r="E11" s="28">
        <v>921.2</v>
      </c>
      <c r="F11" s="28">
        <v>948.04</v>
      </c>
      <c r="G11" s="23"/>
      <c r="H11" s="23">
        <f>SUM(E11:G11)</f>
        <v>1869.24</v>
      </c>
      <c r="I11" s="28"/>
      <c r="K11" s="7">
        <f>H11/D11</f>
        <v>467.31</v>
      </c>
      <c r="L11" s="21">
        <f>K11/1.016*10</f>
        <v>4599.5078740157478</v>
      </c>
      <c r="M11" s="22">
        <f>L11/1.12085</f>
        <v>4103.5891279080588</v>
      </c>
      <c r="N11" s="21">
        <f>L11*$O$4</f>
        <v>1684.2140521340389</v>
      </c>
      <c r="O11" s="21">
        <f>M11*$O$4</f>
        <v>1502.6221636561886</v>
      </c>
      <c r="P11" s="20">
        <f>O11/480</f>
        <v>3.130462840950393</v>
      </c>
    </row>
    <row r="12" spans="1:18" ht="13.5" thickBot="1" x14ac:dyDescent="0.25">
      <c r="C12" s="35">
        <v>6</v>
      </c>
      <c r="D12" s="35">
        <v>4</v>
      </c>
      <c r="E12" s="28">
        <v>1150.54</v>
      </c>
      <c r="F12" s="28">
        <v>758.46</v>
      </c>
      <c r="G12" s="23"/>
      <c r="H12" s="23">
        <f>SUM(E12:G12)</f>
        <v>1909</v>
      </c>
      <c r="I12" s="28"/>
      <c r="K12" s="7">
        <f>H12/D12</f>
        <v>477.25</v>
      </c>
      <c r="L12" s="21">
        <f>K12/1.016*10</f>
        <v>4697.3425196850394</v>
      </c>
      <c r="M12" s="22">
        <f>L12/1.12085</f>
        <v>4190.8752461837357</v>
      </c>
      <c r="N12" s="21">
        <f>L12*$O$4</f>
        <v>1720.0384249876317</v>
      </c>
      <c r="O12" s="21">
        <f>M12*$O$4</f>
        <v>1534.5839541309113</v>
      </c>
      <c r="P12" s="20">
        <f>O12/480</f>
        <v>3.1970499044393983</v>
      </c>
    </row>
    <row r="13" spans="1:18" ht="13.5" thickBot="1" x14ac:dyDescent="0.25">
      <c r="C13" s="35">
        <v>7</v>
      </c>
      <c r="D13" s="35">
        <v>4</v>
      </c>
      <c r="E13" s="28">
        <v>667.72</v>
      </c>
      <c r="F13" s="28">
        <v>1371.2</v>
      </c>
      <c r="G13" s="23">
        <v>405.04</v>
      </c>
      <c r="H13" s="23">
        <f>SUM(E13:G13)</f>
        <v>2443.96</v>
      </c>
      <c r="I13" s="28" t="s">
        <v>126</v>
      </c>
      <c r="K13" s="7">
        <f>H13/D13</f>
        <v>610.99</v>
      </c>
      <c r="L13" s="21">
        <f>K13/1.016*10</f>
        <v>6013.6811023622049</v>
      </c>
      <c r="M13" s="22">
        <f>L13/1.12085</f>
        <v>5365.2862580739666</v>
      </c>
      <c r="N13" s="21">
        <f>L13*$O$4</f>
        <v>2202.0456307662507</v>
      </c>
      <c r="O13" s="21">
        <f>M13*$O$4</f>
        <v>1964.6211631942283</v>
      </c>
      <c r="P13" s="20">
        <f>O13/480</f>
        <v>4.0929607566546427</v>
      </c>
    </row>
    <row r="14" spans="1:18" ht="13.5" thickBot="1" x14ac:dyDescent="0.25">
      <c r="C14" s="35">
        <v>8</v>
      </c>
      <c r="D14" s="35">
        <v>4</v>
      </c>
      <c r="E14" s="28">
        <v>1944</v>
      </c>
      <c r="F14" s="28"/>
      <c r="G14" s="23"/>
      <c r="H14" s="23">
        <f>SUM(E14:G14)</f>
        <v>1944</v>
      </c>
      <c r="I14" s="28"/>
      <c r="K14" s="7">
        <f>H14/D14</f>
        <v>486</v>
      </c>
      <c r="L14" s="21">
        <f>K14/1.016*10</f>
        <v>4783.464566929134</v>
      </c>
      <c r="M14" s="22">
        <f>L14/1.12085</f>
        <v>4267.7116179052809</v>
      </c>
      <c r="N14" s="21">
        <f>L14*$O$4</f>
        <v>1751.5739644714279</v>
      </c>
      <c r="O14" s="21">
        <f>M14*$O$4</f>
        <v>1562.7193330699272</v>
      </c>
      <c r="P14" s="20">
        <f>O14/480</f>
        <v>3.2556652772290149</v>
      </c>
    </row>
    <row r="15" spans="1:18" ht="13.5" thickBot="1" x14ac:dyDescent="0.25">
      <c r="C15" s="35"/>
      <c r="D15" s="35"/>
      <c r="E15" s="23"/>
      <c r="F15" s="23"/>
      <c r="G15" s="23"/>
      <c r="H15" s="23"/>
      <c r="I15" s="23"/>
      <c r="M15" s="34"/>
    </row>
    <row r="16" spans="1:18" ht="13.5" thickBot="1" x14ac:dyDescent="0.25">
      <c r="C16" s="33" t="s">
        <v>92</v>
      </c>
      <c r="D16" s="32"/>
      <c r="E16" s="31">
        <v>37915</v>
      </c>
      <c r="F16" s="30" t="s">
        <v>91</v>
      </c>
      <c r="G16" s="29"/>
      <c r="H16" s="28">
        <v>283.64999999999998</v>
      </c>
      <c r="I16" s="23"/>
      <c r="K16" s="7">
        <f>H16/SUM($D$9:$D$14)</f>
        <v>11.81875</v>
      </c>
      <c r="L16" s="21">
        <f>K16/1.016*10</f>
        <v>116.32627952755905</v>
      </c>
      <c r="M16" s="22">
        <f>L16/1.12085</f>
        <v>103.78398494674494</v>
      </c>
      <c r="N16" s="21">
        <f>L16*$O$4</f>
        <v>42.595503688470551</v>
      </c>
      <c r="O16" s="21">
        <f>M16*$O$4</f>
        <v>38.002858266913996</v>
      </c>
      <c r="P16" s="20">
        <f>O16/480</f>
        <v>7.917262138940416E-2</v>
      </c>
    </row>
    <row r="17" spans="3:16" ht="13.5" thickBot="1" x14ac:dyDescent="0.25">
      <c r="C17" s="27"/>
      <c r="D17" s="25"/>
      <c r="E17" s="26"/>
      <c r="F17" s="25"/>
      <c r="G17" s="24"/>
      <c r="H17" s="23"/>
      <c r="I17" s="23"/>
      <c r="L17" s="21"/>
      <c r="M17" s="22"/>
      <c r="N17" s="21"/>
      <c r="O17" s="21"/>
      <c r="P17" s="20"/>
    </row>
    <row r="18" spans="3:16" ht="16.5" thickBot="1" x14ac:dyDescent="0.25">
      <c r="C18" s="15" t="s">
        <v>90</v>
      </c>
      <c r="D18" s="14"/>
      <c r="E18" s="14"/>
      <c r="F18" s="14"/>
      <c r="G18" s="19"/>
      <c r="H18" s="13">
        <f>SUM(H9:H14,H16)</f>
        <v>11614.63</v>
      </c>
      <c r="I18" s="12"/>
      <c r="J18" s="11"/>
      <c r="K18" s="17">
        <f>AVERAGE(K9:K14)+K16/6</f>
        <v>474.09395833333332</v>
      </c>
      <c r="L18" s="17">
        <f>AVERAGE(L9:L14)+L16/6</f>
        <v>4666.2791174540689</v>
      </c>
      <c r="M18" s="18">
        <f>AVERAGE(M9:M14)+M16/6</f>
        <v>4163.1610986787418</v>
      </c>
      <c r="N18" s="17">
        <f>AVERAGE(N9:N14)+N16/6</f>
        <v>1708.6638562342978</v>
      </c>
      <c r="O18" s="17">
        <f>AVERAGE(O9:O14)+O16/6</f>
        <v>1524.4357909035978</v>
      </c>
      <c r="P18" s="16">
        <f>AVERAGE(P9:P14)+P16/6</f>
        <v>3.1759078977158288</v>
      </c>
    </row>
    <row r="19" spans="3:16" ht="16.5" thickBot="1" x14ac:dyDescent="0.25">
      <c r="C19" s="15" t="s">
        <v>89</v>
      </c>
      <c r="D19" s="14"/>
      <c r="E19" s="14"/>
      <c r="F19" s="14"/>
      <c r="G19" s="14"/>
      <c r="H19" s="13">
        <f>STDEV(H9:H14)/SQRT(COUNT(H9:H14))</f>
        <v>150.3469209897934</v>
      </c>
      <c r="I19" s="12"/>
      <c r="J19" s="11"/>
      <c r="K19" s="9">
        <f>STDEV(K9:K14)/SQRT(COUNT(K9:K14))</f>
        <v>37.586730247448351</v>
      </c>
      <c r="L19" s="9">
        <f>STDEV(L9:L14)/SQRT(COUNT(L9:L14))</f>
        <v>369.94813235677276</v>
      </c>
      <c r="M19" s="10">
        <f>STDEV(M9:M14)/SQRT(COUNT(M9:M14))</f>
        <v>330.06034023890419</v>
      </c>
      <c r="N19" s="9">
        <f>STDEV(N9:N14)/SQRT(COUNT(N9:N14))</f>
        <v>135.46489323259476</v>
      </c>
      <c r="O19" s="9">
        <f>STDEV(O9:O14)/SQRT(COUNT(O9:O14))</f>
        <v>120.85907412463312</v>
      </c>
      <c r="P19" s="58">
        <f>STDEV(P9:P14)/SQRT(COUNT(P9:P14))</f>
        <v>0.25178973775965374</v>
      </c>
    </row>
    <row r="21" spans="3:16" x14ac:dyDescent="0.2">
      <c r="C21" s="7" t="s">
        <v>122</v>
      </c>
    </row>
    <row r="22" spans="3:16" x14ac:dyDescent="0.2">
      <c r="C22" s="7" t="s">
        <v>87</v>
      </c>
    </row>
  </sheetData>
  <mergeCells count="6">
    <mergeCell ref="C18:G18"/>
    <mergeCell ref="C19:G19"/>
    <mergeCell ref="K6:M6"/>
    <mergeCell ref="N6:P6"/>
    <mergeCell ref="C16:D16"/>
    <mergeCell ref="F16:G16"/>
  </mergeCells>
  <pageMargins left="0.75" right="0.75" top="1" bottom="0.52" header="0.5" footer="0.5"/>
  <pageSetup scale="75" orientation="landscape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8E8D8-426F-4763-9AD3-A6F2E4B44B59}">
  <sheetPr codeName="Sheet21">
    <pageSetUpPr fitToPage="1"/>
  </sheetPr>
  <dimension ref="A1:R22"/>
  <sheetViews>
    <sheetView workbookViewId="0">
      <selection activeCell="E17" sqref="E17"/>
    </sheetView>
  </sheetViews>
  <sheetFormatPr defaultRowHeight="12.75" x14ac:dyDescent="0.2"/>
  <cols>
    <col min="1" max="16384" width="9.140625" style="7"/>
  </cols>
  <sheetData>
    <row r="1" spans="1:18" ht="37.5" x14ac:dyDescent="0.2">
      <c r="A1" s="57" t="s">
        <v>121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</row>
    <row r="2" spans="1:18" ht="18.75" thickBot="1" x14ac:dyDescent="0.3">
      <c r="H2" s="56" t="s">
        <v>120</v>
      </c>
      <c r="I2" s="55">
        <v>208</v>
      </c>
      <c r="J2" s="54"/>
      <c r="K2" s="47" t="s">
        <v>119</v>
      </c>
      <c r="L2" s="53">
        <v>37924</v>
      </c>
      <c r="N2" s="47"/>
      <c r="O2" s="48"/>
    </row>
    <row r="3" spans="1:18" ht="17.25" thickTop="1" thickBot="1" x14ac:dyDescent="0.25">
      <c r="B3" s="50" t="s">
        <v>116</v>
      </c>
      <c r="C3" s="52">
        <v>37910</v>
      </c>
      <c r="K3" s="47" t="s">
        <v>115</v>
      </c>
      <c r="L3" s="48">
        <v>1935.6</v>
      </c>
      <c r="N3" s="47" t="s">
        <v>114</v>
      </c>
      <c r="O3" s="46">
        <f>(L3-(L4+L5))/L3</f>
        <v>4.1692498450092902E-2</v>
      </c>
    </row>
    <row r="4" spans="1:18" ht="17.25" thickTop="1" thickBot="1" x14ac:dyDescent="0.25">
      <c r="B4" s="50" t="s">
        <v>113</v>
      </c>
      <c r="C4" s="52">
        <v>37921</v>
      </c>
      <c r="F4" s="45"/>
      <c r="G4" s="45"/>
      <c r="H4" s="50" t="s">
        <v>112</v>
      </c>
      <c r="I4" s="51" t="s">
        <v>124</v>
      </c>
      <c r="K4" s="47" t="s">
        <v>110</v>
      </c>
      <c r="L4" s="48">
        <v>697</v>
      </c>
      <c r="N4" s="47" t="s">
        <v>109</v>
      </c>
      <c r="O4" s="46">
        <f>L4/L3</f>
        <v>0.36009506096300892</v>
      </c>
    </row>
    <row r="5" spans="1:18" ht="17.25" thickTop="1" thickBot="1" x14ac:dyDescent="0.25">
      <c r="B5" s="50" t="s">
        <v>108</v>
      </c>
      <c r="C5" s="49">
        <v>0.43055555555555558</v>
      </c>
      <c r="F5" s="45"/>
      <c r="G5" s="45"/>
      <c r="K5" s="47" t="s">
        <v>107</v>
      </c>
      <c r="L5" s="48">
        <v>1157.9000000000001</v>
      </c>
      <c r="N5" s="47" t="s">
        <v>106</v>
      </c>
      <c r="O5" s="46">
        <f>L5/L3</f>
        <v>0.59821244058689815</v>
      </c>
      <c r="Q5" s="20"/>
    </row>
    <row r="6" spans="1:18" ht="17.25" thickTop="1" thickBot="1" x14ac:dyDescent="0.25">
      <c r="F6" s="45"/>
      <c r="G6" s="45"/>
      <c r="K6" s="43" t="s">
        <v>105</v>
      </c>
      <c r="L6" s="43"/>
      <c r="M6" s="44"/>
      <c r="N6" s="43" t="s">
        <v>104</v>
      </c>
      <c r="O6" s="43"/>
      <c r="P6" s="43"/>
    </row>
    <row r="7" spans="1:18" ht="26.25" thickBot="1" x14ac:dyDescent="0.25">
      <c r="A7" s="36"/>
      <c r="B7" s="36"/>
      <c r="C7" s="35" t="s">
        <v>103</v>
      </c>
      <c r="D7" s="39" t="s">
        <v>102</v>
      </c>
      <c r="E7" s="42" t="s">
        <v>101</v>
      </c>
      <c r="F7" s="42" t="s">
        <v>100</v>
      </c>
      <c r="G7" s="42" t="s">
        <v>99</v>
      </c>
      <c r="H7" s="42" t="s">
        <v>98</v>
      </c>
      <c r="I7" s="35" t="s">
        <v>97</v>
      </c>
      <c r="J7" s="38"/>
      <c r="K7" s="38" t="s">
        <v>96</v>
      </c>
      <c r="L7" s="38" t="s">
        <v>95</v>
      </c>
      <c r="M7" s="41" t="s">
        <v>94</v>
      </c>
      <c r="N7" s="38" t="s">
        <v>95</v>
      </c>
      <c r="O7" s="38" t="s">
        <v>94</v>
      </c>
      <c r="P7" s="40" t="s">
        <v>93</v>
      </c>
      <c r="Q7" s="36"/>
      <c r="R7" s="36"/>
    </row>
    <row r="8" spans="1:18" ht="13.5" thickBot="1" x14ac:dyDescent="0.25">
      <c r="A8" s="36"/>
      <c r="B8" s="36"/>
      <c r="C8" s="35"/>
      <c r="D8" s="39"/>
      <c r="E8" s="35"/>
      <c r="F8" s="35"/>
      <c r="G8" s="35"/>
      <c r="H8" s="35"/>
      <c r="I8" s="35"/>
      <c r="J8" s="38"/>
      <c r="K8" s="36"/>
      <c r="L8" s="36"/>
      <c r="M8" s="37"/>
      <c r="N8" s="36"/>
      <c r="O8" s="36"/>
      <c r="P8" s="36"/>
      <c r="Q8" s="36"/>
      <c r="R8" s="36"/>
    </row>
    <row r="9" spans="1:18" ht="13.5" thickBot="1" x14ac:dyDescent="0.25">
      <c r="C9" s="35">
        <v>3</v>
      </c>
      <c r="D9" s="35">
        <v>4</v>
      </c>
      <c r="E9" s="28">
        <v>978.8</v>
      </c>
      <c r="F9" s="28">
        <v>840.2</v>
      </c>
      <c r="G9" s="23"/>
      <c r="H9" s="23">
        <f>SUM(E9:G9)</f>
        <v>1819</v>
      </c>
      <c r="I9" s="28"/>
      <c r="K9" s="7">
        <f>H9/D9</f>
        <v>454.75</v>
      </c>
      <c r="L9" s="21">
        <f>K9/1.016*10</f>
        <v>4475.8858267716532</v>
      </c>
      <c r="M9" s="22">
        <f>L9/1.12085</f>
        <v>3993.2960046140461</v>
      </c>
      <c r="N9" s="21">
        <f>L9*$O$4</f>
        <v>1611.7443796548059</v>
      </c>
      <c r="O9" s="21">
        <f>M9*$O$4</f>
        <v>1437.9661682248347</v>
      </c>
      <c r="P9" s="20">
        <f>O9/480</f>
        <v>2.9957628504684055</v>
      </c>
    </row>
    <row r="10" spans="1:18" ht="13.5" thickBot="1" x14ac:dyDescent="0.25">
      <c r="C10" s="35">
        <v>4</v>
      </c>
      <c r="D10" s="35">
        <v>4</v>
      </c>
      <c r="E10" s="28">
        <v>953.1</v>
      </c>
      <c r="F10" s="28">
        <v>680.2</v>
      </c>
      <c r="G10" s="23"/>
      <c r="H10" s="23">
        <f>SUM(E10:G10)</f>
        <v>1633.3000000000002</v>
      </c>
      <c r="I10" s="28"/>
      <c r="K10" s="7">
        <f>H10/D10</f>
        <v>408.32500000000005</v>
      </c>
      <c r="L10" s="21">
        <f>K10/1.016*10</f>
        <v>4018.9468503937014</v>
      </c>
      <c r="M10" s="22">
        <f>L10/1.12085</f>
        <v>3585.6241695085887</v>
      </c>
      <c r="N10" s="21">
        <f>L10*$O$4</f>
        <v>1447.2029110996125</v>
      </c>
      <c r="O10" s="21">
        <f>M10*$O$4</f>
        <v>1291.1655539096334</v>
      </c>
      <c r="P10" s="20">
        <f>O10/480</f>
        <v>2.6899282373117361</v>
      </c>
    </row>
    <row r="11" spans="1:18" ht="13.5" thickBot="1" x14ac:dyDescent="0.25">
      <c r="C11" s="35">
        <v>5</v>
      </c>
      <c r="D11" s="35">
        <v>4</v>
      </c>
      <c r="E11" s="28">
        <v>928</v>
      </c>
      <c r="F11" s="28">
        <v>715.4</v>
      </c>
      <c r="G11" s="23"/>
      <c r="H11" s="23">
        <f>SUM(E11:G11)</f>
        <v>1643.4</v>
      </c>
      <c r="I11" s="28"/>
      <c r="K11" s="7">
        <f>H11/D11</f>
        <v>410.85</v>
      </c>
      <c r="L11" s="21">
        <f>K11/1.016*10</f>
        <v>4043.7992125984256</v>
      </c>
      <c r="M11" s="22">
        <f>L11/1.12085</f>
        <v>3607.7969510625203</v>
      </c>
      <c r="N11" s="21">
        <f>L11*$O$4</f>
        <v>1456.1521239827975</v>
      </c>
      <c r="O11" s="21">
        <f>M11*$O$4</f>
        <v>1299.1498630350159</v>
      </c>
      <c r="P11" s="20">
        <f>O11/480</f>
        <v>2.7065622146562829</v>
      </c>
    </row>
    <row r="12" spans="1:18" ht="13.5" thickBot="1" x14ac:dyDescent="0.25">
      <c r="C12" s="35">
        <v>6</v>
      </c>
      <c r="D12" s="35">
        <v>4</v>
      </c>
      <c r="E12" s="28">
        <v>681.9</v>
      </c>
      <c r="F12" s="28">
        <v>1016.7</v>
      </c>
      <c r="G12" s="23"/>
      <c r="H12" s="23">
        <f>SUM(E12:G12)</f>
        <v>1698.6</v>
      </c>
      <c r="I12" s="28"/>
      <c r="K12" s="7">
        <f>H12/D12</f>
        <v>424.65</v>
      </c>
      <c r="L12" s="21">
        <f>K12/1.016*10</f>
        <v>4179.6259842519685</v>
      </c>
      <c r="M12" s="22">
        <f>L12/1.12085</f>
        <v>3728.9788858919292</v>
      </c>
      <c r="N12" s="21">
        <f>L12*$O$4</f>
        <v>1505.0626736017887</v>
      </c>
      <c r="O12" s="21">
        <f>M12*$O$4</f>
        <v>1342.7868792450272</v>
      </c>
      <c r="P12" s="20">
        <f>O12/480</f>
        <v>2.7974726650938067</v>
      </c>
    </row>
    <row r="13" spans="1:18" ht="13.5" thickBot="1" x14ac:dyDescent="0.25">
      <c r="C13" s="35">
        <v>7</v>
      </c>
      <c r="D13" s="35">
        <v>4</v>
      </c>
      <c r="E13" s="28">
        <v>593.5</v>
      </c>
      <c r="F13" s="28">
        <v>1124</v>
      </c>
      <c r="G13" s="23"/>
      <c r="H13" s="23">
        <f>SUM(E13:G13)</f>
        <v>1717.5</v>
      </c>
      <c r="I13" s="28"/>
      <c r="K13" s="7">
        <f>H13/D13</f>
        <v>429.375</v>
      </c>
      <c r="L13" s="21">
        <f>K13/1.016*10</f>
        <v>4226.1318897637793</v>
      </c>
      <c r="M13" s="22">
        <f>L13/1.12085</f>
        <v>3770.4705266215637</v>
      </c>
      <c r="N13" s="21">
        <f>L13*$O$4</f>
        <v>1521.8092204822042</v>
      </c>
      <c r="O13" s="21">
        <f>M13*$O$4</f>
        <v>1357.7278141430204</v>
      </c>
      <c r="P13" s="20">
        <f>O13/480</f>
        <v>2.8285996127979591</v>
      </c>
    </row>
    <row r="14" spans="1:18" ht="13.5" thickBot="1" x14ac:dyDescent="0.25">
      <c r="C14" s="35">
        <v>8</v>
      </c>
      <c r="D14" s="35">
        <v>4</v>
      </c>
      <c r="E14" s="28">
        <v>1762.8</v>
      </c>
      <c r="F14" s="28"/>
      <c r="G14" s="23"/>
      <c r="H14" s="23">
        <f>SUM(E14:G14)</f>
        <v>1762.8</v>
      </c>
      <c r="I14" s="28"/>
      <c r="K14" s="7">
        <f>H14/D14</f>
        <v>440.7</v>
      </c>
      <c r="L14" s="21">
        <f>K14/1.016*10</f>
        <v>4337.5984251968503</v>
      </c>
      <c r="M14" s="22">
        <f>L14/1.12085</f>
        <v>3869.9187448783073</v>
      </c>
      <c r="N14" s="21">
        <f>L14*$O$4</f>
        <v>1561.9477693543113</v>
      </c>
      <c r="O14" s="21">
        <f>M14*$O$4</f>
        <v>1393.538626358845</v>
      </c>
      <c r="P14" s="20">
        <f>O14/480</f>
        <v>2.903205471580927</v>
      </c>
    </row>
    <row r="15" spans="1:18" ht="13.5" thickBot="1" x14ac:dyDescent="0.25">
      <c r="C15" s="35"/>
      <c r="D15" s="35"/>
      <c r="E15" s="23"/>
      <c r="F15" s="23"/>
      <c r="G15" s="23"/>
      <c r="H15" s="23"/>
      <c r="I15" s="23"/>
      <c r="M15" s="34"/>
    </row>
    <row r="16" spans="1:18" ht="13.5" thickBot="1" x14ac:dyDescent="0.25">
      <c r="C16" s="33" t="s">
        <v>92</v>
      </c>
      <c r="D16" s="32"/>
      <c r="E16" s="31">
        <v>37915</v>
      </c>
      <c r="F16" s="30" t="s">
        <v>91</v>
      </c>
      <c r="G16" s="29"/>
      <c r="H16" s="28">
        <v>299.10000000000002</v>
      </c>
      <c r="I16" s="23"/>
      <c r="K16" s="7">
        <f>H16/SUM($D$9:$D$14)</f>
        <v>12.4625</v>
      </c>
      <c r="L16" s="21">
        <f>K16/1.016*10</f>
        <v>122.66240157480314</v>
      </c>
      <c r="M16" s="22">
        <f>L16/1.12085</f>
        <v>109.43694658054436</v>
      </c>
      <c r="N16" s="21">
        <f>L16*$O$4</f>
        <v>44.170124972947818</v>
      </c>
      <c r="O16" s="21">
        <f>M16*$O$4</f>
        <v>39.407703950526674</v>
      </c>
      <c r="P16" s="20">
        <f>O16/480</f>
        <v>8.2099383230263903E-2</v>
      </c>
    </row>
    <row r="17" spans="3:16" ht="13.5" thickBot="1" x14ac:dyDescent="0.25">
      <c r="C17" s="27"/>
      <c r="D17" s="25"/>
      <c r="E17" s="26"/>
      <c r="F17" s="25"/>
      <c r="G17" s="24"/>
      <c r="H17" s="23"/>
      <c r="I17" s="23"/>
      <c r="L17" s="21"/>
      <c r="M17" s="22"/>
      <c r="N17" s="21"/>
      <c r="O17" s="21"/>
      <c r="P17" s="20"/>
    </row>
    <row r="18" spans="3:16" ht="16.5" thickBot="1" x14ac:dyDescent="0.25">
      <c r="C18" s="15" t="s">
        <v>90</v>
      </c>
      <c r="D18" s="14"/>
      <c r="E18" s="14"/>
      <c r="F18" s="14"/>
      <c r="G18" s="19"/>
      <c r="H18" s="13">
        <f>SUM(H9:H14,H16)</f>
        <v>10573.7</v>
      </c>
      <c r="I18" s="12"/>
      <c r="J18" s="11"/>
      <c r="K18" s="17">
        <f>AVERAGE(K9:K14)+K16/6</f>
        <v>430.1854166666667</v>
      </c>
      <c r="L18" s="17">
        <f>AVERAGE(L9:L14)+L16/6</f>
        <v>4234.108431758531</v>
      </c>
      <c r="M18" s="18">
        <f>AVERAGE(M9:M14)+M16/6</f>
        <v>3777.5870381929171</v>
      </c>
      <c r="N18" s="17">
        <f>AVERAGE(N9:N14)+N16/6</f>
        <v>1524.681533858078</v>
      </c>
      <c r="O18" s="17">
        <f>AVERAGE(O9:O14)+O16/6</f>
        <v>1360.2904348111506</v>
      </c>
      <c r="P18" s="16">
        <f>AVERAGE(P9:P14)+P16/6</f>
        <v>2.8339384058565633</v>
      </c>
    </row>
    <row r="19" spans="3:16" ht="16.5" thickBot="1" x14ac:dyDescent="0.25">
      <c r="C19" s="15" t="s">
        <v>89</v>
      </c>
      <c r="D19" s="14"/>
      <c r="E19" s="14"/>
      <c r="F19" s="14"/>
      <c r="G19" s="14"/>
      <c r="H19" s="13">
        <f>STDEV(H9:H14)/SQRT(COUNT(H9:H14))</f>
        <v>28.94706279477148</v>
      </c>
      <c r="I19" s="12"/>
      <c r="J19" s="11"/>
      <c r="K19" s="9">
        <f>STDEV(K9:K14)/SQRT(COUNT(K9:K14))</f>
        <v>7.2367656986928699</v>
      </c>
      <c r="L19" s="9">
        <f>STDEV(L9:L14)/SQRT(COUNT(L9:L14))</f>
        <v>71.228008845402186</v>
      </c>
      <c r="M19" s="10">
        <f>STDEV(M9:M14)/SQRT(COUNT(M9:M14))</f>
        <v>63.548207918456704</v>
      </c>
      <c r="N19" s="9">
        <f>STDEV(N9:N14)/SQRT(COUNT(N9:N14))</f>
        <v>25.648854187458831</v>
      </c>
      <c r="O19" s="9">
        <f>STDEV(O9:O14)/SQRT(COUNT(O9:O14))</f>
        <v>22.883395804486629</v>
      </c>
      <c r="P19" s="58">
        <f>STDEV(P9:P14)/SQRT(COUNT(P9:P14))</f>
        <v>4.7673741259347154E-2</v>
      </c>
    </row>
    <row r="21" spans="3:16" x14ac:dyDescent="0.2">
      <c r="C21" s="7" t="s">
        <v>122</v>
      </c>
    </row>
    <row r="22" spans="3:16" x14ac:dyDescent="0.2">
      <c r="C22" s="7" t="s">
        <v>87</v>
      </c>
    </row>
  </sheetData>
  <mergeCells count="6">
    <mergeCell ref="C18:G18"/>
    <mergeCell ref="C19:G19"/>
    <mergeCell ref="K6:M6"/>
    <mergeCell ref="N6:P6"/>
    <mergeCell ref="C16:D16"/>
    <mergeCell ref="F16:G16"/>
  </mergeCells>
  <pageMargins left="0.75" right="0.75" top="1" bottom="0.52" header="0.5" footer="0.5"/>
  <pageSetup scale="75" orientation="landscape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84353-86E9-4814-BE55-34C6723C982B}">
  <sheetPr codeName="Sheet22">
    <pageSetUpPr fitToPage="1"/>
  </sheetPr>
  <dimension ref="A1:R22"/>
  <sheetViews>
    <sheetView topLeftCell="A2" workbookViewId="0">
      <selection activeCell="K6" sqref="K6:M6"/>
    </sheetView>
  </sheetViews>
  <sheetFormatPr defaultRowHeight="12.75" x14ac:dyDescent="0.2"/>
  <cols>
    <col min="1" max="16384" width="9.140625" style="7"/>
  </cols>
  <sheetData>
    <row r="1" spans="1:18" ht="37.5" x14ac:dyDescent="0.2">
      <c r="A1" s="57" t="s">
        <v>121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</row>
    <row r="2" spans="1:18" ht="18.75" thickBot="1" x14ac:dyDescent="0.3">
      <c r="H2" s="56" t="s">
        <v>120</v>
      </c>
      <c r="I2" s="55">
        <v>301</v>
      </c>
      <c r="J2" s="54"/>
      <c r="K2" s="47" t="s">
        <v>119</v>
      </c>
      <c r="L2" s="53">
        <v>37924</v>
      </c>
      <c r="N2" s="47"/>
      <c r="O2" s="48"/>
    </row>
    <row r="3" spans="1:18" ht="17.25" thickTop="1" thickBot="1" x14ac:dyDescent="0.25">
      <c r="B3" s="50" t="s">
        <v>116</v>
      </c>
      <c r="C3" s="52">
        <v>37911</v>
      </c>
      <c r="K3" s="47" t="s">
        <v>115</v>
      </c>
      <c r="L3" s="48">
        <v>1930.15</v>
      </c>
      <c r="N3" s="47" t="s">
        <v>114</v>
      </c>
      <c r="O3" s="46">
        <f>(L3-(L4+L5))/L3</f>
        <v>2.5681941817993503E-2</v>
      </c>
    </row>
    <row r="4" spans="1:18" ht="17.25" thickTop="1" thickBot="1" x14ac:dyDescent="0.25">
      <c r="B4" s="50" t="s">
        <v>113</v>
      </c>
      <c r="C4" s="52">
        <v>37921</v>
      </c>
      <c r="F4" s="45"/>
      <c r="G4" s="45"/>
      <c r="H4" s="50" t="s">
        <v>112</v>
      </c>
      <c r="I4" s="51" t="s">
        <v>111</v>
      </c>
      <c r="K4" s="47" t="s">
        <v>110</v>
      </c>
      <c r="L4" s="48">
        <v>713.6</v>
      </c>
      <c r="N4" s="47" t="s">
        <v>109</v>
      </c>
      <c r="O4" s="46">
        <f>L4/L3</f>
        <v>0.36971219853379272</v>
      </c>
    </row>
    <row r="5" spans="1:18" ht="17.25" thickTop="1" thickBot="1" x14ac:dyDescent="0.25">
      <c r="B5" s="50" t="s">
        <v>108</v>
      </c>
      <c r="C5" s="49">
        <v>0.43888888888888888</v>
      </c>
      <c r="F5" s="45"/>
      <c r="G5" s="45"/>
      <c r="K5" s="47" t="s">
        <v>107</v>
      </c>
      <c r="L5" s="48">
        <v>1166.98</v>
      </c>
      <c r="N5" s="47" t="s">
        <v>106</v>
      </c>
      <c r="O5" s="46">
        <f>L5/L3</f>
        <v>0.60460585964821389</v>
      </c>
      <c r="Q5" s="20"/>
    </row>
    <row r="6" spans="1:18" ht="17.25" thickTop="1" thickBot="1" x14ac:dyDescent="0.25">
      <c r="F6" s="45"/>
      <c r="G6" s="45"/>
      <c r="K6" s="43" t="s">
        <v>105</v>
      </c>
      <c r="L6" s="43"/>
      <c r="M6" s="44"/>
      <c r="N6" s="43" t="s">
        <v>104</v>
      </c>
      <c r="O6" s="43"/>
      <c r="P6" s="43"/>
    </row>
    <row r="7" spans="1:18" ht="26.25" thickBot="1" x14ac:dyDescent="0.25">
      <c r="A7" s="36"/>
      <c r="B7" s="36"/>
      <c r="C7" s="35" t="s">
        <v>103</v>
      </c>
      <c r="D7" s="39" t="s">
        <v>102</v>
      </c>
      <c r="E7" s="42" t="s">
        <v>101</v>
      </c>
      <c r="F7" s="42" t="s">
        <v>100</v>
      </c>
      <c r="G7" s="42" t="s">
        <v>99</v>
      </c>
      <c r="H7" s="42" t="s">
        <v>98</v>
      </c>
      <c r="I7" s="35" t="s">
        <v>97</v>
      </c>
      <c r="J7" s="38"/>
      <c r="K7" s="38" t="s">
        <v>96</v>
      </c>
      <c r="L7" s="38" t="s">
        <v>95</v>
      </c>
      <c r="M7" s="41" t="s">
        <v>94</v>
      </c>
      <c r="N7" s="38" t="s">
        <v>95</v>
      </c>
      <c r="O7" s="38" t="s">
        <v>94</v>
      </c>
      <c r="P7" s="40" t="s">
        <v>93</v>
      </c>
      <c r="Q7" s="36"/>
      <c r="R7" s="36"/>
    </row>
    <row r="8" spans="1:18" ht="13.5" thickBot="1" x14ac:dyDescent="0.25">
      <c r="A8" s="36"/>
      <c r="B8" s="36"/>
      <c r="C8" s="35"/>
      <c r="D8" s="39"/>
      <c r="E8" s="35"/>
      <c r="F8" s="35"/>
      <c r="G8" s="35"/>
      <c r="H8" s="35"/>
      <c r="I8" s="35"/>
      <c r="J8" s="38"/>
      <c r="K8" s="36"/>
      <c r="L8" s="36"/>
      <c r="M8" s="37"/>
      <c r="N8" s="36"/>
      <c r="O8" s="36"/>
      <c r="P8" s="36"/>
      <c r="Q8" s="36"/>
      <c r="R8" s="36"/>
    </row>
    <row r="9" spans="1:18" ht="13.5" thickBot="1" x14ac:dyDescent="0.25">
      <c r="C9" s="35">
        <v>3</v>
      </c>
      <c r="D9" s="35">
        <v>4</v>
      </c>
      <c r="E9" s="28">
        <v>826.32</v>
      </c>
      <c r="F9" s="28">
        <v>1006.26</v>
      </c>
      <c r="G9" s="23"/>
      <c r="H9" s="23">
        <f>SUM(E9:G9)</f>
        <v>1832.58</v>
      </c>
      <c r="I9" s="28"/>
      <c r="K9" s="7">
        <f>H9/D9</f>
        <v>458.14499999999998</v>
      </c>
      <c r="L9" s="21">
        <f>K9/1.016*10</f>
        <v>4509.3011811023625</v>
      </c>
      <c r="M9" s="22">
        <f>L9/1.12085</f>
        <v>4023.1085168420063</v>
      </c>
      <c r="N9" s="21">
        <f>L9*$O$4</f>
        <v>1667.1436535163828</v>
      </c>
      <c r="O9" s="21">
        <f>M9*$O$4</f>
        <v>1487.3922947016842</v>
      </c>
      <c r="P9" s="20">
        <f>O9/480</f>
        <v>3.0987339472951754</v>
      </c>
    </row>
    <row r="10" spans="1:18" ht="13.5" thickBot="1" x14ac:dyDescent="0.25">
      <c r="C10" s="35">
        <v>4</v>
      </c>
      <c r="D10" s="35">
        <v>4</v>
      </c>
      <c r="E10" s="28">
        <v>1922.2</v>
      </c>
      <c r="F10" s="28"/>
      <c r="G10" s="23"/>
      <c r="H10" s="23">
        <f>SUM(E10:G10)</f>
        <v>1922.2</v>
      </c>
      <c r="I10" s="28"/>
      <c r="K10" s="7">
        <f>H10/D10</f>
        <v>480.55</v>
      </c>
      <c r="L10" s="21">
        <f>K10/1.016*10</f>
        <v>4729.822834645669</v>
      </c>
      <c r="M10" s="22">
        <f>L10/1.12085</f>
        <v>4219.8535349472895</v>
      </c>
      <c r="N10" s="21">
        <f>L10*$O$4</f>
        <v>1748.6731988721858</v>
      </c>
      <c r="O10" s="21">
        <f>M10*$O$4</f>
        <v>1560.1313278959594</v>
      </c>
      <c r="P10" s="20">
        <f>O10/480</f>
        <v>3.2502735997832488</v>
      </c>
    </row>
    <row r="11" spans="1:18" ht="13.5" thickBot="1" x14ac:dyDescent="0.25">
      <c r="C11" s="35">
        <v>5</v>
      </c>
      <c r="D11" s="35">
        <v>4</v>
      </c>
      <c r="E11" s="28">
        <v>1132.04</v>
      </c>
      <c r="F11" s="28">
        <v>790.02</v>
      </c>
      <c r="G11" s="23"/>
      <c r="H11" s="23">
        <f>SUM(E11:G11)</f>
        <v>1922.06</v>
      </c>
      <c r="I11" s="28"/>
      <c r="K11" s="7">
        <f>H11/D11</f>
        <v>480.51499999999999</v>
      </c>
      <c r="L11" s="21">
        <f>K11/1.016*10</f>
        <v>4729.4783464566926</v>
      </c>
      <c r="M11" s="22">
        <f>L11/1.12085</f>
        <v>4219.5461894604032</v>
      </c>
      <c r="N11" s="21">
        <f>L11*$O$4</f>
        <v>1748.5458373864706</v>
      </c>
      <c r="O11" s="21">
        <f>M11*$O$4</f>
        <v>1560.0176985202932</v>
      </c>
      <c r="P11" s="20">
        <f>O11/480</f>
        <v>3.2500368719172772</v>
      </c>
    </row>
    <row r="12" spans="1:18" ht="13.5" thickBot="1" x14ac:dyDescent="0.25">
      <c r="C12" s="35">
        <v>6</v>
      </c>
      <c r="D12" s="35">
        <v>4</v>
      </c>
      <c r="E12" s="28">
        <v>1108.74</v>
      </c>
      <c r="F12" s="28">
        <v>684.1</v>
      </c>
      <c r="G12" s="23"/>
      <c r="H12" s="23">
        <f>SUM(E12:G12)</f>
        <v>1792.8400000000001</v>
      </c>
      <c r="I12" s="28"/>
      <c r="K12" s="7">
        <f>H12/D12</f>
        <v>448.21000000000004</v>
      </c>
      <c r="L12" s="21">
        <f>K12/1.016*10</f>
        <v>4411.5157480314965</v>
      </c>
      <c r="M12" s="22">
        <f>L12/1.12085</f>
        <v>3935.8663050644573</v>
      </c>
      <c r="N12" s="21">
        <f>L12*$O$4</f>
        <v>1630.9911860711738</v>
      </c>
      <c r="O12" s="21">
        <f>M12*$O$4</f>
        <v>1455.1377847804558</v>
      </c>
      <c r="P12" s="20">
        <f>O12/480</f>
        <v>3.0315370516259494</v>
      </c>
    </row>
    <row r="13" spans="1:18" ht="13.5" thickBot="1" x14ac:dyDescent="0.25">
      <c r="C13" s="35">
        <v>7</v>
      </c>
      <c r="D13" s="35">
        <v>4</v>
      </c>
      <c r="E13" s="28">
        <v>806.08</v>
      </c>
      <c r="F13" s="28">
        <v>943.08</v>
      </c>
      <c r="G13" s="23"/>
      <c r="H13" s="23">
        <f>SUM(E13:G13)</f>
        <v>1749.16</v>
      </c>
      <c r="I13" s="28"/>
      <c r="K13" s="7">
        <f>H13/D13</f>
        <v>437.29</v>
      </c>
      <c r="L13" s="21">
        <f>K13/1.016*10</f>
        <v>4304.035433070866</v>
      </c>
      <c r="M13" s="22">
        <f>L13/1.12085</f>
        <v>3839.9745131559675</v>
      </c>
      <c r="N13" s="21">
        <f>L13*$O$4</f>
        <v>1591.2544025279747</v>
      </c>
      <c r="O13" s="21">
        <f>M13*$O$4</f>
        <v>1419.6854195726232</v>
      </c>
      <c r="P13" s="20">
        <f>O13/480</f>
        <v>2.9576779574429652</v>
      </c>
    </row>
    <row r="14" spans="1:18" ht="13.5" thickBot="1" x14ac:dyDescent="0.25">
      <c r="C14" s="35">
        <v>8</v>
      </c>
      <c r="D14" s="35">
        <v>4</v>
      </c>
      <c r="E14" s="28">
        <v>887.24</v>
      </c>
      <c r="F14" s="28">
        <v>957.26</v>
      </c>
      <c r="G14" s="23"/>
      <c r="H14" s="23">
        <f>SUM(E14:G14)</f>
        <v>1844.5</v>
      </c>
      <c r="I14" s="28"/>
      <c r="K14" s="7">
        <f>H14/D14</f>
        <v>461.125</v>
      </c>
      <c r="L14" s="21">
        <f>K14/1.016*10</f>
        <v>4538.6318897637793</v>
      </c>
      <c r="M14" s="22">
        <f>L14/1.12085</f>
        <v>4049.276789725458</v>
      </c>
      <c r="N14" s="21">
        <f>L14*$O$4</f>
        <v>1677.9875743001492</v>
      </c>
      <c r="O14" s="21">
        <f>M14*$O$4</f>
        <v>1497.0670244012574</v>
      </c>
      <c r="P14" s="20">
        <f>O14/480</f>
        <v>3.1188896341692862</v>
      </c>
    </row>
    <row r="15" spans="1:18" ht="13.5" thickBot="1" x14ac:dyDescent="0.25">
      <c r="C15" s="35"/>
      <c r="D15" s="35"/>
      <c r="E15" s="23"/>
      <c r="F15" s="23"/>
      <c r="G15" s="23"/>
      <c r="H15" s="23"/>
      <c r="I15" s="23"/>
      <c r="M15" s="34"/>
    </row>
    <row r="16" spans="1:18" ht="13.5" thickBot="1" x14ac:dyDescent="0.25">
      <c r="C16" s="33" t="s">
        <v>92</v>
      </c>
      <c r="D16" s="32"/>
      <c r="E16" s="31">
        <v>37915</v>
      </c>
      <c r="F16" s="30" t="s">
        <v>91</v>
      </c>
      <c r="G16" s="29"/>
      <c r="H16" s="28">
        <v>218.61</v>
      </c>
      <c r="I16" s="23"/>
      <c r="K16" s="7">
        <f>H16/SUM($D$9:$D$14)</f>
        <v>9.1087500000000006</v>
      </c>
      <c r="L16" s="21">
        <f>K16/1.016*10</f>
        <v>89.65305118110237</v>
      </c>
      <c r="M16" s="22">
        <f>L16/1.12085</f>
        <v>79.986662962129074</v>
      </c>
      <c r="N16" s="21">
        <f>L16*$O$4</f>
        <v>33.145826657428003</v>
      </c>
      <c r="O16" s="21">
        <f>M16*$O$4</f>
        <v>29.572045017110231</v>
      </c>
      <c r="P16" s="20">
        <f>O16/480</f>
        <v>6.1608427118979646E-2</v>
      </c>
    </row>
    <row r="17" spans="3:16" ht="13.5" thickBot="1" x14ac:dyDescent="0.25">
      <c r="C17" s="27"/>
      <c r="D17" s="25"/>
      <c r="E17" s="26"/>
      <c r="F17" s="25"/>
      <c r="G17" s="24"/>
      <c r="H17" s="23"/>
      <c r="I17" s="23"/>
      <c r="L17" s="21"/>
      <c r="M17" s="22"/>
      <c r="N17" s="21"/>
      <c r="O17" s="21"/>
      <c r="P17" s="20"/>
    </row>
    <row r="18" spans="3:16" ht="16.5" thickBot="1" x14ac:dyDescent="0.25">
      <c r="C18" s="15" t="s">
        <v>90</v>
      </c>
      <c r="D18" s="14"/>
      <c r="E18" s="14"/>
      <c r="F18" s="14"/>
      <c r="G18" s="19"/>
      <c r="H18" s="13">
        <f>SUM(H9:H14,H16)</f>
        <v>11281.95</v>
      </c>
      <c r="I18" s="12"/>
      <c r="J18" s="11"/>
      <c r="K18" s="17">
        <f>AVERAGE(K9:K14)+K16/6</f>
        <v>462.49062500000002</v>
      </c>
      <c r="L18" s="17">
        <f>AVERAGE(L9:L14)+L16/6</f>
        <v>4552.0730807086611</v>
      </c>
      <c r="M18" s="18">
        <f>AVERAGE(M9:M14)+M16/6</f>
        <v>4061.2687520262853</v>
      </c>
      <c r="N18" s="17">
        <f>AVERAGE(N9:N14)+N16/6</f>
        <v>1682.9569465552941</v>
      </c>
      <c r="O18" s="17">
        <f>AVERAGE(O9:O14)+O16/6</f>
        <v>1501.5005991482308</v>
      </c>
      <c r="P18" s="16">
        <f>AVERAGE(P9:P14)+P16/6</f>
        <v>3.1281262482254806</v>
      </c>
    </row>
    <row r="19" spans="3:16" ht="16.5" thickBot="1" x14ac:dyDescent="0.25">
      <c r="C19" s="15" t="s">
        <v>89</v>
      </c>
      <c r="D19" s="14"/>
      <c r="E19" s="14"/>
      <c r="F19" s="14"/>
      <c r="G19" s="14"/>
      <c r="H19" s="13">
        <f>STDEV(H9:H14)/SQRT(COUNT(H9:H14))</f>
        <v>28.25548241787186</v>
      </c>
      <c r="I19" s="12"/>
      <c r="J19" s="11"/>
      <c r="K19" s="9">
        <f>STDEV(K9:K14)/SQRT(COUNT(K9:K14))</f>
        <v>7.0638706044679651</v>
      </c>
      <c r="L19" s="9">
        <f>STDEV(L9:L14)/SQRT(COUNT(L9:L14))</f>
        <v>69.526285477046869</v>
      </c>
      <c r="M19" s="10">
        <f>STDEV(M9:M14)/SQRT(COUNT(M9:M14))</f>
        <v>62.029964292320017</v>
      </c>
      <c r="N19" s="9">
        <f>STDEV(N9:N14)/SQRT(COUNT(N9:N14))</f>
        <v>25.704715859607091</v>
      </c>
      <c r="O19" s="9">
        <f>STDEV(O9:O14)/SQRT(COUNT(O9:O14))</f>
        <v>22.933234473486287</v>
      </c>
      <c r="P19" s="58">
        <f>STDEV(P9:P14)/SQRT(COUNT(P9:P14))</f>
        <v>4.7777571819763075E-2</v>
      </c>
    </row>
    <row r="21" spans="3:16" x14ac:dyDescent="0.2">
      <c r="C21" s="7" t="s">
        <v>122</v>
      </c>
    </row>
    <row r="22" spans="3:16" x14ac:dyDescent="0.2">
      <c r="C22" s="7" t="s">
        <v>87</v>
      </c>
    </row>
  </sheetData>
  <mergeCells count="6">
    <mergeCell ref="C18:G18"/>
    <mergeCell ref="C19:G19"/>
    <mergeCell ref="K6:M6"/>
    <mergeCell ref="N6:P6"/>
    <mergeCell ref="C16:D16"/>
    <mergeCell ref="F16:G16"/>
  </mergeCells>
  <pageMargins left="0.75" right="0.75" top="1" bottom="0.52" header="0.5" footer="0.5"/>
  <pageSetup scale="75" orientation="landscape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AA1B0-EEFD-41DB-B419-B9A4A709A265}">
  <sheetPr codeName="Sheet23">
    <pageSetUpPr fitToPage="1"/>
  </sheetPr>
  <dimension ref="A1:R22"/>
  <sheetViews>
    <sheetView workbookViewId="0">
      <selection activeCell="K6" sqref="K6:M6"/>
    </sheetView>
  </sheetViews>
  <sheetFormatPr defaultRowHeight="12.75" x14ac:dyDescent="0.2"/>
  <cols>
    <col min="1" max="16384" width="9.140625" style="7"/>
  </cols>
  <sheetData>
    <row r="1" spans="1:18" ht="37.5" x14ac:dyDescent="0.2">
      <c r="A1" s="57" t="s">
        <v>121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</row>
    <row r="2" spans="1:18" ht="18.75" thickBot="1" x14ac:dyDescent="0.3">
      <c r="H2" s="56" t="s">
        <v>120</v>
      </c>
      <c r="I2" s="55">
        <v>302</v>
      </c>
      <c r="J2" s="54"/>
      <c r="K2" s="47" t="s">
        <v>119</v>
      </c>
      <c r="L2" s="53">
        <v>37924</v>
      </c>
      <c r="N2" s="47"/>
      <c r="O2" s="48"/>
    </row>
    <row r="3" spans="1:18" ht="17.25" thickTop="1" thickBot="1" x14ac:dyDescent="0.25">
      <c r="B3" s="50" t="s">
        <v>116</v>
      </c>
      <c r="C3" s="52">
        <v>37911</v>
      </c>
      <c r="K3" s="47" t="s">
        <v>115</v>
      </c>
      <c r="L3" s="48">
        <v>1946.3</v>
      </c>
      <c r="N3" s="47" t="s">
        <v>114</v>
      </c>
      <c r="O3" s="46">
        <f>(L3-(L4+L5))/L3</f>
        <v>3.6150644813235322E-2</v>
      </c>
    </row>
    <row r="4" spans="1:18" ht="17.25" thickTop="1" thickBot="1" x14ac:dyDescent="0.25">
      <c r="B4" s="50" t="s">
        <v>113</v>
      </c>
      <c r="C4" s="52">
        <v>37921</v>
      </c>
      <c r="F4" s="45"/>
      <c r="G4" s="45"/>
      <c r="H4" s="50" t="s">
        <v>112</v>
      </c>
      <c r="I4" s="51" t="s">
        <v>124</v>
      </c>
      <c r="K4" s="47" t="s">
        <v>110</v>
      </c>
      <c r="L4" s="48">
        <v>720.6</v>
      </c>
      <c r="N4" s="47" t="s">
        <v>109</v>
      </c>
      <c r="O4" s="46">
        <f>L4/L3</f>
        <v>0.37024097004572781</v>
      </c>
    </row>
    <row r="5" spans="1:18" ht="17.25" thickTop="1" thickBot="1" x14ac:dyDescent="0.25">
      <c r="B5" s="50" t="s">
        <v>108</v>
      </c>
      <c r="C5" s="49">
        <v>0.4375</v>
      </c>
      <c r="F5" s="45"/>
      <c r="G5" s="45"/>
      <c r="K5" s="47" t="s">
        <v>107</v>
      </c>
      <c r="L5" s="48">
        <v>1155.3399999999999</v>
      </c>
      <c r="N5" s="47" t="s">
        <v>106</v>
      </c>
      <c r="O5" s="46">
        <f>L5/L3</f>
        <v>0.59360838514103687</v>
      </c>
      <c r="Q5" s="20"/>
    </row>
    <row r="6" spans="1:18" ht="17.25" thickTop="1" thickBot="1" x14ac:dyDescent="0.25">
      <c r="F6" s="45"/>
      <c r="G6" s="45"/>
      <c r="K6" s="43"/>
      <c r="L6" s="43"/>
      <c r="M6" s="44"/>
      <c r="N6" s="43" t="s">
        <v>104</v>
      </c>
      <c r="O6" s="43"/>
      <c r="P6" s="43"/>
    </row>
    <row r="7" spans="1:18" ht="26.25" thickBot="1" x14ac:dyDescent="0.25">
      <c r="A7" s="36"/>
      <c r="B7" s="36"/>
      <c r="C7" s="35" t="s">
        <v>103</v>
      </c>
      <c r="D7" s="39" t="s">
        <v>102</v>
      </c>
      <c r="E7" s="42" t="s">
        <v>101</v>
      </c>
      <c r="F7" s="42" t="s">
        <v>100</v>
      </c>
      <c r="G7" s="42" t="s">
        <v>99</v>
      </c>
      <c r="H7" s="42" t="s">
        <v>98</v>
      </c>
      <c r="I7" s="35" t="s">
        <v>97</v>
      </c>
      <c r="J7" s="38"/>
      <c r="K7" s="38" t="s">
        <v>96</v>
      </c>
      <c r="L7" s="38" t="s">
        <v>95</v>
      </c>
      <c r="M7" s="41" t="s">
        <v>94</v>
      </c>
      <c r="N7" s="38" t="s">
        <v>95</v>
      </c>
      <c r="O7" s="38" t="s">
        <v>94</v>
      </c>
      <c r="P7" s="40" t="s">
        <v>93</v>
      </c>
      <c r="Q7" s="36"/>
      <c r="R7" s="36"/>
    </row>
    <row r="8" spans="1:18" ht="13.5" thickBot="1" x14ac:dyDescent="0.25">
      <c r="A8" s="36"/>
      <c r="B8" s="36"/>
      <c r="C8" s="35"/>
      <c r="D8" s="39"/>
      <c r="E8" s="35"/>
      <c r="F8" s="35"/>
      <c r="G8" s="35"/>
      <c r="H8" s="35"/>
      <c r="I8" s="35"/>
      <c r="J8" s="38"/>
      <c r="K8" s="36"/>
      <c r="L8" s="36"/>
      <c r="M8" s="37"/>
      <c r="N8" s="36"/>
      <c r="O8" s="36"/>
      <c r="P8" s="36"/>
      <c r="Q8" s="36"/>
      <c r="R8" s="36"/>
    </row>
    <row r="9" spans="1:18" ht="13.5" thickBot="1" x14ac:dyDescent="0.25">
      <c r="C9" s="35">
        <v>3</v>
      </c>
      <c r="D9" s="35">
        <v>4</v>
      </c>
      <c r="E9" s="28">
        <v>1024.5</v>
      </c>
      <c r="F9" s="28">
        <v>840.5</v>
      </c>
      <c r="G9" s="23"/>
      <c r="H9" s="23">
        <f>SUM(E9:G9)</f>
        <v>1865</v>
      </c>
      <c r="I9" s="28"/>
      <c r="K9" s="7">
        <f>H9/D9</f>
        <v>466.25</v>
      </c>
      <c r="L9" s="21">
        <f>K9/1.016*10</f>
        <v>4589.0748031496069</v>
      </c>
      <c r="M9" s="22">
        <f>L9/1.12085</f>
        <v>4094.2809503052213</v>
      </c>
      <c r="N9" s="21">
        <f>L9*$O$4</f>
        <v>1699.0635067305179</v>
      </c>
      <c r="O9" s="21">
        <f>M9*$O$4</f>
        <v>1515.8705506807494</v>
      </c>
      <c r="P9" s="20">
        <f>O9/480</f>
        <v>3.1580636472515611</v>
      </c>
    </row>
    <row r="10" spans="1:18" ht="13.5" thickBot="1" x14ac:dyDescent="0.25">
      <c r="C10" s="35">
        <v>4</v>
      </c>
      <c r="D10" s="35">
        <v>4</v>
      </c>
      <c r="E10" s="28">
        <v>997.1</v>
      </c>
      <c r="F10" s="28">
        <v>796.9</v>
      </c>
      <c r="G10" s="23"/>
      <c r="H10" s="23">
        <f>SUM(E10:G10)</f>
        <v>1794</v>
      </c>
      <c r="I10" s="28"/>
      <c r="K10" s="7">
        <f>H10/D10</f>
        <v>448.5</v>
      </c>
      <c r="L10" s="21">
        <f>K10/1.016*10</f>
        <v>4414.3700787401576</v>
      </c>
      <c r="M10" s="22">
        <f>L10/1.12085</f>
        <v>3938.4128819557995</v>
      </c>
      <c r="N10" s="21">
        <f>L10*$O$4</f>
        <v>1634.3806600935918</v>
      </c>
      <c r="O10" s="21">
        <f>M10*$O$4</f>
        <v>1458.1618058559056</v>
      </c>
      <c r="P10" s="20">
        <f>O10/480</f>
        <v>3.0378370955331366</v>
      </c>
    </row>
    <row r="11" spans="1:18" ht="13.5" thickBot="1" x14ac:dyDescent="0.25">
      <c r="C11" s="35">
        <v>5</v>
      </c>
      <c r="D11" s="35">
        <v>4</v>
      </c>
      <c r="E11" s="28">
        <v>736</v>
      </c>
      <c r="F11" s="28">
        <v>1014.5</v>
      </c>
      <c r="G11" s="23"/>
      <c r="H11" s="23">
        <f>SUM(E11:G11)</f>
        <v>1750.5</v>
      </c>
      <c r="I11" s="28"/>
      <c r="K11" s="7">
        <f>H11/D11</f>
        <v>437.625</v>
      </c>
      <c r="L11" s="21">
        <f>K11/1.016*10</f>
        <v>4307.3326771653537</v>
      </c>
      <c r="M11" s="22">
        <f>L11/1.12085</f>
        <v>3842.9162485304491</v>
      </c>
      <c r="N11" s="21">
        <f>L11*$O$4</f>
        <v>1594.7510287033624</v>
      </c>
      <c r="O11" s="21">
        <f>M11*$O$4</f>
        <v>1422.8050396604028</v>
      </c>
      <c r="P11" s="20">
        <f>O11/480</f>
        <v>2.9641771659591725</v>
      </c>
    </row>
    <row r="12" spans="1:18" ht="13.5" thickBot="1" x14ac:dyDescent="0.25">
      <c r="C12" s="35">
        <v>6</v>
      </c>
      <c r="D12" s="35">
        <v>4</v>
      </c>
      <c r="E12" s="28">
        <v>1081.0999999999999</v>
      </c>
      <c r="F12" s="28">
        <v>750.9</v>
      </c>
      <c r="G12" s="23"/>
      <c r="H12" s="23">
        <f>SUM(E12:G12)</f>
        <v>1832</v>
      </c>
      <c r="I12" s="28"/>
      <c r="K12" s="7">
        <f>H12/D12</f>
        <v>458</v>
      </c>
      <c r="L12" s="21">
        <f>K12/1.016*10</f>
        <v>4507.8740157480315</v>
      </c>
      <c r="M12" s="22">
        <f>L12/1.12085</f>
        <v>4021.835228396335</v>
      </c>
      <c r="N12" s="21">
        <f>L12*$O$4</f>
        <v>1668.9996484344817</v>
      </c>
      <c r="O12" s="21">
        <f>M12*$O$4</f>
        <v>1489.0481763255402</v>
      </c>
      <c r="P12" s="20">
        <f>O12/480</f>
        <v>3.1021837006782089</v>
      </c>
    </row>
    <row r="13" spans="1:18" ht="13.5" thickBot="1" x14ac:dyDescent="0.25">
      <c r="C13" s="35">
        <v>7</v>
      </c>
      <c r="D13" s="35">
        <v>4</v>
      </c>
      <c r="E13" s="28">
        <v>786.6</v>
      </c>
      <c r="F13" s="28">
        <v>771.1</v>
      </c>
      <c r="G13" s="23"/>
      <c r="H13" s="23">
        <f>SUM(E13:G13)</f>
        <v>1557.7</v>
      </c>
      <c r="I13" s="28"/>
      <c r="K13" s="7">
        <f>H13/D13</f>
        <v>389.42500000000001</v>
      </c>
      <c r="L13" s="21">
        <f>K13/1.016*10</f>
        <v>3832.9232283464571</v>
      </c>
      <c r="M13" s="22">
        <f>L13/1.12085</f>
        <v>3419.6576065900499</v>
      </c>
      <c r="N13" s="21">
        <f>L13*$O$4</f>
        <v>1419.105214173795</v>
      </c>
      <c r="O13" s="21">
        <f>M13*$O$4</f>
        <v>1266.0973494881518</v>
      </c>
      <c r="P13" s="20">
        <f>O13/480</f>
        <v>2.6377028114336496</v>
      </c>
    </row>
    <row r="14" spans="1:18" ht="13.5" thickBot="1" x14ac:dyDescent="0.25">
      <c r="C14" s="35">
        <v>8</v>
      </c>
      <c r="D14" s="35">
        <v>4</v>
      </c>
      <c r="E14" s="28">
        <v>1678.5</v>
      </c>
      <c r="F14" s="28"/>
      <c r="G14" s="23"/>
      <c r="H14" s="23">
        <f>SUM(E14:G14)</f>
        <v>1678.5</v>
      </c>
      <c r="I14" s="28"/>
      <c r="K14" s="7">
        <f>H14/D14</f>
        <v>419.625</v>
      </c>
      <c r="L14" s="21">
        <f>K14/1.016*10</f>
        <v>4130.1673228346453</v>
      </c>
      <c r="M14" s="22">
        <f>L14/1.12085</f>
        <v>3684.8528552746984</v>
      </c>
      <c r="N14" s="21">
        <f>L14*$O$4</f>
        <v>1529.1571560574657</v>
      </c>
      <c r="O14" s="21">
        <f>M14*$O$4</f>
        <v>1364.2834956126742</v>
      </c>
      <c r="P14" s="20">
        <f>O14/480</f>
        <v>2.8422572825264045</v>
      </c>
    </row>
    <row r="15" spans="1:18" ht="13.5" thickBot="1" x14ac:dyDescent="0.25">
      <c r="C15" s="35"/>
      <c r="D15" s="35"/>
      <c r="E15" s="23"/>
      <c r="F15" s="23"/>
      <c r="G15" s="23"/>
      <c r="H15" s="23"/>
      <c r="I15" s="23"/>
      <c r="M15" s="34"/>
    </row>
    <row r="16" spans="1:18" ht="13.5" thickBot="1" x14ac:dyDescent="0.25">
      <c r="C16" s="33" t="s">
        <v>92</v>
      </c>
      <c r="D16" s="32"/>
      <c r="E16" s="31">
        <v>37915</v>
      </c>
      <c r="F16" s="30" t="s">
        <v>91</v>
      </c>
      <c r="G16" s="29"/>
      <c r="H16" s="28">
        <v>288.3</v>
      </c>
      <c r="I16" s="23"/>
      <c r="K16" s="7">
        <f>H16/SUM($D$9:$D$14)</f>
        <v>12.012500000000001</v>
      </c>
      <c r="L16" s="21">
        <f>K16/1.016*10</f>
        <v>118.23326771653544</v>
      </c>
      <c r="M16" s="22">
        <f>L16/1.12085</f>
        <v>105.4853617491506</v>
      </c>
      <c r="N16" s="21">
        <f>L16*$O$4</f>
        <v>43.774799731046315</v>
      </c>
      <c r="O16" s="21">
        <f>M16*$O$4</f>
        <v>39.055002659630027</v>
      </c>
      <c r="P16" s="20">
        <f>O16/480</f>
        <v>8.1364588874229218E-2</v>
      </c>
    </row>
    <row r="17" spans="3:16" ht="13.5" thickBot="1" x14ac:dyDescent="0.25">
      <c r="C17" s="27"/>
      <c r="D17" s="25"/>
      <c r="E17" s="26"/>
      <c r="F17" s="25"/>
      <c r="G17" s="24"/>
      <c r="H17" s="23"/>
      <c r="I17" s="23"/>
      <c r="L17" s="21"/>
      <c r="M17" s="22"/>
      <c r="N17" s="21"/>
      <c r="O17" s="21"/>
      <c r="P17" s="20"/>
    </row>
    <row r="18" spans="3:16" ht="16.5" thickBot="1" x14ac:dyDescent="0.25">
      <c r="C18" s="15" t="s">
        <v>90</v>
      </c>
      <c r="D18" s="14"/>
      <c r="E18" s="14"/>
      <c r="F18" s="14"/>
      <c r="G18" s="19"/>
      <c r="H18" s="13">
        <f>SUM(H9:H14,H16)</f>
        <v>10766</v>
      </c>
      <c r="I18" s="12"/>
      <c r="J18" s="11"/>
      <c r="K18" s="17">
        <f>AVERAGE(K9:K14)+K16/6</f>
        <v>438.57291666666674</v>
      </c>
      <c r="L18" s="17">
        <f>AVERAGE(L9:L14)+L16/6</f>
        <v>4316.6625656167989</v>
      </c>
      <c r="M18" s="18">
        <f>AVERAGE(M9:M14)+M16/6</f>
        <v>3851.2401888002837</v>
      </c>
      <c r="N18" s="17">
        <f>AVERAGE(N9:N14)+N16/6</f>
        <v>1598.2053356540434</v>
      </c>
      <c r="O18" s="17">
        <f>AVERAGE(O9:O14)+O16/6</f>
        <v>1425.886903380509</v>
      </c>
      <c r="P18" s="16">
        <f>AVERAGE(P9:P14)+P16/6</f>
        <v>2.9705977153760608</v>
      </c>
    </row>
    <row r="19" spans="3:16" ht="16.5" thickBot="1" x14ac:dyDescent="0.25">
      <c r="C19" s="15" t="s">
        <v>89</v>
      </c>
      <c r="D19" s="14"/>
      <c r="E19" s="14"/>
      <c r="F19" s="14"/>
      <c r="G19" s="14"/>
      <c r="H19" s="13">
        <f>STDEV(H9:H14)/SQRT(COUNT(H9:H14))</f>
        <v>46.14972312424468</v>
      </c>
      <c r="I19" s="12"/>
      <c r="J19" s="11"/>
      <c r="K19" s="9">
        <f>STDEV(K9:K14)/SQRT(COUNT(K9:K14))</f>
        <v>11.53743078106117</v>
      </c>
      <c r="L19" s="9">
        <f>STDEV(L9:L14)/SQRT(COUNT(L9:L14))</f>
        <v>113.55738957737374</v>
      </c>
      <c r="M19" s="10">
        <f>STDEV(M9:M14)/SQRT(COUNT(M9:M14))</f>
        <v>101.31363659488224</v>
      </c>
      <c r="N19" s="9">
        <f>STDEV(N9:N14)/SQRT(COUNT(N9:N14))</f>
        <v>42.043598072987479</v>
      </c>
      <c r="O19" s="9">
        <f>STDEV(O9:O14)/SQRT(COUNT(O9:O14))</f>
        <v>37.510459091749553</v>
      </c>
      <c r="P19" s="58">
        <f>STDEV(P9:P14)/SQRT(COUNT(P9:P14))</f>
        <v>7.814678977447824E-2</v>
      </c>
    </row>
    <row r="21" spans="3:16" x14ac:dyDescent="0.2">
      <c r="C21" s="7" t="s">
        <v>122</v>
      </c>
    </row>
    <row r="22" spans="3:16" x14ac:dyDescent="0.2">
      <c r="C22" s="7" t="s">
        <v>87</v>
      </c>
    </row>
  </sheetData>
  <mergeCells count="6">
    <mergeCell ref="C18:G18"/>
    <mergeCell ref="C19:G19"/>
    <mergeCell ref="K6:M6"/>
    <mergeCell ref="N6:P6"/>
    <mergeCell ref="C16:D16"/>
    <mergeCell ref="F16:G16"/>
  </mergeCells>
  <pageMargins left="0.75" right="0.75" top="1" bottom="0.52" header="0.5" footer="0.5"/>
  <pageSetup scale="75" orientation="landscape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374C6-94A5-4E64-88FD-74B1691F93D2}">
  <sheetPr codeName="Sheet24">
    <pageSetUpPr fitToPage="1"/>
  </sheetPr>
  <dimension ref="A1:R22"/>
  <sheetViews>
    <sheetView workbookViewId="0">
      <selection activeCell="K6" sqref="K6:M6"/>
    </sheetView>
  </sheetViews>
  <sheetFormatPr defaultRowHeight="12.75" x14ac:dyDescent="0.2"/>
  <cols>
    <col min="1" max="16384" width="9.140625" style="7"/>
  </cols>
  <sheetData>
    <row r="1" spans="1:18" ht="37.5" x14ac:dyDescent="0.2">
      <c r="A1" s="57" t="s">
        <v>121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</row>
    <row r="2" spans="1:18" ht="18.75" thickBot="1" x14ac:dyDescent="0.3">
      <c r="H2" s="56" t="s">
        <v>120</v>
      </c>
      <c r="I2" s="55">
        <v>303</v>
      </c>
      <c r="J2" s="54"/>
      <c r="K2" s="47" t="s">
        <v>119</v>
      </c>
      <c r="L2" s="53">
        <v>37924</v>
      </c>
      <c r="N2" s="47"/>
      <c r="O2" s="48"/>
    </row>
    <row r="3" spans="1:18" ht="17.25" thickTop="1" thickBot="1" x14ac:dyDescent="0.25">
      <c r="B3" s="50" t="s">
        <v>116</v>
      </c>
      <c r="C3" s="52">
        <v>37911</v>
      </c>
      <c r="K3" s="47" t="s">
        <v>115</v>
      </c>
      <c r="L3" s="48">
        <v>2242.4499999999998</v>
      </c>
      <c r="N3" s="47" t="s">
        <v>114</v>
      </c>
      <c r="O3" s="46">
        <f>(L3-(L4+L5))/L3</f>
        <v>4.8273094160404921E-2</v>
      </c>
    </row>
    <row r="4" spans="1:18" ht="17.25" thickTop="1" thickBot="1" x14ac:dyDescent="0.25">
      <c r="B4" s="50" t="s">
        <v>113</v>
      </c>
      <c r="C4" s="52">
        <v>37921</v>
      </c>
      <c r="F4" s="45"/>
      <c r="G4" s="45"/>
      <c r="H4" s="50" t="s">
        <v>112</v>
      </c>
      <c r="I4" s="51" t="s">
        <v>111</v>
      </c>
      <c r="K4" s="47" t="s">
        <v>110</v>
      </c>
      <c r="L4" s="48">
        <v>780.3</v>
      </c>
      <c r="N4" s="47" t="s">
        <v>109</v>
      </c>
      <c r="O4" s="46">
        <f>L4/L3</f>
        <v>0.34796762469620285</v>
      </c>
    </row>
    <row r="5" spans="1:18" ht="17.25" thickTop="1" thickBot="1" x14ac:dyDescent="0.25">
      <c r="B5" s="50" t="s">
        <v>108</v>
      </c>
      <c r="C5" s="49">
        <v>0.44444444444444442</v>
      </c>
      <c r="F5" s="45"/>
      <c r="G5" s="45"/>
      <c r="K5" s="47" t="s">
        <v>107</v>
      </c>
      <c r="L5" s="48">
        <v>1353.9</v>
      </c>
      <c r="N5" s="47" t="s">
        <v>106</v>
      </c>
      <c r="O5" s="46">
        <f>L5/L3</f>
        <v>0.60375928114339239</v>
      </c>
      <c r="Q5" s="20"/>
    </row>
    <row r="6" spans="1:18" ht="17.25" thickTop="1" thickBot="1" x14ac:dyDescent="0.25">
      <c r="F6" s="45"/>
      <c r="G6" s="45"/>
      <c r="K6" s="43" t="s">
        <v>105</v>
      </c>
      <c r="L6" s="43"/>
      <c r="M6" s="44"/>
      <c r="N6" s="43" t="s">
        <v>104</v>
      </c>
      <c r="O6" s="43"/>
      <c r="P6" s="43"/>
    </row>
    <row r="7" spans="1:18" ht="26.25" thickBot="1" x14ac:dyDescent="0.25">
      <c r="A7" s="36"/>
      <c r="B7" s="36"/>
      <c r="C7" s="35" t="s">
        <v>103</v>
      </c>
      <c r="D7" s="39" t="s">
        <v>102</v>
      </c>
      <c r="E7" s="42" t="s">
        <v>101</v>
      </c>
      <c r="F7" s="42" t="s">
        <v>100</v>
      </c>
      <c r="G7" s="42" t="s">
        <v>99</v>
      </c>
      <c r="H7" s="42" t="s">
        <v>98</v>
      </c>
      <c r="I7" s="35" t="s">
        <v>97</v>
      </c>
      <c r="J7" s="38"/>
      <c r="K7" s="38" t="s">
        <v>96</v>
      </c>
      <c r="L7" s="38" t="s">
        <v>95</v>
      </c>
      <c r="M7" s="41" t="s">
        <v>94</v>
      </c>
      <c r="N7" s="38" t="s">
        <v>95</v>
      </c>
      <c r="O7" s="38" t="s">
        <v>94</v>
      </c>
      <c r="P7" s="40" t="s">
        <v>93</v>
      </c>
      <c r="Q7" s="36"/>
      <c r="R7" s="36"/>
    </row>
    <row r="8" spans="1:18" ht="13.5" thickBot="1" x14ac:dyDescent="0.25">
      <c r="A8" s="36"/>
      <c r="B8" s="36"/>
      <c r="C8" s="35"/>
      <c r="D8" s="39"/>
      <c r="E8" s="35"/>
      <c r="F8" s="35"/>
      <c r="G8" s="35"/>
      <c r="H8" s="35"/>
      <c r="I8" s="35"/>
      <c r="J8" s="38"/>
      <c r="K8" s="36"/>
      <c r="L8" s="36"/>
      <c r="M8" s="37"/>
      <c r="N8" s="36"/>
      <c r="O8" s="36"/>
      <c r="P8" s="36"/>
      <c r="Q8" s="36"/>
      <c r="R8" s="36"/>
    </row>
    <row r="9" spans="1:18" ht="13.5" thickBot="1" x14ac:dyDescent="0.25">
      <c r="C9" s="35">
        <v>3</v>
      </c>
      <c r="D9" s="35">
        <v>4</v>
      </c>
      <c r="E9" s="28">
        <v>915.62</v>
      </c>
      <c r="F9" s="28">
        <v>1116.76</v>
      </c>
      <c r="G9" s="23"/>
      <c r="H9" s="23">
        <f>SUM(E9:G9)</f>
        <v>2032.38</v>
      </c>
      <c r="I9" s="28"/>
      <c r="K9" s="7">
        <f>H9/D9</f>
        <v>508.09500000000003</v>
      </c>
      <c r="L9" s="21">
        <f>K9/1.016*10</f>
        <v>5000.9350393700788</v>
      </c>
      <c r="M9" s="22">
        <f>L9/1.12085</f>
        <v>4461.7344331267159</v>
      </c>
      <c r="N9" s="21">
        <f>L9*$O$4</f>
        <v>1740.1634869096181</v>
      </c>
      <c r="O9" s="21">
        <f>M9*$O$4</f>
        <v>1552.5391327203624</v>
      </c>
      <c r="P9" s="20">
        <f>O9/480</f>
        <v>3.2344565265007552</v>
      </c>
    </row>
    <row r="10" spans="1:18" ht="13.5" thickBot="1" x14ac:dyDescent="0.25">
      <c r="C10" s="35">
        <v>4</v>
      </c>
      <c r="D10" s="35">
        <v>4</v>
      </c>
      <c r="E10" s="28">
        <v>807.38</v>
      </c>
      <c r="F10" s="28">
        <v>1309.55</v>
      </c>
      <c r="G10" s="23"/>
      <c r="H10" s="23">
        <f>SUM(E10:G10)</f>
        <v>2116.9299999999998</v>
      </c>
      <c r="I10" s="28"/>
      <c r="K10" s="7">
        <f>H10/D10</f>
        <v>529.23249999999996</v>
      </c>
      <c r="L10" s="21">
        <f>K10/1.016*10</f>
        <v>5208.981299212599</v>
      </c>
      <c r="M10" s="22">
        <f>L10/1.12085</f>
        <v>4647.3491539569068</v>
      </c>
      <c r="N10" s="21">
        <f>L10*$O$4</f>
        <v>1812.5568497739487</v>
      </c>
      <c r="O10" s="21">
        <f>M10*$O$4</f>
        <v>1617.1270462362927</v>
      </c>
      <c r="P10" s="20">
        <f>O10/480</f>
        <v>3.3690146796589433</v>
      </c>
    </row>
    <row r="11" spans="1:18" ht="13.5" thickBot="1" x14ac:dyDescent="0.25">
      <c r="C11" s="35">
        <v>5</v>
      </c>
      <c r="D11" s="35">
        <v>4</v>
      </c>
      <c r="E11" s="28">
        <v>723.74</v>
      </c>
      <c r="F11" s="28">
        <v>1171.24</v>
      </c>
      <c r="G11" s="23"/>
      <c r="H11" s="23">
        <f>SUM(E11:G11)</f>
        <v>1894.98</v>
      </c>
      <c r="I11" s="28"/>
      <c r="K11" s="7">
        <f>H11/D11</f>
        <v>473.745</v>
      </c>
      <c r="L11" s="21">
        <f>K11/1.016*10</f>
        <v>4662.8444881889764</v>
      </c>
      <c r="M11" s="22">
        <f>L11/1.12085</f>
        <v>4160.0967909969904</v>
      </c>
      <c r="N11" s="21">
        <f>L11*$O$4</f>
        <v>1622.5189208828997</v>
      </c>
      <c r="O11" s="21">
        <f>M11*$O$4</f>
        <v>1447.5789988695185</v>
      </c>
      <c r="P11" s="20">
        <f>O11/480</f>
        <v>3.0157895809781636</v>
      </c>
    </row>
    <row r="12" spans="1:18" ht="13.5" thickBot="1" x14ac:dyDescent="0.25">
      <c r="C12" s="35">
        <v>6</v>
      </c>
      <c r="D12" s="35">
        <v>4</v>
      </c>
      <c r="E12" s="28">
        <v>1468.3</v>
      </c>
      <c r="F12" s="28">
        <v>651.72</v>
      </c>
      <c r="G12" s="23"/>
      <c r="H12" s="23">
        <f>SUM(E12:G12)</f>
        <v>2120.02</v>
      </c>
      <c r="I12" s="28"/>
      <c r="K12" s="7">
        <f>H12/D12</f>
        <v>530.005</v>
      </c>
      <c r="L12" s="21">
        <f>K12/1.016*10</f>
        <v>5216.5846456692907</v>
      </c>
      <c r="M12" s="22">
        <f>L12/1.12085</f>
        <v>4654.1327079174653</v>
      </c>
      <c r="N12" s="21">
        <f>L12*$O$4</f>
        <v>1815.2025681802261</v>
      </c>
      <c r="O12" s="21">
        <f>M12*$O$4</f>
        <v>1619.4875033949468</v>
      </c>
      <c r="P12" s="20">
        <f>O12/480</f>
        <v>3.3739322987394726</v>
      </c>
    </row>
    <row r="13" spans="1:18" ht="13.5" thickBot="1" x14ac:dyDescent="0.25">
      <c r="C13" s="35">
        <v>7</v>
      </c>
      <c r="D13" s="35">
        <v>4</v>
      </c>
      <c r="E13" s="28">
        <v>836.12</v>
      </c>
      <c r="F13" s="28">
        <v>1166.5999999999999</v>
      </c>
      <c r="G13" s="23"/>
      <c r="H13" s="23">
        <f>SUM(E13:G13)</f>
        <v>2002.7199999999998</v>
      </c>
      <c r="I13" s="28"/>
      <c r="K13" s="7">
        <f>H13/D13</f>
        <v>500.67999999999995</v>
      </c>
      <c r="L13" s="21">
        <f>K13/1.016*10</f>
        <v>4927.9527559055114</v>
      </c>
      <c r="M13" s="22">
        <f>L13/1.12085</f>
        <v>4396.6210964049715</v>
      </c>
      <c r="N13" s="21">
        <f>L13*$O$4</f>
        <v>1714.7680150875476</v>
      </c>
      <c r="O13" s="21">
        <f>M13*$O$4</f>
        <v>1529.881799605253</v>
      </c>
      <c r="P13" s="20">
        <f>O13/480</f>
        <v>3.1872537491776103</v>
      </c>
    </row>
    <row r="14" spans="1:18" ht="13.5" thickBot="1" x14ac:dyDescent="0.25">
      <c r="C14" s="35">
        <v>8</v>
      </c>
      <c r="D14" s="35">
        <v>4</v>
      </c>
      <c r="E14" s="28">
        <v>884.02</v>
      </c>
      <c r="F14" s="28">
        <v>1052.96</v>
      </c>
      <c r="G14" s="23"/>
      <c r="H14" s="23">
        <f>SUM(E14:G14)</f>
        <v>1936.98</v>
      </c>
      <c r="I14" s="28"/>
      <c r="K14" s="7">
        <f>H14/D14</f>
        <v>484.245</v>
      </c>
      <c r="L14" s="21">
        <f>K14/1.016*10</f>
        <v>4766.1909448818897</v>
      </c>
      <c r="M14" s="22">
        <f>L14/1.12085</f>
        <v>4252.300437062845</v>
      </c>
      <c r="N14" s="21">
        <f>L14*$O$4</f>
        <v>1658.4801419391017</v>
      </c>
      <c r="O14" s="21">
        <f>M14*$O$4</f>
        <v>1479.6628825793834</v>
      </c>
      <c r="P14" s="20">
        <f>O14/480</f>
        <v>3.0826310053737154</v>
      </c>
    </row>
    <row r="15" spans="1:18" ht="13.5" thickBot="1" x14ac:dyDescent="0.25">
      <c r="C15" s="35"/>
      <c r="D15" s="35"/>
      <c r="E15" s="23"/>
      <c r="F15" s="23"/>
      <c r="G15" s="23"/>
      <c r="H15" s="23"/>
      <c r="I15" s="23"/>
      <c r="M15" s="34"/>
    </row>
    <row r="16" spans="1:18" ht="13.5" thickBot="1" x14ac:dyDescent="0.25">
      <c r="C16" s="33" t="s">
        <v>92</v>
      </c>
      <c r="D16" s="32"/>
      <c r="E16" s="31">
        <v>37915</v>
      </c>
      <c r="F16" s="30" t="s">
        <v>91</v>
      </c>
      <c r="G16" s="29"/>
      <c r="H16" s="28">
        <v>334.87</v>
      </c>
      <c r="I16" s="23"/>
      <c r="K16" s="7">
        <f>H16/SUM($D$9:$D$14)</f>
        <v>13.952916666666667</v>
      </c>
      <c r="L16" s="21">
        <f>K16/1.016*10</f>
        <v>137.33185695538057</v>
      </c>
      <c r="M16" s="22">
        <f>L16/1.12085</f>
        <v>122.52474189711432</v>
      </c>
      <c r="N16" s="21">
        <f>L16*$O$4</f>
        <v>47.787040059882479</v>
      </c>
      <c r="O16" s="21">
        <f>M16*$O$4</f>
        <v>42.634643404454195</v>
      </c>
      <c r="P16" s="20">
        <f>O16/480</f>
        <v>8.8822173759279574E-2</v>
      </c>
    </row>
    <row r="17" spans="3:16" ht="13.5" thickBot="1" x14ac:dyDescent="0.25">
      <c r="C17" s="27"/>
      <c r="D17" s="25"/>
      <c r="E17" s="26"/>
      <c r="F17" s="25"/>
      <c r="G17" s="24"/>
      <c r="H17" s="23"/>
      <c r="I17" s="23"/>
      <c r="L17" s="21"/>
      <c r="M17" s="22"/>
      <c r="N17" s="21"/>
      <c r="O17" s="21"/>
      <c r="P17" s="20"/>
    </row>
    <row r="18" spans="3:16" ht="16.5" thickBot="1" x14ac:dyDescent="0.25">
      <c r="C18" s="15" t="s">
        <v>90</v>
      </c>
      <c r="D18" s="14"/>
      <c r="E18" s="14"/>
      <c r="F18" s="14"/>
      <c r="G18" s="19"/>
      <c r="H18" s="13">
        <f>SUM(H9:H14,H16)</f>
        <v>12438.88</v>
      </c>
      <c r="I18" s="12"/>
      <c r="J18" s="11"/>
      <c r="K18" s="17">
        <f>AVERAGE(K9:K14)+K16/6</f>
        <v>506.65923611111106</v>
      </c>
      <c r="L18" s="17">
        <f>AVERAGE(L9:L14)+L16/6</f>
        <v>4986.8035050306216</v>
      </c>
      <c r="M18" s="18">
        <f>AVERAGE(M9:M14)+M16/6</f>
        <v>4449.1265602271687</v>
      </c>
      <c r="N18" s="17">
        <f>AVERAGE(N9:N14)+N16/6</f>
        <v>1735.2461704722039</v>
      </c>
      <c r="O18" s="17">
        <f>AVERAGE(O9:O14)+O16/6</f>
        <v>1548.1520011350353</v>
      </c>
      <c r="P18" s="16">
        <f>AVERAGE(P9:P14)+P16/6</f>
        <v>3.2253166690313235</v>
      </c>
    </row>
    <row r="19" spans="3:16" ht="16.5" thickBot="1" x14ac:dyDescent="0.25">
      <c r="C19" s="15" t="s">
        <v>89</v>
      </c>
      <c r="D19" s="14"/>
      <c r="E19" s="14"/>
      <c r="F19" s="14"/>
      <c r="G19" s="14"/>
      <c r="H19" s="13">
        <f>STDEV(H9:H14)/SQRT(COUNT(H9:H14))</f>
        <v>37.563721660666147</v>
      </c>
      <c r="I19" s="12"/>
      <c r="J19" s="11"/>
      <c r="K19" s="9">
        <f>STDEV(K9:K14)/SQRT(COUNT(K9:K14))</f>
        <v>9.3909304151665367</v>
      </c>
      <c r="L19" s="9">
        <f>STDEV(L9:L14)/SQRT(COUNT(L9:L14))</f>
        <v>92.430417472111628</v>
      </c>
      <c r="M19" s="10">
        <f>STDEV(M9:M14)/SQRT(COUNT(M9:M14))</f>
        <v>82.464573736103475</v>
      </c>
      <c r="N19" s="9">
        <f>STDEV(N9:N14)/SQRT(COUNT(N9:N14))</f>
        <v>32.162792817449102</v>
      </c>
      <c r="O19" s="9">
        <f>STDEV(O9:O14)/SQRT(COUNT(O9:O14))</f>
        <v>28.695001844536801</v>
      </c>
      <c r="P19" s="58">
        <f>STDEV(P9:P14)/SQRT(COUNT(P9:P14))</f>
        <v>5.9781253842785043E-2</v>
      </c>
    </row>
    <row r="21" spans="3:16" x14ac:dyDescent="0.2">
      <c r="C21" s="7" t="s">
        <v>122</v>
      </c>
    </row>
    <row r="22" spans="3:16" x14ac:dyDescent="0.2">
      <c r="C22" s="7" t="s">
        <v>87</v>
      </c>
    </row>
  </sheetData>
  <mergeCells count="6">
    <mergeCell ref="C18:G18"/>
    <mergeCell ref="C19:G19"/>
    <mergeCell ref="K6:M6"/>
    <mergeCell ref="N6:P6"/>
    <mergeCell ref="C16:D16"/>
    <mergeCell ref="F16:G16"/>
  </mergeCells>
  <pageMargins left="0.75" right="0.75" top="1" bottom="0.52" header="0.5" footer="0.5"/>
  <pageSetup scale="75" orientation="landscape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9BBC6-08A7-4EA3-9696-CA3C935242EE}">
  <sheetPr codeName="Sheet25">
    <pageSetUpPr fitToPage="1"/>
  </sheetPr>
  <dimension ref="A1:R22"/>
  <sheetViews>
    <sheetView workbookViewId="0">
      <selection activeCell="K6" sqref="K6:M6"/>
    </sheetView>
  </sheetViews>
  <sheetFormatPr defaultRowHeight="12.75" x14ac:dyDescent="0.2"/>
  <cols>
    <col min="1" max="16384" width="9.140625" style="7"/>
  </cols>
  <sheetData>
    <row r="1" spans="1:18" ht="37.5" x14ac:dyDescent="0.2">
      <c r="A1" s="57" t="s">
        <v>121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</row>
    <row r="2" spans="1:18" ht="18.75" thickBot="1" x14ac:dyDescent="0.3">
      <c r="H2" s="56" t="s">
        <v>120</v>
      </c>
      <c r="I2" s="55">
        <v>304</v>
      </c>
      <c r="J2" s="54"/>
      <c r="K2" s="47" t="s">
        <v>119</v>
      </c>
      <c r="L2" s="53">
        <v>37924</v>
      </c>
      <c r="N2" s="47"/>
      <c r="O2" s="48"/>
    </row>
    <row r="3" spans="1:18" ht="17.25" thickTop="1" thickBot="1" x14ac:dyDescent="0.25">
      <c r="B3" s="50" t="s">
        <v>116</v>
      </c>
      <c r="C3" s="52">
        <v>37911</v>
      </c>
      <c r="K3" s="47" t="s">
        <v>115</v>
      </c>
      <c r="L3" s="48">
        <v>2186.5</v>
      </c>
      <c r="N3" s="47" t="s">
        <v>114</v>
      </c>
      <c r="O3" s="46">
        <f>(L3-(L4+L5))/L3</f>
        <v>2.6640750057168993E-2</v>
      </c>
    </row>
    <row r="4" spans="1:18" ht="17.25" thickTop="1" thickBot="1" x14ac:dyDescent="0.25">
      <c r="B4" s="50" t="s">
        <v>113</v>
      </c>
      <c r="C4" s="52">
        <v>37921</v>
      </c>
      <c r="F4" s="45"/>
      <c r="G4" s="45"/>
      <c r="H4" s="50" t="s">
        <v>112</v>
      </c>
      <c r="I4" s="51" t="s">
        <v>117</v>
      </c>
      <c r="K4" s="47" t="s">
        <v>110</v>
      </c>
      <c r="L4" s="48">
        <v>801</v>
      </c>
      <c r="N4" s="47" t="s">
        <v>109</v>
      </c>
      <c r="O4" s="46">
        <f>L4/L3</f>
        <v>0.36633889778184314</v>
      </c>
    </row>
    <row r="5" spans="1:18" ht="17.25" thickTop="1" thickBot="1" x14ac:dyDescent="0.25">
      <c r="B5" s="50" t="s">
        <v>108</v>
      </c>
      <c r="C5" s="49">
        <v>0.44444444444444442</v>
      </c>
      <c r="F5" s="45"/>
      <c r="G5" s="45"/>
      <c r="K5" s="47" t="s">
        <v>107</v>
      </c>
      <c r="L5" s="48">
        <v>1327.25</v>
      </c>
      <c r="N5" s="47" t="s">
        <v>106</v>
      </c>
      <c r="O5" s="46">
        <f>L5/L3</f>
        <v>0.60702035216098793</v>
      </c>
      <c r="Q5" s="20"/>
    </row>
    <row r="6" spans="1:18" ht="17.25" thickTop="1" thickBot="1" x14ac:dyDescent="0.25">
      <c r="F6" s="45"/>
      <c r="G6" s="45"/>
      <c r="K6" s="43" t="s">
        <v>105</v>
      </c>
      <c r="L6" s="43"/>
      <c r="M6" s="44"/>
      <c r="N6" s="43" t="s">
        <v>104</v>
      </c>
      <c r="O6" s="43"/>
      <c r="P6" s="43"/>
    </row>
    <row r="7" spans="1:18" ht="26.25" thickBot="1" x14ac:dyDescent="0.25">
      <c r="A7" s="36"/>
      <c r="B7" s="36"/>
      <c r="C7" s="35" t="s">
        <v>103</v>
      </c>
      <c r="D7" s="39" t="s">
        <v>102</v>
      </c>
      <c r="E7" s="42" t="s">
        <v>101</v>
      </c>
      <c r="F7" s="42" t="s">
        <v>100</v>
      </c>
      <c r="G7" s="42" t="s">
        <v>99</v>
      </c>
      <c r="H7" s="42" t="s">
        <v>98</v>
      </c>
      <c r="I7" s="35" t="s">
        <v>97</v>
      </c>
      <c r="J7" s="38"/>
      <c r="K7" s="38" t="s">
        <v>96</v>
      </c>
      <c r="L7" s="38" t="s">
        <v>95</v>
      </c>
      <c r="M7" s="41" t="s">
        <v>94</v>
      </c>
      <c r="N7" s="38" t="s">
        <v>95</v>
      </c>
      <c r="O7" s="38" t="s">
        <v>94</v>
      </c>
      <c r="P7" s="40" t="s">
        <v>93</v>
      </c>
      <c r="Q7" s="36"/>
      <c r="R7" s="36"/>
    </row>
    <row r="8" spans="1:18" ht="13.5" thickBot="1" x14ac:dyDescent="0.25">
      <c r="A8" s="36"/>
      <c r="B8" s="36"/>
      <c r="C8" s="35"/>
      <c r="D8" s="39"/>
      <c r="E8" s="35"/>
      <c r="F8" s="35"/>
      <c r="G8" s="35"/>
      <c r="H8" s="35"/>
      <c r="I8" s="35"/>
      <c r="J8" s="38"/>
      <c r="K8" s="36"/>
      <c r="L8" s="36"/>
      <c r="M8" s="37"/>
      <c r="N8" s="36"/>
      <c r="O8" s="36"/>
      <c r="P8" s="36"/>
      <c r="Q8" s="36"/>
      <c r="R8" s="36"/>
    </row>
    <row r="9" spans="1:18" ht="13.5" thickBot="1" x14ac:dyDescent="0.25">
      <c r="C9" s="35">
        <v>3</v>
      </c>
      <c r="D9" s="35">
        <v>4</v>
      </c>
      <c r="E9" s="28">
        <v>828.6</v>
      </c>
      <c r="F9" s="28">
        <v>1123.5</v>
      </c>
      <c r="G9" s="23"/>
      <c r="H9" s="23">
        <f>SUM(E9:G9)</f>
        <v>1952.1</v>
      </c>
      <c r="I9" s="28"/>
      <c r="K9" s="7">
        <f>H9/D9</f>
        <v>488.02499999999998</v>
      </c>
      <c r="L9" s="21">
        <f>K9/1.016*10</f>
        <v>4803.395669291338</v>
      </c>
      <c r="M9" s="22">
        <f>L9/1.12085</f>
        <v>4285.4937496465527</v>
      </c>
      <c r="N9" s="21">
        <f>L9*$O$4</f>
        <v>1759.6706750982676</v>
      </c>
      <c r="O9" s="21">
        <f>M9*$O$4</f>
        <v>1569.9430566964961</v>
      </c>
      <c r="P9" s="20">
        <f>O9/480</f>
        <v>3.2707147014510336</v>
      </c>
    </row>
    <row r="10" spans="1:18" ht="13.5" thickBot="1" x14ac:dyDescent="0.25">
      <c r="C10" s="35">
        <v>4</v>
      </c>
      <c r="D10" s="35">
        <v>4</v>
      </c>
      <c r="E10" s="28">
        <v>848.5</v>
      </c>
      <c r="F10" s="28">
        <v>892.5</v>
      </c>
      <c r="G10" s="23"/>
      <c r="H10" s="23">
        <f>SUM(E10:G10)</f>
        <v>1741</v>
      </c>
      <c r="I10" s="28"/>
      <c r="K10" s="7">
        <f>H10/D10</f>
        <v>435.25</v>
      </c>
      <c r="L10" s="21">
        <f>K10/1.016*10</f>
        <v>4283.9566929133853</v>
      </c>
      <c r="M10" s="22">
        <f>L10/1.12085</f>
        <v>3822.0606619203154</v>
      </c>
      <c r="N10" s="21">
        <f>L10*$O$4</f>
        <v>1569.3799730270393</v>
      </c>
      <c r="O10" s="21">
        <f>M10*$O$4</f>
        <v>1400.1694901432302</v>
      </c>
      <c r="P10" s="20">
        <f>O10/480</f>
        <v>2.9170197711317294</v>
      </c>
    </row>
    <row r="11" spans="1:18" ht="13.5" thickBot="1" x14ac:dyDescent="0.25">
      <c r="C11" s="35">
        <v>5</v>
      </c>
      <c r="D11" s="35">
        <v>4</v>
      </c>
      <c r="E11" s="28">
        <v>1377.3</v>
      </c>
      <c r="F11" s="28">
        <v>438.4</v>
      </c>
      <c r="G11" s="23"/>
      <c r="H11" s="23">
        <f>SUM(E11:G11)</f>
        <v>1815.6999999999998</v>
      </c>
      <c r="I11" s="28"/>
      <c r="K11" s="7">
        <f>H11/D11</f>
        <v>453.92499999999995</v>
      </c>
      <c r="L11" s="21">
        <f>K11/1.016*10</f>
        <v>4467.7657480314956</v>
      </c>
      <c r="M11" s="22">
        <f>L11/1.12085</f>
        <v>3986.0514324231576</v>
      </c>
      <c r="N11" s="21">
        <f>L11*$O$4</f>
        <v>1636.71637968133</v>
      </c>
      <c r="O11" s="21">
        <f>M11*$O$4</f>
        <v>1460.2456882556367</v>
      </c>
      <c r="P11" s="20">
        <f>O11/480</f>
        <v>3.0421785171992428</v>
      </c>
    </row>
    <row r="12" spans="1:18" ht="13.5" thickBot="1" x14ac:dyDescent="0.25">
      <c r="C12" s="35">
        <v>6</v>
      </c>
      <c r="D12" s="35">
        <v>4</v>
      </c>
      <c r="E12" s="28">
        <v>681.7</v>
      </c>
      <c r="F12" s="28">
        <v>1088</v>
      </c>
      <c r="G12" s="23"/>
      <c r="H12" s="23">
        <f>SUM(E12:G12)</f>
        <v>1769.7</v>
      </c>
      <c r="I12" s="28"/>
      <c r="K12" s="7">
        <f>H12/D12</f>
        <v>442.42500000000001</v>
      </c>
      <c r="L12" s="21">
        <f>K12/1.016*10</f>
        <v>4354.5767716535429</v>
      </c>
      <c r="M12" s="22">
        <f>L12/1.12085</f>
        <v>3885.0664867319833</v>
      </c>
      <c r="N12" s="21">
        <f>L12*$O$4</f>
        <v>1595.2508548339758</v>
      </c>
      <c r="O12" s="21">
        <f>M12*$O$4</f>
        <v>1423.2509745585726</v>
      </c>
      <c r="P12" s="20">
        <f>O12/480</f>
        <v>2.9651061969970263</v>
      </c>
    </row>
    <row r="13" spans="1:18" ht="13.5" thickBot="1" x14ac:dyDescent="0.25">
      <c r="C13" s="35">
        <v>7</v>
      </c>
      <c r="D13" s="35">
        <v>4</v>
      </c>
      <c r="E13" s="28">
        <v>922.8</v>
      </c>
      <c r="F13" s="28">
        <v>1159.3</v>
      </c>
      <c r="G13" s="23"/>
      <c r="H13" s="23">
        <f>SUM(E13:G13)</f>
        <v>2082.1</v>
      </c>
      <c r="I13" s="28"/>
      <c r="K13" s="7">
        <f>H13/D13</f>
        <v>520.52499999999998</v>
      </c>
      <c r="L13" s="21">
        <f>K13/1.016*10</f>
        <v>5123.2775590551182</v>
      </c>
      <c r="M13" s="22">
        <f>L13/1.12085</f>
        <v>4570.8859874694372</v>
      </c>
      <c r="N13" s="21">
        <f>L13*$O$4</f>
        <v>1876.8558540147037</v>
      </c>
      <c r="O13" s="21">
        <f>M13*$O$4</f>
        <v>1674.4933345360253</v>
      </c>
      <c r="P13" s="20">
        <f>O13/480</f>
        <v>3.4885277802833858</v>
      </c>
    </row>
    <row r="14" spans="1:18" ht="13.5" thickBot="1" x14ac:dyDescent="0.25">
      <c r="C14" s="35">
        <v>8</v>
      </c>
      <c r="D14" s="35">
        <v>4</v>
      </c>
      <c r="E14" s="28">
        <v>927</v>
      </c>
      <c r="F14" s="28">
        <v>929.1</v>
      </c>
      <c r="G14" s="23"/>
      <c r="H14" s="23">
        <f>SUM(E14:G14)</f>
        <v>1856.1</v>
      </c>
      <c r="I14" s="28"/>
      <c r="K14" s="7">
        <f>H14/D14</f>
        <v>464.02499999999998</v>
      </c>
      <c r="L14" s="21">
        <f>K14/1.016*10</f>
        <v>4567.1751968503931</v>
      </c>
      <c r="M14" s="22">
        <f>L14/1.12085</f>
        <v>4074.7425586388845</v>
      </c>
      <c r="N14" s="21">
        <f>L14*$O$4</f>
        <v>1673.1339275907455</v>
      </c>
      <c r="O14" s="21">
        <f>M14*$O$4</f>
        <v>1492.7366976765363</v>
      </c>
      <c r="P14" s="20">
        <f>O14/480</f>
        <v>3.1098681201594505</v>
      </c>
    </row>
    <row r="15" spans="1:18" ht="13.5" thickBot="1" x14ac:dyDescent="0.25">
      <c r="C15" s="35"/>
      <c r="D15" s="35"/>
      <c r="E15" s="23"/>
      <c r="F15" s="23"/>
      <c r="G15" s="23"/>
      <c r="H15" s="23"/>
      <c r="I15" s="23"/>
      <c r="M15" s="34"/>
    </row>
    <row r="16" spans="1:18" ht="13.5" thickBot="1" x14ac:dyDescent="0.25">
      <c r="C16" s="33" t="s">
        <v>92</v>
      </c>
      <c r="D16" s="32"/>
      <c r="E16" s="31">
        <v>37915</v>
      </c>
      <c r="F16" s="30" t="s">
        <v>91</v>
      </c>
      <c r="G16" s="29"/>
      <c r="H16" s="28">
        <v>194.5</v>
      </c>
      <c r="I16" s="23"/>
      <c r="K16" s="7">
        <f>H16/SUM($D$9:$D$14)</f>
        <v>8.1041666666666661</v>
      </c>
      <c r="L16" s="21">
        <f>K16/1.016*10</f>
        <v>79.765419947506558</v>
      </c>
      <c r="M16" s="22">
        <f>L16/1.12085</f>
        <v>71.165115713526845</v>
      </c>
      <c r="N16" s="21">
        <f>L16*$O$4</f>
        <v>29.221176024675398</v>
      </c>
      <c r="O16" s="21">
        <f>M16*$O$4</f>
        <v>26.070550051010748</v>
      </c>
      <c r="P16" s="20">
        <f>O16/480</f>
        <v>5.4313645939605727E-2</v>
      </c>
    </row>
    <row r="17" spans="3:16" ht="13.5" thickBot="1" x14ac:dyDescent="0.25">
      <c r="C17" s="27"/>
      <c r="D17" s="25"/>
      <c r="E17" s="26"/>
      <c r="F17" s="25"/>
      <c r="G17" s="24"/>
      <c r="H17" s="23"/>
      <c r="I17" s="23"/>
      <c r="L17" s="21"/>
      <c r="M17" s="22"/>
      <c r="N17" s="21"/>
      <c r="O17" s="21"/>
      <c r="P17" s="20"/>
    </row>
    <row r="18" spans="3:16" ht="16.5" thickBot="1" x14ac:dyDescent="0.25">
      <c r="C18" s="15" t="s">
        <v>90</v>
      </c>
      <c r="D18" s="14"/>
      <c r="E18" s="14"/>
      <c r="F18" s="14"/>
      <c r="G18" s="19"/>
      <c r="H18" s="13">
        <f>SUM(H9:H14,H16)</f>
        <v>11411.199999999999</v>
      </c>
      <c r="I18" s="12"/>
      <c r="J18" s="11"/>
      <c r="K18" s="17">
        <f>AVERAGE(K9:K14)+K16/6</f>
        <v>468.71319444444441</v>
      </c>
      <c r="L18" s="17">
        <f>AVERAGE(L9:L14)+L16/6</f>
        <v>4613.3188429571301</v>
      </c>
      <c r="M18" s="18">
        <f>AVERAGE(M9:M14)+M16/6</f>
        <v>4115.9109987573102</v>
      </c>
      <c r="N18" s="17">
        <f>AVERAGE(N9:N14)+N16/6</f>
        <v>1690.0381400451226</v>
      </c>
      <c r="O18" s="17">
        <f>AVERAGE(O9:O14)+O16/6</f>
        <v>1507.818298652918</v>
      </c>
      <c r="P18" s="16">
        <f>AVERAGE(P9:P14)+P16/6</f>
        <v>3.1412881221935787</v>
      </c>
    </row>
    <row r="19" spans="3:16" ht="16.5" thickBot="1" x14ac:dyDescent="0.25">
      <c r="C19" s="15" t="s">
        <v>89</v>
      </c>
      <c r="D19" s="14"/>
      <c r="E19" s="14"/>
      <c r="F19" s="14"/>
      <c r="G19" s="14"/>
      <c r="H19" s="13">
        <f>STDEV(H9:H14)/SQRT(COUNT(H9:H14))</f>
        <v>52.143326514521483</v>
      </c>
      <c r="I19" s="12"/>
      <c r="J19" s="11"/>
      <c r="K19" s="9">
        <f>STDEV(K9:K14)/SQRT(COUNT(K9:K14))</f>
        <v>13.035831628630371</v>
      </c>
      <c r="L19" s="9">
        <f>STDEV(L9:L14)/SQRT(COUNT(L9:L14))</f>
        <v>128.30542941565338</v>
      </c>
      <c r="M19" s="10">
        <f>STDEV(M9:M14)/SQRT(COUNT(M9:M14))</f>
        <v>114.47154339622014</v>
      </c>
      <c r="N19" s="9">
        <f>STDEV(N9:N14)/SQRT(COUNT(N9:N14))</f>
        <v>47.003269591556524</v>
      </c>
      <c r="O19" s="9">
        <f>STDEV(O9:O14)/SQRT(COUNT(O9:O14))</f>
        <v>41.935379035157702</v>
      </c>
      <c r="P19" s="58">
        <f>STDEV(P9:P14)/SQRT(COUNT(P9:P14))</f>
        <v>8.7365372989911885E-2</v>
      </c>
    </row>
    <row r="21" spans="3:16" x14ac:dyDescent="0.2">
      <c r="C21" s="7" t="s">
        <v>122</v>
      </c>
    </row>
    <row r="22" spans="3:16" x14ac:dyDescent="0.2">
      <c r="C22" s="7" t="s">
        <v>87</v>
      </c>
    </row>
  </sheetData>
  <mergeCells count="6">
    <mergeCell ref="C18:G18"/>
    <mergeCell ref="C19:G19"/>
    <mergeCell ref="K6:M6"/>
    <mergeCell ref="N6:P6"/>
    <mergeCell ref="C16:D16"/>
    <mergeCell ref="F16:G16"/>
  </mergeCells>
  <pageMargins left="0.75" right="0.75" top="1" bottom="0.52" header="0.5" footer="0.5"/>
  <pageSetup scale="75" orientation="landscape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96B48-4EE6-4B00-8D44-D45DE3319EE2}">
  <sheetPr codeName="Sheet26">
    <pageSetUpPr fitToPage="1"/>
  </sheetPr>
  <dimension ref="A1:R26"/>
  <sheetViews>
    <sheetView workbookViewId="0">
      <selection activeCell="K6" sqref="K6:M6"/>
    </sheetView>
  </sheetViews>
  <sheetFormatPr defaultRowHeight="12.75" x14ac:dyDescent="0.2"/>
  <cols>
    <col min="1" max="16384" width="9.140625" style="7"/>
  </cols>
  <sheetData>
    <row r="1" spans="1:18" ht="37.5" x14ac:dyDescent="0.2">
      <c r="A1" s="57" t="s">
        <v>121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</row>
    <row r="2" spans="1:18" ht="18.75" thickBot="1" x14ac:dyDescent="0.3">
      <c r="H2" s="56" t="s">
        <v>120</v>
      </c>
      <c r="I2" s="55">
        <v>305</v>
      </c>
      <c r="J2" s="54"/>
      <c r="K2" s="47" t="s">
        <v>119</v>
      </c>
      <c r="L2" s="53">
        <v>37924</v>
      </c>
      <c r="N2" s="47"/>
      <c r="O2" s="48"/>
    </row>
    <row r="3" spans="1:18" ht="17.25" thickTop="1" thickBot="1" x14ac:dyDescent="0.25">
      <c r="B3" s="50" t="s">
        <v>116</v>
      </c>
      <c r="C3" s="52">
        <v>37911</v>
      </c>
      <c r="K3" s="47" t="s">
        <v>115</v>
      </c>
      <c r="L3" s="48">
        <v>1905.7</v>
      </c>
      <c r="N3" s="47" t="s">
        <v>114</v>
      </c>
      <c r="O3" s="46">
        <f>(L3-(L4+L5))/L3</f>
        <v>4.6355669832607395E-2</v>
      </c>
    </row>
    <row r="4" spans="1:18" ht="17.25" thickTop="1" thickBot="1" x14ac:dyDescent="0.25">
      <c r="B4" s="50" t="s">
        <v>113</v>
      </c>
      <c r="C4" s="52">
        <v>37921</v>
      </c>
      <c r="F4" s="45"/>
      <c r="G4" s="45"/>
      <c r="H4" s="50" t="s">
        <v>112</v>
      </c>
      <c r="I4" s="51" t="s">
        <v>117</v>
      </c>
      <c r="K4" s="47" t="s">
        <v>110</v>
      </c>
      <c r="L4" s="48">
        <v>693.9</v>
      </c>
      <c r="N4" s="47" t="s">
        <v>109</v>
      </c>
      <c r="O4" s="46">
        <f>L4/L3</f>
        <v>0.3641181718003883</v>
      </c>
    </row>
    <row r="5" spans="1:18" ht="17.25" thickTop="1" thickBot="1" x14ac:dyDescent="0.25">
      <c r="B5" s="50" t="s">
        <v>108</v>
      </c>
      <c r="C5" s="49">
        <v>0.4458333333333333</v>
      </c>
      <c r="F5" s="45"/>
      <c r="G5" s="45"/>
      <c r="K5" s="47" t="s">
        <v>107</v>
      </c>
      <c r="L5" s="48">
        <v>1123.46</v>
      </c>
      <c r="N5" s="47" t="s">
        <v>106</v>
      </c>
      <c r="O5" s="46">
        <f>L5/L3</f>
        <v>0.58952615836700428</v>
      </c>
      <c r="Q5" s="20"/>
    </row>
    <row r="6" spans="1:18" ht="17.25" thickTop="1" thickBot="1" x14ac:dyDescent="0.25">
      <c r="F6" s="45"/>
      <c r="G6" s="45"/>
      <c r="K6" s="43" t="s">
        <v>105</v>
      </c>
      <c r="L6" s="43"/>
      <c r="M6" s="44"/>
      <c r="N6" s="43" t="s">
        <v>104</v>
      </c>
      <c r="O6" s="43"/>
      <c r="P6" s="43"/>
    </row>
    <row r="7" spans="1:18" ht="26.25" thickBot="1" x14ac:dyDescent="0.25">
      <c r="A7" s="36"/>
      <c r="B7" s="36"/>
      <c r="C7" s="35" t="s">
        <v>103</v>
      </c>
      <c r="D7" s="39" t="s">
        <v>102</v>
      </c>
      <c r="E7" s="42" t="s">
        <v>101</v>
      </c>
      <c r="F7" s="42" t="s">
        <v>100</v>
      </c>
      <c r="G7" s="42" t="s">
        <v>99</v>
      </c>
      <c r="H7" s="42" t="s">
        <v>98</v>
      </c>
      <c r="I7" s="35" t="s">
        <v>97</v>
      </c>
      <c r="J7" s="38"/>
      <c r="K7" s="38" t="s">
        <v>96</v>
      </c>
      <c r="L7" s="38" t="s">
        <v>95</v>
      </c>
      <c r="M7" s="41" t="s">
        <v>94</v>
      </c>
      <c r="N7" s="38" t="s">
        <v>95</v>
      </c>
      <c r="O7" s="38" t="s">
        <v>94</v>
      </c>
      <c r="P7" s="40" t="s">
        <v>93</v>
      </c>
      <c r="Q7" s="36"/>
      <c r="R7" s="36"/>
    </row>
    <row r="8" spans="1:18" ht="13.5" thickBot="1" x14ac:dyDescent="0.25">
      <c r="A8" s="36"/>
      <c r="B8" s="36"/>
      <c r="C8" s="35"/>
      <c r="D8" s="39"/>
      <c r="E8" s="35"/>
      <c r="F8" s="35"/>
      <c r="G8" s="35"/>
      <c r="H8" s="35"/>
      <c r="I8" s="35"/>
      <c r="J8" s="38"/>
      <c r="K8" s="36"/>
      <c r="L8" s="36"/>
      <c r="M8" s="37"/>
      <c r="N8" s="36"/>
      <c r="O8" s="36"/>
      <c r="P8" s="36"/>
      <c r="Q8" s="36"/>
      <c r="R8" s="36"/>
    </row>
    <row r="9" spans="1:18" ht="13.5" thickBot="1" x14ac:dyDescent="0.25">
      <c r="C9" s="35">
        <v>3</v>
      </c>
      <c r="D9" s="35">
        <v>4</v>
      </c>
      <c r="E9" s="28">
        <v>1033.8</v>
      </c>
      <c r="F9" s="28">
        <v>987.4</v>
      </c>
      <c r="G9" s="23"/>
      <c r="H9" s="23">
        <f>SUM(E9:G9)</f>
        <v>2021.1999999999998</v>
      </c>
      <c r="I9" s="28"/>
      <c r="K9" s="7">
        <f>H9/D9</f>
        <v>505.29999999999995</v>
      </c>
      <c r="L9" s="21">
        <f>K9/1.016*10</f>
        <v>4973.4251968503931</v>
      </c>
      <c r="M9" s="22">
        <f>L9/1.12085</f>
        <v>4437.1907006739475</v>
      </c>
      <c r="N9" s="21">
        <f>L9*$O$4</f>
        <v>1810.9144902631515</v>
      </c>
      <c r="O9" s="21">
        <f>M9*$O$4</f>
        <v>1615.6617658590817</v>
      </c>
      <c r="P9" s="20">
        <f>O9/480</f>
        <v>3.36596201220642</v>
      </c>
    </row>
    <row r="10" spans="1:18" ht="13.5" thickBot="1" x14ac:dyDescent="0.25">
      <c r="C10" s="35">
        <v>4</v>
      </c>
      <c r="D10" s="35">
        <v>4</v>
      </c>
      <c r="E10" s="28">
        <v>1087</v>
      </c>
      <c r="F10" s="28">
        <v>1191.2</v>
      </c>
      <c r="G10" s="23"/>
      <c r="H10" s="23">
        <f>SUM(E10:G10)</f>
        <v>2278.1999999999998</v>
      </c>
      <c r="I10" s="28"/>
      <c r="K10" s="7">
        <f>H10/D10</f>
        <v>569.54999999999995</v>
      </c>
      <c r="L10" s="21">
        <f>K10/1.016*10</f>
        <v>5605.8070866141725</v>
      </c>
      <c r="M10" s="22">
        <f>L10/1.12085</f>
        <v>5001.3892016007258</v>
      </c>
      <c r="N10" s="21">
        <f>L10*$O$4</f>
        <v>2041.1762278436136</v>
      </c>
      <c r="O10" s="21">
        <f>M10*$O$4</f>
        <v>1821.09669254906</v>
      </c>
      <c r="P10" s="20">
        <f>O10/480</f>
        <v>3.7939514428105414</v>
      </c>
    </row>
    <row r="11" spans="1:18" ht="13.5" thickBot="1" x14ac:dyDescent="0.25">
      <c r="C11" s="35">
        <v>5</v>
      </c>
      <c r="D11" s="35">
        <v>4</v>
      </c>
      <c r="E11" s="28">
        <v>956.3</v>
      </c>
      <c r="F11" s="28">
        <v>986.4</v>
      </c>
      <c r="G11" s="23"/>
      <c r="H11" s="23">
        <f>SUM(E11:G11)</f>
        <v>1942.6999999999998</v>
      </c>
      <c r="I11" s="28"/>
      <c r="K11" s="7">
        <f>H11/D11</f>
        <v>485.67499999999995</v>
      </c>
      <c r="L11" s="21">
        <f>K11/1.016*10</f>
        <v>4780.2657480314956</v>
      </c>
      <c r="M11" s="22">
        <f>L11/1.12085</f>
        <v>4264.8576955270519</v>
      </c>
      <c r="N11" s="21">
        <f>L11*$O$4</f>
        <v>1740.5816248932438</v>
      </c>
      <c r="O11" s="21">
        <f>M11*$O$4</f>
        <v>1552.9121870841273</v>
      </c>
      <c r="P11" s="20">
        <f>O11/480</f>
        <v>3.2352337230919317</v>
      </c>
    </row>
    <row r="12" spans="1:18" ht="13.5" thickBot="1" x14ac:dyDescent="0.25">
      <c r="C12" s="35">
        <v>6</v>
      </c>
      <c r="D12" s="35">
        <v>4</v>
      </c>
      <c r="E12" s="28">
        <v>1110</v>
      </c>
      <c r="F12" s="28"/>
      <c r="G12" s="23"/>
      <c r="H12" s="23">
        <f>SUM(E12:G12)</f>
        <v>1110</v>
      </c>
      <c r="I12" s="28"/>
      <c r="K12" s="7">
        <f>H12/D12</f>
        <v>277.5</v>
      </c>
      <c r="L12" s="21">
        <f>K12/1.016*10</f>
        <v>2731.2992125984247</v>
      </c>
      <c r="M12" s="22">
        <f>L12/1.12085</f>
        <v>2436.8106460261629</v>
      </c>
      <c r="N12" s="21">
        <f>L12*$O$4</f>
        <v>994.51567593117852</v>
      </c>
      <c r="O12" s="21">
        <f>M12*$O$4</f>
        <v>887.28703745476957</v>
      </c>
      <c r="P12" s="20">
        <f>O12/480</f>
        <v>1.8485146613641033</v>
      </c>
    </row>
    <row r="13" spans="1:18" ht="13.5" thickBot="1" x14ac:dyDescent="0.25">
      <c r="C13" s="35">
        <v>7</v>
      </c>
      <c r="D13" s="35">
        <v>4</v>
      </c>
      <c r="E13" s="28">
        <v>1197</v>
      </c>
      <c r="F13" s="28">
        <v>784.1</v>
      </c>
      <c r="G13" s="23"/>
      <c r="H13" s="23">
        <f>SUM(E13:G13)</f>
        <v>1981.1</v>
      </c>
      <c r="I13" s="28"/>
      <c r="K13" s="7">
        <f>H13/D13</f>
        <v>495.27499999999998</v>
      </c>
      <c r="L13" s="21">
        <f>K13/1.016*10</f>
        <v>4874.7539370078739</v>
      </c>
      <c r="M13" s="22">
        <f>L13/1.12085</f>
        <v>4349.1581719301194</v>
      </c>
      <c r="N13" s="21">
        <f>L13*$O$4</f>
        <v>1774.9864915200524</v>
      </c>
      <c r="O13" s="21">
        <f>M13*$O$4</f>
        <v>1583.607522433914</v>
      </c>
      <c r="P13" s="20">
        <f>O13/480</f>
        <v>3.2991823384039876</v>
      </c>
    </row>
    <row r="14" spans="1:18" ht="13.5" thickBot="1" x14ac:dyDescent="0.25">
      <c r="C14" s="35">
        <v>8</v>
      </c>
      <c r="D14" s="35">
        <v>4</v>
      </c>
      <c r="E14" s="28">
        <v>974.3</v>
      </c>
      <c r="F14" s="28">
        <v>1132</v>
      </c>
      <c r="G14" s="23"/>
      <c r="H14" s="23">
        <f>SUM(E14:G14)</f>
        <v>2106.3000000000002</v>
      </c>
      <c r="I14" s="28"/>
      <c r="K14" s="7">
        <f>H14/D14</f>
        <v>526.57500000000005</v>
      </c>
      <c r="L14" s="21">
        <f>K14/1.016*10</f>
        <v>5182.8248031496069</v>
      </c>
      <c r="M14" s="22">
        <f>L14/1.12085</f>
        <v>4624.0128502026209</v>
      </c>
      <c r="N14" s="21">
        <f>L14*$O$4</f>
        <v>1887.1606920845422</v>
      </c>
      <c r="O14" s="21">
        <f>M14*$O$4</f>
        <v>1683.6871053972811</v>
      </c>
      <c r="P14" s="20">
        <f>O14/480</f>
        <v>3.507681469577669</v>
      </c>
    </row>
    <row r="15" spans="1:18" ht="13.5" thickBot="1" x14ac:dyDescent="0.25">
      <c r="C15" s="35"/>
      <c r="D15" s="35"/>
      <c r="E15" s="23"/>
      <c r="F15" s="23"/>
      <c r="G15" s="23"/>
      <c r="H15" s="23"/>
      <c r="I15" s="23"/>
      <c r="M15" s="34"/>
    </row>
    <row r="16" spans="1:18" ht="13.5" thickBot="1" x14ac:dyDescent="0.25">
      <c r="C16" s="33" t="s">
        <v>92</v>
      </c>
      <c r="D16" s="32"/>
      <c r="E16" s="31">
        <v>37915</v>
      </c>
      <c r="F16" s="30" t="s">
        <v>91</v>
      </c>
      <c r="G16" s="29"/>
      <c r="H16" s="28">
        <v>270.7</v>
      </c>
      <c r="I16" s="23"/>
      <c r="K16" s="7">
        <f>H16/SUM($D$9:$D$14)</f>
        <v>11.279166666666667</v>
      </c>
      <c r="L16" s="21">
        <f>K16/1.016*10</f>
        <v>111.01541994750656</v>
      </c>
      <c r="M16" s="22">
        <f>L16/1.12085</f>
        <v>99.04574202391629</v>
      </c>
      <c r="N16" s="21">
        <f>L16*$O$4</f>
        <v>40.422731752938446</v>
      </c>
      <c r="O16" s="21">
        <f>M16*$O$4</f>
        <v>36.064354510361291</v>
      </c>
      <c r="P16" s="20">
        <f>O16/480</f>
        <v>7.5134071896586024E-2</v>
      </c>
    </row>
    <row r="17" spans="1:16" ht="13.5" thickBot="1" x14ac:dyDescent="0.25">
      <c r="C17" s="27"/>
      <c r="D17" s="25"/>
      <c r="E17" s="26"/>
      <c r="F17" s="25"/>
      <c r="G17" s="24"/>
      <c r="H17" s="23"/>
      <c r="I17" s="23"/>
      <c r="L17" s="21"/>
      <c r="M17" s="22"/>
      <c r="N17" s="21"/>
      <c r="O17" s="21"/>
      <c r="P17" s="20"/>
    </row>
    <row r="18" spans="1:16" ht="16.5" thickBot="1" x14ac:dyDescent="0.25">
      <c r="C18" s="15" t="s">
        <v>90</v>
      </c>
      <c r="D18" s="14"/>
      <c r="E18" s="14"/>
      <c r="F18" s="14"/>
      <c r="G18" s="19"/>
      <c r="H18" s="13">
        <f>SUM(H9:H14,H16)</f>
        <v>11710.2</v>
      </c>
      <c r="I18" s="12"/>
      <c r="J18" s="11"/>
      <c r="K18" s="17">
        <f>AVERAGE(K9:K14)+K16/6</f>
        <v>478.52569444444441</v>
      </c>
      <c r="L18" s="17">
        <f>AVERAGE(L9:L14)+L16/6</f>
        <v>4709.8985673665793</v>
      </c>
      <c r="M18" s="18">
        <f>AVERAGE(M9:M14)+M16/6</f>
        <v>4202.0775013307575</v>
      </c>
      <c r="N18" s="17">
        <f>AVERAGE(N9:N14)+N16/6</f>
        <v>1714.959655714787</v>
      </c>
      <c r="O18" s="17">
        <f>AVERAGE(O9:O14)+O16/6</f>
        <v>1530.0527775480989</v>
      </c>
      <c r="P18" s="16">
        <f>AVERAGE(P9:P14)+P16/6</f>
        <v>3.1876099532252065</v>
      </c>
    </row>
    <row r="19" spans="1:16" ht="16.5" thickBot="1" x14ac:dyDescent="0.25">
      <c r="C19" s="15" t="s">
        <v>89</v>
      </c>
      <c r="D19" s="14"/>
      <c r="E19" s="14"/>
      <c r="F19" s="14"/>
      <c r="G19" s="14"/>
      <c r="H19" s="13">
        <f>STDEV(H9:H14)/SQRT(COUNT(H9:H14))</f>
        <v>166.58579654673778</v>
      </c>
      <c r="I19" s="12"/>
      <c r="J19" s="11"/>
      <c r="K19" s="9">
        <f>STDEV(K9:K14)/SQRT(COUNT(K9:K14))</f>
        <v>41.646449136684446</v>
      </c>
      <c r="L19" s="9">
        <f>STDEV(L9:L14)/SQRT(COUNT(L9:L14))</f>
        <v>409.90599543980727</v>
      </c>
      <c r="M19" s="10">
        <f>STDEV(M9:M14)/SQRT(COUNT(M9:M14))</f>
        <v>365.70994819985583</v>
      </c>
      <c r="N19" s="9">
        <f>STDEV(N9:N14)/SQRT(COUNT(N9:N14))</f>
        <v>149.25422166956054</v>
      </c>
      <c r="O19" s="9">
        <f>STDEV(O9:O14)/SQRT(COUNT(O9:O14))</f>
        <v>133.16163774774617</v>
      </c>
      <c r="P19" s="58">
        <f>STDEV(P9:P14)/SQRT(COUNT(P9:P14))</f>
        <v>0.27742007864113799</v>
      </c>
    </row>
    <row r="21" spans="1:16" x14ac:dyDescent="0.2">
      <c r="C21" s="7" t="s">
        <v>122</v>
      </c>
    </row>
    <row r="22" spans="1:16" x14ac:dyDescent="0.2">
      <c r="C22" s="7" t="s">
        <v>87</v>
      </c>
    </row>
    <row r="23" spans="1:16" x14ac:dyDescent="0.2">
      <c r="A23" s="7">
        <v>2002</v>
      </c>
      <c r="B23" s="59" t="s">
        <v>128</v>
      </c>
    </row>
    <row r="26" spans="1:16" x14ac:dyDescent="0.2">
      <c r="K26" s="7" t="s">
        <v>127</v>
      </c>
    </row>
  </sheetData>
  <mergeCells count="6">
    <mergeCell ref="C18:G18"/>
    <mergeCell ref="C19:G19"/>
    <mergeCell ref="K6:M6"/>
    <mergeCell ref="N6:P6"/>
    <mergeCell ref="C16:D16"/>
    <mergeCell ref="F16:G16"/>
  </mergeCells>
  <pageMargins left="0.75" right="0.75" top="1" bottom="0.52" header="0.5" footer="0.5"/>
  <pageSetup scale="75" orientation="landscape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3C8F2-0A53-4975-A2B5-83FDB2B500C5}">
  <sheetPr codeName="Sheet27">
    <pageSetUpPr fitToPage="1"/>
  </sheetPr>
  <dimension ref="A1:R22"/>
  <sheetViews>
    <sheetView topLeftCell="C1" workbookViewId="0">
      <selection activeCell="K6" sqref="K6:M6"/>
    </sheetView>
  </sheetViews>
  <sheetFormatPr defaultRowHeight="12.75" x14ac:dyDescent="0.2"/>
  <cols>
    <col min="1" max="16384" width="9.140625" style="7"/>
  </cols>
  <sheetData>
    <row r="1" spans="1:18" ht="37.5" x14ac:dyDescent="0.2">
      <c r="A1" s="57" t="s">
        <v>121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</row>
    <row r="2" spans="1:18" ht="18.75" thickBot="1" x14ac:dyDescent="0.3">
      <c r="H2" s="56" t="s">
        <v>120</v>
      </c>
      <c r="I2" s="55">
        <v>306</v>
      </c>
      <c r="J2" s="54"/>
      <c r="K2" s="47" t="s">
        <v>119</v>
      </c>
      <c r="L2" s="53">
        <v>37924</v>
      </c>
      <c r="N2" s="47"/>
      <c r="O2" s="48"/>
    </row>
    <row r="3" spans="1:18" ht="17.25" thickTop="1" thickBot="1" x14ac:dyDescent="0.25">
      <c r="B3" s="50" t="s">
        <v>116</v>
      </c>
      <c r="C3" s="52">
        <v>37911</v>
      </c>
      <c r="K3" s="47" t="s">
        <v>115</v>
      </c>
      <c r="L3" s="48">
        <v>2008.15</v>
      </c>
      <c r="N3" s="47" t="s">
        <v>114</v>
      </c>
      <c r="O3" s="46">
        <f>(L3-(L4+L5))/L3</f>
        <v>2.7911261608943645E-2</v>
      </c>
    </row>
    <row r="4" spans="1:18" ht="17.25" thickTop="1" thickBot="1" x14ac:dyDescent="0.25">
      <c r="B4" s="50" t="s">
        <v>113</v>
      </c>
      <c r="C4" s="52">
        <v>37921</v>
      </c>
      <c r="F4" s="45"/>
      <c r="G4" s="45"/>
      <c r="H4" s="50" t="s">
        <v>112</v>
      </c>
      <c r="I4" s="51" t="s">
        <v>111</v>
      </c>
      <c r="K4" s="47" t="s">
        <v>110</v>
      </c>
      <c r="L4" s="48">
        <v>742.9</v>
      </c>
      <c r="N4" s="47" t="s">
        <v>109</v>
      </c>
      <c r="O4" s="46">
        <f>L4/L3</f>
        <v>0.36994248437616711</v>
      </c>
    </row>
    <row r="5" spans="1:18" ht="17.25" thickTop="1" thickBot="1" x14ac:dyDescent="0.25">
      <c r="B5" s="50" t="s">
        <v>108</v>
      </c>
      <c r="C5" s="49">
        <v>0.44791666666666669</v>
      </c>
      <c r="F5" s="45"/>
      <c r="G5" s="45"/>
      <c r="K5" s="47" t="s">
        <v>107</v>
      </c>
      <c r="L5" s="48">
        <v>1209.2</v>
      </c>
      <c r="N5" s="47" t="s">
        <v>106</v>
      </c>
      <c r="O5" s="46">
        <f>L5/L3</f>
        <v>0.6021462540148893</v>
      </c>
      <c r="Q5" s="20"/>
    </row>
    <row r="6" spans="1:18" ht="17.25" thickTop="1" thickBot="1" x14ac:dyDescent="0.25">
      <c r="F6" s="45"/>
      <c r="G6" s="45"/>
      <c r="K6" s="43" t="s">
        <v>105</v>
      </c>
      <c r="L6" s="43"/>
      <c r="M6" s="44"/>
      <c r="N6" s="43" t="s">
        <v>104</v>
      </c>
      <c r="O6" s="43"/>
      <c r="P6" s="43"/>
    </row>
    <row r="7" spans="1:18" ht="26.25" thickBot="1" x14ac:dyDescent="0.25">
      <c r="A7" s="36"/>
      <c r="B7" s="36"/>
      <c r="C7" s="35" t="s">
        <v>103</v>
      </c>
      <c r="D7" s="39" t="s">
        <v>102</v>
      </c>
      <c r="E7" s="42" t="s">
        <v>101</v>
      </c>
      <c r="F7" s="42" t="s">
        <v>100</v>
      </c>
      <c r="G7" s="42" t="s">
        <v>99</v>
      </c>
      <c r="H7" s="42" t="s">
        <v>98</v>
      </c>
      <c r="I7" s="35" t="s">
        <v>97</v>
      </c>
      <c r="J7" s="38"/>
      <c r="K7" s="38" t="s">
        <v>96</v>
      </c>
      <c r="L7" s="38" t="s">
        <v>95</v>
      </c>
      <c r="M7" s="41" t="s">
        <v>94</v>
      </c>
      <c r="N7" s="38" t="s">
        <v>95</v>
      </c>
      <c r="O7" s="38" t="s">
        <v>94</v>
      </c>
      <c r="P7" s="40" t="s">
        <v>93</v>
      </c>
      <c r="Q7" s="36"/>
      <c r="R7" s="36"/>
    </row>
    <row r="8" spans="1:18" ht="13.5" thickBot="1" x14ac:dyDescent="0.25">
      <c r="A8" s="36"/>
      <c r="B8" s="36"/>
      <c r="C8" s="35"/>
      <c r="D8" s="39"/>
      <c r="E8" s="35"/>
      <c r="F8" s="35"/>
      <c r="G8" s="35"/>
      <c r="H8" s="35"/>
      <c r="I8" s="35"/>
      <c r="J8" s="38"/>
      <c r="K8" s="36"/>
      <c r="L8" s="36"/>
      <c r="M8" s="37"/>
      <c r="N8" s="36"/>
      <c r="O8" s="36"/>
      <c r="P8" s="36"/>
      <c r="Q8" s="36"/>
      <c r="R8" s="36"/>
    </row>
    <row r="9" spans="1:18" ht="13.5" thickBot="1" x14ac:dyDescent="0.25">
      <c r="C9" s="35">
        <v>3</v>
      </c>
      <c r="D9" s="35">
        <v>4</v>
      </c>
      <c r="E9" s="28">
        <v>1092.4000000000001</v>
      </c>
      <c r="F9" s="28">
        <v>868.58</v>
      </c>
      <c r="G9" s="23"/>
      <c r="H9" s="23">
        <f>SUM(E9:G9)</f>
        <v>1960.98</v>
      </c>
      <c r="I9" s="28"/>
      <c r="K9" s="7">
        <f>H9/D9</f>
        <v>490.245</v>
      </c>
      <c r="L9" s="21">
        <f>K9/1.016*10</f>
        <v>4825.2460629921261</v>
      </c>
      <c r="M9" s="22">
        <f>L9/1.12085</f>
        <v>4304.9882348147621</v>
      </c>
      <c r="N9" s="21">
        <f>L9*$O$4</f>
        <v>1785.0635162696265</v>
      </c>
      <c r="O9" s="21">
        <f>M9*$O$4</f>
        <v>1592.5980427975435</v>
      </c>
      <c r="P9" s="20">
        <f>O9/480</f>
        <v>3.3179125891615491</v>
      </c>
    </row>
    <row r="10" spans="1:18" ht="13.5" thickBot="1" x14ac:dyDescent="0.25">
      <c r="C10" s="35">
        <v>4</v>
      </c>
      <c r="D10" s="35">
        <v>4</v>
      </c>
      <c r="E10" s="28">
        <v>1334.95</v>
      </c>
      <c r="F10" s="28">
        <v>497.25</v>
      </c>
      <c r="G10" s="23"/>
      <c r="H10" s="23">
        <f>SUM(E10:G10)</f>
        <v>1832.2</v>
      </c>
      <c r="I10" s="28"/>
      <c r="K10" s="7">
        <f>H10/D10</f>
        <v>458.05</v>
      </c>
      <c r="L10" s="21">
        <f>K10/1.016*10</f>
        <v>4508.3661417322837</v>
      </c>
      <c r="M10" s="22">
        <f>L10/1.12085</f>
        <v>4022.2742933776012</v>
      </c>
      <c r="N10" s="21">
        <f>L10*$O$4</f>
        <v>1667.8361709498363</v>
      </c>
      <c r="O10" s="21">
        <f>M10*$O$4</f>
        <v>1488.0101449345018</v>
      </c>
      <c r="P10" s="20">
        <f>O10/480</f>
        <v>3.1000211352802123</v>
      </c>
    </row>
    <row r="11" spans="1:18" ht="13.5" thickBot="1" x14ac:dyDescent="0.25">
      <c r="C11" s="35">
        <v>5</v>
      </c>
      <c r="D11" s="35">
        <v>4</v>
      </c>
      <c r="E11" s="28">
        <v>1176.98</v>
      </c>
      <c r="F11" s="28">
        <v>559.51</v>
      </c>
      <c r="G11" s="23"/>
      <c r="H11" s="23">
        <f>SUM(E11:G11)</f>
        <v>1736.49</v>
      </c>
      <c r="I11" s="28"/>
      <c r="K11" s="7">
        <f>H11/D11</f>
        <v>434.1225</v>
      </c>
      <c r="L11" s="21">
        <f>K11/1.016*10</f>
        <v>4272.8592519685035</v>
      </c>
      <c r="M11" s="22">
        <f>L11/1.12085</f>
        <v>3812.159746592768</v>
      </c>
      <c r="N11" s="21">
        <f>L11*$O$4</f>
        <v>1580.7121670629192</v>
      </c>
      <c r="O11" s="21">
        <f>M11*$O$4</f>
        <v>1410.2798474933481</v>
      </c>
      <c r="P11" s="20">
        <f>O11/480</f>
        <v>2.9380830156111419</v>
      </c>
    </row>
    <row r="12" spans="1:18" ht="13.5" thickBot="1" x14ac:dyDescent="0.25">
      <c r="C12" s="35">
        <v>6</v>
      </c>
      <c r="D12" s="35">
        <v>4</v>
      </c>
      <c r="E12" s="28">
        <v>978.54</v>
      </c>
      <c r="F12" s="28">
        <v>646.1</v>
      </c>
      <c r="G12" s="23"/>
      <c r="H12" s="23">
        <f>SUM(E12:G12)</f>
        <v>1624.6399999999999</v>
      </c>
      <c r="I12" s="28"/>
      <c r="K12" s="7">
        <f>H12/D12</f>
        <v>406.15999999999997</v>
      </c>
      <c r="L12" s="21">
        <f>K12/1.016*10</f>
        <v>3997.6377952755902</v>
      </c>
      <c r="M12" s="22">
        <f>L12/1.12085</f>
        <v>3566.6126558197711</v>
      </c>
      <c r="N12" s="21">
        <f>L12*$O$4</f>
        <v>1478.8960576203151</v>
      </c>
      <c r="O12" s="21">
        <f>M12*$O$4</f>
        <v>1319.4415467014455</v>
      </c>
      <c r="P12" s="20">
        <f>O12/480</f>
        <v>2.7488365556280114</v>
      </c>
    </row>
    <row r="13" spans="1:18" ht="13.5" thickBot="1" x14ac:dyDescent="0.25">
      <c r="C13" s="35">
        <v>7</v>
      </c>
      <c r="D13" s="35">
        <v>4</v>
      </c>
      <c r="E13" s="28">
        <v>893.88</v>
      </c>
      <c r="F13" s="28">
        <v>846.44</v>
      </c>
      <c r="G13" s="23"/>
      <c r="H13" s="23">
        <f>SUM(E13:G13)</f>
        <v>1740.3200000000002</v>
      </c>
      <c r="I13" s="28"/>
      <c r="K13" s="7">
        <f>H13/D13</f>
        <v>435.08000000000004</v>
      </c>
      <c r="L13" s="21">
        <f>K13/1.016*10</f>
        <v>4282.28346456693</v>
      </c>
      <c r="M13" s="22">
        <f>L13/1.12085</f>
        <v>3820.5678409840125</v>
      </c>
      <c r="N13" s="21">
        <f>L13*$O$4</f>
        <v>1584.1985836848703</v>
      </c>
      <c r="O13" s="21">
        <f>M13*$O$4</f>
        <v>1413.3903588213145</v>
      </c>
      <c r="P13" s="20">
        <f>O13/480</f>
        <v>2.9445632475444055</v>
      </c>
    </row>
    <row r="14" spans="1:18" ht="13.5" thickBot="1" x14ac:dyDescent="0.25">
      <c r="C14" s="35">
        <v>8</v>
      </c>
      <c r="D14" s="35">
        <v>4</v>
      </c>
      <c r="E14" s="28">
        <v>981.28</v>
      </c>
      <c r="F14" s="28">
        <v>648.32000000000005</v>
      </c>
      <c r="G14" s="23"/>
      <c r="H14" s="23">
        <f>SUM(E14:G14)</f>
        <v>1629.6</v>
      </c>
      <c r="I14" s="28"/>
      <c r="K14" s="7">
        <f>H14/D14</f>
        <v>407.4</v>
      </c>
      <c r="L14" s="21">
        <f>K14/1.016*10</f>
        <v>4009.842519685039</v>
      </c>
      <c r="M14" s="22">
        <f>L14/1.12085</f>
        <v>3577.5014673551673</v>
      </c>
      <c r="N14" s="21">
        <f>L14*$O$4</f>
        <v>1483.4111036894731</v>
      </c>
      <c r="O14" s="21">
        <f>M14*$O$4</f>
        <v>1323.4697806927538</v>
      </c>
      <c r="P14" s="20">
        <f>O14/480</f>
        <v>2.7572287097765704</v>
      </c>
    </row>
    <row r="15" spans="1:18" ht="13.5" thickBot="1" x14ac:dyDescent="0.25">
      <c r="C15" s="35"/>
      <c r="D15" s="35"/>
      <c r="E15" s="23"/>
      <c r="F15" s="23"/>
      <c r="G15" s="23"/>
      <c r="H15" s="23"/>
      <c r="I15" s="23"/>
      <c r="M15" s="34"/>
    </row>
    <row r="16" spans="1:18" ht="13.5" thickBot="1" x14ac:dyDescent="0.25">
      <c r="C16" s="33" t="s">
        <v>92</v>
      </c>
      <c r="D16" s="32"/>
      <c r="E16" s="31">
        <v>37915</v>
      </c>
      <c r="F16" s="30" t="s">
        <v>91</v>
      </c>
      <c r="G16" s="29"/>
      <c r="H16" s="28">
        <v>215.88</v>
      </c>
      <c r="I16" s="23"/>
      <c r="K16" s="7">
        <f>H16/SUM($D$9:$D$14)</f>
        <v>8.9949999999999992</v>
      </c>
      <c r="L16" s="21">
        <f>K16/1.016*10</f>
        <v>88.533464566929126</v>
      </c>
      <c r="M16" s="22">
        <f>L16/1.12085</f>
        <v>78.987790129748973</v>
      </c>
      <c r="N16" s="21">
        <f>L16*$O$4</f>
        <v>32.752289832319121</v>
      </c>
      <c r="O16" s="21">
        <f>M16*$O$4</f>
        <v>29.220939315982626</v>
      </c>
      <c r="P16" s="20">
        <f>O16/480</f>
        <v>6.0876956908297135E-2</v>
      </c>
    </row>
    <row r="17" spans="3:16" ht="13.5" thickBot="1" x14ac:dyDescent="0.25">
      <c r="C17" s="27"/>
      <c r="D17" s="25"/>
      <c r="E17" s="26"/>
      <c r="F17" s="25"/>
      <c r="G17" s="24"/>
      <c r="H17" s="23"/>
      <c r="I17" s="23"/>
      <c r="L17" s="21"/>
      <c r="M17" s="22"/>
      <c r="N17" s="21"/>
      <c r="O17" s="21"/>
      <c r="P17" s="20"/>
    </row>
    <row r="18" spans="3:16" ht="16.5" thickBot="1" x14ac:dyDescent="0.25">
      <c r="C18" s="15" t="s">
        <v>90</v>
      </c>
      <c r="D18" s="14"/>
      <c r="E18" s="14"/>
      <c r="F18" s="14"/>
      <c r="G18" s="19"/>
      <c r="H18" s="13">
        <f>SUM(H9:H14,H16)</f>
        <v>10740.109999999999</v>
      </c>
      <c r="I18" s="12"/>
      <c r="J18" s="11"/>
      <c r="K18" s="17">
        <f>AVERAGE(K9:K14)+K16/6</f>
        <v>440.00874999999996</v>
      </c>
      <c r="L18" s="17">
        <f>AVERAGE(L9:L14)+L16/6</f>
        <v>4330.7947834645674</v>
      </c>
      <c r="M18" s="18">
        <f>AVERAGE(M9:M14)+M16/6</f>
        <v>3863.8486715123049</v>
      </c>
      <c r="N18" s="17">
        <f>AVERAGE(N9:N14)+N16/6</f>
        <v>1602.144981518227</v>
      </c>
      <c r="O18" s="17">
        <f>AVERAGE(O9:O14)+O16/6</f>
        <v>1429.4017767928149</v>
      </c>
      <c r="P18" s="16">
        <f>AVERAGE(P9:P14)+P16/6</f>
        <v>2.9779203683183644</v>
      </c>
    </row>
    <row r="19" spans="3:16" ht="16.5" thickBot="1" x14ac:dyDescent="0.25">
      <c r="C19" s="15" t="s">
        <v>89</v>
      </c>
      <c r="D19" s="14"/>
      <c r="E19" s="14"/>
      <c r="F19" s="14"/>
      <c r="G19" s="14"/>
      <c r="H19" s="13">
        <f>STDEV(H9:H14)/SQRT(COUNT(H9:H14))</f>
        <v>52.17249073452836</v>
      </c>
      <c r="I19" s="12"/>
      <c r="J19" s="11"/>
      <c r="K19" s="9">
        <f>STDEV(K9:K14)/SQRT(COUNT(K9:K14))</f>
        <v>13.04312268363209</v>
      </c>
      <c r="L19" s="9">
        <f>STDEV(L9:L14)/SQRT(COUNT(L9:L14))</f>
        <v>128.37719176803242</v>
      </c>
      <c r="M19" s="10">
        <f>STDEV(M9:M14)/SQRT(COUNT(M9:M14))</f>
        <v>114.53556833477485</v>
      </c>
      <c r="N19" s="9">
        <f>STDEV(N9:N14)/SQRT(COUNT(N9:N14))</f>
        <v>47.492177259901553</v>
      </c>
      <c r="O19" s="9">
        <f>STDEV(O9:O14)/SQRT(COUNT(O9:O14))</f>
        <v>42.371572699202886</v>
      </c>
      <c r="P19" s="58">
        <f>STDEV(P9:P14)/SQRT(COUNT(P9:P14))</f>
        <v>8.827410979000605E-2</v>
      </c>
    </row>
    <row r="21" spans="3:16" x14ac:dyDescent="0.2">
      <c r="C21" s="7" t="s">
        <v>122</v>
      </c>
    </row>
    <row r="22" spans="3:16" x14ac:dyDescent="0.2">
      <c r="C22" s="7" t="s">
        <v>87</v>
      </c>
    </row>
  </sheetData>
  <mergeCells count="6">
    <mergeCell ref="C18:G18"/>
    <mergeCell ref="C19:G19"/>
    <mergeCell ref="K6:M6"/>
    <mergeCell ref="N6:P6"/>
    <mergeCell ref="C16:D16"/>
    <mergeCell ref="F16:G16"/>
  </mergeCells>
  <pageMargins left="0.75" right="0.75" top="1" bottom="0.52" header="0.5" footer="0.5"/>
  <pageSetup scale="75" orientation="landscape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2E85C-9879-40E8-80A9-44617C71AE57}">
  <sheetPr codeName="Sheet28">
    <pageSetUpPr fitToPage="1"/>
  </sheetPr>
  <dimension ref="A1:R22"/>
  <sheetViews>
    <sheetView workbookViewId="0">
      <selection activeCell="K6" sqref="K6:M6"/>
    </sheetView>
  </sheetViews>
  <sheetFormatPr defaultRowHeight="12.75" x14ac:dyDescent="0.2"/>
  <cols>
    <col min="1" max="16384" width="9.140625" style="7"/>
  </cols>
  <sheetData>
    <row r="1" spans="1:18" ht="37.5" x14ac:dyDescent="0.2">
      <c r="A1" s="57" t="s">
        <v>121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</row>
    <row r="2" spans="1:18" ht="18.75" thickBot="1" x14ac:dyDescent="0.3">
      <c r="H2" s="56" t="s">
        <v>120</v>
      </c>
      <c r="I2" s="55">
        <v>307</v>
      </c>
      <c r="J2" s="54"/>
      <c r="K2" s="47" t="s">
        <v>119</v>
      </c>
      <c r="L2" s="53">
        <v>37924</v>
      </c>
      <c r="N2" s="47"/>
      <c r="O2" s="48"/>
    </row>
    <row r="3" spans="1:18" ht="17.25" thickTop="1" thickBot="1" x14ac:dyDescent="0.25">
      <c r="B3" s="50" t="s">
        <v>116</v>
      </c>
      <c r="C3" s="52">
        <v>37911</v>
      </c>
      <c r="K3" s="47" t="s">
        <v>115</v>
      </c>
      <c r="L3" s="48">
        <v>2330</v>
      </c>
      <c r="N3" s="47" t="s">
        <v>114</v>
      </c>
      <c r="O3" s="46">
        <f>(L3-(L4+L5))/L3</f>
        <v>5.371244635193137E-2</v>
      </c>
    </row>
    <row r="4" spans="1:18" ht="17.25" thickTop="1" thickBot="1" x14ac:dyDescent="0.25">
      <c r="B4" s="50" t="s">
        <v>113</v>
      </c>
      <c r="C4" s="52">
        <v>37921</v>
      </c>
      <c r="F4" s="45"/>
      <c r="G4" s="45"/>
      <c r="H4" s="50" t="s">
        <v>112</v>
      </c>
      <c r="I4" s="51" t="s">
        <v>117</v>
      </c>
      <c r="K4" s="47" t="s">
        <v>110</v>
      </c>
      <c r="L4" s="48">
        <v>795.8</v>
      </c>
      <c r="N4" s="47" t="s">
        <v>109</v>
      </c>
      <c r="O4" s="46">
        <f>L4/L3</f>
        <v>0.34154506437768239</v>
      </c>
    </row>
    <row r="5" spans="1:18" ht="17.25" thickTop="1" thickBot="1" x14ac:dyDescent="0.25">
      <c r="B5" s="50" t="s">
        <v>108</v>
      </c>
      <c r="C5" s="49">
        <v>0.44791666666666669</v>
      </c>
      <c r="F5" s="45"/>
      <c r="G5" s="45"/>
      <c r="K5" s="47" t="s">
        <v>107</v>
      </c>
      <c r="L5" s="48">
        <v>1409.05</v>
      </c>
      <c r="N5" s="47" t="s">
        <v>106</v>
      </c>
      <c r="O5" s="46">
        <f>L5/L3</f>
        <v>0.60474248927038621</v>
      </c>
      <c r="Q5" s="20"/>
    </row>
    <row r="6" spans="1:18" ht="17.25" thickTop="1" thickBot="1" x14ac:dyDescent="0.25">
      <c r="F6" s="45"/>
      <c r="G6" s="45"/>
      <c r="K6" s="43" t="s">
        <v>105</v>
      </c>
      <c r="L6" s="43"/>
      <c r="M6" s="44"/>
      <c r="N6" s="43" t="s">
        <v>104</v>
      </c>
      <c r="O6" s="43"/>
      <c r="P6" s="43"/>
    </row>
    <row r="7" spans="1:18" ht="26.25" thickBot="1" x14ac:dyDescent="0.25">
      <c r="A7" s="36"/>
      <c r="B7" s="36"/>
      <c r="C7" s="35" t="s">
        <v>103</v>
      </c>
      <c r="D7" s="39" t="s">
        <v>102</v>
      </c>
      <c r="E7" s="42" t="s">
        <v>101</v>
      </c>
      <c r="F7" s="42" t="s">
        <v>100</v>
      </c>
      <c r="G7" s="42" t="s">
        <v>99</v>
      </c>
      <c r="H7" s="42" t="s">
        <v>98</v>
      </c>
      <c r="I7" s="35" t="s">
        <v>97</v>
      </c>
      <c r="J7" s="38"/>
      <c r="K7" s="38" t="s">
        <v>96</v>
      </c>
      <c r="L7" s="38" t="s">
        <v>95</v>
      </c>
      <c r="M7" s="41" t="s">
        <v>94</v>
      </c>
      <c r="N7" s="38" t="s">
        <v>95</v>
      </c>
      <c r="O7" s="38" t="s">
        <v>94</v>
      </c>
      <c r="P7" s="40" t="s">
        <v>93</v>
      </c>
      <c r="Q7" s="36"/>
      <c r="R7" s="36"/>
    </row>
    <row r="8" spans="1:18" ht="13.5" thickBot="1" x14ac:dyDescent="0.25">
      <c r="A8" s="36"/>
      <c r="B8" s="36"/>
      <c r="C8" s="35"/>
      <c r="D8" s="39"/>
      <c r="E8" s="35"/>
      <c r="F8" s="35"/>
      <c r="G8" s="35"/>
      <c r="H8" s="35"/>
      <c r="I8" s="35"/>
      <c r="J8" s="38"/>
      <c r="K8" s="36"/>
      <c r="L8" s="36"/>
      <c r="M8" s="37"/>
      <c r="N8" s="36"/>
      <c r="O8" s="36"/>
      <c r="P8" s="36"/>
      <c r="Q8" s="36"/>
      <c r="R8" s="36"/>
    </row>
    <row r="9" spans="1:18" ht="13.5" thickBot="1" x14ac:dyDescent="0.25">
      <c r="C9" s="35">
        <v>3</v>
      </c>
      <c r="D9" s="35">
        <v>4</v>
      </c>
      <c r="E9" s="28">
        <v>873.2</v>
      </c>
      <c r="F9" s="28">
        <v>954.7</v>
      </c>
      <c r="G9" s="23"/>
      <c r="H9" s="23">
        <f>SUM(E9:G9)</f>
        <v>1827.9</v>
      </c>
      <c r="I9" s="28"/>
      <c r="K9" s="7">
        <f>H9/D9</f>
        <v>456.97500000000002</v>
      </c>
      <c r="L9" s="21">
        <f>K9/1.016*10</f>
        <v>4497.785433070866</v>
      </c>
      <c r="M9" s="22">
        <f>L9/1.12085</f>
        <v>4012.8343962803824</v>
      </c>
      <c r="N9" s="21">
        <f>L9*$O$4</f>
        <v>1536.1964152951909</v>
      </c>
      <c r="O9" s="21">
        <f>M9*$O$4</f>
        <v>1370.5637822145616</v>
      </c>
      <c r="P9" s="20">
        <f>O9/480</f>
        <v>2.8553412129470033</v>
      </c>
    </row>
    <row r="10" spans="1:18" ht="13.5" thickBot="1" x14ac:dyDescent="0.25">
      <c r="C10" s="35">
        <v>4</v>
      </c>
      <c r="D10" s="35">
        <v>4</v>
      </c>
      <c r="E10" s="28">
        <v>1062</v>
      </c>
      <c r="F10" s="28">
        <v>1038.5</v>
      </c>
      <c r="G10" s="23"/>
      <c r="H10" s="23">
        <f>SUM(E10:G10)</f>
        <v>2100.5</v>
      </c>
      <c r="I10" s="28"/>
      <c r="K10" s="7">
        <f>H10/D10</f>
        <v>525.125</v>
      </c>
      <c r="L10" s="21">
        <f>K10/1.016*10</f>
        <v>5168.5531496062995</v>
      </c>
      <c r="M10" s="22">
        <f>L10/1.12085</f>
        <v>4611.2799657459072</v>
      </c>
      <c r="N10" s="21">
        <f>L10*$O$4</f>
        <v>1765.2938182217567</v>
      </c>
      <c r="O10" s="21">
        <f>M10*$O$4</f>
        <v>1574.959912764203</v>
      </c>
      <c r="P10" s="20">
        <f>O10/480</f>
        <v>3.2811664849254227</v>
      </c>
    </row>
    <row r="11" spans="1:18" ht="13.5" thickBot="1" x14ac:dyDescent="0.25">
      <c r="C11" s="35">
        <v>5</v>
      </c>
      <c r="D11" s="35">
        <v>4</v>
      </c>
      <c r="E11" s="28">
        <v>1155</v>
      </c>
      <c r="F11" s="28">
        <v>656.2</v>
      </c>
      <c r="G11" s="23"/>
      <c r="H11" s="23">
        <f>SUM(E11:G11)</f>
        <v>1811.2</v>
      </c>
      <c r="I11" s="28"/>
      <c r="K11" s="7">
        <f>H11/D11</f>
        <v>452.8</v>
      </c>
      <c r="L11" s="21">
        <f>K11/1.016*10</f>
        <v>4456.6929133858266</v>
      </c>
      <c r="M11" s="22">
        <f>L11/1.12085</f>
        <v>3976.1724703446735</v>
      </c>
      <c r="N11" s="21">
        <f>L11*$O$4</f>
        <v>1522.161468013923</v>
      </c>
      <c r="O11" s="21">
        <f>M11*$O$4</f>
        <v>1358.0420823606401</v>
      </c>
      <c r="P11" s="20">
        <f>O11/480</f>
        <v>2.8292543382513333</v>
      </c>
    </row>
    <row r="12" spans="1:18" ht="13.5" thickBot="1" x14ac:dyDescent="0.25">
      <c r="C12" s="35">
        <v>6</v>
      </c>
      <c r="D12" s="35">
        <v>4</v>
      </c>
      <c r="E12" s="28">
        <v>1147.5999999999999</v>
      </c>
      <c r="F12" s="28">
        <v>837.7</v>
      </c>
      <c r="G12" s="23"/>
      <c r="H12" s="23">
        <f>SUM(E12:G12)</f>
        <v>1985.3</v>
      </c>
      <c r="I12" s="28"/>
      <c r="K12" s="7">
        <f>H12/D12</f>
        <v>496.32499999999999</v>
      </c>
      <c r="L12" s="21">
        <f>K12/1.016*10</f>
        <v>4885.0885826771646</v>
      </c>
      <c r="M12" s="22">
        <f>L12/1.12085</f>
        <v>4358.3785365367039</v>
      </c>
      <c r="N12" s="21">
        <f>L12*$O$4</f>
        <v>1668.4778944611535</v>
      </c>
      <c r="O12" s="21">
        <f>M12*$O$4</f>
        <v>1488.5826778437377</v>
      </c>
      <c r="P12" s="20">
        <f>O12/480</f>
        <v>3.1012139121744533</v>
      </c>
    </row>
    <row r="13" spans="1:18" ht="13.5" thickBot="1" x14ac:dyDescent="0.25">
      <c r="C13" s="35">
        <v>7</v>
      </c>
      <c r="D13" s="35">
        <v>4</v>
      </c>
      <c r="E13" s="28">
        <v>1210.8</v>
      </c>
      <c r="F13" s="28">
        <v>799.3</v>
      </c>
      <c r="G13" s="23"/>
      <c r="H13" s="23">
        <f>SUM(E13:G13)</f>
        <v>2010.1</v>
      </c>
      <c r="I13" s="28"/>
      <c r="K13" s="7">
        <f>H13/D13</f>
        <v>502.52499999999998</v>
      </c>
      <c r="L13" s="21">
        <f>K13/1.016*10</f>
        <v>4946.1122047244089</v>
      </c>
      <c r="M13" s="22">
        <f>L13/1.12085</f>
        <v>4412.8225942136851</v>
      </c>
      <c r="N13" s="21">
        <f>L13*$O$4</f>
        <v>1689.3202113818388</v>
      </c>
      <c r="O13" s="21">
        <f>M13*$O$4</f>
        <v>1507.1777770280046</v>
      </c>
      <c r="P13" s="20">
        <f>O13/480</f>
        <v>3.1399537021416761</v>
      </c>
    </row>
    <row r="14" spans="1:18" ht="13.5" thickBot="1" x14ac:dyDescent="0.25">
      <c r="C14" s="35">
        <v>8</v>
      </c>
      <c r="D14" s="35">
        <v>4</v>
      </c>
      <c r="E14" s="28">
        <v>1075.8</v>
      </c>
      <c r="F14" s="28">
        <v>793.1</v>
      </c>
      <c r="G14" s="23"/>
      <c r="H14" s="23">
        <f>SUM(E14:G14)</f>
        <v>1868.9</v>
      </c>
      <c r="I14" s="28"/>
      <c r="K14" s="7">
        <f>H14/D14</f>
        <v>467.22500000000002</v>
      </c>
      <c r="L14" s="21">
        <f>K14/1.016*10</f>
        <v>4598.6712598425202</v>
      </c>
      <c r="M14" s="22">
        <f>L14/1.12085</f>
        <v>4102.8427174399076</v>
      </c>
      <c r="N14" s="21">
        <f>L14*$O$4</f>
        <v>1570.6534714947113</v>
      </c>
      <c r="O14" s="21">
        <f>M14*$O$4</f>
        <v>1401.3056800595186</v>
      </c>
      <c r="P14" s="20">
        <f>O14/480</f>
        <v>2.9193868334573305</v>
      </c>
    </row>
    <row r="15" spans="1:18" ht="13.5" thickBot="1" x14ac:dyDescent="0.25">
      <c r="C15" s="35"/>
      <c r="D15" s="35"/>
      <c r="E15" s="23"/>
      <c r="F15" s="23"/>
      <c r="G15" s="23"/>
      <c r="H15" s="23"/>
      <c r="I15" s="23"/>
      <c r="M15" s="34"/>
    </row>
    <row r="16" spans="1:18" ht="13.5" thickBot="1" x14ac:dyDescent="0.25">
      <c r="C16" s="33" t="s">
        <v>92</v>
      </c>
      <c r="D16" s="32"/>
      <c r="E16" s="31">
        <v>37915</v>
      </c>
      <c r="F16" s="30" t="s">
        <v>91</v>
      </c>
      <c r="G16" s="29"/>
      <c r="H16" s="28">
        <v>294.39999999999998</v>
      </c>
      <c r="I16" s="23"/>
      <c r="K16" s="7">
        <f>H16/SUM($D$9:$D$14)</f>
        <v>12.266666666666666</v>
      </c>
      <c r="L16" s="21">
        <f>K16/1.016*10</f>
        <v>120.73490813648293</v>
      </c>
      <c r="M16" s="22">
        <f>L16/1.12085</f>
        <v>107.71727540391929</v>
      </c>
      <c r="N16" s="21">
        <f>L16*$O$4</f>
        <v>41.236411972108634</v>
      </c>
      <c r="O16" s="21">
        <f>M16*$O$4</f>
        <v>36.790303762420159</v>
      </c>
      <c r="P16" s="20">
        <f>O16/480</f>
        <v>7.6646466171708658E-2</v>
      </c>
    </row>
    <row r="17" spans="3:16" ht="13.5" thickBot="1" x14ac:dyDescent="0.25">
      <c r="C17" s="27"/>
      <c r="D17" s="25"/>
      <c r="E17" s="26"/>
      <c r="F17" s="25"/>
      <c r="G17" s="24"/>
      <c r="H17" s="23"/>
      <c r="I17" s="23"/>
      <c r="L17" s="21"/>
      <c r="M17" s="22"/>
      <c r="N17" s="21"/>
      <c r="O17" s="21"/>
      <c r="P17" s="20"/>
    </row>
    <row r="18" spans="3:16" ht="16.5" thickBot="1" x14ac:dyDescent="0.25">
      <c r="C18" s="15" t="s">
        <v>90</v>
      </c>
      <c r="D18" s="14"/>
      <c r="E18" s="14"/>
      <c r="F18" s="14"/>
      <c r="G18" s="19"/>
      <c r="H18" s="13">
        <f>SUM(H9:H14,H16)</f>
        <v>11898.3</v>
      </c>
      <c r="I18" s="12"/>
      <c r="J18" s="11"/>
      <c r="K18" s="17">
        <f>AVERAGE(K9:K14)+K16/6</f>
        <v>485.54027777777776</v>
      </c>
      <c r="L18" s="17">
        <f>AVERAGE(L9:L14)+L16/6</f>
        <v>4778.939741907262</v>
      </c>
      <c r="M18" s="18">
        <f>AVERAGE(M9:M14)+M16/6</f>
        <v>4263.6746593275293</v>
      </c>
      <c r="N18" s="17">
        <f>AVERAGE(N9:N14)+N16/6</f>
        <v>1632.2232818067805</v>
      </c>
      <c r="O18" s="17">
        <f>AVERAGE(O9:O14)+O16/6</f>
        <v>1456.2370360055145</v>
      </c>
      <c r="P18" s="16">
        <f>AVERAGE(P9:P14)+P16/6</f>
        <v>3.0338271583448213</v>
      </c>
    </row>
    <row r="19" spans="3:16" ht="16.5" thickBot="1" x14ac:dyDescent="0.25">
      <c r="C19" s="15" t="s">
        <v>89</v>
      </c>
      <c r="D19" s="14"/>
      <c r="E19" s="14"/>
      <c r="F19" s="14"/>
      <c r="G19" s="14"/>
      <c r="H19" s="13">
        <f>STDEV(H9:H14)/SQRT(COUNT(H9:H14))</f>
        <v>47.159378117660147</v>
      </c>
      <c r="I19" s="12"/>
      <c r="J19" s="11"/>
      <c r="K19" s="9">
        <f>STDEV(K9:K14)/SQRT(COUNT(K9:K14))</f>
        <v>11.789844529415037</v>
      </c>
      <c r="L19" s="9">
        <f>STDEV(L9:L14)/SQRT(COUNT(L9:L14))</f>
        <v>116.04177686432126</v>
      </c>
      <c r="M19" s="10">
        <f>STDEV(M9:M14)/SQRT(COUNT(M9:M14))</f>
        <v>103.53015734872751</v>
      </c>
      <c r="N19" s="9">
        <f>STDEV(N9:N14)/SQRT(COUNT(N9:N14))</f>
        <v>39.633496149625287</v>
      </c>
      <c r="O19" s="9">
        <f>STDEV(O9:O14)/SQRT(COUNT(O9:O14))</f>
        <v>35.360214256702704</v>
      </c>
      <c r="P19" s="58">
        <f>STDEV(P9:P14)/SQRT(COUNT(P9:P14))</f>
        <v>7.3667113034797296E-2</v>
      </c>
    </row>
    <row r="21" spans="3:16" x14ac:dyDescent="0.2">
      <c r="C21" s="7" t="s">
        <v>122</v>
      </c>
    </row>
    <row r="22" spans="3:16" x14ac:dyDescent="0.2">
      <c r="C22" s="7" t="s">
        <v>87</v>
      </c>
    </row>
  </sheetData>
  <mergeCells count="6">
    <mergeCell ref="C18:G18"/>
    <mergeCell ref="C19:G19"/>
    <mergeCell ref="K6:M6"/>
    <mergeCell ref="N6:P6"/>
    <mergeCell ref="C16:D16"/>
    <mergeCell ref="F16:G16"/>
  </mergeCells>
  <pageMargins left="0.75" right="0.75" top="1" bottom="0.52" header="0.5" footer="0.5"/>
  <pageSetup scale="75" orientation="landscape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CA43A-4911-41AE-8948-1833DAAFBB59}">
  <sheetPr codeName="Sheet29">
    <pageSetUpPr fitToPage="1"/>
  </sheetPr>
  <dimension ref="A1:R22"/>
  <sheetViews>
    <sheetView workbookViewId="0">
      <selection activeCell="K6" sqref="K6:M6"/>
    </sheetView>
  </sheetViews>
  <sheetFormatPr defaultRowHeight="12.75" x14ac:dyDescent="0.2"/>
  <cols>
    <col min="1" max="16384" width="9.140625" style="7"/>
  </cols>
  <sheetData>
    <row r="1" spans="1:18" ht="37.5" x14ac:dyDescent="0.2">
      <c r="A1" s="57" t="s">
        <v>121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</row>
    <row r="2" spans="1:18" ht="18.75" thickBot="1" x14ac:dyDescent="0.3">
      <c r="H2" s="56" t="s">
        <v>120</v>
      </c>
      <c r="I2" s="55">
        <v>308</v>
      </c>
      <c r="J2" s="54"/>
      <c r="K2" s="47" t="s">
        <v>119</v>
      </c>
      <c r="L2" s="53">
        <v>37924</v>
      </c>
      <c r="N2" s="47"/>
      <c r="O2" s="48"/>
    </row>
    <row r="3" spans="1:18" ht="17.25" thickTop="1" thickBot="1" x14ac:dyDescent="0.25">
      <c r="B3" s="50" t="s">
        <v>116</v>
      </c>
      <c r="C3" s="52">
        <v>37911</v>
      </c>
      <c r="K3" s="47" t="s">
        <v>115</v>
      </c>
      <c r="L3" s="48">
        <v>2306.85</v>
      </c>
      <c r="N3" s="47" t="s">
        <v>114</v>
      </c>
      <c r="O3" s="46">
        <f>(L3-(L4+L5))/L3</f>
        <v>3.6738409519474609E-2</v>
      </c>
    </row>
    <row r="4" spans="1:18" ht="17.25" thickTop="1" thickBot="1" x14ac:dyDescent="0.25">
      <c r="B4" s="50" t="s">
        <v>113</v>
      </c>
      <c r="C4" s="52">
        <v>37921</v>
      </c>
      <c r="F4" s="45"/>
      <c r="G4" s="45"/>
      <c r="H4" s="50" t="s">
        <v>112</v>
      </c>
      <c r="I4" s="51" t="s">
        <v>111</v>
      </c>
      <c r="K4" s="47" t="s">
        <v>110</v>
      </c>
      <c r="L4" s="48">
        <v>830.1</v>
      </c>
      <c r="N4" s="47" t="s">
        <v>109</v>
      </c>
      <c r="O4" s="46">
        <f>L4/L3</f>
        <v>0.35984134208986285</v>
      </c>
    </row>
    <row r="5" spans="1:18" ht="17.25" thickTop="1" thickBot="1" x14ac:dyDescent="0.25">
      <c r="B5" s="50" t="s">
        <v>108</v>
      </c>
      <c r="C5" s="49">
        <v>0.45416666666666666</v>
      </c>
      <c r="F5" s="45"/>
      <c r="G5" s="45"/>
      <c r="K5" s="47" t="s">
        <v>107</v>
      </c>
      <c r="L5" s="48">
        <v>1392</v>
      </c>
      <c r="N5" s="47" t="s">
        <v>106</v>
      </c>
      <c r="O5" s="46">
        <f>L5/L3</f>
        <v>0.60342024839066266</v>
      </c>
      <c r="Q5" s="20"/>
    </row>
    <row r="6" spans="1:18" ht="17.25" thickTop="1" thickBot="1" x14ac:dyDescent="0.25">
      <c r="F6" s="45"/>
      <c r="G6" s="45"/>
      <c r="K6" s="43" t="s">
        <v>105</v>
      </c>
      <c r="L6" s="43"/>
      <c r="M6" s="44"/>
      <c r="N6" s="43" t="s">
        <v>104</v>
      </c>
      <c r="O6" s="43"/>
      <c r="P6" s="43"/>
    </row>
    <row r="7" spans="1:18" ht="26.25" thickBot="1" x14ac:dyDescent="0.25">
      <c r="A7" s="36"/>
      <c r="B7" s="36"/>
      <c r="C7" s="35" t="s">
        <v>103</v>
      </c>
      <c r="D7" s="39" t="s">
        <v>102</v>
      </c>
      <c r="E7" s="42" t="s">
        <v>101</v>
      </c>
      <c r="F7" s="42" t="s">
        <v>100</v>
      </c>
      <c r="G7" s="42" t="s">
        <v>99</v>
      </c>
      <c r="H7" s="42" t="s">
        <v>98</v>
      </c>
      <c r="I7" s="35" t="s">
        <v>97</v>
      </c>
      <c r="J7" s="38"/>
      <c r="K7" s="38" t="s">
        <v>96</v>
      </c>
      <c r="L7" s="38" t="s">
        <v>95</v>
      </c>
      <c r="M7" s="41" t="s">
        <v>94</v>
      </c>
      <c r="N7" s="38" t="s">
        <v>95</v>
      </c>
      <c r="O7" s="38" t="s">
        <v>94</v>
      </c>
      <c r="P7" s="40" t="s">
        <v>93</v>
      </c>
      <c r="Q7" s="36"/>
      <c r="R7" s="36"/>
    </row>
    <row r="8" spans="1:18" ht="13.5" thickBot="1" x14ac:dyDescent="0.25">
      <c r="A8" s="36"/>
      <c r="B8" s="36"/>
      <c r="C8" s="35"/>
      <c r="D8" s="39"/>
      <c r="E8" s="35"/>
      <c r="F8" s="35"/>
      <c r="G8" s="35"/>
      <c r="H8" s="35"/>
      <c r="I8" s="35"/>
      <c r="J8" s="38"/>
      <c r="K8" s="36"/>
      <c r="L8" s="36"/>
      <c r="M8" s="37"/>
      <c r="N8" s="36"/>
      <c r="O8" s="36"/>
      <c r="P8" s="36"/>
      <c r="Q8" s="36"/>
      <c r="R8" s="36"/>
    </row>
    <row r="9" spans="1:18" ht="13.5" thickBot="1" x14ac:dyDescent="0.25">
      <c r="C9" s="35">
        <v>3</v>
      </c>
      <c r="D9" s="35">
        <v>4</v>
      </c>
      <c r="E9" s="28">
        <v>1021.68</v>
      </c>
      <c r="F9" s="28">
        <v>912.58</v>
      </c>
      <c r="G9" s="23"/>
      <c r="H9" s="23">
        <f>SUM(E9:G9)</f>
        <v>1934.26</v>
      </c>
      <c r="I9" s="28"/>
      <c r="K9" s="7">
        <f>H9/D9</f>
        <v>483.565</v>
      </c>
      <c r="L9" s="21">
        <f>K9/1.016*10</f>
        <v>4759.498031496063</v>
      </c>
      <c r="M9" s="22">
        <f>L9/1.12085</f>
        <v>4246.329153317628</v>
      </c>
      <c r="N9" s="21">
        <f>L9*$O$4</f>
        <v>1712.6641593276036</v>
      </c>
      <c r="O9" s="21">
        <f>M9*$O$4</f>
        <v>1528.0047814851262</v>
      </c>
      <c r="P9" s="20">
        <f>O9/480</f>
        <v>3.1833432947606797</v>
      </c>
    </row>
    <row r="10" spans="1:18" ht="13.5" thickBot="1" x14ac:dyDescent="0.25">
      <c r="C10" s="35">
        <v>4</v>
      </c>
      <c r="D10" s="35">
        <v>4</v>
      </c>
      <c r="E10" s="28">
        <v>1210.1500000000001</v>
      </c>
      <c r="F10" s="28">
        <v>611.48</v>
      </c>
      <c r="G10" s="23"/>
      <c r="H10" s="23">
        <f>SUM(E10:G10)</f>
        <v>1821.63</v>
      </c>
      <c r="I10" s="28"/>
      <c r="K10" s="7">
        <f>H10/D10</f>
        <v>455.40750000000003</v>
      </c>
      <c r="L10" s="21">
        <f>K10/1.016*10</f>
        <v>4482.3572834645674</v>
      </c>
      <c r="M10" s="22">
        <f>L10/1.12085</f>
        <v>3999.0697091176944</v>
      </c>
      <c r="N10" s="21">
        <f>L10*$O$4</f>
        <v>1612.9374606081617</v>
      </c>
      <c r="O10" s="21">
        <f>M10*$O$4</f>
        <v>1439.0306112398287</v>
      </c>
      <c r="P10" s="20">
        <f>O10/480</f>
        <v>2.9979804400829764</v>
      </c>
    </row>
    <row r="11" spans="1:18" ht="13.5" thickBot="1" x14ac:dyDescent="0.25">
      <c r="C11" s="35">
        <v>5</v>
      </c>
      <c r="D11" s="35">
        <v>4</v>
      </c>
      <c r="E11" s="28">
        <v>1299.6500000000001</v>
      </c>
      <c r="F11" s="28">
        <v>700.54</v>
      </c>
      <c r="G11" s="23"/>
      <c r="H11" s="23">
        <f>SUM(E11:G11)</f>
        <v>2000.19</v>
      </c>
      <c r="I11" s="28"/>
      <c r="K11" s="7">
        <f>H11/D11</f>
        <v>500.04750000000001</v>
      </c>
      <c r="L11" s="21">
        <f>K11/1.016*10</f>
        <v>4921.7273622047251</v>
      </c>
      <c r="M11" s="22">
        <f>L11/1.12085</f>
        <v>4391.0669243919574</v>
      </c>
      <c r="N11" s="21">
        <f>L11*$O$4</f>
        <v>1771.0409794161487</v>
      </c>
      <c r="O11" s="21">
        <f>M11*$O$4</f>
        <v>1580.0874152796082</v>
      </c>
      <c r="P11" s="20">
        <f>O11/480</f>
        <v>3.2918487818325173</v>
      </c>
    </row>
    <row r="12" spans="1:18" ht="13.5" thickBot="1" x14ac:dyDescent="0.25">
      <c r="C12" s="35">
        <v>6</v>
      </c>
      <c r="D12" s="35">
        <v>4</v>
      </c>
      <c r="E12" s="28">
        <v>1349.05</v>
      </c>
      <c r="F12" s="28">
        <v>604.78</v>
      </c>
      <c r="G12" s="23"/>
      <c r="H12" s="23">
        <f>SUM(E12:G12)</f>
        <v>1953.83</v>
      </c>
      <c r="I12" s="28"/>
      <c r="K12" s="7">
        <f>H12/D12</f>
        <v>488.45749999999998</v>
      </c>
      <c r="L12" s="21">
        <f>K12/1.016*10</f>
        <v>4807.6525590551173</v>
      </c>
      <c r="M12" s="22">
        <f>L12/1.12085</f>
        <v>4289.2916617345027</v>
      </c>
      <c r="N12" s="21">
        <f>L12*$O$4</f>
        <v>1729.992149152157</v>
      </c>
      <c r="O12" s="21">
        <f>M12*$O$4</f>
        <v>1543.4644681734014</v>
      </c>
      <c r="P12" s="20">
        <f>O12/480</f>
        <v>3.215550975361253</v>
      </c>
    </row>
    <row r="13" spans="1:18" ht="13.5" thickBot="1" x14ac:dyDescent="0.25">
      <c r="C13" s="35">
        <v>7</v>
      </c>
      <c r="D13" s="35">
        <v>4</v>
      </c>
      <c r="E13" s="28">
        <v>953.26</v>
      </c>
      <c r="F13" s="28">
        <v>1135.92</v>
      </c>
      <c r="G13" s="23"/>
      <c r="H13" s="23">
        <f>SUM(E13:G13)</f>
        <v>2089.1800000000003</v>
      </c>
      <c r="I13" s="28"/>
      <c r="K13" s="7">
        <f>H13/D13</f>
        <v>522.29500000000007</v>
      </c>
      <c r="L13" s="21">
        <f>K13/1.016*10</f>
        <v>5140.6988188976375</v>
      </c>
      <c r="M13" s="22">
        <f>L13/1.12085</f>
        <v>4586.4288878062525</v>
      </c>
      <c r="N13" s="21">
        <f>L13*$O$4</f>
        <v>1849.8359622718986</v>
      </c>
      <c r="O13" s="21">
        <f>M13*$O$4</f>
        <v>1650.386726387919</v>
      </c>
      <c r="P13" s="20">
        <f>O13/480</f>
        <v>3.4383056799748313</v>
      </c>
    </row>
    <row r="14" spans="1:18" ht="13.5" thickBot="1" x14ac:dyDescent="0.25">
      <c r="C14" s="35">
        <v>8</v>
      </c>
      <c r="D14" s="35">
        <v>4</v>
      </c>
      <c r="E14" s="28">
        <v>1210.3</v>
      </c>
      <c r="F14" s="28">
        <v>669.58</v>
      </c>
      <c r="G14" s="23"/>
      <c r="H14" s="23">
        <f>SUM(E14:G14)</f>
        <v>1879.88</v>
      </c>
      <c r="I14" s="28"/>
      <c r="K14" s="7">
        <f>H14/D14</f>
        <v>469.97</v>
      </c>
      <c r="L14" s="21">
        <f>K14/1.016*10</f>
        <v>4625.6889763779527</v>
      </c>
      <c r="M14" s="22">
        <f>L14/1.12085</f>
        <v>4126.9473849114092</v>
      </c>
      <c r="N14" s="21">
        <f>L14*$O$4</f>
        <v>1664.5141293501265</v>
      </c>
      <c r="O14" s="21">
        <f>M14*$O$4</f>
        <v>1485.0462857207713</v>
      </c>
      <c r="P14" s="20">
        <f>O14/480</f>
        <v>3.0938464285849401</v>
      </c>
    </row>
    <row r="15" spans="1:18" ht="13.5" thickBot="1" x14ac:dyDescent="0.25">
      <c r="C15" s="35"/>
      <c r="D15" s="35"/>
      <c r="E15" s="23"/>
      <c r="F15" s="23"/>
      <c r="G15" s="23"/>
      <c r="H15" s="23"/>
      <c r="I15" s="23"/>
      <c r="M15" s="34"/>
    </row>
    <row r="16" spans="1:18" ht="13.5" thickBot="1" x14ac:dyDescent="0.25">
      <c r="C16" s="33" t="s">
        <v>92</v>
      </c>
      <c r="D16" s="32"/>
      <c r="E16" s="31">
        <v>37915</v>
      </c>
      <c r="F16" s="30" t="s">
        <v>91</v>
      </c>
      <c r="G16" s="29"/>
      <c r="H16" s="28">
        <v>346.91</v>
      </c>
      <c r="I16" s="23"/>
      <c r="K16" s="7">
        <f>H16/SUM($D$9:$D$14)</f>
        <v>14.454583333333334</v>
      </c>
      <c r="L16" s="21">
        <f>K16/1.016*10</f>
        <v>142.26952099737534</v>
      </c>
      <c r="M16" s="22">
        <f>L16/1.12085</f>
        <v>126.93002720914961</v>
      </c>
      <c r="N16" s="21">
        <f>L16*$O$4</f>
        <v>51.194455374177466</v>
      </c>
      <c r="O16" s="21">
        <f>M16*$O$4</f>
        <v>45.674671342443204</v>
      </c>
      <c r="P16" s="20">
        <f>O16/480</f>
        <v>9.5155565296756672E-2</v>
      </c>
    </row>
    <row r="17" spans="3:16" ht="13.5" thickBot="1" x14ac:dyDescent="0.25">
      <c r="C17" s="27"/>
      <c r="D17" s="25"/>
      <c r="E17" s="26"/>
      <c r="F17" s="25"/>
      <c r="G17" s="24"/>
      <c r="H17" s="23"/>
      <c r="I17" s="23"/>
      <c r="L17" s="21"/>
      <c r="M17" s="22"/>
      <c r="N17" s="21"/>
      <c r="O17" s="21"/>
      <c r="P17" s="20"/>
    </row>
    <row r="18" spans="3:16" ht="16.5" thickBot="1" x14ac:dyDescent="0.25">
      <c r="C18" s="15" t="s">
        <v>90</v>
      </c>
      <c r="D18" s="14"/>
      <c r="E18" s="14"/>
      <c r="F18" s="14"/>
      <c r="G18" s="19"/>
      <c r="H18" s="13">
        <f>SUM(H9:H14,H16)</f>
        <v>12025.880000000001</v>
      </c>
      <c r="I18" s="12"/>
      <c r="J18" s="11"/>
      <c r="K18" s="17">
        <f>AVERAGE(K9:K14)+K16/6</f>
        <v>489.03284722222224</v>
      </c>
      <c r="L18" s="17">
        <f>AVERAGE(L9:L14)+L16/6</f>
        <v>4813.3154254155725</v>
      </c>
      <c r="M18" s="18">
        <f>AVERAGE(M9:M14)+M16/6</f>
        <v>4294.3439580814329</v>
      </c>
      <c r="N18" s="17">
        <f>AVERAGE(N9:N14)+N16/6</f>
        <v>1732.029882583379</v>
      </c>
      <c r="O18" s="17">
        <f>AVERAGE(O9:O14)+O16/6</f>
        <v>1545.2824932715162</v>
      </c>
      <c r="P18" s="16">
        <f>AVERAGE(P9:P14)+P16/6</f>
        <v>3.2193385276489925</v>
      </c>
    </row>
    <row r="19" spans="3:16" ht="16.5" thickBot="1" x14ac:dyDescent="0.25">
      <c r="C19" s="15" t="s">
        <v>89</v>
      </c>
      <c r="D19" s="14"/>
      <c r="E19" s="14"/>
      <c r="F19" s="14"/>
      <c r="G19" s="14"/>
      <c r="H19" s="13">
        <f>STDEV(H9:H14)/SQRT(COUNT(H9:H14))</f>
        <v>38.067696782617872</v>
      </c>
      <c r="I19" s="12"/>
      <c r="J19" s="11"/>
      <c r="K19" s="9">
        <f>STDEV(K9:K14)/SQRT(COUNT(K9:K14))</f>
        <v>9.5169241956544681</v>
      </c>
      <c r="L19" s="9">
        <f>STDEV(L9:L14)/SQRT(COUNT(L9:L14))</f>
        <v>93.670513736756462</v>
      </c>
      <c r="M19" s="10">
        <f>STDEV(M9:M14)/SQRT(COUNT(M9:M14))</f>
        <v>83.570962873494679</v>
      </c>
      <c r="N19" s="9">
        <f>STDEV(N9:N14)/SQRT(COUNT(N9:N14))</f>
        <v>33.706523377281357</v>
      </c>
      <c r="O19" s="9">
        <f>STDEV(O9:O14)/SQRT(COUNT(O9:O14))</f>
        <v>30.072287440140425</v>
      </c>
      <c r="P19" s="58">
        <f>STDEV(P9:P14)/SQRT(COUNT(P9:P14))</f>
        <v>6.2650598833625892E-2</v>
      </c>
    </row>
    <row r="21" spans="3:16" x14ac:dyDescent="0.2">
      <c r="C21" s="7" t="s">
        <v>122</v>
      </c>
    </row>
    <row r="22" spans="3:16" x14ac:dyDescent="0.2">
      <c r="C22" s="7" t="s">
        <v>87</v>
      </c>
    </row>
  </sheetData>
  <mergeCells count="6">
    <mergeCell ref="C18:G18"/>
    <mergeCell ref="C19:G19"/>
    <mergeCell ref="K6:M6"/>
    <mergeCell ref="N6:P6"/>
    <mergeCell ref="C16:D16"/>
    <mergeCell ref="F16:G16"/>
  </mergeCells>
  <pageMargins left="0.75" right="0.75" top="1" bottom="0.52" header="0.5" footer="0.5"/>
  <pageSetup scale="75" orientation="landscape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47559-A583-4697-9035-CA90468D0A51}">
  <sheetPr codeName="Sheet30">
    <pageSetUpPr fitToPage="1"/>
  </sheetPr>
  <dimension ref="A1:R22"/>
  <sheetViews>
    <sheetView workbookViewId="0">
      <selection activeCell="K6" sqref="K6:M6"/>
    </sheetView>
  </sheetViews>
  <sheetFormatPr defaultRowHeight="12.75" x14ac:dyDescent="0.2"/>
  <cols>
    <col min="1" max="16384" width="9.140625" style="7"/>
  </cols>
  <sheetData>
    <row r="1" spans="1:18" ht="37.5" x14ac:dyDescent="0.2">
      <c r="A1" s="57" t="s">
        <v>121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</row>
    <row r="2" spans="1:18" ht="18.75" thickBot="1" x14ac:dyDescent="0.3">
      <c r="H2" s="56" t="s">
        <v>120</v>
      </c>
      <c r="I2" s="55">
        <v>401</v>
      </c>
      <c r="J2" s="54"/>
      <c r="K2" s="47" t="s">
        <v>119</v>
      </c>
      <c r="L2" s="53">
        <v>37924</v>
      </c>
      <c r="N2" s="47"/>
      <c r="O2" s="48"/>
    </row>
    <row r="3" spans="1:18" ht="17.25" thickTop="1" thickBot="1" x14ac:dyDescent="0.25">
      <c r="B3" s="50" t="s">
        <v>116</v>
      </c>
      <c r="C3" s="52">
        <v>37914</v>
      </c>
      <c r="K3" s="47" t="s">
        <v>115</v>
      </c>
      <c r="L3" s="48">
        <v>2231.1</v>
      </c>
      <c r="N3" s="47" t="s">
        <v>114</v>
      </c>
      <c r="O3" s="46">
        <f>(L3-(L4+L5))/L3</f>
        <v>5.5577966025727225E-2</v>
      </c>
    </row>
    <row r="4" spans="1:18" ht="17.25" thickTop="1" thickBot="1" x14ac:dyDescent="0.25">
      <c r="B4" s="50" t="s">
        <v>113</v>
      </c>
      <c r="C4" s="52">
        <v>37921</v>
      </c>
      <c r="F4" s="45"/>
      <c r="G4" s="45"/>
      <c r="H4" s="50" t="s">
        <v>112</v>
      </c>
      <c r="I4" s="51" t="s">
        <v>124</v>
      </c>
      <c r="K4" s="47" t="s">
        <v>110</v>
      </c>
      <c r="L4" s="48">
        <v>732.1</v>
      </c>
      <c r="N4" s="47" t="s">
        <v>109</v>
      </c>
      <c r="O4" s="46">
        <f>L4/L3</f>
        <v>0.32813410425350725</v>
      </c>
    </row>
    <row r="5" spans="1:18" ht="17.25" thickTop="1" thickBot="1" x14ac:dyDescent="0.25">
      <c r="B5" s="50" t="s">
        <v>108</v>
      </c>
      <c r="C5" s="49">
        <v>0.45624999999999999</v>
      </c>
      <c r="F5" s="45"/>
      <c r="G5" s="45"/>
      <c r="K5" s="47" t="s">
        <v>107</v>
      </c>
      <c r="L5" s="48">
        <v>1375</v>
      </c>
      <c r="N5" s="47" t="s">
        <v>106</v>
      </c>
      <c r="O5" s="46">
        <f>L5/L3</f>
        <v>0.61628792972076551</v>
      </c>
      <c r="Q5" s="20"/>
    </row>
    <row r="6" spans="1:18" ht="17.25" thickTop="1" thickBot="1" x14ac:dyDescent="0.25">
      <c r="F6" s="45"/>
      <c r="G6" s="45"/>
      <c r="K6" s="43" t="s">
        <v>105</v>
      </c>
      <c r="L6" s="43"/>
      <c r="M6" s="44"/>
      <c r="N6" s="43" t="s">
        <v>104</v>
      </c>
      <c r="O6" s="43"/>
      <c r="P6" s="43"/>
    </row>
    <row r="7" spans="1:18" ht="26.25" thickBot="1" x14ac:dyDescent="0.25">
      <c r="A7" s="36"/>
      <c r="B7" s="36"/>
      <c r="C7" s="35" t="s">
        <v>103</v>
      </c>
      <c r="D7" s="39" t="s">
        <v>102</v>
      </c>
      <c r="E7" s="42" t="s">
        <v>101</v>
      </c>
      <c r="F7" s="42" t="s">
        <v>100</v>
      </c>
      <c r="G7" s="42" t="s">
        <v>99</v>
      </c>
      <c r="H7" s="42" t="s">
        <v>98</v>
      </c>
      <c r="I7" s="35" t="s">
        <v>97</v>
      </c>
      <c r="J7" s="38"/>
      <c r="K7" s="38" t="s">
        <v>96</v>
      </c>
      <c r="L7" s="38" t="s">
        <v>95</v>
      </c>
      <c r="M7" s="41" t="s">
        <v>94</v>
      </c>
      <c r="N7" s="38" t="s">
        <v>95</v>
      </c>
      <c r="O7" s="38" t="s">
        <v>94</v>
      </c>
      <c r="P7" s="40" t="s">
        <v>93</v>
      </c>
      <c r="Q7" s="36"/>
      <c r="R7" s="36"/>
    </row>
    <row r="8" spans="1:18" ht="13.5" thickBot="1" x14ac:dyDescent="0.25">
      <c r="A8" s="36"/>
      <c r="B8" s="36"/>
      <c r="C8" s="35"/>
      <c r="D8" s="39"/>
      <c r="E8" s="35"/>
      <c r="F8" s="35"/>
      <c r="G8" s="35"/>
      <c r="H8" s="35"/>
      <c r="I8" s="35"/>
      <c r="J8" s="38"/>
      <c r="K8" s="36"/>
      <c r="L8" s="36"/>
      <c r="M8" s="37"/>
      <c r="N8" s="36"/>
      <c r="O8" s="36"/>
      <c r="P8" s="36"/>
      <c r="Q8" s="36"/>
      <c r="R8" s="36"/>
    </row>
    <row r="9" spans="1:18" ht="13.5" thickBot="1" x14ac:dyDescent="0.25">
      <c r="C9" s="35">
        <v>3</v>
      </c>
      <c r="D9" s="35">
        <v>4</v>
      </c>
      <c r="E9" s="28">
        <v>1409</v>
      </c>
      <c r="F9" s="28"/>
      <c r="G9" s="23"/>
      <c r="H9" s="23">
        <f>SUM(E9:G9)</f>
        <v>1409</v>
      </c>
      <c r="I9" s="28"/>
      <c r="K9" s="7">
        <f>H9/D9</f>
        <v>352.25</v>
      </c>
      <c r="L9" s="21">
        <f>K9/1.016*10</f>
        <v>3467.0275590551182</v>
      </c>
      <c r="M9" s="22">
        <f>L9/1.12085</f>
        <v>3093.2127930187971</v>
      </c>
      <c r="N9" s="21">
        <f>L9*$O$4</f>
        <v>1137.6499825127748</v>
      </c>
      <c r="O9" s="21">
        <f>M9*$O$4</f>
        <v>1014.9886091027123</v>
      </c>
      <c r="P9" s="20">
        <f>O9/480</f>
        <v>2.1145596022973172</v>
      </c>
    </row>
    <row r="10" spans="1:18" ht="13.5" thickBot="1" x14ac:dyDescent="0.25">
      <c r="C10" s="35">
        <v>4</v>
      </c>
      <c r="D10" s="35">
        <v>4</v>
      </c>
      <c r="E10" s="28">
        <v>1183.4000000000001</v>
      </c>
      <c r="F10" s="28">
        <v>264.60000000000002</v>
      </c>
      <c r="G10" s="23"/>
      <c r="H10" s="23">
        <f>SUM(E10:G10)</f>
        <v>1448</v>
      </c>
      <c r="I10" s="28"/>
      <c r="K10" s="7">
        <f>H10/D10</f>
        <v>362</v>
      </c>
      <c r="L10" s="21">
        <f>K10/1.016*10</f>
        <v>3562.9921259842517</v>
      </c>
      <c r="M10" s="22">
        <f>L10/1.12085</f>
        <v>3178.830464365662</v>
      </c>
      <c r="N10" s="21">
        <f>L10*$O$4</f>
        <v>1169.1392297221419</v>
      </c>
      <c r="O10" s="21">
        <f>M10*$O$4</f>
        <v>1043.0826869983871</v>
      </c>
      <c r="P10" s="20">
        <f>O10/480</f>
        <v>2.1730889312466397</v>
      </c>
    </row>
    <row r="11" spans="1:18" ht="13.5" thickBot="1" x14ac:dyDescent="0.25">
      <c r="C11" s="35">
        <v>5</v>
      </c>
      <c r="D11" s="35">
        <v>4</v>
      </c>
      <c r="E11" s="28">
        <v>770.6</v>
      </c>
      <c r="F11" s="28">
        <v>715</v>
      </c>
      <c r="G11" s="23"/>
      <c r="H11" s="23">
        <f>SUM(E11:G11)</f>
        <v>1485.6</v>
      </c>
      <c r="I11" s="28"/>
      <c r="K11" s="7">
        <f>H11/D11</f>
        <v>371.4</v>
      </c>
      <c r="L11" s="21">
        <f>K11/1.016*10</f>
        <v>3655.5118110236217</v>
      </c>
      <c r="M11" s="22">
        <f>L11/1.12085</f>
        <v>3261.3746808436649</v>
      </c>
      <c r="N11" s="21">
        <f>L11*$O$4</f>
        <v>1199.4980936983522</v>
      </c>
      <c r="O11" s="21">
        <f>M11*$O$4</f>
        <v>1070.168259533704</v>
      </c>
      <c r="P11" s="20">
        <f>O11/480</f>
        <v>2.2295172073618832</v>
      </c>
    </row>
    <row r="12" spans="1:18" ht="13.5" thickBot="1" x14ac:dyDescent="0.25">
      <c r="C12" s="35">
        <v>6</v>
      </c>
      <c r="D12" s="35">
        <v>4</v>
      </c>
      <c r="E12" s="28">
        <v>735.4</v>
      </c>
      <c r="F12" s="28">
        <v>833.4</v>
      </c>
      <c r="G12" s="23"/>
      <c r="H12" s="23">
        <f>SUM(E12:G12)</f>
        <v>1568.8</v>
      </c>
      <c r="I12" s="28"/>
      <c r="K12" s="7">
        <f>H12/D12</f>
        <v>392.2</v>
      </c>
      <c r="L12" s="21">
        <f>K12/1.016*10</f>
        <v>3860.2362204724409</v>
      </c>
      <c r="M12" s="22">
        <f>L12/1.12085</f>
        <v>3444.025713050311</v>
      </c>
      <c r="N12" s="21">
        <f>L12*$O$4</f>
        <v>1266.6751544116687</v>
      </c>
      <c r="O12" s="21">
        <f>M12*$O$4</f>
        <v>1130.1022923778105</v>
      </c>
      <c r="P12" s="20">
        <f>O12/480</f>
        <v>2.354379775787105</v>
      </c>
    </row>
    <row r="13" spans="1:18" ht="13.5" thickBot="1" x14ac:dyDescent="0.25">
      <c r="C13" s="35">
        <v>7</v>
      </c>
      <c r="D13" s="35">
        <v>4</v>
      </c>
      <c r="E13" s="28">
        <v>1215.0999999999999</v>
      </c>
      <c r="F13" s="28">
        <v>318.89999999999998</v>
      </c>
      <c r="G13" s="23"/>
      <c r="H13" s="23">
        <f>SUM(E13:G13)</f>
        <v>1534</v>
      </c>
      <c r="I13" s="28"/>
      <c r="K13" s="7">
        <f>H13/D13</f>
        <v>383.5</v>
      </c>
      <c r="L13" s="21">
        <f>K13/1.016*10</f>
        <v>3774.6062992125985</v>
      </c>
      <c r="M13" s="22">
        <f>L13/1.12085</f>
        <v>3367.6284063100316</v>
      </c>
      <c r="N13" s="21">
        <f>L13*$O$4</f>
        <v>1238.577056901772</v>
      </c>
      <c r="O13" s="21">
        <f>M13*$O$4</f>
        <v>1105.0337305632083</v>
      </c>
      <c r="P13" s="20">
        <f>O13/480</f>
        <v>2.3021536053400173</v>
      </c>
    </row>
    <row r="14" spans="1:18" ht="13.5" thickBot="1" x14ac:dyDescent="0.25">
      <c r="C14" s="35">
        <v>8</v>
      </c>
      <c r="D14" s="35">
        <v>4</v>
      </c>
      <c r="E14" s="28">
        <v>1641.4</v>
      </c>
      <c r="F14" s="28"/>
      <c r="G14" s="23"/>
      <c r="H14" s="23">
        <f>SUM(E14:G14)</f>
        <v>1641.4</v>
      </c>
      <c r="I14" s="28"/>
      <c r="K14" s="7">
        <f>H14/D14</f>
        <v>410.35</v>
      </c>
      <c r="L14" s="21">
        <f>K14/1.016*10</f>
        <v>4038.8779527559059</v>
      </c>
      <c r="M14" s="22">
        <f>L14/1.12085</f>
        <v>3603.4063012498605</v>
      </c>
      <c r="N14" s="21">
        <f>L14*$O$4</f>
        <v>1325.2935992167984</v>
      </c>
      <c r="O14" s="21">
        <f>M14*$O$4</f>
        <v>1182.4004989220666</v>
      </c>
      <c r="P14" s="20">
        <f>O14/480</f>
        <v>2.4633343727543053</v>
      </c>
    </row>
    <row r="15" spans="1:18" ht="13.5" thickBot="1" x14ac:dyDescent="0.25">
      <c r="C15" s="35"/>
      <c r="D15" s="35"/>
      <c r="E15" s="23"/>
      <c r="F15" s="23"/>
      <c r="G15" s="23"/>
      <c r="H15" s="23"/>
      <c r="I15" s="23"/>
      <c r="M15" s="34"/>
    </row>
    <row r="16" spans="1:18" ht="13.5" thickBot="1" x14ac:dyDescent="0.25">
      <c r="C16" s="33" t="s">
        <v>92</v>
      </c>
      <c r="D16" s="32"/>
      <c r="E16" s="31">
        <v>37915</v>
      </c>
      <c r="F16" s="30" t="s">
        <v>91</v>
      </c>
      <c r="G16" s="29"/>
      <c r="H16" s="28">
        <v>109.5</v>
      </c>
      <c r="I16" s="23"/>
      <c r="K16" s="7">
        <f>H16/SUM($D$9:$D$14)</f>
        <v>4.5625</v>
      </c>
      <c r="L16" s="21">
        <f>K16/1.016*10</f>
        <v>44.906496062992133</v>
      </c>
      <c r="M16" s="22">
        <f>L16/1.12085</f>
        <v>40.064679540520267</v>
      </c>
      <c r="N16" s="21">
        <f>L16*$O$4</f>
        <v>14.735352860793574</v>
      </c>
      <c r="O16" s="21">
        <f>M16*$O$4</f>
        <v>13.146587733232437</v>
      </c>
      <c r="P16" s="20">
        <f>O16/480</f>
        <v>2.7388724444234243E-2</v>
      </c>
    </row>
    <row r="17" spans="3:16" ht="13.5" thickBot="1" x14ac:dyDescent="0.25">
      <c r="C17" s="27"/>
      <c r="D17" s="25"/>
      <c r="E17" s="26"/>
      <c r="F17" s="25"/>
      <c r="G17" s="24"/>
      <c r="H17" s="23"/>
      <c r="I17" s="23"/>
      <c r="L17" s="21"/>
      <c r="M17" s="22"/>
      <c r="N17" s="21"/>
      <c r="O17" s="21"/>
      <c r="P17" s="20"/>
    </row>
    <row r="18" spans="3:16" ht="16.5" thickBot="1" x14ac:dyDescent="0.25">
      <c r="C18" s="15" t="s">
        <v>90</v>
      </c>
      <c r="D18" s="14"/>
      <c r="E18" s="14"/>
      <c r="F18" s="14"/>
      <c r="G18" s="19"/>
      <c r="H18" s="13">
        <f>SUM(H9:H14,H16)</f>
        <v>9196.3000000000011</v>
      </c>
      <c r="I18" s="12"/>
      <c r="J18" s="11"/>
      <c r="K18" s="17">
        <f>AVERAGE(K9:K14)+K16/6</f>
        <v>379.37708333333342</v>
      </c>
      <c r="L18" s="17">
        <f>AVERAGE(L9:L14)+L16/6</f>
        <v>3734.0264107611547</v>
      </c>
      <c r="M18" s="18">
        <f>AVERAGE(M9:M14)+M16/6</f>
        <v>3331.4238397298077</v>
      </c>
      <c r="N18" s="17">
        <f>AVERAGE(N9:N14)+N16/6</f>
        <v>1225.2614115540505</v>
      </c>
      <c r="O18" s="17">
        <f>AVERAGE(O9:O14)+O16/6</f>
        <v>1093.1537775385202</v>
      </c>
      <c r="P18" s="16">
        <f>AVERAGE(P9:P14)+P16/6</f>
        <v>2.2774037032052505</v>
      </c>
    </row>
    <row r="19" spans="3:16" ht="16.5" thickBot="1" x14ac:dyDescent="0.25">
      <c r="C19" s="15" t="s">
        <v>89</v>
      </c>
      <c r="D19" s="14"/>
      <c r="E19" s="14"/>
      <c r="F19" s="14"/>
      <c r="G19" s="14"/>
      <c r="H19" s="13">
        <f>STDEV(H9:H14)/SQRT(COUNT(H9:H14))</f>
        <v>34.554330810735998</v>
      </c>
      <c r="I19" s="12"/>
      <c r="J19" s="11"/>
      <c r="K19" s="9">
        <f>STDEV(K9:K14)/SQRT(COUNT(K9:K14))</f>
        <v>8.6385827026839994</v>
      </c>
      <c r="L19" s="9">
        <f>STDEV(L9:L14)/SQRT(COUNT(L9:L14))</f>
        <v>85.025420302007888</v>
      </c>
      <c r="M19" s="10">
        <f>STDEV(M9:M14)/SQRT(COUNT(M9:M14))</f>
        <v>75.857983050370549</v>
      </c>
      <c r="N19" s="9">
        <f>STDEV(N9:N14)/SQRT(COUNT(N9:N14))</f>
        <v>27.899740129577342</v>
      </c>
      <c r="O19" s="9">
        <f>STDEV(O9:O14)/SQRT(COUNT(O9:O14))</f>
        <v>24.891591318711075</v>
      </c>
      <c r="P19" s="58">
        <f>STDEV(P9:P14)/SQRT(COUNT(P9:P14))</f>
        <v>5.1857481913981394E-2</v>
      </c>
    </row>
    <row r="21" spans="3:16" x14ac:dyDescent="0.2">
      <c r="C21" s="7" t="s">
        <v>122</v>
      </c>
    </row>
    <row r="22" spans="3:16" x14ac:dyDescent="0.2">
      <c r="C22" s="7" t="s">
        <v>87</v>
      </c>
    </row>
  </sheetData>
  <mergeCells count="6">
    <mergeCell ref="C18:G18"/>
    <mergeCell ref="C19:G19"/>
    <mergeCell ref="K6:M6"/>
    <mergeCell ref="N6:P6"/>
    <mergeCell ref="C16:D16"/>
    <mergeCell ref="F16:G16"/>
  </mergeCells>
  <pageMargins left="0.75" right="0.75" top="1" bottom="0.52" header="0.5" footer="0.5"/>
  <pageSetup scale="75" orientation="landscape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5A438-40C1-4C22-910D-10606FA96454}">
  <sheetPr codeName="Sheet31">
    <pageSetUpPr fitToPage="1"/>
  </sheetPr>
  <dimension ref="A1:R22"/>
  <sheetViews>
    <sheetView workbookViewId="0">
      <selection activeCell="K6" sqref="K6:M6"/>
    </sheetView>
  </sheetViews>
  <sheetFormatPr defaultRowHeight="12.75" x14ac:dyDescent="0.2"/>
  <cols>
    <col min="1" max="16384" width="9.140625" style="7"/>
  </cols>
  <sheetData>
    <row r="1" spans="1:18" ht="37.5" x14ac:dyDescent="0.2">
      <c r="A1" s="57" t="s">
        <v>121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</row>
    <row r="2" spans="1:18" ht="18.75" thickBot="1" x14ac:dyDescent="0.3">
      <c r="H2" s="56" t="s">
        <v>120</v>
      </c>
      <c r="I2" s="55">
        <v>402</v>
      </c>
      <c r="J2" s="54"/>
      <c r="K2" s="47" t="s">
        <v>119</v>
      </c>
      <c r="L2" s="53">
        <v>37924</v>
      </c>
      <c r="N2" s="47"/>
      <c r="O2" s="48"/>
    </row>
    <row r="3" spans="1:18" ht="17.25" thickTop="1" thickBot="1" x14ac:dyDescent="0.25">
      <c r="B3" s="50" t="s">
        <v>116</v>
      </c>
      <c r="C3" s="52">
        <v>37914</v>
      </c>
      <c r="K3" s="47" t="s">
        <v>115</v>
      </c>
      <c r="L3" s="48">
        <v>2131.85</v>
      </c>
      <c r="N3" s="47" t="s">
        <v>114</v>
      </c>
      <c r="O3" s="46">
        <f>(L3-(L4+L5))/L3</f>
        <v>3.1240471890611399E-2</v>
      </c>
    </row>
    <row r="4" spans="1:18" ht="17.25" thickTop="1" thickBot="1" x14ac:dyDescent="0.25">
      <c r="B4" s="50" t="s">
        <v>113</v>
      </c>
      <c r="C4" s="52">
        <v>37921</v>
      </c>
      <c r="F4" s="45"/>
      <c r="G4" s="45"/>
      <c r="H4" s="50" t="s">
        <v>112</v>
      </c>
      <c r="I4" s="51" t="s">
        <v>111</v>
      </c>
      <c r="K4" s="47" t="s">
        <v>110</v>
      </c>
      <c r="L4" s="48">
        <v>743.2</v>
      </c>
      <c r="N4" s="47" t="s">
        <v>109</v>
      </c>
      <c r="O4" s="46">
        <f>L4/L3</f>
        <v>0.34861739803457092</v>
      </c>
    </row>
    <row r="5" spans="1:18" ht="17.25" thickTop="1" thickBot="1" x14ac:dyDescent="0.25">
      <c r="B5" s="50" t="s">
        <v>108</v>
      </c>
      <c r="C5" s="49">
        <v>0.45833333333333331</v>
      </c>
      <c r="F5" s="45"/>
      <c r="G5" s="45"/>
      <c r="K5" s="47" t="s">
        <v>107</v>
      </c>
      <c r="L5" s="48">
        <v>1322.05</v>
      </c>
      <c r="N5" s="47" t="s">
        <v>106</v>
      </c>
      <c r="O5" s="46">
        <f>L5/L3</f>
        <v>0.62014213007481767</v>
      </c>
      <c r="Q5" s="20"/>
    </row>
    <row r="6" spans="1:18" ht="17.25" thickTop="1" thickBot="1" x14ac:dyDescent="0.25">
      <c r="F6" s="45"/>
      <c r="G6" s="45"/>
      <c r="K6" s="43" t="s">
        <v>105</v>
      </c>
      <c r="L6" s="43"/>
      <c r="M6" s="44"/>
      <c r="N6" s="43" t="s">
        <v>104</v>
      </c>
      <c r="O6" s="43"/>
      <c r="P6" s="43"/>
    </row>
    <row r="7" spans="1:18" ht="26.25" thickBot="1" x14ac:dyDescent="0.25">
      <c r="A7" s="36"/>
      <c r="B7" s="36"/>
      <c r="C7" s="35" t="s">
        <v>103</v>
      </c>
      <c r="D7" s="39" t="s">
        <v>102</v>
      </c>
      <c r="E7" s="42" t="s">
        <v>101</v>
      </c>
      <c r="F7" s="42" t="s">
        <v>100</v>
      </c>
      <c r="G7" s="42" t="s">
        <v>99</v>
      </c>
      <c r="H7" s="42" t="s">
        <v>98</v>
      </c>
      <c r="I7" s="35" t="s">
        <v>97</v>
      </c>
      <c r="J7" s="38"/>
      <c r="K7" s="38" t="s">
        <v>96</v>
      </c>
      <c r="L7" s="38" t="s">
        <v>95</v>
      </c>
      <c r="M7" s="41" t="s">
        <v>94</v>
      </c>
      <c r="N7" s="38" t="s">
        <v>95</v>
      </c>
      <c r="O7" s="38" t="s">
        <v>94</v>
      </c>
      <c r="P7" s="40" t="s">
        <v>93</v>
      </c>
      <c r="Q7" s="36"/>
      <c r="R7" s="36"/>
    </row>
    <row r="8" spans="1:18" ht="13.5" thickBot="1" x14ac:dyDescent="0.25">
      <c r="A8" s="36"/>
      <c r="B8" s="36"/>
      <c r="C8" s="35"/>
      <c r="D8" s="39"/>
      <c r="E8" s="35"/>
      <c r="F8" s="35"/>
      <c r="G8" s="35"/>
      <c r="H8" s="35"/>
      <c r="I8" s="35"/>
      <c r="J8" s="38"/>
      <c r="K8" s="36"/>
      <c r="L8" s="36"/>
      <c r="M8" s="37"/>
      <c r="N8" s="36"/>
      <c r="O8" s="36"/>
      <c r="P8" s="36"/>
      <c r="Q8" s="36"/>
      <c r="R8" s="36"/>
    </row>
    <row r="9" spans="1:18" ht="13.5" thickBot="1" x14ac:dyDescent="0.25">
      <c r="C9" s="35">
        <v>3</v>
      </c>
      <c r="D9" s="35">
        <v>4</v>
      </c>
      <c r="E9" s="28">
        <v>1051.2</v>
      </c>
      <c r="F9" s="28">
        <v>706.6</v>
      </c>
      <c r="G9" s="23"/>
      <c r="H9" s="23">
        <f>SUM(E9:G9)</f>
        <v>1757.8000000000002</v>
      </c>
      <c r="I9" s="28"/>
      <c r="K9" s="7">
        <f>H9/D9</f>
        <v>439.45000000000005</v>
      </c>
      <c r="L9" s="21">
        <f>K9/1.016*10</f>
        <v>4325.2952755905517</v>
      </c>
      <c r="M9" s="22">
        <f>L9/1.12085</f>
        <v>3858.9421203466586</v>
      </c>
      <c r="N9" s="21">
        <f>L9*$O$4</f>
        <v>1507.8731847076006</v>
      </c>
      <c r="O9" s="21">
        <f>M9*$O$4</f>
        <v>1345.2943611612623</v>
      </c>
      <c r="P9" s="20">
        <f>O9/480</f>
        <v>2.8026965857526296</v>
      </c>
    </row>
    <row r="10" spans="1:18" ht="13.5" thickBot="1" x14ac:dyDescent="0.25">
      <c r="C10" s="35">
        <v>4</v>
      </c>
      <c r="D10" s="35">
        <v>4</v>
      </c>
      <c r="E10" s="28">
        <v>877.02</v>
      </c>
      <c r="F10" s="28">
        <v>826.64</v>
      </c>
      <c r="G10" s="23"/>
      <c r="H10" s="23">
        <f>SUM(E10:G10)</f>
        <v>1703.6599999999999</v>
      </c>
      <c r="I10" s="28"/>
      <c r="K10" s="7">
        <f>H10/D10</f>
        <v>425.91499999999996</v>
      </c>
      <c r="L10" s="21">
        <f>K10/1.016*10</f>
        <v>4192.0767716535429</v>
      </c>
      <c r="M10" s="22">
        <f>L10/1.12085</f>
        <v>3740.0872299179582</v>
      </c>
      <c r="N10" s="21">
        <f>L10*$O$4</f>
        <v>1461.4308964950224</v>
      </c>
      <c r="O10" s="21">
        <f>M10*$O$4</f>
        <v>1303.8594785163245</v>
      </c>
      <c r="P10" s="20">
        <f>O10/480</f>
        <v>2.7163739135756759</v>
      </c>
    </row>
    <row r="11" spans="1:18" ht="13.5" thickBot="1" x14ac:dyDescent="0.25">
      <c r="C11" s="35">
        <v>5</v>
      </c>
      <c r="D11" s="35">
        <v>4</v>
      </c>
      <c r="E11" s="28">
        <v>785.44</v>
      </c>
      <c r="F11" s="28">
        <v>987.66</v>
      </c>
      <c r="G11" s="23"/>
      <c r="H11" s="23">
        <f>SUM(E11:G11)</f>
        <v>1773.1</v>
      </c>
      <c r="I11" s="28"/>
      <c r="K11" s="7">
        <f>H11/D11</f>
        <v>443.27499999999998</v>
      </c>
      <c r="L11" s="21">
        <f>K11/1.016*10</f>
        <v>4362.9429133858266</v>
      </c>
      <c r="M11" s="22">
        <f>L11/1.12085</f>
        <v>3892.5305914135051</v>
      </c>
      <c r="N11" s="21">
        <f>L11*$O$4</f>
        <v>1520.9978062379373</v>
      </c>
      <c r="O11" s="21">
        <f>M11*$O$4</f>
        <v>1357.0038865485458</v>
      </c>
      <c r="P11" s="20">
        <f>O11/480</f>
        <v>2.8270914303094705</v>
      </c>
    </row>
    <row r="12" spans="1:18" ht="13.5" thickBot="1" x14ac:dyDescent="0.25">
      <c r="C12" s="35">
        <v>6</v>
      </c>
      <c r="D12" s="35">
        <v>4</v>
      </c>
      <c r="E12" s="28">
        <v>1409.8</v>
      </c>
      <c r="F12" s="28">
        <v>694.06</v>
      </c>
      <c r="G12" s="23"/>
      <c r="H12" s="23">
        <f>SUM(E12:G12)</f>
        <v>2103.8599999999997</v>
      </c>
      <c r="I12" s="28"/>
      <c r="K12" s="7">
        <f>H12/D12</f>
        <v>525.96499999999992</v>
      </c>
      <c r="L12" s="21">
        <f>K12/1.016*10</f>
        <v>5176.820866141732</v>
      </c>
      <c r="M12" s="22">
        <f>L12/1.12085</f>
        <v>4618.6562574311747</v>
      </c>
      <c r="N12" s="21">
        <f>L12*$O$4</f>
        <v>1804.7298204454044</v>
      </c>
      <c r="O12" s="21">
        <f>M12*$O$4</f>
        <v>1610.1439268817455</v>
      </c>
      <c r="P12" s="20">
        <f>O12/480</f>
        <v>3.3544665143369699</v>
      </c>
    </row>
    <row r="13" spans="1:18" ht="13.5" thickBot="1" x14ac:dyDescent="0.25">
      <c r="C13" s="35">
        <v>7</v>
      </c>
      <c r="D13" s="35">
        <v>4</v>
      </c>
      <c r="E13" s="28">
        <v>1609.15</v>
      </c>
      <c r="F13" s="28"/>
      <c r="G13" s="23"/>
      <c r="H13" s="23">
        <f>SUM(E13:G13)</f>
        <v>1609.15</v>
      </c>
      <c r="I13" s="28"/>
      <c r="K13" s="7">
        <f>H13/D13</f>
        <v>402.28750000000002</v>
      </c>
      <c r="L13" s="21">
        <f>K13/1.016*10</f>
        <v>3959.5226377952758</v>
      </c>
      <c r="M13" s="22">
        <f>L13/1.12085</f>
        <v>3532.6070730207221</v>
      </c>
      <c r="N13" s="21">
        <f>L13*$O$4</f>
        <v>1380.3584794471699</v>
      </c>
      <c r="O13" s="21">
        <f>M13*$O$4</f>
        <v>1231.5282860750056</v>
      </c>
      <c r="P13" s="20">
        <f>O13/480</f>
        <v>2.5656839293229283</v>
      </c>
    </row>
    <row r="14" spans="1:18" ht="13.5" thickBot="1" x14ac:dyDescent="0.25">
      <c r="C14" s="35">
        <v>8</v>
      </c>
      <c r="D14" s="35">
        <v>4</v>
      </c>
      <c r="E14" s="28">
        <v>2054.9499999999998</v>
      </c>
      <c r="F14" s="28"/>
      <c r="G14" s="23"/>
      <c r="H14" s="23">
        <f>SUM(E14:G14)</f>
        <v>2054.9499999999998</v>
      </c>
      <c r="I14" s="28"/>
      <c r="K14" s="7">
        <f>H14/D14</f>
        <v>513.73749999999995</v>
      </c>
      <c r="L14" s="21">
        <f>K14/1.016*10</f>
        <v>5056.4714566929124</v>
      </c>
      <c r="M14" s="22">
        <f>L14/1.12085</f>
        <v>4511.2829162625803</v>
      </c>
      <c r="N14" s="21">
        <f>L14*$O$4</f>
        <v>1762.7739224683596</v>
      </c>
      <c r="O14" s="21">
        <f>M14*$O$4</f>
        <v>1572.711712065272</v>
      </c>
      <c r="P14" s="20">
        <f>O14/480</f>
        <v>3.2764827334693165</v>
      </c>
    </row>
    <row r="15" spans="1:18" ht="13.5" thickBot="1" x14ac:dyDescent="0.25">
      <c r="C15" s="35"/>
      <c r="D15" s="35"/>
      <c r="E15" s="23"/>
      <c r="F15" s="23"/>
      <c r="G15" s="23"/>
      <c r="H15" s="23"/>
      <c r="I15" s="23"/>
      <c r="M15" s="34"/>
    </row>
    <row r="16" spans="1:18" ht="13.5" thickBot="1" x14ac:dyDescent="0.25">
      <c r="C16" s="33" t="s">
        <v>92</v>
      </c>
      <c r="D16" s="32"/>
      <c r="E16" s="31">
        <v>37915</v>
      </c>
      <c r="F16" s="30" t="s">
        <v>91</v>
      </c>
      <c r="G16" s="29"/>
      <c r="H16" s="28">
        <v>161.37</v>
      </c>
      <c r="I16" s="23"/>
      <c r="K16" s="7">
        <f>H16/SUM($D$9:$D$14)</f>
        <v>6.7237499999999999</v>
      </c>
      <c r="L16" s="21">
        <f>K16/1.016*10</f>
        <v>66.178641732283467</v>
      </c>
      <c r="M16" s="22">
        <f>L16/1.12085</f>
        <v>59.043263355742049</v>
      </c>
      <c r="N16" s="21">
        <f>L16*$O$4</f>
        <v>23.07102588617073</v>
      </c>
      <c r="O16" s="21">
        <f>M16*$O$4</f>
        <v>20.583508842548721</v>
      </c>
      <c r="P16" s="20">
        <f>O16/480</f>
        <v>4.2882310088643169E-2</v>
      </c>
    </row>
    <row r="17" spans="3:16" ht="13.5" thickBot="1" x14ac:dyDescent="0.25">
      <c r="C17" s="27"/>
      <c r="D17" s="25"/>
      <c r="E17" s="26"/>
      <c r="F17" s="25"/>
      <c r="G17" s="24"/>
      <c r="H17" s="23"/>
      <c r="I17" s="23"/>
      <c r="L17" s="21"/>
      <c r="M17" s="22"/>
      <c r="N17" s="21"/>
      <c r="O17" s="21"/>
      <c r="P17" s="20"/>
    </row>
    <row r="18" spans="3:16" ht="16.5" thickBot="1" x14ac:dyDescent="0.25">
      <c r="C18" s="15" t="s">
        <v>90</v>
      </c>
      <c r="D18" s="14"/>
      <c r="E18" s="14"/>
      <c r="F18" s="14"/>
      <c r="G18" s="19"/>
      <c r="H18" s="13">
        <f>SUM(H9:H14,H16)</f>
        <v>11163.890000000001</v>
      </c>
      <c r="I18" s="12"/>
      <c r="J18" s="11"/>
      <c r="K18" s="17">
        <f>AVERAGE(K9:K14)+K16/6</f>
        <v>459.55895833333335</v>
      </c>
      <c r="L18" s="17">
        <f>AVERAGE(L9:L14)+L16/6</f>
        <v>4523.2180938320207</v>
      </c>
      <c r="M18" s="18">
        <f>AVERAGE(M9:M14)+M16/6</f>
        <v>4035.524908624724</v>
      </c>
      <c r="N18" s="17">
        <f>AVERAGE(N9:N14)+N16/6</f>
        <v>1576.8725226146112</v>
      </c>
      <c r="O18" s="17">
        <f>AVERAGE(O9:O14)+O16/6</f>
        <v>1406.854193348451</v>
      </c>
      <c r="P18" s="16">
        <f>AVERAGE(P9:P14)+P16/6</f>
        <v>2.930946236142606</v>
      </c>
    </row>
    <row r="19" spans="3:16" ht="16.5" thickBot="1" x14ac:dyDescent="0.25">
      <c r="C19" s="15" t="s">
        <v>89</v>
      </c>
      <c r="D19" s="14"/>
      <c r="E19" s="14"/>
      <c r="F19" s="14"/>
      <c r="G19" s="14"/>
      <c r="H19" s="13">
        <f>STDEV(H9:H14)/SQRT(COUNT(H9:H14))</f>
        <v>81.384733444164894</v>
      </c>
      <c r="I19" s="12"/>
      <c r="J19" s="11"/>
      <c r="K19" s="9">
        <f>STDEV(K9:K14)/SQRT(COUNT(K9:K14))</f>
        <v>20.346183361041223</v>
      </c>
      <c r="L19" s="9">
        <f>STDEV(L9:L14)/SQRT(COUNT(L9:L14))</f>
        <v>200.25771024646872</v>
      </c>
      <c r="M19" s="10">
        <f>STDEV(M9:M14)/SQRT(COUNT(M9:M14))</f>
        <v>178.66593232499324</v>
      </c>
      <c r="N19" s="9">
        <f>STDEV(N9:N14)/SQRT(COUNT(N9:N14))</f>
        <v>69.813321882484928</v>
      </c>
      <c r="O19" s="9">
        <f>STDEV(O9:O14)/SQRT(COUNT(O9:O14))</f>
        <v>62.2860524445599</v>
      </c>
      <c r="P19" s="58">
        <f>STDEV(P9:P14)/SQRT(COUNT(P9:P14))</f>
        <v>0.12976260925949978</v>
      </c>
    </row>
    <row r="21" spans="3:16" x14ac:dyDescent="0.2">
      <c r="C21" s="7" t="s">
        <v>122</v>
      </c>
    </row>
    <row r="22" spans="3:16" x14ac:dyDescent="0.2">
      <c r="C22" s="7" t="s">
        <v>87</v>
      </c>
    </row>
  </sheetData>
  <mergeCells count="6">
    <mergeCell ref="C18:G18"/>
    <mergeCell ref="C19:G19"/>
    <mergeCell ref="K6:M6"/>
    <mergeCell ref="N6:P6"/>
    <mergeCell ref="C16:D16"/>
    <mergeCell ref="F16:G16"/>
  </mergeCells>
  <pageMargins left="0.75" right="0.75" top="1" bottom="0.52" header="0.5" footer="0.5"/>
  <pageSetup scale="75" orientation="landscape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38306-317C-4339-A7A8-FC1982445BC9}">
  <sheetPr codeName="Sheet32">
    <pageSetUpPr fitToPage="1"/>
  </sheetPr>
  <dimension ref="A1:R22"/>
  <sheetViews>
    <sheetView workbookViewId="0">
      <selection activeCell="K6" sqref="K6:M6"/>
    </sheetView>
  </sheetViews>
  <sheetFormatPr defaultRowHeight="12.75" x14ac:dyDescent="0.2"/>
  <cols>
    <col min="1" max="16384" width="9.140625" style="7"/>
  </cols>
  <sheetData>
    <row r="1" spans="1:18" ht="37.5" x14ac:dyDescent="0.2">
      <c r="A1" s="57" t="s">
        <v>121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</row>
    <row r="2" spans="1:18" ht="18.75" thickBot="1" x14ac:dyDescent="0.3">
      <c r="H2" s="56" t="s">
        <v>120</v>
      </c>
      <c r="I2" s="55">
        <v>403</v>
      </c>
      <c r="J2" s="54"/>
      <c r="K2" s="47" t="s">
        <v>119</v>
      </c>
      <c r="L2" s="53">
        <v>37924</v>
      </c>
      <c r="N2" s="47"/>
      <c r="O2" s="48"/>
    </row>
    <row r="3" spans="1:18" ht="17.25" thickTop="1" thickBot="1" x14ac:dyDescent="0.25">
      <c r="B3" s="50" t="s">
        <v>116</v>
      </c>
      <c r="C3" s="52">
        <v>37914</v>
      </c>
      <c r="K3" s="47" t="s">
        <v>115</v>
      </c>
      <c r="L3" s="48">
        <v>2334.1</v>
      </c>
      <c r="N3" s="47" t="s">
        <v>114</v>
      </c>
      <c r="O3" s="46">
        <f>(L3-(L4+L5))/L3</f>
        <v>2.7269611413392781E-2</v>
      </c>
    </row>
    <row r="4" spans="1:18" ht="17.25" thickTop="1" thickBot="1" x14ac:dyDescent="0.25">
      <c r="B4" s="50" t="s">
        <v>113</v>
      </c>
      <c r="C4" s="52">
        <v>37921</v>
      </c>
      <c r="F4" s="45"/>
      <c r="G4" s="45"/>
      <c r="H4" s="50" t="s">
        <v>112</v>
      </c>
      <c r="I4" s="51" t="s">
        <v>124</v>
      </c>
      <c r="K4" s="47" t="s">
        <v>110</v>
      </c>
      <c r="L4" s="48">
        <v>884.4</v>
      </c>
      <c r="N4" s="47" t="s">
        <v>109</v>
      </c>
      <c r="O4" s="46">
        <f>L4/L3</f>
        <v>0.37890407437556234</v>
      </c>
    </row>
    <row r="5" spans="1:18" ht="17.25" thickTop="1" thickBot="1" x14ac:dyDescent="0.25">
      <c r="B5" s="50" t="s">
        <v>108</v>
      </c>
      <c r="C5" s="49">
        <v>0.4604166666666667</v>
      </c>
      <c r="F5" s="45"/>
      <c r="G5" s="45"/>
      <c r="K5" s="47" t="s">
        <v>107</v>
      </c>
      <c r="L5" s="48">
        <v>1386.05</v>
      </c>
      <c r="N5" s="47" t="s">
        <v>106</v>
      </c>
      <c r="O5" s="46">
        <f>L5/L3</f>
        <v>0.59382631421104493</v>
      </c>
      <c r="Q5" s="20"/>
    </row>
    <row r="6" spans="1:18" ht="17.25" thickTop="1" thickBot="1" x14ac:dyDescent="0.25">
      <c r="F6" s="45"/>
      <c r="G6" s="45"/>
      <c r="K6" s="43" t="s">
        <v>105</v>
      </c>
      <c r="L6" s="43"/>
      <c r="M6" s="44"/>
      <c r="N6" s="43" t="s">
        <v>104</v>
      </c>
      <c r="O6" s="43"/>
      <c r="P6" s="43"/>
    </row>
    <row r="7" spans="1:18" ht="26.25" thickBot="1" x14ac:dyDescent="0.25">
      <c r="A7" s="36"/>
      <c r="B7" s="36"/>
      <c r="C7" s="35" t="s">
        <v>103</v>
      </c>
      <c r="D7" s="39" t="s">
        <v>102</v>
      </c>
      <c r="E7" s="42" t="s">
        <v>101</v>
      </c>
      <c r="F7" s="42" t="s">
        <v>100</v>
      </c>
      <c r="G7" s="42" t="s">
        <v>99</v>
      </c>
      <c r="H7" s="42" t="s">
        <v>98</v>
      </c>
      <c r="I7" s="35" t="s">
        <v>97</v>
      </c>
      <c r="J7" s="38"/>
      <c r="K7" s="38" t="s">
        <v>96</v>
      </c>
      <c r="L7" s="38" t="s">
        <v>95</v>
      </c>
      <c r="M7" s="41" t="s">
        <v>94</v>
      </c>
      <c r="N7" s="38" t="s">
        <v>95</v>
      </c>
      <c r="O7" s="38" t="s">
        <v>94</v>
      </c>
      <c r="P7" s="40" t="s">
        <v>93</v>
      </c>
      <c r="Q7" s="36"/>
      <c r="R7" s="36"/>
    </row>
    <row r="8" spans="1:18" ht="13.5" thickBot="1" x14ac:dyDescent="0.25">
      <c r="A8" s="36"/>
      <c r="B8" s="36"/>
      <c r="C8" s="35"/>
      <c r="D8" s="39"/>
      <c r="E8" s="35"/>
      <c r="F8" s="35"/>
      <c r="G8" s="35"/>
      <c r="H8" s="35"/>
      <c r="I8" s="35"/>
      <c r="J8" s="38"/>
      <c r="K8" s="36"/>
      <c r="L8" s="36"/>
      <c r="M8" s="37"/>
      <c r="N8" s="36"/>
      <c r="O8" s="36"/>
      <c r="P8" s="36"/>
      <c r="Q8" s="36"/>
      <c r="R8" s="36"/>
    </row>
    <row r="9" spans="1:18" ht="13.5" thickBot="1" x14ac:dyDescent="0.25">
      <c r="C9" s="35">
        <v>3</v>
      </c>
      <c r="D9" s="35">
        <v>4</v>
      </c>
      <c r="E9" s="28">
        <v>908.3</v>
      </c>
      <c r="F9" s="28">
        <v>843.2</v>
      </c>
      <c r="G9" s="23"/>
      <c r="H9" s="23">
        <f>SUM(E9:G9)</f>
        <v>1751.5</v>
      </c>
      <c r="I9" s="28"/>
      <c r="K9" s="7">
        <f>H9/D9</f>
        <v>437.875</v>
      </c>
      <c r="L9" s="21">
        <f>K9/1.016*10</f>
        <v>4309.7933070866138</v>
      </c>
      <c r="M9" s="22">
        <f>L9/1.12085</f>
        <v>3845.1115734367795</v>
      </c>
      <c r="N9" s="21">
        <f>L9*$O$4</f>
        <v>1632.9982437716471</v>
      </c>
      <c r="O9" s="21">
        <f>M9*$O$4</f>
        <v>1456.9284416038249</v>
      </c>
      <c r="P9" s="20">
        <f>O9/480</f>
        <v>3.0352675866746353</v>
      </c>
    </row>
    <row r="10" spans="1:18" ht="13.5" thickBot="1" x14ac:dyDescent="0.25">
      <c r="C10" s="35">
        <v>4</v>
      </c>
      <c r="D10" s="35">
        <v>4</v>
      </c>
      <c r="E10" s="28">
        <v>961.3</v>
      </c>
      <c r="F10" s="28">
        <v>658.1</v>
      </c>
      <c r="G10" s="23"/>
      <c r="H10" s="23">
        <f>SUM(E10:G10)</f>
        <v>1619.4</v>
      </c>
      <c r="I10" s="28"/>
      <c r="K10" s="7">
        <f>H10/D10</f>
        <v>404.85</v>
      </c>
      <c r="L10" s="21">
        <f>K10/1.016*10</f>
        <v>3984.7440944881891</v>
      </c>
      <c r="M10" s="22">
        <f>L10/1.12085</f>
        <v>3555.1091533106032</v>
      </c>
      <c r="N10" s="21">
        <f>L10*$O$4</f>
        <v>1509.8357727455357</v>
      </c>
      <c r="O10" s="21">
        <f>M10*$O$4</f>
        <v>1347.0453430392433</v>
      </c>
      <c r="P10" s="20">
        <f>O10/480</f>
        <v>2.8063444646650901</v>
      </c>
    </row>
    <row r="11" spans="1:18" ht="13.5" thickBot="1" x14ac:dyDescent="0.25">
      <c r="C11" s="35">
        <v>5</v>
      </c>
      <c r="D11" s="35">
        <v>4</v>
      </c>
      <c r="E11" s="28">
        <v>1273.8</v>
      </c>
      <c r="F11" s="28">
        <v>514</v>
      </c>
      <c r="G11" s="23"/>
      <c r="H11" s="23">
        <f>SUM(E11:G11)</f>
        <v>1787.8</v>
      </c>
      <c r="I11" s="28"/>
      <c r="K11" s="7">
        <f>H11/D11</f>
        <v>446.95</v>
      </c>
      <c r="L11" s="21">
        <f>K11/1.016*10</f>
        <v>4399.1141732283459</v>
      </c>
      <c r="M11" s="22">
        <f>L11/1.12085</f>
        <v>3924.8018675365538</v>
      </c>
      <c r="N11" s="21">
        <f>L11*$O$4</f>
        <v>1666.8422838795036</v>
      </c>
      <c r="O11" s="21">
        <f>M11*$O$4</f>
        <v>1487.1234187264163</v>
      </c>
      <c r="P11" s="20">
        <f>O11/480</f>
        <v>3.0981737890133672</v>
      </c>
    </row>
    <row r="12" spans="1:18" ht="13.5" thickBot="1" x14ac:dyDescent="0.25">
      <c r="C12" s="35">
        <v>6</v>
      </c>
      <c r="D12" s="35">
        <v>4</v>
      </c>
      <c r="E12" s="28">
        <v>837.3</v>
      </c>
      <c r="F12" s="28">
        <v>703.2</v>
      </c>
      <c r="G12" s="23"/>
      <c r="H12" s="23">
        <f>SUM(E12:G12)</f>
        <v>1540.5</v>
      </c>
      <c r="I12" s="28"/>
      <c r="K12" s="7">
        <f>H12/D12</f>
        <v>385.125</v>
      </c>
      <c r="L12" s="21">
        <f>K12/1.016*10</f>
        <v>3790.6003937007877</v>
      </c>
      <c r="M12" s="22">
        <f>L12/1.12085</f>
        <v>3381.898018201176</v>
      </c>
      <c r="N12" s="21">
        <f>L12*$O$4</f>
        <v>1436.2739335028391</v>
      </c>
      <c r="O12" s="21">
        <f>M12*$O$4</f>
        <v>1281.4149382190653</v>
      </c>
      <c r="P12" s="20">
        <f>O12/480</f>
        <v>2.6696144546230527</v>
      </c>
    </row>
    <row r="13" spans="1:18" ht="13.5" thickBot="1" x14ac:dyDescent="0.25">
      <c r="C13" s="35">
        <v>7</v>
      </c>
      <c r="D13" s="35">
        <v>4</v>
      </c>
      <c r="E13" s="28">
        <v>1138</v>
      </c>
      <c r="F13" s="28">
        <v>698</v>
      </c>
      <c r="G13" s="23"/>
      <c r="H13" s="23">
        <f>SUM(E13:G13)</f>
        <v>1836</v>
      </c>
      <c r="I13" s="28"/>
      <c r="K13" s="7">
        <f>H13/D13</f>
        <v>459</v>
      </c>
      <c r="L13" s="21">
        <f>K13/1.016*10</f>
        <v>4517.7165354330709</v>
      </c>
      <c r="M13" s="22">
        <f>L13/1.12085</f>
        <v>4030.6165280216542</v>
      </c>
      <c r="N13" s="21">
        <f>L13*$O$4</f>
        <v>1711.7812021494401</v>
      </c>
      <c r="O13" s="21">
        <f>M13*$O$4</f>
        <v>1527.2170247128877</v>
      </c>
      <c r="P13" s="20">
        <f>O13/480</f>
        <v>3.1817021348185159</v>
      </c>
    </row>
    <row r="14" spans="1:18" ht="13.5" thickBot="1" x14ac:dyDescent="0.25">
      <c r="C14" s="35">
        <v>8</v>
      </c>
      <c r="D14" s="35">
        <v>4</v>
      </c>
      <c r="E14" s="28">
        <v>1899.5</v>
      </c>
      <c r="F14" s="28"/>
      <c r="G14" s="23"/>
      <c r="H14" s="23">
        <f>SUM(E14:G14)</f>
        <v>1899.5</v>
      </c>
      <c r="I14" s="28"/>
      <c r="K14" s="7">
        <f>H14/D14</f>
        <v>474.875</v>
      </c>
      <c r="L14" s="21">
        <f>K14/1.016*10</f>
        <v>4673.9665354330709</v>
      </c>
      <c r="M14" s="22">
        <f>L14/1.12085</f>
        <v>4170.0196595736015</v>
      </c>
      <c r="N14" s="21">
        <f>L14*$O$4</f>
        <v>1770.9849637706218</v>
      </c>
      <c r="O14" s="21">
        <f>M14*$O$4</f>
        <v>1580.0374392386332</v>
      </c>
      <c r="P14" s="20">
        <f>O14/480</f>
        <v>3.2917446650804858</v>
      </c>
    </row>
    <row r="15" spans="1:18" ht="13.5" thickBot="1" x14ac:dyDescent="0.25">
      <c r="C15" s="35"/>
      <c r="D15" s="35"/>
      <c r="E15" s="23"/>
      <c r="F15" s="23"/>
      <c r="G15" s="23"/>
      <c r="H15" s="23"/>
      <c r="I15" s="23"/>
      <c r="M15" s="34"/>
    </row>
    <row r="16" spans="1:18" ht="13.5" thickBot="1" x14ac:dyDescent="0.25">
      <c r="C16" s="33" t="s">
        <v>92</v>
      </c>
      <c r="D16" s="32"/>
      <c r="E16" s="31">
        <v>37915</v>
      </c>
      <c r="F16" s="30" t="s">
        <v>91</v>
      </c>
      <c r="G16" s="29"/>
      <c r="H16" s="28">
        <v>113</v>
      </c>
      <c r="I16" s="23"/>
      <c r="K16" s="7">
        <f>H16/SUM($D$9:$D$14)</f>
        <v>4.708333333333333</v>
      </c>
      <c r="L16" s="21">
        <f>K16/1.016*10</f>
        <v>46.341863517060361</v>
      </c>
      <c r="M16" s="22">
        <f>L16/1.12085</f>
        <v>41.345285735879344</v>
      </c>
      <c r="N16" s="21">
        <f>L16*$O$4</f>
        <v>17.559120900770399</v>
      </c>
      <c r="O16" s="21">
        <f>M16*$O$4</f>
        <v>15.665897221546503</v>
      </c>
      <c r="P16" s="20">
        <f>O16/480</f>
        <v>3.2637285878221879E-2</v>
      </c>
    </row>
    <row r="17" spans="3:16" ht="13.5" thickBot="1" x14ac:dyDescent="0.25">
      <c r="C17" s="27"/>
      <c r="D17" s="25"/>
      <c r="E17" s="26"/>
      <c r="F17" s="25"/>
      <c r="G17" s="24"/>
      <c r="H17" s="23"/>
      <c r="I17" s="23"/>
      <c r="L17" s="21"/>
      <c r="M17" s="22"/>
      <c r="N17" s="21"/>
      <c r="O17" s="21"/>
      <c r="P17" s="20"/>
    </row>
    <row r="18" spans="3:16" ht="16.5" thickBot="1" x14ac:dyDescent="0.25">
      <c r="C18" s="15" t="s">
        <v>90</v>
      </c>
      <c r="D18" s="14"/>
      <c r="E18" s="14"/>
      <c r="F18" s="14"/>
      <c r="G18" s="19"/>
      <c r="H18" s="13">
        <f>SUM(H9:H14,H16)</f>
        <v>10547.7</v>
      </c>
      <c r="I18" s="12"/>
      <c r="J18" s="11"/>
      <c r="K18" s="17">
        <f>AVERAGE(K9:K14)+K16/6</f>
        <v>435.56388888888893</v>
      </c>
      <c r="L18" s="17">
        <f>AVERAGE(L9:L14)+L16/6</f>
        <v>4287.0461504811901</v>
      </c>
      <c r="M18" s="18">
        <f>AVERAGE(M9:M14)+M16/6</f>
        <v>3824.8170143027078</v>
      </c>
      <c r="N18" s="17">
        <f>AVERAGE(N9:N14)+N16/6</f>
        <v>1624.3792534533929</v>
      </c>
      <c r="O18" s="17">
        <f>AVERAGE(O9:O14)+O16/6</f>
        <v>1449.2387504602696</v>
      </c>
      <c r="P18" s="16">
        <f>AVERAGE(P9:P14)+P16/6</f>
        <v>3.0192473967922284</v>
      </c>
    </row>
    <row r="19" spans="3:16" ht="16.5" thickBot="1" x14ac:dyDescent="0.25">
      <c r="C19" s="15" t="s">
        <v>89</v>
      </c>
      <c r="D19" s="14"/>
      <c r="E19" s="14"/>
      <c r="F19" s="14"/>
      <c r="G19" s="14"/>
      <c r="H19" s="13">
        <f>STDEV(H9:H14)/SQRT(COUNT(H9:H14))</f>
        <v>55.200624493246856</v>
      </c>
      <c r="I19" s="12"/>
      <c r="J19" s="11"/>
      <c r="K19" s="9">
        <f>STDEV(K9:K14)/SQRT(COUNT(K9:K14))</f>
        <v>13.800156123311714</v>
      </c>
      <c r="L19" s="9">
        <f>STDEV(L9:L14)/SQRT(COUNT(L9:L14))</f>
        <v>135.8283083003121</v>
      </c>
      <c r="M19" s="10">
        <f>STDEV(M9:M14)/SQRT(COUNT(M9:M14))</f>
        <v>121.1833057949878</v>
      </c>
      <c r="N19" s="9">
        <f>STDEV(N9:N14)/SQRT(COUNT(N9:N14))</f>
        <v>51.465899430528275</v>
      </c>
      <c r="O19" s="9">
        <f>STDEV(O9:O14)/SQRT(COUNT(O9:O14))</f>
        <v>45.916848312020562</v>
      </c>
      <c r="P19" s="58">
        <f>STDEV(P9:P14)/SQRT(COUNT(P9:P14))</f>
        <v>9.5660100650042865E-2</v>
      </c>
    </row>
    <row r="21" spans="3:16" x14ac:dyDescent="0.2">
      <c r="C21" s="7" t="s">
        <v>122</v>
      </c>
    </row>
    <row r="22" spans="3:16" x14ac:dyDescent="0.2">
      <c r="C22" s="7" t="s">
        <v>87</v>
      </c>
    </row>
  </sheetData>
  <mergeCells count="6">
    <mergeCell ref="C18:G18"/>
    <mergeCell ref="C19:G19"/>
    <mergeCell ref="K6:M6"/>
    <mergeCell ref="N6:P6"/>
    <mergeCell ref="C16:D16"/>
    <mergeCell ref="F16:G16"/>
  </mergeCells>
  <pageMargins left="0.75" right="0.75" top="1" bottom="0.52" header="0.5" footer="0.5"/>
  <pageSetup scale="75" orientation="landscape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E9DCB-8860-4714-A9A9-FEEA076017D4}">
  <sheetPr codeName="Sheet33">
    <pageSetUpPr fitToPage="1"/>
  </sheetPr>
  <dimension ref="A1:R22"/>
  <sheetViews>
    <sheetView workbookViewId="0">
      <selection activeCell="K6" sqref="K6:M6"/>
    </sheetView>
  </sheetViews>
  <sheetFormatPr defaultRowHeight="12.75" x14ac:dyDescent="0.2"/>
  <cols>
    <col min="1" max="16384" width="9.140625" style="7"/>
  </cols>
  <sheetData>
    <row r="1" spans="1:18" ht="37.5" x14ac:dyDescent="0.2">
      <c r="A1" s="57" t="s">
        <v>121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</row>
    <row r="2" spans="1:18" ht="18.75" thickBot="1" x14ac:dyDescent="0.3">
      <c r="H2" s="56" t="s">
        <v>120</v>
      </c>
      <c r="I2" s="55">
        <v>404</v>
      </c>
      <c r="J2" s="54"/>
      <c r="K2" s="47" t="s">
        <v>119</v>
      </c>
      <c r="L2" s="53">
        <v>37924</v>
      </c>
      <c r="N2" s="47"/>
      <c r="O2" s="48"/>
    </row>
    <row r="3" spans="1:18" ht="17.25" thickTop="1" thickBot="1" x14ac:dyDescent="0.25">
      <c r="B3" s="50" t="s">
        <v>116</v>
      </c>
      <c r="C3" s="52">
        <v>37914</v>
      </c>
      <c r="K3" s="47" t="s">
        <v>115</v>
      </c>
      <c r="L3" s="48">
        <v>2271.5500000000002</v>
      </c>
      <c r="N3" s="47" t="s">
        <v>114</v>
      </c>
      <c r="O3" s="46">
        <f>(L3-(L4+L5))/L3</f>
        <v>5.0736281393761962E-2</v>
      </c>
    </row>
    <row r="4" spans="1:18" ht="17.25" thickTop="1" thickBot="1" x14ac:dyDescent="0.25">
      <c r="B4" s="50" t="s">
        <v>113</v>
      </c>
      <c r="C4" s="52">
        <v>37921</v>
      </c>
      <c r="F4" s="45"/>
      <c r="G4" s="45"/>
      <c r="H4" s="50" t="s">
        <v>112</v>
      </c>
      <c r="I4" s="51" t="s">
        <v>111</v>
      </c>
      <c r="K4" s="47" t="s">
        <v>110</v>
      </c>
      <c r="L4" s="48">
        <v>790.7</v>
      </c>
      <c r="N4" s="47" t="s">
        <v>109</v>
      </c>
      <c r="O4" s="46">
        <f>L4/L3</f>
        <v>0.3480883097444476</v>
      </c>
    </row>
    <row r="5" spans="1:18" ht="17.25" thickTop="1" thickBot="1" x14ac:dyDescent="0.25">
      <c r="B5" s="50" t="s">
        <v>108</v>
      </c>
      <c r="C5" s="49">
        <v>0.46180555555555558</v>
      </c>
      <c r="F5" s="45"/>
      <c r="G5" s="45"/>
      <c r="K5" s="47" t="s">
        <v>107</v>
      </c>
      <c r="L5" s="48">
        <v>1365.6</v>
      </c>
      <c r="N5" s="47" t="s">
        <v>106</v>
      </c>
      <c r="O5" s="46">
        <f>L5/L3</f>
        <v>0.60117540886179033</v>
      </c>
      <c r="Q5" s="20"/>
    </row>
    <row r="6" spans="1:18" ht="17.25" thickTop="1" thickBot="1" x14ac:dyDescent="0.25">
      <c r="F6" s="45"/>
      <c r="G6" s="45"/>
      <c r="K6" s="43" t="s">
        <v>105</v>
      </c>
      <c r="L6" s="43"/>
      <c r="M6" s="44"/>
      <c r="N6" s="43" t="s">
        <v>104</v>
      </c>
      <c r="O6" s="43"/>
      <c r="P6" s="43"/>
    </row>
    <row r="7" spans="1:18" ht="26.25" thickBot="1" x14ac:dyDescent="0.25">
      <c r="A7" s="36"/>
      <c r="B7" s="36"/>
      <c r="C7" s="35" t="s">
        <v>103</v>
      </c>
      <c r="D7" s="39" t="s">
        <v>102</v>
      </c>
      <c r="E7" s="42" t="s">
        <v>101</v>
      </c>
      <c r="F7" s="42" t="s">
        <v>100</v>
      </c>
      <c r="G7" s="42" t="s">
        <v>99</v>
      </c>
      <c r="H7" s="42" t="s">
        <v>98</v>
      </c>
      <c r="I7" s="35" t="s">
        <v>97</v>
      </c>
      <c r="J7" s="38"/>
      <c r="K7" s="38" t="s">
        <v>96</v>
      </c>
      <c r="L7" s="38" t="s">
        <v>95</v>
      </c>
      <c r="M7" s="41" t="s">
        <v>94</v>
      </c>
      <c r="N7" s="38" t="s">
        <v>95</v>
      </c>
      <c r="O7" s="38" t="s">
        <v>94</v>
      </c>
      <c r="P7" s="40" t="s">
        <v>93</v>
      </c>
      <c r="Q7" s="36"/>
      <c r="R7" s="36"/>
    </row>
    <row r="8" spans="1:18" ht="13.5" thickBot="1" x14ac:dyDescent="0.25">
      <c r="A8" s="36"/>
      <c r="B8" s="36"/>
      <c r="C8" s="35"/>
      <c r="D8" s="39"/>
      <c r="E8" s="35"/>
      <c r="F8" s="35"/>
      <c r="G8" s="35"/>
      <c r="H8" s="35"/>
      <c r="I8" s="35"/>
      <c r="J8" s="38"/>
      <c r="K8" s="36"/>
      <c r="L8" s="36"/>
      <c r="M8" s="37"/>
      <c r="N8" s="36"/>
      <c r="O8" s="36"/>
      <c r="P8" s="36"/>
      <c r="Q8" s="36"/>
      <c r="R8" s="36"/>
    </row>
    <row r="9" spans="1:18" ht="13.5" thickBot="1" x14ac:dyDescent="0.25">
      <c r="C9" s="35">
        <v>3</v>
      </c>
      <c r="D9" s="35">
        <v>4</v>
      </c>
      <c r="E9" s="28">
        <v>1367.7</v>
      </c>
      <c r="F9" s="28">
        <v>724.48</v>
      </c>
      <c r="G9" s="23"/>
      <c r="H9" s="23">
        <f>SUM(E9:G9)</f>
        <v>2092.1800000000003</v>
      </c>
      <c r="I9" s="28"/>
      <c r="K9" s="7">
        <f>H9/D9</f>
        <v>523.04500000000007</v>
      </c>
      <c r="L9" s="21">
        <f>K9/1.016*10</f>
        <v>5148.0807086614177</v>
      </c>
      <c r="M9" s="22">
        <f>L9/1.12085</f>
        <v>4593.0148625252423</v>
      </c>
      <c r="N9" s="21">
        <f>L9*$O$4</f>
        <v>1791.986712305951</v>
      </c>
      <c r="O9" s="21">
        <f>M9*$O$4</f>
        <v>1598.774780127538</v>
      </c>
      <c r="P9" s="20">
        <f>O9/480</f>
        <v>3.3307807919323706</v>
      </c>
    </row>
    <row r="10" spans="1:18" ht="13.5" thickBot="1" x14ac:dyDescent="0.25">
      <c r="C10" s="35">
        <v>4</v>
      </c>
      <c r="D10" s="35">
        <v>4</v>
      </c>
      <c r="E10" s="28">
        <v>1321.5</v>
      </c>
      <c r="F10" s="28">
        <v>888.02</v>
      </c>
      <c r="G10" s="23"/>
      <c r="H10" s="23">
        <f>SUM(E10:G10)</f>
        <v>2209.52</v>
      </c>
      <c r="I10" s="28"/>
      <c r="K10" s="7">
        <f>H10/D10</f>
        <v>552.38</v>
      </c>
      <c r="L10" s="21">
        <f>K10/1.016*10</f>
        <v>5436.8110236220473</v>
      </c>
      <c r="M10" s="22">
        <f>L10/1.12085</f>
        <v>4850.61428703399</v>
      </c>
      <c r="N10" s="21">
        <f>L10*$O$4</f>
        <v>1892.4903596125785</v>
      </c>
      <c r="O10" s="21">
        <f>M10*$O$4</f>
        <v>1688.4421283959305</v>
      </c>
      <c r="P10" s="20">
        <f>O10/480</f>
        <v>3.5175877674915217</v>
      </c>
    </row>
    <row r="11" spans="1:18" ht="13.5" thickBot="1" x14ac:dyDescent="0.25">
      <c r="C11" s="35">
        <v>5</v>
      </c>
      <c r="D11" s="35">
        <v>4</v>
      </c>
      <c r="E11" s="28">
        <v>845.18</v>
      </c>
      <c r="F11" s="28">
        <v>344.08</v>
      </c>
      <c r="G11" s="23">
        <v>790.44</v>
      </c>
      <c r="H11" s="23">
        <f>SUM(E11:G11)</f>
        <v>1979.7</v>
      </c>
      <c r="I11" s="28"/>
      <c r="K11" s="7">
        <f>H11/D11</f>
        <v>494.92500000000001</v>
      </c>
      <c r="L11" s="21">
        <f>K11/1.016*10</f>
        <v>4871.3090551181103</v>
      </c>
      <c r="M11" s="22">
        <f>L11/1.12085</f>
        <v>4346.0847170612578</v>
      </c>
      <c r="N11" s="21">
        <f>L11*$O$4</f>
        <v>1695.6457352388852</v>
      </c>
      <c r="O11" s="21">
        <f>M11*$O$4</f>
        <v>1512.8212831680289</v>
      </c>
      <c r="P11" s="20">
        <f>O11/480</f>
        <v>3.1517110066000602</v>
      </c>
    </row>
    <row r="12" spans="1:18" ht="13.5" thickBot="1" x14ac:dyDescent="0.25">
      <c r="C12" s="35">
        <v>6</v>
      </c>
      <c r="D12" s="35">
        <v>4</v>
      </c>
      <c r="E12" s="28">
        <v>1325.15</v>
      </c>
      <c r="F12" s="28">
        <v>839.36</v>
      </c>
      <c r="G12" s="23"/>
      <c r="H12" s="23">
        <f>SUM(E12:G12)</f>
        <v>2164.5100000000002</v>
      </c>
      <c r="I12" s="28"/>
      <c r="K12" s="7">
        <f>H12/D12</f>
        <v>541.12750000000005</v>
      </c>
      <c r="L12" s="21">
        <f>K12/1.016*10</f>
        <v>5326.0580708661419</v>
      </c>
      <c r="M12" s="22">
        <f>L12/1.12085</f>
        <v>4751.8027130000828</v>
      </c>
      <c r="N12" s="21">
        <f>L12*$O$4</f>
        <v>1853.9385514885687</v>
      </c>
      <c r="O12" s="21">
        <f>M12*$O$4</f>
        <v>1654.0469746072793</v>
      </c>
      <c r="P12" s="20">
        <f>O12/480</f>
        <v>3.4459311970984983</v>
      </c>
    </row>
    <row r="13" spans="1:18" ht="13.5" thickBot="1" x14ac:dyDescent="0.25">
      <c r="C13" s="35">
        <v>7</v>
      </c>
      <c r="D13" s="35">
        <v>4</v>
      </c>
      <c r="E13" s="28">
        <v>776.02</v>
      </c>
      <c r="F13" s="28">
        <v>1311.25</v>
      </c>
      <c r="G13" s="23"/>
      <c r="H13" s="23">
        <f>SUM(E13:G13)</f>
        <v>2087.27</v>
      </c>
      <c r="I13" s="28"/>
      <c r="K13" s="7">
        <f>H13/D13</f>
        <v>521.8175</v>
      </c>
      <c r="L13" s="21">
        <f>K13/1.016*10</f>
        <v>5135.9990157480306</v>
      </c>
      <c r="M13" s="22">
        <f>L13/1.12085</f>
        <v>4582.2358172351614</v>
      </c>
      <c r="N13" s="21">
        <f>L13*$O$4</f>
        <v>1787.7812162408784</v>
      </c>
      <c r="O13" s="21">
        <f>M13*$O$4</f>
        <v>1595.0227204718549</v>
      </c>
      <c r="P13" s="20">
        <f>O13/480</f>
        <v>3.3229640009830308</v>
      </c>
    </row>
    <row r="14" spans="1:18" ht="13.5" thickBot="1" x14ac:dyDescent="0.25">
      <c r="C14" s="35">
        <v>8</v>
      </c>
      <c r="D14" s="35">
        <v>4</v>
      </c>
      <c r="E14" s="28">
        <v>1885.6</v>
      </c>
      <c r="F14" s="28"/>
      <c r="G14" s="23"/>
      <c r="H14" s="23">
        <f>SUM(E14:G14)</f>
        <v>1885.6</v>
      </c>
      <c r="I14" s="28"/>
      <c r="K14" s="7">
        <f>H14/D14</f>
        <v>471.4</v>
      </c>
      <c r="L14" s="21">
        <f>K14/1.016*10</f>
        <v>4639.7637795275587</v>
      </c>
      <c r="M14" s="22">
        <f>L14/1.12085</f>
        <v>4139.5046433756161</v>
      </c>
      <c r="N14" s="21">
        <f>L14*$O$4</f>
        <v>1615.0475316292577</v>
      </c>
      <c r="O14" s="21">
        <f>M14*$O$4</f>
        <v>1440.9131744919105</v>
      </c>
      <c r="P14" s="20">
        <f>O14/480</f>
        <v>3.0019024468581468</v>
      </c>
    </row>
    <row r="15" spans="1:18" ht="13.5" thickBot="1" x14ac:dyDescent="0.25">
      <c r="C15" s="35"/>
      <c r="D15" s="35"/>
      <c r="E15" s="23"/>
      <c r="F15" s="23"/>
      <c r="G15" s="23"/>
      <c r="H15" s="23"/>
      <c r="I15" s="23"/>
      <c r="M15" s="34"/>
    </row>
    <row r="16" spans="1:18" ht="13.5" thickBot="1" x14ac:dyDescent="0.25">
      <c r="C16" s="33" t="s">
        <v>92</v>
      </c>
      <c r="D16" s="32"/>
      <c r="E16" s="31">
        <v>37915</v>
      </c>
      <c r="F16" s="30" t="s">
        <v>91</v>
      </c>
      <c r="G16" s="29"/>
      <c r="H16" s="28">
        <v>188.15</v>
      </c>
      <c r="I16" s="23"/>
      <c r="K16" s="7">
        <f>H16/SUM($D$9:$D$14)</f>
        <v>7.8395833333333336</v>
      </c>
      <c r="L16" s="21">
        <f>K16/1.016*10</f>
        <v>77.161253280839887</v>
      </c>
      <c r="M16" s="22">
        <f>L16/1.12085</f>
        <v>68.841730187661057</v>
      </c>
      <c r="N16" s="21">
        <f>L16*$O$4</f>
        <v>26.858930232290767</v>
      </c>
      <c r="O16" s="21">
        <f>M16*$O$4</f>
        <v>23.963001500906252</v>
      </c>
      <c r="P16" s="20">
        <f>O16/480</f>
        <v>4.992291979355469E-2</v>
      </c>
    </row>
    <row r="17" spans="3:16" ht="13.5" thickBot="1" x14ac:dyDescent="0.25">
      <c r="C17" s="27"/>
      <c r="D17" s="25"/>
      <c r="E17" s="26"/>
      <c r="F17" s="25"/>
      <c r="G17" s="24"/>
      <c r="H17" s="23"/>
      <c r="I17" s="23"/>
      <c r="L17" s="21"/>
      <c r="M17" s="22"/>
      <c r="N17" s="21"/>
      <c r="O17" s="21"/>
      <c r="P17" s="20"/>
    </row>
    <row r="18" spans="3:16" ht="16.5" thickBot="1" x14ac:dyDescent="0.25">
      <c r="C18" s="15" t="s">
        <v>90</v>
      </c>
      <c r="D18" s="14"/>
      <c r="E18" s="14"/>
      <c r="F18" s="14"/>
      <c r="G18" s="19"/>
      <c r="H18" s="13">
        <f>SUM(H9:H14,H16)</f>
        <v>12606.93</v>
      </c>
      <c r="I18" s="12"/>
      <c r="J18" s="11"/>
      <c r="K18" s="17">
        <f>AVERAGE(K9:K14)+K16/6</f>
        <v>518.75576388888885</v>
      </c>
      <c r="L18" s="17">
        <f>AVERAGE(L9:L14)+L16/6</f>
        <v>5105.8638178040246</v>
      </c>
      <c r="M18" s="18">
        <f>AVERAGE(M9:M14)+M16/6</f>
        <v>4555.3497950698356</v>
      </c>
      <c r="N18" s="17">
        <f>AVERAGE(N9:N14)+N16/6</f>
        <v>1777.2915061247352</v>
      </c>
      <c r="O18" s="17">
        <f>AVERAGE(O9:O14)+O16/6</f>
        <v>1585.6640104605744</v>
      </c>
      <c r="P18" s="16">
        <f>AVERAGE(P9:P14)+P16/6</f>
        <v>3.303466688459531</v>
      </c>
    </row>
    <row r="19" spans="3:16" ht="16.5" thickBot="1" x14ac:dyDescent="0.25">
      <c r="C19" s="15" t="s">
        <v>89</v>
      </c>
      <c r="D19" s="14"/>
      <c r="E19" s="14"/>
      <c r="F19" s="14"/>
      <c r="G19" s="14"/>
      <c r="H19" s="13">
        <f>STDEV(H9:H14)/SQRT(COUNT(H9:H14))</f>
        <v>48.766579311837944</v>
      </c>
      <c r="I19" s="12"/>
      <c r="J19" s="11"/>
      <c r="K19" s="9">
        <f>STDEV(K9:K14)/SQRT(COUNT(K9:K14))</f>
        <v>12.191644827959486</v>
      </c>
      <c r="L19" s="9">
        <f>STDEV(L9:L14)/SQRT(COUNT(L9:L14))</f>
        <v>119.99650421219965</v>
      </c>
      <c r="M19" s="10">
        <f>STDEV(M9:M14)/SQRT(COUNT(M9:M14))</f>
        <v>107.05848615978913</v>
      </c>
      <c r="N19" s="9">
        <f>STDEV(N9:N14)/SQRT(COUNT(N9:N14))</f>
        <v>41.769380326467072</v>
      </c>
      <c r="O19" s="9">
        <f>STDEV(O9:O14)/SQRT(COUNT(O9:O14))</f>
        <v>37.265807491160366</v>
      </c>
      <c r="P19" s="58">
        <f>STDEV(P9:P14)/SQRT(COUNT(P9:P14))</f>
        <v>7.7637098939917396E-2</v>
      </c>
    </row>
    <row r="21" spans="3:16" x14ac:dyDescent="0.2">
      <c r="C21" s="7" t="s">
        <v>122</v>
      </c>
    </row>
    <row r="22" spans="3:16" x14ac:dyDescent="0.2">
      <c r="C22" s="7" t="s">
        <v>87</v>
      </c>
    </row>
  </sheetData>
  <mergeCells count="6">
    <mergeCell ref="C18:G18"/>
    <mergeCell ref="C19:G19"/>
    <mergeCell ref="K6:M6"/>
    <mergeCell ref="N6:P6"/>
    <mergeCell ref="C16:D16"/>
    <mergeCell ref="F16:G16"/>
  </mergeCells>
  <pageMargins left="0.75" right="0.75" top="1" bottom="0.52" header="0.5" footer="0.5"/>
  <pageSetup scale="75" orientation="landscape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81297-7EDC-4F99-AA83-3B6DE7FDBC12}">
  <sheetPr codeName="Sheet34">
    <pageSetUpPr fitToPage="1"/>
  </sheetPr>
  <dimension ref="A1:R22"/>
  <sheetViews>
    <sheetView workbookViewId="0">
      <selection activeCell="K6" sqref="K6:M6"/>
    </sheetView>
  </sheetViews>
  <sheetFormatPr defaultRowHeight="12.75" x14ac:dyDescent="0.2"/>
  <cols>
    <col min="1" max="16384" width="9.140625" style="7"/>
  </cols>
  <sheetData>
    <row r="1" spans="1:18" ht="37.5" x14ac:dyDescent="0.2">
      <c r="A1" s="57" t="s">
        <v>121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</row>
    <row r="2" spans="1:18" ht="18.75" thickBot="1" x14ac:dyDescent="0.3">
      <c r="H2" s="56" t="s">
        <v>120</v>
      </c>
      <c r="I2" s="55">
        <v>405</v>
      </c>
      <c r="J2" s="54"/>
      <c r="K2" s="47" t="s">
        <v>119</v>
      </c>
      <c r="L2" s="53">
        <v>37924</v>
      </c>
      <c r="N2" s="47"/>
      <c r="O2" s="48"/>
    </row>
    <row r="3" spans="1:18" ht="17.25" thickTop="1" thickBot="1" x14ac:dyDescent="0.25">
      <c r="B3" s="50" t="s">
        <v>116</v>
      </c>
      <c r="C3" s="52">
        <v>37914</v>
      </c>
      <c r="K3" s="47" t="s">
        <v>115</v>
      </c>
      <c r="L3" s="48">
        <v>1883.1</v>
      </c>
      <c r="N3" s="47" t="s">
        <v>114</v>
      </c>
      <c r="O3" s="46">
        <f>(L3-(L4+L5))/L3</f>
        <v>4.0836917848228911E-2</v>
      </c>
    </row>
    <row r="4" spans="1:18" ht="17.25" thickTop="1" thickBot="1" x14ac:dyDescent="0.25">
      <c r="B4" s="50" t="s">
        <v>113</v>
      </c>
      <c r="C4" s="52">
        <v>37921</v>
      </c>
      <c r="F4" s="45"/>
      <c r="G4" s="45"/>
      <c r="H4" s="50" t="s">
        <v>112</v>
      </c>
      <c r="I4" s="51" t="s">
        <v>124</v>
      </c>
      <c r="K4" s="47" t="s">
        <v>110</v>
      </c>
      <c r="L4" s="48">
        <v>702</v>
      </c>
      <c r="N4" s="47" t="s">
        <v>109</v>
      </c>
      <c r="O4" s="46">
        <f>L4/L3</f>
        <v>0.37278954914768203</v>
      </c>
    </row>
    <row r="5" spans="1:18" ht="17.25" thickTop="1" thickBot="1" x14ac:dyDescent="0.25">
      <c r="B5" s="50" t="s">
        <v>108</v>
      </c>
      <c r="C5" s="49">
        <v>0.46388888888888885</v>
      </c>
      <c r="F5" s="45"/>
      <c r="G5" s="45"/>
      <c r="K5" s="47" t="s">
        <v>107</v>
      </c>
      <c r="L5" s="48">
        <v>1104.2</v>
      </c>
      <c r="N5" s="47" t="s">
        <v>106</v>
      </c>
      <c r="O5" s="46">
        <f>L5/L3</f>
        <v>0.58637353300408901</v>
      </c>
      <c r="Q5" s="20"/>
    </row>
    <row r="6" spans="1:18" ht="17.25" thickTop="1" thickBot="1" x14ac:dyDescent="0.25">
      <c r="F6" s="45"/>
      <c r="G6" s="45"/>
      <c r="K6" s="43" t="s">
        <v>105</v>
      </c>
      <c r="L6" s="43"/>
      <c r="M6" s="44"/>
      <c r="N6" s="43" t="s">
        <v>104</v>
      </c>
      <c r="O6" s="43"/>
      <c r="P6" s="43"/>
    </row>
    <row r="7" spans="1:18" ht="26.25" thickBot="1" x14ac:dyDescent="0.25">
      <c r="A7" s="36"/>
      <c r="B7" s="36"/>
      <c r="C7" s="35" t="s">
        <v>103</v>
      </c>
      <c r="D7" s="39" t="s">
        <v>102</v>
      </c>
      <c r="E7" s="42" t="s">
        <v>101</v>
      </c>
      <c r="F7" s="42" t="s">
        <v>100</v>
      </c>
      <c r="G7" s="42" t="s">
        <v>99</v>
      </c>
      <c r="H7" s="42" t="s">
        <v>98</v>
      </c>
      <c r="I7" s="35" t="s">
        <v>97</v>
      </c>
      <c r="J7" s="38"/>
      <c r="K7" s="38" t="s">
        <v>96</v>
      </c>
      <c r="L7" s="38" t="s">
        <v>95</v>
      </c>
      <c r="M7" s="41" t="s">
        <v>94</v>
      </c>
      <c r="N7" s="38" t="s">
        <v>95</v>
      </c>
      <c r="O7" s="38" t="s">
        <v>94</v>
      </c>
      <c r="P7" s="40" t="s">
        <v>93</v>
      </c>
      <c r="Q7" s="36"/>
      <c r="R7" s="36"/>
    </row>
    <row r="8" spans="1:18" ht="13.5" thickBot="1" x14ac:dyDescent="0.25">
      <c r="A8" s="36"/>
      <c r="B8" s="36"/>
      <c r="C8" s="35"/>
      <c r="D8" s="39"/>
      <c r="E8" s="35"/>
      <c r="F8" s="35"/>
      <c r="G8" s="35"/>
      <c r="H8" s="35"/>
      <c r="I8" s="35"/>
      <c r="J8" s="38"/>
      <c r="K8" s="36"/>
      <c r="L8" s="36"/>
      <c r="M8" s="37"/>
      <c r="N8" s="36"/>
      <c r="O8" s="36"/>
      <c r="P8" s="36"/>
      <c r="Q8" s="36"/>
      <c r="R8" s="36"/>
    </row>
    <row r="9" spans="1:18" ht="13.5" thickBot="1" x14ac:dyDescent="0.25">
      <c r="C9" s="35">
        <v>3</v>
      </c>
      <c r="D9" s="35">
        <v>4</v>
      </c>
      <c r="E9" s="28">
        <v>1209.2</v>
      </c>
      <c r="F9" s="28">
        <v>721</v>
      </c>
      <c r="G9" s="23"/>
      <c r="H9" s="23">
        <f>SUM(E9:G9)</f>
        <v>1930.2</v>
      </c>
      <c r="I9" s="28"/>
      <c r="K9" s="7">
        <f>H9/D9</f>
        <v>482.55</v>
      </c>
      <c r="L9" s="21">
        <f>K9/1.016*10</f>
        <v>4749.5078740157478</v>
      </c>
      <c r="M9" s="22">
        <f>L9/1.12085</f>
        <v>4237.4161341979288</v>
      </c>
      <c r="N9" s="21">
        <f>L9*$O$4</f>
        <v>1770.5668990276963</v>
      </c>
      <c r="O9" s="21">
        <f>M9*$O$4</f>
        <v>1579.6644502187596</v>
      </c>
      <c r="P9" s="20">
        <f>O9/480</f>
        <v>3.2909676046224159</v>
      </c>
    </row>
    <row r="10" spans="1:18" ht="13.5" thickBot="1" x14ac:dyDescent="0.25">
      <c r="C10" s="35">
        <v>4</v>
      </c>
      <c r="D10" s="35">
        <v>4</v>
      </c>
      <c r="E10" s="28">
        <v>1023.8</v>
      </c>
      <c r="F10" s="28">
        <v>792.2</v>
      </c>
      <c r="G10" s="23"/>
      <c r="H10" s="23">
        <f>SUM(E10:G10)</f>
        <v>1816</v>
      </c>
      <c r="I10" s="28"/>
      <c r="K10" s="7">
        <f>H10/D10</f>
        <v>454</v>
      </c>
      <c r="L10" s="21">
        <f>K10/1.016*10</f>
        <v>4468.5039370078739</v>
      </c>
      <c r="M10" s="22">
        <f>L10/1.12085</f>
        <v>3986.7100298950568</v>
      </c>
      <c r="N10" s="21">
        <f>L10*$O$4</f>
        <v>1665.8115680418075</v>
      </c>
      <c r="O10" s="21">
        <f>M10*$O$4</f>
        <v>1486.2038346271202</v>
      </c>
      <c r="P10" s="20">
        <f>O10/480</f>
        <v>3.0962579888065003</v>
      </c>
    </row>
    <row r="11" spans="1:18" ht="13.5" thickBot="1" x14ac:dyDescent="0.25">
      <c r="C11" s="35">
        <v>5</v>
      </c>
      <c r="D11" s="35">
        <v>4</v>
      </c>
      <c r="E11" s="28">
        <v>868.4</v>
      </c>
      <c r="F11" s="28">
        <v>778.4</v>
      </c>
      <c r="G11" s="23"/>
      <c r="H11" s="23">
        <f>SUM(E11:G11)</f>
        <v>1646.8</v>
      </c>
      <c r="I11" s="28"/>
      <c r="K11" s="7">
        <f>H11/D11</f>
        <v>411.7</v>
      </c>
      <c r="L11" s="21">
        <f>K11/1.016*10</f>
        <v>4052.1653543307089</v>
      </c>
      <c r="M11" s="22">
        <f>L11/1.12085</f>
        <v>3615.2610557440416</v>
      </c>
      <c r="N11" s="21">
        <f>L11*$O$4</f>
        <v>1510.6048955128022</v>
      </c>
      <c r="O11" s="21">
        <f>M11*$O$4</f>
        <v>1347.7315390219942</v>
      </c>
      <c r="P11" s="20">
        <f>O11/480</f>
        <v>2.8077740396291544</v>
      </c>
    </row>
    <row r="12" spans="1:18" ht="13.5" thickBot="1" x14ac:dyDescent="0.25">
      <c r="C12" s="35">
        <v>6</v>
      </c>
      <c r="D12" s="35">
        <v>4</v>
      </c>
      <c r="E12" s="28">
        <v>711.9</v>
      </c>
      <c r="F12" s="28">
        <v>882.1</v>
      </c>
      <c r="G12" s="23"/>
      <c r="H12" s="23">
        <f>SUM(E12:G12)</f>
        <v>1594</v>
      </c>
      <c r="I12" s="28"/>
      <c r="K12" s="7">
        <f>H12/D12</f>
        <v>398.5</v>
      </c>
      <c r="L12" s="21">
        <f>K12/1.016*10</f>
        <v>3922.2440944881891</v>
      </c>
      <c r="M12" s="22">
        <f>L12/1.12085</f>
        <v>3499.3479006898242</v>
      </c>
      <c r="N12" s="21">
        <f>L12*$O$4</f>
        <v>1462.1716076314103</v>
      </c>
      <c r="O12" s="21">
        <f>M12*$O$4</f>
        <v>1304.5203262090472</v>
      </c>
      <c r="P12" s="20">
        <f>O12/480</f>
        <v>2.7177506796021818</v>
      </c>
    </row>
    <row r="13" spans="1:18" ht="13.5" thickBot="1" x14ac:dyDescent="0.25">
      <c r="C13" s="35">
        <v>7</v>
      </c>
      <c r="D13" s="35">
        <v>4</v>
      </c>
      <c r="E13" s="28">
        <v>1574.9</v>
      </c>
      <c r="F13" s="28"/>
      <c r="G13" s="23"/>
      <c r="H13" s="23">
        <f>SUM(E13:G13)</f>
        <v>1574.9</v>
      </c>
      <c r="I13" s="28"/>
      <c r="K13" s="7">
        <f>H13/D13</f>
        <v>393.72500000000002</v>
      </c>
      <c r="L13" s="21">
        <f>K13/1.016*10</f>
        <v>3875.2460629921261</v>
      </c>
      <c r="M13" s="22">
        <f>L13/1.12085</f>
        <v>3457.4171949789234</v>
      </c>
      <c r="N13" s="21">
        <f>L13*$O$4</f>
        <v>1444.6512326591644</v>
      </c>
      <c r="O13" s="21">
        <f>M13*$O$4</f>
        <v>1288.8889973316363</v>
      </c>
      <c r="P13" s="20">
        <f>O13/480</f>
        <v>2.6851854111075757</v>
      </c>
    </row>
    <row r="14" spans="1:18" ht="13.5" thickBot="1" x14ac:dyDescent="0.25">
      <c r="C14" s="35">
        <v>8</v>
      </c>
      <c r="D14" s="35">
        <v>4</v>
      </c>
      <c r="E14" s="28">
        <v>1713.4</v>
      </c>
      <c r="F14" s="28"/>
      <c r="G14" s="23"/>
      <c r="H14" s="23">
        <f>SUM(E14:G14)</f>
        <v>1713.4</v>
      </c>
      <c r="I14" s="28"/>
      <c r="K14" s="7">
        <f>H14/D14</f>
        <v>428.35</v>
      </c>
      <c r="L14" s="21">
        <f>K14/1.016*10</f>
        <v>4216.0433070866147</v>
      </c>
      <c r="M14" s="22">
        <f>L14/1.12085</f>
        <v>3761.4696945056121</v>
      </c>
      <c r="N14" s="21">
        <f>L14*$O$4</f>
        <v>1571.6968836359215</v>
      </c>
      <c r="O14" s="21">
        <f>M14*$O$4</f>
        <v>1402.2365915474163</v>
      </c>
      <c r="P14" s="20">
        <f>O14/480</f>
        <v>2.9213262323904505</v>
      </c>
    </row>
    <row r="15" spans="1:18" ht="13.5" thickBot="1" x14ac:dyDescent="0.25">
      <c r="C15" s="35"/>
      <c r="D15" s="35"/>
      <c r="E15" s="23"/>
      <c r="F15" s="23"/>
      <c r="G15" s="23"/>
      <c r="H15" s="23"/>
      <c r="I15" s="23"/>
      <c r="M15" s="34"/>
    </row>
    <row r="16" spans="1:18" ht="13.5" thickBot="1" x14ac:dyDescent="0.25">
      <c r="C16" s="33" t="s">
        <v>92</v>
      </c>
      <c r="D16" s="32"/>
      <c r="E16" s="31">
        <v>37915</v>
      </c>
      <c r="F16" s="30" t="s">
        <v>91</v>
      </c>
      <c r="G16" s="29"/>
      <c r="H16" s="28">
        <v>90.1</v>
      </c>
      <c r="I16" s="23"/>
      <c r="K16" s="7">
        <f>H16/SUM($D$9:$D$14)</f>
        <v>3.7541666666666664</v>
      </c>
      <c r="L16" s="21">
        <f>K16/1.016*10</f>
        <v>36.950459317585299</v>
      </c>
      <c r="M16" s="22">
        <f>L16/1.12085</f>
        <v>32.966462343386986</v>
      </c>
      <c r="N16" s="21">
        <f>L16*$O$4</f>
        <v>13.774745069802391</v>
      </c>
      <c r="O16" s="21">
        <f>M16*$O$4</f>
        <v>12.289552633985272</v>
      </c>
      <c r="P16" s="20">
        <f>O16/480</f>
        <v>2.5603234654135984E-2</v>
      </c>
    </row>
    <row r="17" spans="3:16" ht="13.5" thickBot="1" x14ac:dyDescent="0.25">
      <c r="C17" s="27"/>
      <c r="D17" s="25"/>
      <c r="E17" s="26"/>
      <c r="F17" s="25"/>
      <c r="G17" s="24"/>
      <c r="H17" s="23"/>
      <c r="I17" s="23"/>
      <c r="L17" s="21"/>
      <c r="M17" s="22"/>
      <c r="N17" s="21"/>
      <c r="O17" s="21"/>
      <c r="P17" s="20"/>
    </row>
    <row r="18" spans="3:16" ht="16.5" thickBot="1" x14ac:dyDescent="0.25">
      <c r="C18" s="15" t="s">
        <v>90</v>
      </c>
      <c r="D18" s="14"/>
      <c r="E18" s="14"/>
      <c r="F18" s="14"/>
      <c r="G18" s="19"/>
      <c r="H18" s="13">
        <f>SUM(H9:H14,H16)</f>
        <v>10365.4</v>
      </c>
      <c r="I18" s="12"/>
      <c r="J18" s="11"/>
      <c r="K18" s="17">
        <f>AVERAGE(K9:K14)+K16/6</f>
        <v>428.76319444444442</v>
      </c>
      <c r="L18" s="17">
        <f>AVERAGE(L9:L14)+L16/6</f>
        <v>4220.1101815398079</v>
      </c>
      <c r="M18" s="18">
        <f>AVERAGE(M9:M14)+M16/6</f>
        <v>3765.0980787257963</v>
      </c>
      <c r="N18" s="17">
        <f>AVERAGE(N9:N14)+N16/6</f>
        <v>1573.2129719297675</v>
      </c>
      <c r="O18" s="17">
        <f>AVERAGE(O9:O14)+O16/6</f>
        <v>1403.5892152649931</v>
      </c>
      <c r="P18" s="16">
        <f>AVERAGE(P9:P14)+P16/6</f>
        <v>2.9241441984687357</v>
      </c>
    </row>
    <row r="19" spans="3:16" ht="16.5" thickBot="1" x14ac:dyDescent="0.25">
      <c r="C19" s="15" t="s">
        <v>89</v>
      </c>
      <c r="D19" s="14"/>
      <c r="E19" s="14"/>
      <c r="F19" s="14"/>
      <c r="G19" s="14"/>
      <c r="H19" s="13">
        <f>STDEV(H9:H14)/SQRT(COUNT(H9:H14))</f>
        <v>56.391144399335147</v>
      </c>
      <c r="I19" s="12"/>
      <c r="J19" s="11"/>
      <c r="K19" s="9">
        <f>STDEV(K9:K14)/SQRT(COUNT(K9:K14))</f>
        <v>14.097786099833787</v>
      </c>
      <c r="L19" s="9">
        <f>STDEV(L9:L14)/SQRT(COUNT(L9:L14))</f>
        <v>138.75773720308837</v>
      </c>
      <c r="M19" s="10">
        <f>STDEV(M9:M14)/SQRT(COUNT(M9:M14))</f>
        <v>123.796883796305</v>
      </c>
      <c r="N19" s="9">
        <f>STDEV(N9:N14)/SQRT(COUNT(N9:N14))</f>
        <v>51.727434292691861</v>
      </c>
      <c r="O19" s="9">
        <f>STDEV(O9:O14)/SQRT(COUNT(O9:O14))</f>
        <v>46.150184496312519</v>
      </c>
      <c r="P19" s="58">
        <f>STDEV(P9:P14)/SQRT(COUNT(P9:P14))</f>
        <v>9.6146217700651099E-2</v>
      </c>
    </row>
    <row r="21" spans="3:16" x14ac:dyDescent="0.2">
      <c r="C21" s="7" t="s">
        <v>122</v>
      </c>
    </row>
    <row r="22" spans="3:16" x14ac:dyDescent="0.2">
      <c r="C22" s="7" t="s">
        <v>87</v>
      </c>
    </row>
  </sheetData>
  <mergeCells count="6">
    <mergeCell ref="C18:G18"/>
    <mergeCell ref="C19:G19"/>
    <mergeCell ref="K6:M6"/>
    <mergeCell ref="N6:P6"/>
    <mergeCell ref="C16:D16"/>
    <mergeCell ref="F16:G16"/>
  </mergeCells>
  <pageMargins left="0.75" right="0.75" top="1" bottom="0.52" header="0.5" footer="0.5"/>
  <pageSetup scale="75" orientation="landscape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8CE8E-C619-4D03-9430-EF324304D54C}">
  <sheetPr codeName="Sheet35">
    <pageSetUpPr fitToPage="1"/>
  </sheetPr>
  <dimension ref="A1:R22"/>
  <sheetViews>
    <sheetView workbookViewId="0">
      <selection activeCell="K6" sqref="K6:M6"/>
    </sheetView>
  </sheetViews>
  <sheetFormatPr defaultRowHeight="12.75" x14ac:dyDescent="0.2"/>
  <cols>
    <col min="1" max="16384" width="9.140625" style="7"/>
  </cols>
  <sheetData>
    <row r="1" spans="1:18" ht="37.5" x14ac:dyDescent="0.2">
      <c r="A1" s="57" t="s">
        <v>121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</row>
    <row r="2" spans="1:18" ht="18.75" thickBot="1" x14ac:dyDescent="0.3">
      <c r="H2" s="56" t="s">
        <v>120</v>
      </c>
      <c r="I2" s="55">
        <v>406</v>
      </c>
      <c r="J2" s="54"/>
      <c r="K2" s="47" t="s">
        <v>119</v>
      </c>
      <c r="L2" s="53">
        <v>37924</v>
      </c>
      <c r="N2" s="47"/>
      <c r="O2" s="48"/>
    </row>
    <row r="3" spans="1:18" ht="17.25" thickTop="1" thickBot="1" x14ac:dyDescent="0.25">
      <c r="B3" s="50" t="s">
        <v>116</v>
      </c>
      <c r="C3" s="52">
        <v>37914</v>
      </c>
      <c r="K3" s="47" t="s">
        <v>115</v>
      </c>
      <c r="L3" s="48">
        <v>2189.85</v>
      </c>
      <c r="N3" s="47" t="s">
        <v>114</v>
      </c>
      <c r="O3" s="46">
        <f>(L3-(L4+L5))/L3</f>
        <v>4.8450807132908606E-2</v>
      </c>
    </row>
    <row r="4" spans="1:18" ht="17.25" thickTop="1" thickBot="1" x14ac:dyDescent="0.25">
      <c r="B4" s="50" t="s">
        <v>113</v>
      </c>
      <c r="C4" s="52">
        <v>37921</v>
      </c>
      <c r="F4" s="45"/>
      <c r="G4" s="45"/>
      <c r="H4" s="50" t="s">
        <v>112</v>
      </c>
      <c r="I4" s="51" t="s">
        <v>111</v>
      </c>
      <c r="K4" s="47" t="s">
        <v>110</v>
      </c>
      <c r="L4" s="48">
        <v>769</v>
      </c>
      <c r="N4" s="47" t="s">
        <v>109</v>
      </c>
      <c r="O4" s="46">
        <f>L4/L3</f>
        <v>0.35116560495011073</v>
      </c>
    </row>
    <row r="5" spans="1:18" ht="17.25" thickTop="1" thickBot="1" x14ac:dyDescent="0.25">
      <c r="B5" s="50" t="s">
        <v>108</v>
      </c>
      <c r="C5" s="49">
        <v>0.46736111111111112</v>
      </c>
      <c r="F5" s="45"/>
      <c r="G5" s="45"/>
      <c r="K5" s="47" t="s">
        <v>107</v>
      </c>
      <c r="L5" s="48">
        <v>1314.75</v>
      </c>
      <c r="N5" s="47" t="s">
        <v>106</v>
      </c>
      <c r="O5" s="46">
        <f>L5/L3</f>
        <v>0.60038358791698065</v>
      </c>
      <c r="Q5" s="20"/>
    </row>
    <row r="6" spans="1:18" ht="17.25" thickTop="1" thickBot="1" x14ac:dyDescent="0.25">
      <c r="F6" s="45"/>
      <c r="G6" s="45"/>
      <c r="K6" s="43" t="s">
        <v>105</v>
      </c>
      <c r="L6" s="43"/>
      <c r="M6" s="44"/>
      <c r="N6" s="43" t="s">
        <v>104</v>
      </c>
      <c r="O6" s="43"/>
      <c r="P6" s="43"/>
    </row>
    <row r="7" spans="1:18" ht="26.25" thickBot="1" x14ac:dyDescent="0.25">
      <c r="A7" s="36"/>
      <c r="B7" s="36"/>
      <c r="C7" s="35" t="s">
        <v>103</v>
      </c>
      <c r="D7" s="39" t="s">
        <v>102</v>
      </c>
      <c r="E7" s="42" t="s">
        <v>101</v>
      </c>
      <c r="F7" s="42" t="s">
        <v>100</v>
      </c>
      <c r="G7" s="42" t="s">
        <v>99</v>
      </c>
      <c r="H7" s="42" t="s">
        <v>98</v>
      </c>
      <c r="I7" s="35" t="s">
        <v>97</v>
      </c>
      <c r="J7" s="38"/>
      <c r="K7" s="38" t="s">
        <v>96</v>
      </c>
      <c r="L7" s="38" t="s">
        <v>95</v>
      </c>
      <c r="M7" s="41" t="s">
        <v>94</v>
      </c>
      <c r="N7" s="38" t="s">
        <v>95</v>
      </c>
      <c r="O7" s="38" t="s">
        <v>94</v>
      </c>
      <c r="P7" s="40" t="s">
        <v>93</v>
      </c>
      <c r="Q7" s="36"/>
      <c r="R7" s="36"/>
    </row>
    <row r="8" spans="1:18" ht="13.5" thickBot="1" x14ac:dyDescent="0.25">
      <c r="A8" s="36"/>
      <c r="B8" s="36"/>
      <c r="C8" s="35"/>
      <c r="D8" s="39"/>
      <c r="E8" s="35"/>
      <c r="F8" s="35"/>
      <c r="G8" s="35"/>
      <c r="H8" s="35"/>
      <c r="I8" s="35"/>
      <c r="J8" s="38"/>
      <c r="K8" s="36"/>
      <c r="L8" s="36"/>
      <c r="M8" s="37"/>
      <c r="N8" s="36"/>
      <c r="O8" s="36"/>
      <c r="P8" s="36"/>
      <c r="Q8" s="36"/>
      <c r="R8" s="36"/>
    </row>
    <row r="9" spans="1:18" ht="13.5" thickBot="1" x14ac:dyDescent="0.25">
      <c r="C9" s="35">
        <v>3</v>
      </c>
      <c r="D9" s="35">
        <v>4</v>
      </c>
      <c r="E9" s="28">
        <v>1120.8599999999999</v>
      </c>
      <c r="F9" s="28">
        <v>1009.74</v>
      </c>
      <c r="G9" s="23"/>
      <c r="H9" s="23">
        <f>SUM(E9:G9)</f>
        <v>2130.6</v>
      </c>
      <c r="I9" s="28"/>
      <c r="K9" s="7">
        <f>H9/D9</f>
        <v>532.65</v>
      </c>
      <c r="L9" s="21">
        <f>K9/1.016*10</f>
        <v>5242.6181102362207</v>
      </c>
      <c r="M9" s="22">
        <f>L9/1.12085</f>
        <v>4677.3592454264362</v>
      </c>
      <c r="N9" s="21">
        <f>L9*$O$4</f>
        <v>1841.0271602035089</v>
      </c>
      <c r="O9" s="21">
        <f>M9*$O$4</f>
        <v>1642.5276889891679</v>
      </c>
      <c r="P9" s="20">
        <f>O9/480</f>
        <v>3.4219326853940997</v>
      </c>
    </row>
    <row r="10" spans="1:18" ht="13.5" thickBot="1" x14ac:dyDescent="0.25">
      <c r="C10" s="35">
        <v>4</v>
      </c>
      <c r="D10" s="35">
        <v>4</v>
      </c>
      <c r="E10" s="28">
        <v>1199.58</v>
      </c>
      <c r="F10" s="28">
        <v>1009.46</v>
      </c>
      <c r="G10" s="23"/>
      <c r="H10" s="23">
        <f>SUM(E10:G10)</f>
        <v>2209.04</v>
      </c>
      <c r="I10" s="28"/>
      <c r="K10" s="7">
        <f>H10/D10</f>
        <v>552.26</v>
      </c>
      <c r="L10" s="21">
        <f>K10/1.016*10</f>
        <v>5435.6299212598424</v>
      </c>
      <c r="M10" s="22">
        <f>L10/1.12085</f>
        <v>4849.5605310789515</v>
      </c>
      <c r="N10" s="21">
        <f>L10*$O$4</f>
        <v>1908.8062695841354</v>
      </c>
      <c r="O10" s="21">
        <f>M10*$O$4</f>
        <v>1702.9988576385203</v>
      </c>
      <c r="P10" s="20">
        <f>O10/480</f>
        <v>3.5479142867469173</v>
      </c>
    </row>
    <row r="11" spans="1:18" ht="13.5" thickBot="1" x14ac:dyDescent="0.25">
      <c r="C11" s="35">
        <v>5</v>
      </c>
      <c r="D11" s="35">
        <v>4</v>
      </c>
      <c r="E11" s="28">
        <v>1377.3</v>
      </c>
      <c r="F11" s="28">
        <v>966.36</v>
      </c>
      <c r="G11" s="23"/>
      <c r="H11" s="23">
        <f>SUM(E11:G11)</f>
        <v>2343.66</v>
      </c>
      <c r="I11" s="28"/>
      <c r="K11" s="7">
        <f>H11/D11</f>
        <v>585.91499999999996</v>
      </c>
      <c r="L11" s="21">
        <f>K11/1.016*10</f>
        <v>5766.8799212598424</v>
      </c>
      <c r="M11" s="22">
        <f>L11/1.12085</f>
        <v>5145.0951699690795</v>
      </c>
      <c r="N11" s="21">
        <f>L11*$O$4</f>
        <v>2025.1298762238596</v>
      </c>
      <c r="O11" s="21">
        <f>M11*$O$4</f>
        <v>1806.7804578880846</v>
      </c>
      <c r="P11" s="20">
        <f>O11/480</f>
        <v>3.7641259539335095</v>
      </c>
    </row>
    <row r="12" spans="1:18" ht="13.5" thickBot="1" x14ac:dyDescent="0.25">
      <c r="C12" s="35">
        <v>6</v>
      </c>
      <c r="D12" s="35">
        <v>4</v>
      </c>
      <c r="E12" s="28">
        <v>1415.6</v>
      </c>
      <c r="F12" s="28">
        <v>746.3</v>
      </c>
      <c r="G12" s="23"/>
      <c r="H12" s="23">
        <f>SUM(E12:G12)</f>
        <v>2161.8999999999996</v>
      </c>
      <c r="I12" s="28"/>
      <c r="K12" s="7">
        <f>H12/D12</f>
        <v>540.47499999999991</v>
      </c>
      <c r="L12" s="21">
        <f>K12/1.016*10</f>
        <v>5319.6358267716532</v>
      </c>
      <c r="M12" s="22">
        <f>L12/1.12085</f>
        <v>4746.072914994561</v>
      </c>
      <c r="N12" s="21">
        <f>L12*$O$4</f>
        <v>1868.07313322255</v>
      </c>
      <c r="O12" s="21">
        <f>M12*$O$4</f>
        <v>1666.6575663314004</v>
      </c>
      <c r="P12" s="20">
        <f>O12/480</f>
        <v>3.4722032631904174</v>
      </c>
    </row>
    <row r="13" spans="1:18" ht="13.5" thickBot="1" x14ac:dyDescent="0.25">
      <c r="C13" s="35">
        <v>7</v>
      </c>
      <c r="D13" s="35">
        <v>4</v>
      </c>
      <c r="E13" s="28">
        <v>1151.48</v>
      </c>
      <c r="F13" s="28">
        <v>977.82</v>
      </c>
      <c r="G13" s="23"/>
      <c r="H13" s="23">
        <f>SUM(E13:G13)</f>
        <v>2129.3000000000002</v>
      </c>
      <c r="I13" s="28"/>
      <c r="K13" s="7">
        <f>H13/D13</f>
        <v>532.32500000000005</v>
      </c>
      <c r="L13" s="21">
        <f>K13/1.016*10</f>
        <v>5239.4192913385823</v>
      </c>
      <c r="M13" s="22">
        <f>L13/1.12085</f>
        <v>4674.5053230482072</v>
      </c>
      <c r="N13" s="21">
        <f>L13*$O$4</f>
        <v>1839.9038450301937</v>
      </c>
      <c r="O13" s="21">
        <f>M13*$O$4</f>
        <v>1641.5254896107365</v>
      </c>
      <c r="P13" s="20">
        <f>O13/480</f>
        <v>3.4198447700223675</v>
      </c>
    </row>
    <row r="14" spans="1:18" ht="13.5" thickBot="1" x14ac:dyDescent="0.25">
      <c r="C14" s="35">
        <v>8</v>
      </c>
      <c r="D14" s="35">
        <v>4</v>
      </c>
      <c r="E14" s="28">
        <v>1251.95</v>
      </c>
      <c r="F14" s="28">
        <v>951.64</v>
      </c>
      <c r="G14" s="23"/>
      <c r="H14" s="23">
        <f>SUM(E14:G14)</f>
        <v>2203.59</v>
      </c>
      <c r="I14" s="28"/>
      <c r="K14" s="7">
        <f>H14/D14</f>
        <v>550.89750000000004</v>
      </c>
      <c r="L14" s="21">
        <f>K14/1.016*10</f>
        <v>5422.2194881889764</v>
      </c>
      <c r="M14" s="22">
        <f>L14/1.12085</f>
        <v>4837.5960103394536</v>
      </c>
      <c r="N14" s="21">
        <f>L14*$O$4</f>
        <v>1904.0969867421618</v>
      </c>
      <c r="O14" s="21">
        <f>M14*$O$4</f>
        <v>1698.7973294750964</v>
      </c>
      <c r="P14" s="20">
        <f>O14/480</f>
        <v>3.5391611030731176</v>
      </c>
    </row>
    <row r="15" spans="1:18" ht="13.5" thickBot="1" x14ac:dyDescent="0.25">
      <c r="C15" s="35"/>
      <c r="D15" s="35"/>
      <c r="E15" s="23"/>
      <c r="F15" s="23"/>
      <c r="G15" s="23"/>
      <c r="H15" s="23"/>
      <c r="I15" s="23"/>
      <c r="M15" s="34"/>
    </row>
    <row r="16" spans="1:18" ht="13.5" thickBot="1" x14ac:dyDescent="0.25">
      <c r="C16" s="33" t="s">
        <v>92</v>
      </c>
      <c r="D16" s="32"/>
      <c r="E16" s="31">
        <v>37915</v>
      </c>
      <c r="F16" s="30" t="s">
        <v>91</v>
      </c>
      <c r="G16" s="29"/>
      <c r="H16" s="28">
        <v>134.25</v>
      </c>
      <c r="I16" s="23"/>
      <c r="K16" s="7">
        <f>H16/SUM($D$9:$D$14)</f>
        <v>5.59375</v>
      </c>
      <c r="L16" s="21">
        <f>K16/1.016*10</f>
        <v>55.056594488188971</v>
      </c>
      <c r="M16" s="22">
        <f>L16/1.12085</f>
        <v>49.120394779130997</v>
      </c>
      <c r="N16" s="21">
        <f>L16*$O$4</f>
        <v>19.333982309937813</v>
      </c>
      <c r="O16" s="21">
        <f>M16*$O$4</f>
        <v>17.249393148001797</v>
      </c>
      <c r="P16" s="20">
        <f>O16/480</f>
        <v>3.5936235725003741E-2</v>
      </c>
    </row>
    <row r="17" spans="3:16" ht="13.5" thickBot="1" x14ac:dyDescent="0.25">
      <c r="C17" s="27"/>
      <c r="D17" s="25"/>
      <c r="E17" s="26"/>
      <c r="F17" s="25"/>
      <c r="G17" s="24"/>
      <c r="H17" s="23"/>
      <c r="I17" s="23"/>
      <c r="L17" s="21"/>
      <c r="M17" s="22"/>
      <c r="N17" s="21"/>
      <c r="O17" s="21"/>
      <c r="P17" s="20"/>
    </row>
    <row r="18" spans="3:16" ht="16.5" thickBot="1" x14ac:dyDescent="0.25">
      <c r="C18" s="15" t="s">
        <v>90</v>
      </c>
      <c r="D18" s="14"/>
      <c r="E18" s="14"/>
      <c r="F18" s="14"/>
      <c r="G18" s="19"/>
      <c r="H18" s="13">
        <f>SUM(H9:H14,H16)</f>
        <v>13312.34</v>
      </c>
      <c r="I18" s="12"/>
      <c r="J18" s="11"/>
      <c r="K18" s="17">
        <f>AVERAGE(K9:K14)+K16/6</f>
        <v>550.01937499999997</v>
      </c>
      <c r="L18" s="17">
        <f>AVERAGE(L9:L14)+L16/6</f>
        <v>5413.5765255905508</v>
      </c>
      <c r="M18" s="18">
        <f>AVERAGE(M9:M14)+M16/6</f>
        <v>4829.8849316059695</v>
      </c>
      <c r="N18" s="17">
        <f>AVERAGE(N9:N14)+N16/6</f>
        <v>1901.0618755527248</v>
      </c>
      <c r="O18" s="17">
        <f>AVERAGE(O9:O14)+O16/6</f>
        <v>1696.0894638468349</v>
      </c>
      <c r="P18" s="16">
        <f>AVERAGE(P9:P14)+P16/6</f>
        <v>3.533519716347572</v>
      </c>
    </row>
    <row r="19" spans="3:16" ht="16.5" thickBot="1" x14ac:dyDescent="0.25">
      <c r="C19" s="15" t="s">
        <v>89</v>
      </c>
      <c r="D19" s="14"/>
      <c r="E19" s="14"/>
      <c r="F19" s="14"/>
      <c r="G19" s="14"/>
      <c r="H19" s="13">
        <f>STDEV(H9:H14)/SQRT(COUNT(H9:H14))</f>
        <v>32.618633367720619</v>
      </c>
      <c r="I19" s="12"/>
      <c r="J19" s="11"/>
      <c r="K19" s="9">
        <f>STDEV(K9:K14)/SQRT(COUNT(K9:K14))</f>
        <v>8.1546583419301548</v>
      </c>
      <c r="L19" s="9">
        <f>STDEV(L9:L14)/SQRT(COUNT(L9:L14))</f>
        <v>80.262385255218092</v>
      </c>
      <c r="M19" s="10">
        <f>STDEV(M9:M14)/SQRT(COUNT(M9:M14))</f>
        <v>71.608498242599879</v>
      </c>
      <c r="N19" s="9">
        <f>STDEV(N9:N14)/SQRT(COUNT(N9:N14))</f>
        <v>28.185389072887521</v>
      </c>
      <c r="O19" s="9">
        <f>STDEV(O9:O14)/SQRT(COUNT(O9:O14))</f>
        <v>25.146441604931528</v>
      </c>
      <c r="P19" s="58">
        <f>STDEV(P9:P14)/SQRT(COUNT(P9:P14))</f>
        <v>5.2388420010274023E-2</v>
      </c>
    </row>
    <row r="21" spans="3:16" x14ac:dyDescent="0.2">
      <c r="C21" s="7" t="s">
        <v>122</v>
      </c>
    </row>
    <row r="22" spans="3:16" x14ac:dyDescent="0.2">
      <c r="C22" s="7" t="s">
        <v>87</v>
      </c>
    </row>
  </sheetData>
  <mergeCells count="6">
    <mergeCell ref="C18:G18"/>
    <mergeCell ref="C19:G19"/>
    <mergeCell ref="K6:M6"/>
    <mergeCell ref="N6:P6"/>
    <mergeCell ref="C16:D16"/>
    <mergeCell ref="F16:G16"/>
  </mergeCells>
  <pageMargins left="0.75" right="0.75" top="1" bottom="0.52" header="0.5" footer="0.5"/>
  <pageSetup scale="75" orientation="landscape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F5DA4-035E-437A-B088-F3FB7B185107}">
  <sheetPr codeName="Sheet36">
    <pageSetUpPr fitToPage="1"/>
  </sheetPr>
  <dimension ref="A1:R22"/>
  <sheetViews>
    <sheetView topLeftCell="B1" workbookViewId="0">
      <selection activeCell="K6" sqref="K6:M6"/>
    </sheetView>
  </sheetViews>
  <sheetFormatPr defaultRowHeight="12.75" x14ac:dyDescent="0.2"/>
  <cols>
    <col min="1" max="16384" width="9.140625" style="7"/>
  </cols>
  <sheetData>
    <row r="1" spans="1:18" ht="37.5" x14ac:dyDescent="0.2">
      <c r="A1" s="57" t="s">
        <v>121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</row>
    <row r="2" spans="1:18" ht="18.75" thickBot="1" x14ac:dyDescent="0.3">
      <c r="H2" s="56" t="s">
        <v>120</v>
      </c>
      <c r="I2" s="55">
        <v>407</v>
      </c>
      <c r="J2" s="54"/>
      <c r="K2" s="47" t="s">
        <v>119</v>
      </c>
      <c r="L2" s="53">
        <v>37924</v>
      </c>
      <c r="N2" s="47"/>
      <c r="O2" s="48"/>
    </row>
    <row r="3" spans="1:18" ht="17.25" thickTop="1" thickBot="1" x14ac:dyDescent="0.25">
      <c r="B3" s="50" t="s">
        <v>116</v>
      </c>
      <c r="C3" s="52">
        <v>37914</v>
      </c>
      <c r="K3" s="47" t="s">
        <v>115</v>
      </c>
      <c r="L3" s="48">
        <v>2587.35</v>
      </c>
      <c r="N3" s="47" t="s">
        <v>114</v>
      </c>
      <c r="O3" s="46">
        <f>(L3-(L4+L5))/L3</f>
        <v>4.7925483602914182E-2</v>
      </c>
    </row>
    <row r="4" spans="1:18" ht="17.25" thickTop="1" thickBot="1" x14ac:dyDescent="0.25">
      <c r="B4" s="50" t="s">
        <v>113</v>
      </c>
      <c r="C4" s="52">
        <v>37921</v>
      </c>
      <c r="F4" s="45"/>
      <c r="G4" s="45"/>
      <c r="H4" s="50" t="s">
        <v>112</v>
      </c>
      <c r="I4" s="51" t="s">
        <v>117</v>
      </c>
      <c r="K4" s="47" t="s">
        <v>110</v>
      </c>
      <c r="L4" s="48">
        <v>874.1</v>
      </c>
      <c r="N4" s="47" t="s">
        <v>109</v>
      </c>
      <c r="O4" s="46">
        <f>L4/L3</f>
        <v>0.33783600981699424</v>
      </c>
    </row>
    <row r="5" spans="1:18" ht="17.25" thickTop="1" thickBot="1" x14ac:dyDescent="0.25">
      <c r="B5" s="50" t="s">
        <v>108</v>
      </c>
      <c r="C5" s="49">
        <v>0.46736111111111112</v>
      </c>
      <c r="F5" s="45"/>
      <c r="G5" s="45"/>
      <c r="K5" s="47" t="s">
        <v>107</v>
      </c>
      <c r="L5" s="48">
        <v>1589.25</v>
      </c>
      <c r="N5" s="47" t="s">
        <v>106</v>
      </c>
      <c r="O5" s="46">
        <f>L5/L3</f>
        <v>0.6142385065800916</v>
      </c>
      <c r="Q5" s="20"/>
    </row>
    <row r="6" spans="1:18" ht="17.25" thickTop="1" thickBot="1" x14ac:dyDescent="0.25">
      <c r="F6" s="45"/>
      <c r="G6" s="45"/>
      <c r="K6" s="43" t="s">
        <v>105</v>
      </c>
      <c r="L6" s="43"/>
      <c r="M6" s="44"/>
      <c r="N6" s="43" t="s">
        <v>104</v>
      </c>
      <c r="O6" s="43"/>
      <c r="P6" s="43"/>
    </row>
    <row r="7" spans="1:18" ht="26.25" thickBot="1" x14ac:dyDescent="0.25">
      <c r="A7" s="36"/>
      <c r="B7" s="36"/>
      <c r="C7" s="35" t="s">
        <v>103</v>
      </c>
      <c r="D7" s="39" t="s">
        <v>102</v>
      </c>
      <c r="E7" s="42" t="s">
        <v>101</v>
      </c>
      <c r="F7" s="42" t="s">
        <v>100</v>
      </c>
      <c r="G7" s="42" t="s">
        <v>99</v>
      </c>
      <c r="H7" s="42" t="s">
        <v>98</v>
      </c>
      <c r="I7" s="35" t="s">
        <v>97</v>
      </c>
      <c r="J7" s="38"/>
      <c r="K7" s="38" t="s">
        <v>96</v>
      </c>
      <c r="L7" s="38" t="s">
        <v>95</v>
      </c>
      <c r="M7" s="41" t="s">
        <v>94</v>
      </c>
      <c r="N7" s="38" t="s">
        <v>95</v>
      </c>
      <c r="O7" s="38" t="s">
        <v>94</v>
      </c>
      <c r="P7" s="40" t="s">
        <v>93</v>
      </c>
      <c r="Q7" s="36"/>
      <c r="R7" s="36"/>
    </row>
    <row r="8" spans="1:18" ht="13.5" thickBot="1" x14ac:dyDescent="0.25">
      <c r="A8" s="36"/>
      <c r="B8" s="36"/>
      <c r="C8" s="35"/>
      <c r="D8" s="39"/>
      <c r="E8" s="35"/>
      <c r="F8" s="35"/>
      <c r="G8" s="35"/>
      <c r="H8" s="35"/>
      <c r="I8" s="35"/>
      <c r="J8" s="38"/>
      <c r="K8" s="36"/>
      <c r="L8" s="36"/>
      <c r="M8" s="37"/>
      <c r="N8" s="36"/>
      <c r="O8" s="36"/>
      <c r="P8" s="36"/>
      <c r="Q8" s="36"/>
      <c r="R8" s="36"/>
    </row>
    <row r="9" spans="1:18" ht="13.5" thickBot="1" x14ac:dyDescent="0.25">
      <c r="C9" s="35">
        <v>3</v>
      </c>
      <c r="D9" s="35">
        <v>4</v>
      </c>
      <c r="E9" s="28">
        <v>932.8</v>
      </c>
      <c r="F9" s="28">
        <v>949.4</v>
      </c>
      <c r="G9" s="23"/>
      <c r="H9" s="23">
        <f>SUM(E9:G9)</f>
        <v>1882.1999999999998</v>
      </c>
      <c r="I9" s="28"/>
      <c r="K9" s="7">
        <f>H9/D9</f>
        <v>470.54999999999995</v>
      </c>
      <c r="L9" s="21">
        <f>K9/1.016*10</f>
        <v>4631.3976377952749</v>
      </c>
      <c r="M9" s="22">
        <f>L9/1.12085</f>
        <v>4132.0405386940938</v>
      </c>
      <c r="N9" s="21">
        <f>L9*$O$4</f>
        <v>1564.6528978286085</v>
      </c>
      <c r="O9" s="21">
        <f>M9*$O$4</f>
        <v>1395.952087994476</v>
      </c>
      <c r="P9" s="20">
        <f>O9/480</f>
        <v>2.9082335166551583</v>
      </c>
    </row>
    <row r="10" spans="1:18" ht="13.5" thickBot="1" x14ac:dyDescent="0.25">
      <c r="C10" s="35">
        <v>4</v>
      </c>
      <c r="D10" s="35">
        <v>4</v>
      </c>
      <c r="E10" s="28">
        <v>901.4</v>
      </c>
      <c r="F10" s="28">
        <v>1005.5</v>
      </c>
      <c r="G10" s="23">
        <v>174.4</v>
      </c>
      <c r="H10" s="23">
        <f>SUM(E10:G10)</f>
        <v>2081.3000000000002</v>
      </c>
      <c r="I10" s="28"/>
      <c r="K10" s="7">
        <f>H10/D10</f>
        <v>520.32500000000005</v>
      </c>
      <c r="L10" s="21">
        <f>K10/1.016*10</f>
        <v>5121.3090551181103</v>
      </c>
      <c r="M10" s="22">
        <f>L10/1.12085</f>
        <v>4569.1297275443731</v>
      </c>
      <c r="N10" s="21">
        <f>L10*$O$4</f>
        <v>1730.1626162207435</v>
      </c>
      <c r="O10" s="21">
        <f>M10*$O$4</f>
        <v>1543.6165554898012</v>
      </c>
      <c r="P10" s="20">
        <f>O10/480</f>
        <v>3.2158678239370859</v>
      </c>
    </row>
    <row r="11" spans="1:18" ht="13.5" thickBot="1" x14ac:dyDescent="0.25">
      <c r="C11" s="35">
        <v>5</v>
      </c>
      <c r="D11" s="35">
        <v>4</v>
      </c>
      <c r="E11" s="28">
        <v>1329.5</v>
      </c>
      <c r="F11" s="28">
        <v>636.20000000000005</v>
      </c>
      <c r="G11" s="23"/>
      <c r="H11" s="23">
        <f>SUM(E11:G11)</f>
        <v>1965.7</v>
      </c>
      <c r="I11" s="28"/>
      <c r="K11" s="7">
        <f>H11/D11</f>
        <v>491.42500000000001</v>
      </c>
      <c r="L11" s="21">
        <f>K11/1.016*10</f>
        <v>4836.860236220472</v>
      </c>
      <c r="M11" s="22">
        <f>L11/1.12085</f>
        <v>4315.350168372639</v>
      </c>
      <c r="N11" s="21">
        <f>L11*$O$4</f>
        <v>1634.0655622472084</v>
      </c>
      <c r="O11" s="21">
        <f>M11*$O$4</f>
        <v>1457.8806818461067</v>
      </c>
      <c r="P11" s="20">
        <f>O11/480</f>
        <v>3.0372514205127223</v>
      </c>
    </row>
    <row r="12" spans="1:18" ht="13.5" thickBot="1" x14ac:dyDescent="0.25">
      <c r="C12" s="35">
        <v>6</v>
      </c>
      <c r="D12" s="35">
        <v>4</v>
      </c>
      <c r="E12" s="28">
        <v>1198.0999999999999</v>
      </c>
      <c r="F12" s="28">
        <v>824.1</v>
      </c>
      <c r="G12" s="23"/>
      <c r="H12" s="23">
        <f>SUM(E12:G12)</f>
        <v>2022.1999999999998</v>
      </c>
      <c r="I12" s="28"/>
      <c r="K12" s="7">
        <f>H12/D12</f>
        <v>505.54999999999995</v>
      </c>
      <c r="L12" s="21">
        <f>K12/1.016*10</f>
        <v>4975.8858267716532</v>
      </c>
      <c r="M12" s="22">
        <f>L12/1.12085</f>
        <v>4439.3860255802774</v>
      </c>
      <c r="N12" s="21">
        <f>L12*$O$4</f>
        <v>1681.0334130214708</v>
      </c>
      <c r="O12" s="21">
        <f>M12*$O$4</f>
        <v>1499.7844609193658</v>
      </c>
      <c r="P12" s="20">
        <f>O12/480</f>
        <v>3.1245509602486785</v>
      </c>
    </row>
    <row r="13" spans="1:18" ht="13.5" thickBot="1" x14ac:dyDescent="0.25">
      <c r="C13" s="35">
        <v>7</v>
      </c>
      <c r="D13" s="35">
        <v>4</v>
      </c>
      <c r="E13" s="28">
        <v>721.1</v>
      </c>
      <c r="F13" s="28">
        <v>1244.7</v>
      </c>
      <c r="G13" s="23"/>
      <c r="H13" s="23">
        <f>SUM(E13:G13)</f>
        <v>1965.8000000000002</v>
      </c>
      <c r="I13" s="28"/>
      <c r="K13" s="7">
        <f>H13/D13</f>
        <v>491.45000000000005</v>
      </c>
      <c r="L13" s="21">
        <f>K13/1.016*10</f>
        <v>4837.106299212599</v>
      </c>
      <c r="M13" s="22">
        <f>L13/1.12085</f>
        <v>4315.5697008632733</v>
      </c>
      <c r="N13" s="21">
        <f>L13*$O$4</f>
        <v>1634.1486911866323</v>
      </c>
      <c r="O13" s="21">
        <f>M13*$O$4</f>
        <v>1457.9548478267677</v>
      </c>
      <c r="P13" s="20">
        <f>O13/480</f>
        <v>3.0374059329724328</v>
      </c>
    </row>
    <row r="14" spans="1:18" ht="13.5" thickBot="1" x14ac:dyDescent="0.25">
      <c r="C14" s="35">
        <v>8</v>
      </c>
      <c r="D14" s="35">
        <v>4</v>
      </c>
      <c r="E14" s="28">
        <v>2090.4</v>
      </c>
      <c r="F14" s="28"/>
      <c r="G14" s="23"/>
      <c r="H14" s="23">
        <f>SUM(E14:G14)</f>
        <v>2090.4</v>
      </c>
      <c r="I14" s="28"/>
      <c r="K14" s="7">
        <f>H14/D14</f>
        <v>522.6</v>
      </c>
      <c r="L14" s="21">
        <f>K14/1.016*10</f>
        <v>5143.7007874015753</v>
      </c>
      <c r="M14" s="22">
        <f>L14/1.12085</f>
        <v>4589.1071841919756</v>
      </c>
      <c r="N14" s="21">
        <f>L14*$O$4</f>
        <v>1737.7273497082797</v>
      </c>
      <c r="O14" s="21">
        <f>M14*$O$4</f>
        <v>1550.3656597299191</v>
      </c>
      <c r="P14" s="20">
        <f>O14/480</f>
        <v>3.2299284577706646</v>
      </c>
    </row>
    <row r="15" spans="1:18" ht="13.5" thickBot="1" x14ac:dyDescent="0.25">
      <c r="C15" s="35"/>
      <c r="D15" s="35"/>
      <c r="E15" s="23"/>
      <c r="F15" s="23"/>
      <c r="G15" s="23"/>
      <c r="H15" s="23"/>
      <c r="I15" s="23"/>
      <c r="M15" s="34"/>
    </row>
    <row r="16" spans="1:18" ht="13.5" thickBot="1" x14ac:dyDescent="0.25">
      <c r="C16" s="33" t="s">
        <v>92</v>
      </c>
      <c r="D16" s="32"/>
      <c r="E16" s="31">
        <v>37915</v>
      </c>
      <c r="F16" s="30" t="s">
        <v>91</v>
      </c>
      <c r="G16" s="29"/>
      <c r="H16" s="28">
        <v>129.5</v>
      </c>
      <c r="I16" s="23"/>
      <c r="K16" s="7">
        <f>H16/SUM($D$9:$D$14)</f>
        <v>5.395833333333333</v>
      </c>
      <c r="L16" s="21">
        <f>K16/1.016*10</f>
        <v>53.108595800524931</v>
      </c>
      <c r="M16" s="22">
        <f>L16/1.12085</f>
        <v>47.382429228286512</v>
      </c>
      <c r="N16" s="21">
        <f>L16*$O$4</f>
        <v>17.94199609223292</v>
      </c>
      <c r="O16" s="21">
        <f>M16*$O$4</f>
        <v>16.007490825920438</v>
      </c>
      <c r="P16" s="20">
        <f>O16/480</f>
        <v>3.3348939220667582E-2</v>
      </c>
    </row>
    <row r="17" spans="3:16" ht="13.5" thickBot="1" x14ac:dyDescent="0.25">
      <c r="C17" s="27"/>
      <c r="D17" s="25"/>
      <c r="E17" s="26"/>
      <c r="F17" s="25"/>
      <c r="G17" s="24"/>
      <c r="H17" s="23"/>
      <c r="I17" s="23"/>
      <c r="L17" s="21"/>
      <c r="M17" s="22"/>
      <c r="N17" s="21"/>
      <c r="O17" s="21"/>
      <c r="P17" s="20"/>
    </row>
    <row r="18" spans="3:16" ht="16.5" thickBot="1" x14ac:dyDescent="0.25">
      <c r="C18" s="15" t="s">
        <v>90</v>
      </c>
      <c r="D18" s="14"/>
      <c r="E18" s="14"/>
      <c r="F18" s="14"/>
      <c r="G18" s="19"/>
      <c r="H18" s="13">
        <f>SUM(H9:H14,H16)</f>
        <v>12137.1</v>
      </c>
      <c r="I18" s="12"/>
      <c r="J18" s="11"/>
      <c r="K18" s="17">
        <f>AVERAGE(K9:K14)+K16/6</f>
        <v>501.21597222222221</v>
      </c>
      <c r="L18" s="17">
        <f>AVERAGE(L9:L14)+L16/6</f>
        <v>4933.2280730533685</v>
      </c>
      <c r="M18" s="18">
        <f>AVERAGE(M9:M14)+M16/6</f>
        <v>4401.3276290791537</v>
      </c>
      <c r="N18" s="17">
        <f>AVERAGE(N9:N14)+N16/6</f>
        <v>1666.6220877175294</v>
      </c>
      <c r="O18" s="17">
        <f>AVERAGE(O9:O14)+O16/6</f>
        <v>1486.9269641053929</v>
      </c>
      <c r="P18" s="16">
        <f>AVERAGE(P9:P14)+P16/6</f>
        <v>3.0977645085529018</v>
      </c>
    </row>
    <row r="19" spans="3:16" ht="16.5" thickBot="1" x14ac:dyDescent="0.25">
      <c r="C19" s="15" t="s">
        <v>89</v>
      </c>
      <c r="D19" s="14"/>
      <c r="E19" s="14"/>
      <c r="F19" s="14"/>
      <c r="G19" s="14"/>
      <c r="H19" s="13">
        <f>STDEV(H9:H14)/SQRT(COUNT(H9:H14))</f>
        <v>32.39754791818531</v>
      </c>
      <c r="I19" s="12"/>
      <c r="J19" s="11"/>
      <c r="K19" s="9">
        <f>STDEV(K9:K14)/SQRT(COUNT(K9:K14))</f>
        <v>8.0993869795463276</v>
      </c>
      <c r="L19" s="9">
        <f>STDEV(L9:L14)/SQRT(COUNT(L9:L14))</f>
        <v>79.718375782936349</v>
      </c>
      <c r="M19" s="10">
        <f>STDEV(M9:M14)/SQRT(COUNT(M9:M14))</f>
        <v>71.123143848807928</v>
      </c>
      <c r="N19" s="9">
        <f>STDEV(N9:N14)/SQRT(COUNT(N9:N14))</f>
        <v>26.931737983598929</v>
      </c>
      <c r="O19" s="9">
        <f>STDEV(O9:O14)/SQRT(COUNT(O9:O14))</f>
        <v>24.027959123521395</v>
      </c>
      <c r="P19" s="58">
        <f>STDEV(P9:P14)/SQRT(COUNT(P9:P14))</f>
        <v>5.0058248174002881E-2</v>
      </c>
    </row>
    <row r="21" spans="3:16" x14ac:dyDescent="0.2">
      <c r="C21" s="7" t="s">
        <v>122</v>
      </c>
    </row>
    <row r="22" spans="3:16" x14ac:dyDescent="0.2">
      <c r="C22" s="7" t="s">
        <v>87</v>
      </c>
    </row>
  </sheetData>
  <mergeCells count="6">
    <mergeCell ref="C18:G18"/>
    <mergeCell ref="C19:G19"/>
    <mergeCell ref="K6:M6"/>
    <mergeCell ref="N6:P6"/>
    <mergeCell ref="C16:D16"/>
    <mergeCell ref="F16:G16"/>
  </mergeCells>
  <pageMargins left="0.75" right="0.75" top="1" bottom="0.52" header="0.5" footer="0.5"/>
  <pageSetup scale="75" orientation="landscape" r:id="rId1"/>
  <headerFooter alignWithMargins="0"/>
  <legacy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51430-B381-4FC5-A5EF-1B502924B799}">
  <sheetPr codeName="Sheet37">
    <pageSetUpPr fitToPage="1"/>
  </sheetPr>
  <dimension ref="A1:R22"/>
  <sheetViews>
    <sheetView topLeftCell="A2" workbookViewId="0">
      <selection activeCell="K6" sqref="K6:M6"/>
    </sheetView>
  </sheetViews>
  <sheetFormatPr defaultRowHeight="12.75" x14ac:dyDescent="0.2"/>
  <cols>
    <col min="1" max="16384" width="9.140625" style="7"/>
  </cols>
  <sheetData>
    <row r="1" spans="1:18" ht="37.5" x14ac:dyDescent="0.2">
      <c r="A1" s="57" t="s">
        <v>121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</row>
    <row r="2" spans="1:18" ht="18.75" thickBot="1" x14ac:dyDescent="0.3">
      <c r="H2" s="56" t="s">
        <v>120</v>
      </c>
      <c r="I2" s="55">
        <v>408</v>
      </c>
      <c r="J2" s="54"/>
      <c r="K2" s="47" t="s">
        <v>119</v>
      </c>
      <c r="L2" s="53">
        <v>37924</v>
      </c>
      <c r="N2" s="47"/>
      <c r="O2" s="48"/>
    </row>
    <row r="3" spans="1:18" ht="17.25" thickTop="1" thickBot="1" x14ac:dyDescent="0.25">
      <c r="B3" s="50" t="s">
        <v>116</v>
      </c>
      <c r="C3" s="52">
        <v>37914</v>
      </c>
      <c r="K3" s="47" t="s">
        <v>115</v>
      </c>
      <c r="L3" s="48">
        <v>1955.95</v>
      </c>
      <c r="N3" s="47" t="s">
        <v>114</v>
      </c>
      <c r="O3" s="46">
        <f>(L3-(L4+L5))/L3</f>
        <v>4.7583015925764943E-2</v>
      </c>
    </row>
    <row r="4" spans="1:18" ht="17.25" thickTop="1" thickBot="1" x14ac:dyDescent="0.25">
      <c r="B4" s="50" t="s">
        <v>113</v>
      </c>
      <c r="C4" s="52">
        <v>37921</v>
      </c>
      <c r="F4" s="45"/>
      <c r="G4" s="45"/>
      <c r="H4" s="50" t="s">
        <v>112</v>
      </c>
      <c r="I4" s="51" t="s">
        <v>111</v>
      </c>
      <c r="K4" s="47" t="s">
        <v>110</v>
      </c>
      <c r="L4" s="48">
        <v>708.5</v>
      </c>
      <c r="N4" s="47" t="s">
        <v>109</v>
      </c>
      <c r="O4" s="46">
        <f>L4/L3</f>
        <v>0.36222807331475754</v>
      </c>
    </row>
    <row r="5" spans="1:18" ht="17.25" thickTop="1" thickBot="1" x14ac:dyDescent="0.25">
      <c r="B5" s="50" t="s">
        <v>108</v>
      </c>
      <c r="C5" s="49">
        <v>0.47222222222222227</v>
      </c>
      <c r="F5" s="45"/>
      <c r="G5" s="45"/>
      <c r="K5" s="47" t="s">
        <v>107</v>
      </c>
      <c r="L5" s="48">
        <v>1154.3800000000001</v>
      </c>
      <c r="N5" s="47" t="s">
        <v>106</v>
      </c>
      <c r="O5" s="46">
        <f>L5/L3</f>
        <v>0.59018891075947755</v>
      </c>
      <c r="Q5" s="20"/>
    </row>
    <row r="6" spans="1:18" ht="17.25" thickTop="1" thickBot="1" x14ac:dyDescent="0.25">
      <c r="F6" s="45"/>
      <c r="G6" s="45"/>
      <c r="K6" s="43" t="s">
        <v>105</v>
      </c>
      <c r="L6" s="43"/>
      <c r="M6" s="44"/>
      <c r="N6" s="43" t="s">
        <v>104</v>
      </c>
      <c r="O6" s="43"/>
      <c r="P6" s="43"/>
    </row>
    <row r="7" spans="1:18" ht="26.25" thickBot="1" x14ac:dyDescent="0.25">
      <c r="A7" s="36"/>
      <c r="B7" s="36"/>
      <c r="C7" s="35" t="s">
        <v>103</v>
      </c>
      <c r="D7" s="39" t="s">
        <v>102</v>
      </c>
      <c r="E7" s="42" t="s">
        <v>101</v>
      </c>
      <c r="F7" s="42" t="s">
        <v>100</v>
      </c>
      <c r="G7" s="42" t="s">
        <v>99</v>
      </c>
      <c r="H7" s="42" t="s">
        <v>98</v>
      </c>
      <c r="I7" s="35" t="s">
        <v>97</v>
      </c>
      <c r="J7" s="38"/>
      <c r="K7" s="38" t="s">
        <v>96</v>
      </c>
      <c r="L7" s="38" t="s">
        <v>95</v>
      </c>
      <c r="M7" s="41" t="s">
        <v>94</v>
      </c>
      <c r="N7" s="38" t="s">
        <v>95</v>
      </c>
      <c r="O7" s="38" t="s">
        <v>94</v>
      </c>
      <c r="P7" s="40" t="s">
        <v>93</v>
      </c>
      <c r="Q7" s="36"/>
      <c r="R7" s="36"/>
    </row>
    <row r="8" spans="1:18" ht="13.5" thickBot="1" x14ac:dyDescent="0.25">
      <c r="A8" s="36"/>
      <c r="B8" s="36"/>
      <c r="C8" s="35"/>
      <c r="D8" s="39"/>
      <c r="E8" s="35"/>
      <c r="F8" s="35"/>
      <c r="G8" s="35"/>
      <c r="H8" s="35"/>
      <c r="I8" s="35"/>
      <c r="J8" s="38"/>
      <c r="K8" s="36"/>
      <c r="L8" s="36"/>
      <c r="M8" s="37"/>
      <c r="N8" s="36"/>
      <c r="O8" s="36"/>
      <c r="P8" s="36"/>
      <c r="Q8" s="36"/>
      <c r="R8" s="36"/>
    </row>
    <row r="9" spans="1:18" ht="13.5" thickBot="1" x14ac:dyDescent="0.25">
      <c r="C9" s="35">
        <v>3</v>
      </c>
      <c r="D9" s="35">
        <v>4</v>
      </c>
      <c r="E9" s="28">
        <v>1326.9</v>
      </c>
      <c r="F9" s="28">
        <v>632.02</v>
      </c>
      <c r="G9" s="23"/>
      <c r="H9" s="23">
        <f>SUM(E9:G9)</f>
        <v>1958.92</v>
      </c>
      <c r="I9" s="28"/>
      <c r="K9" s="7">
        <f>H9/D9</f>
        <v>489.73</v>
      </c>
      <c r="L9" s="21">
        <f>K9/1.016*10</f>
        <v>4820.177165354331</v>
      </c>
      <c r="M9" s="22">
        <f>L9/1.12085</f>
        <v>4300.4658655077228</v>
      </c>
      <c r="N9" s="21">
        <f>L9*$O$4</f>
        <v>1746.0034876420889</v>
      </c>
      <c r="O9" s="21">
        <f>M9*$O$4</f>
        <v>1557.7494648187437</v>
      </c>
      <c r="P9" s="20">
        <f>O9/480</f>
        <v>3.2453113850390496</v>
      </c>
    </row>
    <row r="10" spans="1:18" ht="13.5" thickBot="1" x14ac:dyDescent="0.25">
      <c r="C10" s="35">
        <v>4</v>
      </c>
      <c r="D10" s="35">
        <v>4</v>
      </c>
      <c r="E10" s="28">
        <v>1232.95</v>
      </c>
      <c r="F10" s="28">
        <v>663.84</v>
      </c>
      <c r="G10" s="23"/>
      <c r="H10" s="23">
        <f>SUM(E10:G10)</f>
        <v>1896.79</v>
      </c>
      <c r="I10" s="28"/>
      <c r="K10" s="7">
        <f>H10/D10</f>
        <v>474.19749999999999</v>
      </c>
      <c r="L10" s="21">
        <f>K10/1.016*10</f>
        <v>4667.2982283464562</v>
      </c>
      <c r="M10" s="22">
        <f>L10/1.12085</f>
        <v>4164.0703290774472</v>
      </c>
      <c r="N10" s="21">
        <f>L10*$O$4</f>
        <v>1690.6264448393181</v>
      </c>
      <c r="O10" s="21">
        <f>M10*$O$4</f>
        <v>1508.3431724488721</v>
      </c>
      <c r="P10" s="20">
        <f>O10/480</f>
        <v>3.1423816092684835</v>
      </c>
    </row>
    <row r="11" spans="1:18" ht="13.5" thickBot="1" x14ac:dyDescent="0.25">
      <c r="C11" s="35">
        <v>5</v>
      </c>
      <c r="D11" s="35">
        <v>4</v>
      </c>
      <c r="E11" s="28">
        <v>702.96</v>
      </c>
      <c r="F11" s="28">
        <v>1231.25</v>
      </c>
      <c r="G11" s="23"/>
      <c r="H11" s="23">
        <f>SUM(E11:G11)</f>
        <v>1934.21</v>
      </c>
      <c r="I11" s="28"/>
      <c r="K11" s="7">
        <f>H11/D11</f>
        <v>483.55250000000001</v>
      </c>
      <c r="L11" s="21">
        <f>K11/1.016*10</f>
        <v>4759.375</v>
      </c>
      <c r="M11" s="22">
        <f>L11/1.12085</f>
        <v>4246.2193870723113</v>
      </c>
      <c r="N11" s="21">
        <f>L11*$O$4</f>
        <v>1723.9792364324242</v>
      </c>
      <c r="O11" s="21">
        <f>M11*$O$4</f>
        <v>1538.099867450974</v>
      </c>
      <c r="P11" s="20">
        <f>O11/480</f>
        <v>3.2043747238561959</v>
      </c>
    </row>
    <row r="12" spans="1:18" ht="13.5" thickBot="1" x14ac:dyDescent="0.25">
      <c r="C12" s="35">
        <v>6</v>
      </c>
      <c r="D12" s="35">
        <v>4</v>
      </c>
      <c r="E12" s="28">
        <v>1095.4000000000001</v>
      </c>
      <c r="F12" s="28">
        <v>801.4</v>
      </c>
      <c r="G12" s="23"/>
      <c r="H12" s="23">
        <f>SUM(E12:G12)</f>
        <v>1896.8000000000002</v>
      </c>
      <c r="I12" s="28"/>
      <c r="K12" s="7">
        <f>H12/D12</f>
        <v>474.20000000000005</v>
      </c>
      <c r="L12" s="21">
        <f>K12/1.016*10</f>
        <v>4667.3228346456699</v>
      </c>
      <c r="M12" s="22">
        <f>L12/1.12085</f>
        <v>4164.0922823265118</v>
      </c>
      <c r="N12" s="21">
        <f>L12*$O$4</f>
        <v>1690.6353579316738</v>
      </c>
      <c r="O12" s="21">
        <f>M12*$O$4</f>
        <v>1508.3511245319837</v>
      </c>
      <c r="P12" s="20">
        <f>O12/480</f>
        <v>3.1423981761082995</v>
      </c>
    </row>
    <row r="13" spans="1:18" ht="13.5" thickBot="1" x14ac:dyDescent="0.25">
      <c r="C13" s="35">
        <v>7</v>
      </c>
      <c r="D13" s="35">
        <v>4</v>
      </c>
      <c r="E13" s="28">
        <v>1879.75</v>
      </c>
      <c r="F13" s="28"/>
      <c r="G13" s="23"/>
      <c r="H13" s="23">
        <f>SUM(E13:G13)</f>
        <v>1879.75</v>
      </c>
      <c r="I13" s="28"/>
      <c r="K13" s="7">
        <f>H13/D13</f>
        <v>469.9375</v>
      </c>
      <c r="L13" s="21">
        <f>K13/1.016*10</f>
        <v>4625.3690944881891</v>
      </c>
      <c r="M13" s="22">
        <f>L13/1.12085</f>
        <v>4126.6619926735866</v>
      </c>
      <c r="N13" s="21">
        <f>L13*$O$4</f>
        <v>1675.4385354660815</v>
      </c>
      <c r="O13" s="21">
        <f>M13*$O$4</f>
        <v>1494.7928228273913</v>
      </c>
      <c r="P13" s="20">
        <f>O13/480</f>
        <v>3.1141517142237318</v>
      </c>
    </row>
    <row r="14" spans="1:18" ht="13.5" thickBot="1" x14ac:dyDescent="0.25">
      <c r="C14" s="35">
        <v>8</v>
      </c>
      <c r="D14" s="35">
        <v>4</v>
      </c>
      <c r="E14" s="28">
        <v>1583.65</v>
      </c>
      <c r="F14" s="28"/>
      <c r="G14" s="23"/>
      <c r="H14" s="23">
        <f>SUM(E14:G14)</f>
        <v>1583.65</v>
      </c>
      <c r="I14" s="28"/>
      <c r="K14" s="7">
        <f>H14/D14</f>
        <v>395.91250000000002</v>
      </c>
      <c r="L14" s="21">
        <f>K14/1.016*10</f>
        <v>3896.7765748031497</v>
      </c>
      <c r="M14" s="22">
        <f>L14/1.12085</f>
        <v>3476.6262879093101</v>
      </c>
      <c r="N14" s="21">
        <f>L14*$O$4</f>
        <v>1411.5218708290251</v>
      </c>
      <c r="O14" s="21">
        <f>M14*$O$4</f>
        <v>1259.3316419048269</v>
      </c>
      <c r="P14" s="20">
        <f>O14/480</f>
        <v>2.6236075873017226</v>
      </c>
    </row>
    <row r="15" spans="1:18" ht="13.5" thickBot="1" x14ac:dyDescent="0.25">
      <c r="C15" s="35"/>
      <c r="D15" s="35"/>
      <c r="E15" s="23"/>
      <c r="F15" s="23"/>
      <c r="G15" s="23"/>
      <c r="H15" s="23"/>
      <c r="I15" s="23"/>
      <c r="M15" s="34"/>
    </row>
    <row r="16" spans="1:18" ht="13.5" thickBot="1" x14ac:dyDescent="0.25">
      <c r="C16" s="33" t="s">
        <v>92</v>
      </c>
      <c r="D16" s="32"/>
      <c r="E16" s="31">
        <v>37915</v>
      </c>
      <c r="F16" s="30" t="s">
        <v>91</v>
      </c>
      <c r="G16" s="29"/>
      <c r="H16" s="28">
        <v>115.2</v>
      </c>
      <c r="I16" s="23"/>
      <c r="K16" s="7">
        <f>H16/SUM($D$9:$D$14)</f>
        <v>4.8</v>
      </c>
      <c r="L16" s="21">
        <f>K16/1.016*10</f>
        <v>47.244094488188971</v>
      </c>
      <c r="M16" s="22">
        <f>L16/1.12085</f>
        <v>42.150238201533632</v>
      </c>
      <c r="N16" s="21">
        <f>L16*$O$4</f>
        <v>17.113137321957048</v>
      </c>
      <c r="O16" s="21">
        <f>M16*$O$4</f>
        <v>15.267999573499619</v>
      </c>
      <c r="P16" s="20">
        <f>O16/480</f>
        <v>3.1808332444790872E-2</v>
      </c>
    </row>
    <row r="17" spans="3:16" ht="13.5" thickBot="1" x14ac:dyDescent="0.25">
      <c r="C17" s="27"/>
      <c r="D17" s="25"/>
      <c r="E17" s="26"/>
      <c r="F17" s="25"/>
      <c r="G17" s="24"/>
      <c r="H17" s="23"/>
      <c r="I17" s="23"/>
      <c r="L17" s="21"/>
      <c r="M17" s="22"/>
      <c r="N17" s="21"/>
      <c r="O17" s="21"/>
      <c r="P17" s="20"/>
    </row>
    <row r="18" spans="3:16" ht="16.5" thickBot="1" x14ac:dyDescent="0.25">
      <c r="C18" s="15" t="s">
        <v>90</v>
      </c>
      <c r="D18" s="14"/>
      <c r="E18" s="14"/>
      <c r="F18" s="14"/>
      <c r="G18" s="19"/>
      <c r="H18" s="13">
        <f>SUM(H9:H14,H16)</f>
        <v>11265.320000000002</v>
      </c>
      <c r="I18" s="12"/>
      <c r="J18" s="11"/>
      <c r="K18" s="17">
        <f>AVERAGE(K9:K14)+K16/6</f>
        <v>465.38833333333338</v>
      </c>
      <c r="L18" s="17">
        <f>AVERAGE(L9:L14)+L16/6</f>
        <v>4580.593832020998</v>
      </c>
      <c r="M18" s="18">
        <f>AVERAGE(M9:M14)+M16/6</f>
        <v>4086.7143971280702</v>
      </c>
      <c r="N18" s="17">
        <f>AVERAGE(N9:N14)+N16/6</f>
        <v>1659.2196784104278</v>
      </c>
      <c r="O18" s="17">
        <f>AVERAGE(O9:O14)+O16/6</f>
        <v>1480.3226822593817</v>
      </c>
      <c r="P18" s="16">
        <f>AVERAGE(P9:P14)+P16/6</f>
        <v>3.0840055880403794</v>
      </c>
    </row>
    <row r="19" spans="3:16" ht="16.5" thickBot="1" x14ac:dyDescent="0.25">
      <c r="C19" s="15" t="s">
        <v>89</v>
      </c>
      <c r="D19" s="14"/>
      <c r="E19" s="14"/>
      <c r="F19" s="14"/>
      <c r="G19" s="14"/>
      <c r="H19" s="13">
        <f>STDEV(H9:H14)/SQRT(COUNT(H9:H14))</f>
        <v>56.197019652093445</v>
      </c>
      <c r="I19" s="12"/>
      <c r="J19" s="11"/>
      <c r="K19" s="9">
        <f>STDEV(K9:K14)/SQRT(COUNT(K9:K14))</f>
        <v>14.049254913023361</v>
      </c>
      <c r="L19" s="9">
        <f>STDEV(L9:L14)/SQRT(COUNT(L9:L14))</f>
        <v>138.28006804156854</v>
      </c>
      <c r="M19" s="10">
        <f>STDEV(M9:M14)/SQRT(COUNT(M9:M14))</f>
        <v>123.37071690375031</v>
      </c>
      <c r="N19" s="9">
        <f>STDEV(N9:N14)/SQRT(COUNT(N9:N14))</f>
        <v>50.088922624530944</v>
      </c>
      <c r="O19" s="9">
        <f>STDEV(O9:O14)/SQRT(COUNT(O9:O14))</f>
        <v>44.688337087505857</v>
      </c>
      <c r="P19" s="58">
        <f>STDEV(P9:P14)/SQRT(COUNT(P9:P14))</f>
        <v>9.3100702265637256E-2</v>
      </c>
    </row>
    <row r="21" spans="3:16" x14ac:dyDescent="0.2">
      <c r="C21" s="7" t="s">
        <v>122</v>
      </c>
    </row>
    <row r="22" spans="3:16" x14ac:dyDescent="0.2">
      <c r="C22" s="7" t="s">
        <v>87</v>
      </c>
    </row>
  </sheetData>
  <mergeCells count="6">
    <mergeCell ref="C18:G18"/>
    <mergeCell ref="C19:G19"/>
    <mergeCell ref="K6:M6"/>
    <mergeCell ref="N6:P6"/>
    <mergeCell ref="C16:D16"/>
    <mergeCell ref="F16:G16"/>
  </mergeCells>
  <pageMargins left="0.75" right="0.75" top="1" bottom="0.52" header="0.5" footer="0.5"/>
  <pageSetup scale="75" orientation="landscape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28C44-9692-48B4-9645-430ADA72EBB6}">
  <sheetPr codeName="Sheet38">
    <pageSetUpPr fitToPage="1"/>
  </sheetPr>
  <dimension ref="A1:R22"/>
  <sheetViews>
    <sheetView workbookViewId="0">
      <selection activeCell="K6" sqref="K6:M6"/>
    </sheetView>
  </sheetViews>
  <sheetFormatPr defaultRowHeight="12.75" x14ac:dyDescent="0.2"/>
  <cols>
    <col min="1" max="16384" width="9.140625" style="7"/>
  </cols>
  <sheetData>
    <row r="1" spans="1:18" ht="37.5" x14ac:dyDescent="0.2">
      <c r="A1" s="57" t="s">
        <v>121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</row>
    <row r="2" spans="1:18" ht="18.75" thickBot="1" x14ac:dyDescent="0.3">
      <c r="H2" s="56" t="s">
        <v>120</v>
      </c>
      <c r="I2" s="55">
        <v>902</v>
      </c>
      <c r="J2" s="54"/>
      <c r="K2" s="47" t="s">
        <v>119</v>
      </c>
      <c r="L2" s="53">
        <v>37924</v>
      </c>
      <c r="N2" s="47"/>
      <c r="O2" s="48"/>
    </row>
    <row r="3" spans="1:18" ht="17.25" thickTop="1" thickBot="1" x14ac:dyDescent="0.25">
      <c r="B3" s="50" t="s">
        <v>116</v>
      </c>
      <c r="C3" s="52">
        <v>37914</v>
      </c>
      <c r="K3" s="47" t="s">
        <v>115</v>
      </c>
      <c r="L3" s="48">
        <v>2683.3</v>
      </c>
      <c r="N3" s="47" t="s">
        <v>114</v>
      </c>
      <c r="O3" s="46">
        <f>(L3-(L4+L5))/L3</f>
        <v>6.1808221220139514E-2</v>
      </c>
    </row>
    <row r="4" spans="1:18" ht="17.25" thickTop="1" thickBot="1" x14ac:dyDescent="0.25">
      <c r="B4" s="50" t="s">
        <v>113</v>
      </c>
      <c r="C4" s="52">
        <v>37921</v>
      </c>
      <c r="F4" s="45"/>
      <c r="G4" s="45"/>
      <c r="H4" s="50" t="s">
        <v>112</v>
      </c>
      <c r="I4" s="51" t="s">
        <v>117</v>
      </c>
      <c r="K4" s="47" t="s">
        <v>110</v>
      </c>
      <c r="L4" s="48">
        <v>935.9</v>
      </c>
      <c r="N4" s="47" t="s">
        <v>109</v>
      </c>
      <c r="O4" s="46">
        <f>L4/L3</f>
        <v>0.34878694145268885</v>
      </c>
    </row>
    <row r="5" spans="1:18" ht="17.25" thickTop="1" thickBot="1" x14ac:dyDescent="0.25">
      <c r="B5" s="50" t="s">
        <v>108</v>
      </c>
      <c r="C5" s="49">
        <v>0.47569444444444442</v>
      </c>
      <c r="F5" s="45"/>
      <c r="G5" s="45"/>
      <c r="K5" s="47" t="s">
        <v>107</v>
      </c>
      <c r="L5" s="48">
        <v>1581.55</v>
      </c>
      <c r="N5" s="47" t="s">
        <v>106</v>
      </c>
      <c r="O5" s="46">
        <f>L5/L3</f>
        <v>0.58940483732717175</v>
      </c>
      <c r="Q5" s="20"/>
    </row>
    <row r="6" spans="1:18" ht="17.25" thickTop="1" thickBot="1" x14ac:dyDescent="0.25">
      <c r="F6" s="45"/>
      <c r="G6" s="45"/>
      <c r="K6" s="43" t="s">
        <v>105</v>
      </c>
      <c r="L6" s="43"/>
      <c r="M6" s="44"/>
      <c r="N6" s="43" t="s">
        <v>104</v>
      </c>
      <c r="O6" s="43"/>
      <c r="P6" s="43"/>
    </row>
    <row r="7" spans="1:18" ht="26.25" thickBot="1" x14ac:dyDescent="0.25">
      <c r="A7" s="36"/>
      <c r="B7" s="36"/>
      <c r="C7" s="35" t="s">
        <v>103</v>
      </c>
      <c r="D7" s="39" t="s">
        <v>102</v>
      </c>
      <c r="E7" s="42" t="s">
        <v>101</v>
      </c>
      <c r="F7" s="42" t="s">
        <v>100</v>
      </c>
      <c r="G7" s="42" t="s">
        <v>99</v>
      </c>
      <c r="H7" s="42" t="s">
        <v>98</v>
      </c>
      <c r="I7" s="35" t="s">
        <v>97</v>
      </c>
      <c r="J7" s="38"/>
      <c r="K7" s="38" t="s">
        <v>96</v>
      </c>
      <c r="L7" s="38" t="s">
        <v>95</v>
      </c>
      <c r="M7" s="41" t="s">
        <v>94</v>
      </c>
      <c r="N7" s="38" t="s">
        <v>95</v>
      </c>
      <c r="O7" s="38" t="s">
        <v>94</v>
      </c>
      <c r="P7" s="40" t="s">
        <v>93</v>
      </c>
      <c r="Q7" s="36"/>
      <c r="R7" s="36"/>
    </row>
    <row r="8" spans="1:18" ht="13.5" thickBot="1" x14ac:dyDescent="0.25">
      <c r="A8" s="36"/>
      <c r="B8" s="36"/>
      <c r="C8" s="35"/>
      <c r="D8" s="39"/>
      <c r="E8" s="35"/>
      <c r="F8" s="35"/>
      <c r="G8" s="35"/>
      <c r="H8" s="35"/>
      <c r="I8" s="35" t="s">
        <v>130</v>
      </c>
      <c r="J8" s="38"/>
      <c r="K8" s="36"/>
      <c r="L8" s="36"/>
      <c r="M8" s="37"/>
      <c r="N8" s="36"/>
      <c r="O8" s="36"/>
      <c r="P8" s="36"/>
      <c r="Q8" s="36"/>
      <c r="R8" s="36"/>
    </row>
    <row r="9" spans="1:18" ht="13.5" thickBot="1" x14ac:dyDescent="0.25">
      <c r="C9" s="35">
        <v>3</v>
      </c>
      <c r="D9" s="35">
        <v>2</v>
      </c>
      <c r="E9" s="28">
        <v>396.3</v>
      </c>
      <c r="F9" s="28"/>
      <c r="G9" s="23"/>
      <c r="H9" s="23">
        <f>SUM(E9:G9)</f>
        <v>396.3</v>
      </c>
      <c r="I9" s="28" t="s">
        <v>129</v>
      </c>
      <c r="K9" s="7">
        <f>H9/D9</f>
        <v>198.15</v>
      </c>
      <c r="L9" s="21">
        <f>K9/1.016*10</f>
        <v>1950.2952755905512</v>
      </c>
      <c r="M9" s="22">
        <f>L9/1.12085</f>
        <v>1740.0145207570606</v>
      </c>
      <c r="N9" s="21">
        <f>L9*$O$4</f>
        <v>680.23752410285726</v>
      </c>
      <c r="O9" s="21">
        <f>M9*$O$4</f>
        <v>606.89434277812131</v>
      </c>
      <c r="P9" s="20">
        <f>O9/480</f>
        <v>1.2643632141210861</v>
      </c>
    </row>
    <row r="10" spans="1:18" ht="13.5" thickBot="1" x14ac:dyDescent="0.25">
      <c r="C10" s="35">
        <v>4</v>
      </c>
      <c r="D10" s="35">
        <v>2</v>
      </c>
      <c r="E10" s="28">
        <v>452</v>
      </c>
      <c r="F10" s="28"/>
      <c r="G10" s="23"/>
      <c r="H10" s="23">
        <f>SUM(E10:G10)</f>
        <v>452</v>
      </c>
      <c r="I10" s="28"/>
      <c r="K10" s="7">
        <f>H10/D10</f>
        <v>226</v>
      </c>
      <c r="L10" s="21">
        <f>K10/1.016*10</f>
        <v>2224.4094488188975</v>
      </c>
      <c r="M10" s="22">
        <f>L10/1.12085</f>
        <v>1984.5737153222087</v>
      </c>
      <c r="N10" s="21">
        <f>L10*$O$4</f>
        <v>775.84496819200467</v>
      </c>
      <c r="O10" s="21">
        <f>M10*$O$4</f>
        <v>692.19339625463238</v>
      </c>
      <c r="P10" s="20">
        <f>O10/480</f>
        <v>1.4420695755304842</v>
      </c>
    </row>
    <row r="11" spans="1:18" ht="13.5" thickBot="1" x14ac:dyDescent="0.25">
      <c r="C11" s="35">
        <v>5</v>
      </c>
      <c r="D11" s="35">
        <v>2</v>
      </c>
      <c r="E11" s="28">
        <v>519.20000000000005</v>
      </c>
      <c r="F11" s="28"/>
      <c r="G11" s="23"/>
      <c r="H11" s="23">
        <f>SUM(E11:G11)</f>
        <v>519.20000000000005</v>
      </c>
      <c r="I11" s="28"/>
      <c r="K11" s="7">
        <f>H11/D11</f>
        <v>259.60000000000002</v>
      </c>
      <c r="L11" s="21">
        <f>K11/1.016*10</f>
        <v>2555.1181102362207</v>
      </c>
      <c r="M11" s="22">
        <f>L11/1.12085</f>
        <v>2279.6253827329447</v>
      </c>
      <c r="N11" s="21">
        <f>L11*$O$4</f>
        <v>891.19183071966563</v>
      </c>
      <c r="O11" s="21">
        <f>M11*$O$4</f>
        <v>795.10356490133893</v>
      </c>
      <c r="P11" s="20">
        <f>O11/480</f>
        <v>1.6564657602111228</v>
      </c>
    </row>
    <row r="12" spans="1:18" ht="13.5" thickBot="1" x14ac:dyDescent="0.25">
      <c r="C12" s="35">
        <v>6</v>
      </c>
      <c r="D12" s="35">
        <v>2</v>
      </c>
      <c r="E12" s="28">
        <v>504.7</v>
      </c>
      <c r="F12" s="28"/>
      <c r="G12" s="23"/>
      <c r="H12" s="23">
        <f>SUM(E12:G12)</f>
        <v>504.7</v>
      </c>
      <c r="I12" s="28"/>
      <c r="K12" s="7">
        <f>H12/D12</f>
        <v>252.35</v>
      </c>
      <c r="L12" s="21">
        <f>K12/1.016*10</f>
        <v>2483.7598425196852</v>
      </c>
      <c r="M12" s="22">
        <f>L12/1.12085</f>
        <v>2215.960960449378</v>
      </c>
      <c r="N12" s="21">
        <f>L12*$O$4</f>
        <v>866.30299877545315</v>
      </c>
      <c r="O12" s="21">
        <f>M12*$O$4</f>
        <v>772.89824577370132</v>
      </c>
      <c r="P12" s="20">
        <f>O12/480</f>
        <v>1.6102046786952111</v>
      </c>
    </row>
    <row r="13" spans="1:18" ht="13.5" thickBot="1" x14ac:dyDescent="0.25">
      <c r="C13" s="35">
        <v>7</v>
      </c>
      <c r="D13" s="35">
        <v>2</v>
      </c>
      <c r="E13" s="28">
        <v>333.8</v>
      </c>
      <c r="F13" s="28"/>
      <c r="G13" s="23"/>
      <c r="H13" s="23">
        <f>SUM(E13:G13)</f>
        <v>333.8</v>
      </c>
      <c r="I13" s="28"/>
      <c r="K13" s="7">
        <f>H13/D13</f>
        <v>166.9</v>
      </c>
      <c r="L13" s="21">
        <f>K13/1.016*10</f>
        <v>1642.7165354330709</v>
      </c>
      <c r="M13" s="22">
        <f>L13/1.12085</f>
        <v>1465.598907465826</v>
      </c>
      <c r="N13" s="21">
        <f>L13*$O$4</f>
        <v>572.95807606745836</v>
      </c>
      <c r="O13" s="21">
        <f>M13*$O$4</f>
        <v>511.18176033140776</v>
      </c>
      <c r="P13" s="20">
        <f>O13/480</f>
        <v>1.0649620006904328</v>
      </c>
    </row>
    <row r="14" spans="1:18" ht="13.5" thickBot="1" x14ac:dyDescent="0.25">
      <c r="C14" s="35">
        <v>8</v>
      </c>
      <c r="D14" s="35">
        <v>2</v>
      </c>
      <c r="E14" s="28">
        <v>521.5</v>
      </c>
      <c r="F14" s="28"/>
      <c r="G14" s="23"/>
      <c r="H14" s="23">
        <f>SUM(E14:G14)</f>
        <v>521.5</v>
      </c>
      <c r="I14" s="28"/>
      <c r="K14" s="7">
        <f>H14/D14</f>
        <v>260.75</v>
      </c>
      <c r="L14" s="21">
        <f>K14/1.016*10</f>
        <v>2566.4370078740158</v>
      </c>
      <c r="M14" s="22">
        <f>L14/1.12085</f>
        <v>2289.7238773020617</v>
      </c>
      <c r="N14" s="21">
        <f>L14*$O$4</f>
        <v>895.13971440736827</v>
      </c>
      <c r="O14" s="21">
        <f>M14*$O$4</f>
        <v>798.62578793537796</v>
      </c>
      <c r="P14" s="20">
        <f>O14/480</f>
        <v>1.6638037248653708</v>
      </c>
    </row>
    <row r="15" spans="1:18" ht="13.5" thickBot="1" x14ac:dyDescent="0.25">
      <c r="C15" s="35"/>
      <c r="D15" s="35"/>
      <c r="E15" s="23"/>
      <c r="F15" s="23"/>
      <c r="G15" s="23"/>
      <c r="H15" s="23"/>
      <c r="I15" s="23"/>
      <c r="M15" s="34"/>
    </row>
    <row r="16" spans="1:18" ht="13.5" thickBot="1" x14ac:dyDescent="0.25">
      <c r="C16" s="33" t="s">
        <v>92</v>
      </c>
      <c r="D16" s="32"/>
      <c r="E16" s="31"/>
      <c r="F16" s="30" t="s">
        <v>91</v>
      </c>
      <c r="G16" s="29"/>
      <c r="H16" s="28"/>
      <c r="I16" s="23"/>
      <c r="K16" s="7">
        <f>H16/SUM($D$9:$D$14)</f>
        <v>0</v>
      </c>
      <c r="L16" s="21">
        <f>K16/1.016*10</f>
        <v>0</v>
      </c>
      <c r="M16" s="22">
        <f>L16/1.12085</f>
        <v>0</v>
      </c>
      <c r="N16" s="21">
        <f>L16*$O$4</f>
        <v>0</v>
      </c>
      <c r="O16" s="21">
        <f>M16*$O$4</f>
        <v>0</v>
      </c>
      <c r="P16" s="20">
        <f>O16/480</f>
        <v>0</v>
      </c>
    </row>
    <row r="17" spans="3:16" ht="13.5" thickBot="1" x14ac:dyDescent="0.25">
      <c r="C17" s="27"/>
      <c r="D17" s="25"/>
      <c r="E17" s="26"/>
      <c r="F17" s="25"/>
      <c r="G17" s="24"/>
      <c r="H17" s="23"/>
      <c r="I17" s="23"/>
      <c r="L17" s="21"/>
      <c r="M17" s="22"/>
      <c r="N17" s="21"/>
      <c r="O17" s="21"/>
      <c r="P17" s="20"/>
    </row>
    <row r="18" spans="3:16" ht="16.5" thickBot="1" x14ac:dyDescent="0.25">
      <c r="C18" s="15" t="s">
        <v>90</v>
      </c>
      <c r="D18" s="14"/>
      <c r="E18" s="14"/>
      <c r="F18" s="14"/>
      <c r="G18" s="19"/>
      <c r="H18" s="13">
        <f>SUM(H9:H14,H16)</f>
        <v>2727.5</v>
      </c>
      <c r="I18" s="12"/>
      <c r="J18" s="11"/>
      <c r="K18" s="17">
        <f>AVERAGE(K9:K14)+K16/6</f>
        <v>227.29166666666666</v>
      </c>
      <c r="L18" s="17">
        <f>AVERAGE(L9:L14)+L16/6</f>
        <v>2237.1227034120734</v>
      </c>
      <c r="M18" s="18">
        <f>AVERAGE(M9:M14)+M16/6</f>
        <v>1995.9162273382465</v>
      </c>
      <c r="N18" s="17">
        <f>AVERAGE(N9:N14)+N16/6</f>
        <v>780.27918537746791</v>
      </c>
      <c r="O18" s="17">
        <f>AVERAGE(O9:O14)+O16/6</f>
        <v>696.14951632909651</v>
      </c>
      <c r="P18" s="16">
        <f>AVERAGE(P9:P14)+P16/6</f>
        <v>1.4503114923522846</v>
      </c>
    </row>
    <row r="19" spans="3:16" ht="16.5" thickBot="1" x14ac:dyDescent="0.25">
      <c r="C19" s="15" t="s">
        <v>89</v>
      </c>
      <c r="D19" s="14"/>
      <c r="E19" s="14"/>
      <c r="F19" s="14"/>
      <c r="G19" s="14"/>
      <c r="H19" s="13">
        <f>STDEV(H9:H14)/SQRT(COUNT(H9:H14))</f>
        <v>31.175347275977195</v>
      </c>
      <c r="I19" s="12"/>
      <c r="J19" s="11"/>
      <c r="K19" s="9">
        <f>STDEV(K9:K14)/SQRT(COUNT(K9:K14))</f>
        <v>15.587673637988598</v>
      </c>
      <c r="L19" s="9">
        <f>STDEV(L9:L14)/SQRT(COUNT(L9:L14))</f>
        <v>153.42198462587328</v>
      </c>
      <c r="M19" s="10">
        <f>STDEV(M9:M14)/SQRT(COUNT(M9:M14))</f>
        <v>136.88003267687264</v>
      </c>
      <c r="N19" s="9">
        <f>STDEV(N9:N14)/SQRT(COUNT(N9:N14))</f>
        <v>53.51158476925923</v>
      </c>
      <c r="O19" s="9">
        <f>STDEV(O9:O14)/SQRT(COUNT(O9:O14))</f>
        <v>47.741967943310485</v>
      </c>
      <c r="P19" s="58">
        <f>STDEV(P9:P14)/SQRT(COUNT(P9:P14))</f>
        <v>9.9462433215229643E-2</v>
      </c>
    </row>
    <row r="21" spans="3:16" x14ac:dyDescent="0.2">
      <c r="C21" s="7" t="s">
        <v>122</v>
      </c>
    </row>
    <row r="22" spans="3:16" x14ac:dyDescent="0.2">
      <c r="C22" s="7" t="s">
        <v>87</v>
      </c>
    </row>
  </sheetData>
  <mergeCells count="6">
    <mergeCell ref="C18:G18"/>
    <mergeCell ref="C19:G19"/>
    <mergeCell ref="K6:M6"/>
    <mergeCell ref="N6:P6"/>
    <mergeCell ref="C16:D16"/>
    <mergeCell ref="F16:G16"/>
  </mergeCells>
  <pageMargins left="0.75" right="0.75" top="1" bottom="0.52" header="0.5" footer="0.5"/>
  <pageSetup scale="75" orientation="landscape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24284-7DEC-41A7-B0F1-AC14E89895D5}">
  <sheetPr codeName="Sheet39">
    <pageSetUpPr fitToPage="1"/>
  </sheetPr>
  <dimension ref="A1:R22"/>
  <sheetViews>
    <sheetView workbookViewId="0">
      <selection activeCell="K6" sqref="K6:M6"/>
    </sheetView>
  </sheetViews>
  <sheetFormatPr defaultRowHeight="12.75" x14ac:dyDescent="0.2"/>
  <cols>
    <col min="1" max="16384" width="9.140625" style="7"/>
  </cols>
  <sheetData>
    <row r="1" spans="1:18" ht="37.5" x14ac:dyDescent="0.2">
      <c r="A1" s="57" t="s">
        <v>121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</row>
    <row r="2" spans="1:18" ht="18.75" thickBot="1" x14ac:dyDescent="0.3">
      <c r="H2" s="56" t="s">
        <v>120</v>
      </c>
      <c r="I2" s="55">
        <v>904</v>
      </c>
      <c r="J2" s="54"/>
      <c r="K2" s="47" t="s">
        <v>119</v>
      </c>
      <c r="L2" s="53">
        <v>37924</v>
      </c>
      <c r="N2" s="47"/>
      <c r="O2" s="48"/>
    </row>
    <row r="3" spans="1:18" ht="17.25" thickTop="1" thickBot="1" x14ac:dyDescent="0.25">
      <c r="B3" s="50" t="s">
        <v>116</v>
      </c>
      <c r="C3" s="52">
        <v>37914</v>
      </c>
      <c r="K3" s="47" t="s">
        <v>115</v>
      </c>
      <c r="L3" s="48">
        <v>1028.3399999999999</v>
      </c>
      <c r="N3" s="47" t="s">
        <v>114</v>
      </c>
      <c r="O3" s="46">
        <f>(L3-(L4+L5))/L3</f>
        <v>0.14203473559328622</v>
      </c>
    </row>
    <row r="4" spans="1:18" ht="17.25" thickTop="1" thickBot="1" x14ac:dyDescent="0.25">
      <c r="B4" s="50" t="s">
        <v>113</v>
      </c>
      <c r="C4" s="52">
        <v>37921</v>
      </c>
      <c r="F4" s="45"/>
      <c r="G4" s="45"/>
      <c r="H4" s="50" t="s">
        <v>112</v>
      </c>
      <c r="I4" s="51" t="s">
        <v>111</v>
      </c>
      <c r="K4" s="47" t="s">
        <v>110</v>
      </c>
      <c r="L4" s="48">
        <v>314.60000000000002</v>
      </c>
      <c r="N4" s="47" t="s">
        <v>109</v>
      </c>
      <c r="O4" s="46">
        <f>L4/L3</f>
        <v>0.30592994534881462</v>
      </c>
    </row>
    <row r="5" spans="1:18" ht="17.25" thickTop="1" thickBot="1" x14ac:dyDescent="0.25">
      <c r="B5" s="50" t="s">
        <v>108</v>
      </c>
      <c r="C5" s="49">
        <v>0.47569444444444442</v>
      </c>
      <c r="F5" s="45"/>
      <c r="G5" s="45"/>
      <c r="K5" s="47" t="s">
        <v>107</v>
      </c>
      <c r="L5" s="48">
        <v>567.67999999999995</v>
      </c>
      <c r="N5" s="47" t="s">
        <v>106</v>
      </c>
      <c r="O5" s="46">
        <f>L5/L3</f>
        <v>0.55203531905789915</v>
      </c>
      <c r="Q5" s="20"/>
    </row>
    <row r="6" spans="1:18" ht="17.25" thickTop="1" thickBot="1" x14ac:dyDescent="0.25">
      <c r="F6" s="45"/>
      <c r="G6" s="45"/>
      <c r="K6" s="43" t="s">
        <v>105</v>
      </c>
      <c r="L6" s="43"/>
      <c r="M6" s="44"/>
      <c r="N6" s="43" t="s">
        <v>104</v>
      </c>
      <c r="O6" s="43"/>
      <c r="P6" s="43"/>
    </row>
    <row r="7" spans="1:18" ht="26.25" thickBot="1" x14ac:dyDescent="0.25">
      <c r="A7" s="36"/>
      <c r="B7" s="36"/>
      <c r="C7" s="35" t="s">
        <v>103</v>
      </c>
      <c r="D7" s="39" t="s">
        <v>102</v>
      </c>
      <c r="E7" s="42" t="s">
        <v>101</v>
      </c>
      <c r="F7" s="42" t="s">
        <v>100</v>
      </c>
      <c r="G7" s="42" t="s">
        <v>99</v>
      </c>
      <c r="H7" s="42" t="s">
        <v>98</v>
      </c>
      <c r="I7" s="35" t="s">
        <v>97</v>
      </c>
      <c r="J7" s="38"/>
      <c r="K7" s="38" t="s">
        <v>96</v>
      </c>
      <c r="L7" s="38" t="s">
        <v>95</v>
      </c>
      <c r="M7" s="41" t="s">
        <v>94</v>
      </c>
      <c r="N7" s="38" t="s">
        <v>95</v>
      </c>
      <c r="O7" s="38" t="s">
        <v>94</v>
      </c>
      <c r="P7" s="40" t="s">
        <v>93</v>
      </c>
      <c r="Q7" s="36"/>
      <c r="R7" s="36"/>
    </row>
    <row r="8" spans="1:18" ht="13.5" thickBot="1" x14ac:dyDescent="0.25">
      <c r="A8" s="36"/>
      <c r="B8" s="36"/>
      <c r="C8" s="35"/>
      <c r="D8" s="39"/>
      <c r="E8" s="35"/>
      <c r="F8" s="35"/>
      <c r="G8" s="35"/>
      <c r="H8" s="35"/>
      <c r="I8" s="35"/>
      <c r="J8" s="38"/>
      <c r="K8" s="36"/>
      <c r="L8" s="36"/>
      <c r="M8" s="37"/>
      <c r="N8" s="36"/>
      <c r="O8" s="36"/>
      <c r="P8" s="36"/>
      <c r="Q8" s="36"/>
      <c r="R8" s="36"/>
    </row>
    <row r="9" spans="1:18" ht="13.5" thickBot="1" x14ac:dyDescent="0.25">
      <c r="C9" s="35">
        <v>3</v>
      </c>
      <c r="D9" s="35">
        <v>2</v>
      </c>
      <c r="E9" s="28">
        <v>186.95</v>
      </c>
      <c r="F9" s="28"/>
      <c r="G9" s="23"/>
      <c r="H9" s="23">
        <f>SUM(E9:G9)</f>
        <v>186.95</v>
      </c>
      <c r="I9" s="28"/>
      <c r="K9" s="7">
        <f>H9/D9</f>
        <v>93.474999999999994</v>
      </c>
      <c r="L9" s="21">
        <f>K9/1.016*10</f>
        <v>920.02952755905517</v>
      </c>
      <c r="M9" s="22">
        <f>L9/1.12085</f>
        <v>820.83198247674113</v>
      </c>
      <c r="N9" s="21">
        <f>L9*$O$4</f>
        <v>281.46458308543748</v>
      </c>
      <c r="O9" s="21">
        <f>M9*$O$4</f>
        <v>251.11708353966858</v>
      </c>
      <c r="P9" s="20">
        <f>O9/480</f>
        <v>0.52316059070764287</v>
      </c>
    </row>
    <row r="10" spans="1:18" ht="13.5" thickBot="1" x14ac:dyDescent="0.25">
      <c r="C10" s="35">
        <v>4</v>
      </c>
      <c r="D10" s="35">
        <v>2</v>
      </c>
      <c r="E10" s="28">
        <v>239.16</v>
      </c>
      <c r="F10" s="28"/>
      <c r="G10" s="23"/>
      <c r="H10" s="23">
        <f>SUM(E10:G10)</f>
        <v>239.16</v>
      </c>
      <c r="I10" s="28"/>
      <c r="K10" s="7">
        <f>H10/D10</f>
        <v>119.58</v>
      </c>
      <c r="L10" s="21">
        <f>K10/1.016*10</f>
        <v>1176.9685039370079</v>
      </c>
      <c r="M10" s="22">
        <f>L10/1.12085</f>
        <v>1050.0678091957068</v>
      </c>
      <c r="N10" s="21">
        <f>L10*$O$4</f>
        <v>360.06991008672492</v>
      </c>
      <c r="O10" s="21">
        <f>M10*$O$4</f>
        <v>321.2471874797921</v>
      </c>
      <c r="P10" s="20">
        <f>O10/480</f>
        <v>0.66926497391623352</v>
      </c>
    </row>
    <row r="11" spans="1:18" ht="13.5" thickBot="1" x14ac:dyDescent="0.25">
      <c r="C11" s="35">
        <v>5</v>
      </c>
      <c r="D11" s="35">
        <v>2</v>
      </c>
      <c r="E11" s="28">
        <v>169.52</v>
      </c>
      <c r="F11" s="28"/>
      <c r="G11" s="23"/>
      <c r="H11" s="23">
        <f>SUM(E11:G11)</f>
        <v>169.52</v>
      </c>
      <c r="I11" s="28"/>
      <c r="K11" s="7">
        <f>H11/D11</f>
        <v>84.76</v>
      </c>
      <c r="L11" s="21">
        <f>K11/1.016*10</f>
        <v>834.25196850393706</v>
      </c>
      <c r="M11" s="22">
        <f>L11/1.12085</f>
        <v>744.30295624208156</v>
      </c>
      <c r="N11" s="21">
        <f>L11*$O$4</f>
        <v>255.22265913155047</v>
      </c>
      <c r="O11" s="21">
        <f>M11*$O$4</f>
        <v>227.70456272610119</v>
      </c>
      <c r="P11" s="20">
        <f>O11/480</f>
        <v>0.47438450567937746</v>
      </c>
    </row>
    <row r="12" spans="1:18" ht="13.5" thickBot="1" x14ac:dyDescent="0.25">
      <c r="C12" s="35">
        <v>6</v>
      </c>
      <c r="D12" s="35">
        <v>2</v>
      </c>
      <c r="E12" s="28">
        <v>160.28</v>
      </c>
      <c r="F12" s="28"/>
      <c r="G12" s="23"/>
      <c r="H12" s="23">
        <f>SUM(E12:G12)</f>
        <v>160.28</v>
      </c>
      <c r="I12" s="28"/>
      <c r="K12" s="7">
        <f>H12/D12</f>
        <v>80.14</v>
      </c>
      <c r="L12" s="21">
        <f>K12/1.016*10</f>
        <v>788.77952755905517</v>
      </c>
      <c r="M12" s="22">
        <f>L12/1.12085</f>
        <v>703.73335197310541</v>
      </c>
      <c r="N12" s="21">
        <f>L12*$O$4</f>
        <v>241.31127775840557</v>
      </c>
      <c r="O12" s="21">
        <f>M12*$O$4</f>
        <v>215.29310590927025</v>
      </c>
      <c r="P12" s="20">
        <f>O12/480</f>
        <v>0.44852730397764634</v>
      </c>
    </row>
    <row r="13" spans="1:18" ht="13.5" thickBot="1" x14ac:dyDescent="0.25">
      <c r="C13" s="35">
        <v>7</v>
      </c>
      <c r="D13" s="35">
        <v>2</v>
      </c>
      <c r="E13" s="28">
        <v>144.03</v>
      </c>
      <c r="F13" s="28"/>
      <c r="G13" s="23"/>
      <c r="H13" s="23">
        <f>SUM(E13:G13)</f>
        <v>144.03</v>
      </c>
      <c r="I13" s="28"/>
      <c r="K13" s="7">
        <f>H13/D13</f>
        <v>72.015000000000001</v>
      </c>
      <c r="L13" s="21">
        <f>K13/1.016*10</f>
        <v>708.80905511811022</v>
      </c>
      <c r="M13" s="22">
        <f>L13/1.12085</f>
        <v>632.38529251738441</v>
      </c>
      <c r="N13" s="21">
        <f>L13*$O$4</f>
        <v>216.84591549502841</v>
      </c>
      <c r="O13" s="21">
        <f>M13*$O$4</f>
        <v>193.46559797923757</v>
      </c>
      <c r="P13" s="20">
        <f>O13/480</f>
        <v>0.40305332912341163</v>
      </c>
    </row>
    <row r="14" spans="1:18" ht="13.5" thickBot="1" x14ac:dyDescent="0.25">
      <c r="C14" s="35">
        <v>8</v>
      </c>
      <c r="D14" s="35">
        <v>2</v>
      </c>
      <c r="E14" s="28">
        <v>145.55000000000001</v>
      </c>
      <c r="F14" s="28"/>
      <c r="G14" s="23"/>
      <c r="H14" s="23">
        <f>SUM(E14:G14)</f>
        <v>145.55000000000001</v>
      </c>
      <c r="I14" s="28"/>
      <c r="K14" s="7">
        <f>H14/D14</f>
        <v>72.775000000000006</v>
      </c>
      <c r="L14" s="21">
        <f>K14/1.016*10</f>
        <v>716.28937007874015</v>
      </c>
      <c r="M14" s="22">
        <f>L14/1.12085</f>
        <v>639.05908023262725</v>
      </c>
      <c r="N14" s="21">
        <f>L14*$O$4</f>
        <v>219.13436784212584</v>
      </c>
      <c r="O14" s="21">
        <f>M14*$O$4</f>
        <v>195.50730949023139</v>
      </c>
      <c r="P14" s="20">
        <f>O14/480</f>
        <v>0.40730689477131538</v>
      </c>
    </row>
    <row r="15" spans="1:18" ht="13.5" thickBot="1" x14ac:dyDescent="0.25">
      <c r="C15" s="35"/>
      <c r="D15" s="35"/>
      <c r="E15" s="23"/>
      <c r="F15" s="23"/>
      <c r="G15" s="23"/>
      <c r="H15" s="23"/>
      <c r="I15" s="23"/>
      <c r="M15" s="34"/>
    </row>
    <row r="16" spans="1:18" ht="13.5" thickBot="1" x14ac:dyDescent="0.25">
      <c r="C16" s="33" t="s">
        <v>92</v>
      </c>
      <c r="D16" s="32"/>
      <c r="E16" s="31"/>
      <c r="F16" s="30" t="s">
        <v>91</v>
      </c>
      <c r="G16" s="29"/>
      <c r="H16" s="28"/>
      <c r="I16" s="23"/>
      <c r="K16" s="7">
        <f>H16/SUM($D$9:$D$14)</f>
        <v>0</v>
      </c>
      <c r="L16" s="21">
        <f>K16/1.016*10</f>
        <v>0</v>
      </c>
      <c r="M16" s="22">
        <f>L16/1.12085</f>
        <v>0</v>
      </c>
      <c r="N16" s="21">
        <f>L16*$O$4</f>
        <v>0</v>
      </c>
      <c r="O16" s="21">
        <f>M16*$O$4</f>
        <v>0</v>
      </c>
      <c r="P16" s="20">
        <f>O16/480</f>
        <v>0</v>
      </c>
    </row>
    <row r="17" spans="3:16" ht="13.5" thickBot="1" x14ac:dyDescent="0.25">
      <c r="C17" s="27"/>
      <c r="D17" s="25"/>
      <c r="E17" s="26"/>
      <c r="F17" s="25"/>
      <c r="G17" s="24"/>
      <c r="H17" s="23"/>
      <c r="I17" s="23"/>
      <c r="L17" s="21"/>
      <c r="M17" s="22"/>
      <c r="N17" s="21"/>
      <c r="O17" s="21"/>
      <c r="P17" s="20"/>
    </row>
    <row r="18" spans="3:16" ht="16.5" thickBot="1" x14ac:dyDescent="0.25">
      <c r="C18" s="15" t="s">
        <v>90</v>
      </c>
      <c r="D18" s="14"/>
      <c r="E18" s="14"/>
      <c r="F18" s="14"/>
      <c r="G18" s="19"/>
      <c r="H18" s="13">
        <f>SUM(H9:H14,H16)</f>
        <v>1045.49</v>
      </c>
      <c r="I18" s="12"/>
      <c r="J18" s="11"/>
      <c r="K18" s="17">
        <f>AVERAGE(K9:K14)+K16/6</f>
        <v>87.124166666666667</v>
      </c>
      <c r="L18" s="17">
        <f>AVERAGE(L9:L14)+L16/6</f>
        <v>857.52132545931761</v>
      </c>
      <c r="M18" s="18">
        <f>AVERAGE(M9:M14)+M16/6</f>
        <v>765.06341210627443</v>
      </c>
      <c r="N18" s="17">
        <f>AVERAGE(N9:N14)+N16/6</f>
        <v>262.34145223321212</v>
      </c>
      <c r="O18" s="17">
        <f>AVERAGE(O9:O14)+O16/6</f>
        <v>234.05580785405019</v>
      </c>
      <c r="P18" s="16">
        <f>AVERAGE(P9:P14)+P16/6</f>
        <v>0.48761626636260452</v>
      </c>
    </row>
    <row r="19" spans="3:16" ht="16.5" thickBot="1" x14ac:dyDescent="0.25">
      <c r="C19" s="15" t="s">
        <v>89</v>
      </c>
      <c r="D19" s="14"/>
      <c r="E19" s="14"/>
      <c r="F19" s="14"/>
      <c r="G19" s="14"/>
      <c r="H19" s="13">
        <f>STDEV(H9:H14)/SQRT(COUNT(H9:H14))</f>
        <v>14.524772268247256</v>
      </c>
      <c r="I19" s="12"/>
      <c r="J19" s="11"/>
      <c r="K19" s="9">
        <f>STDEV(K9:K14)/SQRT(COUNT(K9:K14))</f>
        <v>7.262386134123628</v>
      </c>
      <c r="L19" s="9">
        <f>STDEV(L9:L14)/SQRT(COUNT(L9:L14))</f>
        <v>71.480178485468997</v>
      </c>
      <c r="M19" s="10">
        <f>STDEV(M9:M14)/SQRT(COUNT(M9:M14))</f>
        <v>63.773188638505459</v>
      </c>
      <c r="N19" s="9">
        <f>STDEV(N9:N14)/SQRT(COUNT(N9:N14))</f>
        <v>21.8679270975829</v>
      </c>
      <c r="O19" s="9">
        <f>STDEV(O9:O14)/SQRT(COUNT(O9:O14))</f>
        <v>19.510128114897544</v>
      </c>
      <c r="P19" s="58">
        <f>STDEV(P9:P14)/SQRT(COUNT(P9:P14))</f>
        <v>4.0646100239370056E-2</v>
      </c>
    </row>
    <row r="21" spans="3:16" x14ac:dyDescent="0.2">
      <c r="C21" s="7" t="s">
        <v>122</v>
      </c>
    </row>
    <row r="22" spans="3:16" x14ac:dyDescent="0.2">
      <c r="C22" s="7" t="s">
        <v>87</v>
      </c>
    </row>
  </sheetData>
  <mergeCells count="6">
    <mergeCell ref="C18:G18"/>
    <mergeCell ref="C19:G19"/>
    <mergeCell ref="K6:M6"/>
    <mergeCell ref="N6:P6"/>
    <mergeCell ref="C16:D16"/>
    <mergeCell ref="F16:G16"/>
  </mergeCells>
  <pageMargins left="0.75" right="0.75" top="1" bottom="0.52" header="0.5" footer="0.5"/>
  <pageSetup scale="75" orientation="landscape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512C6-9691-484A-A48A-38071990E1F3}">
  <sheetPr codeName="Sheet40">
    <pageSetUpPr fitToPage="1"/>
  </sheetPr>
  <dimension ref="A1:R22"/>
  <sheetViews>
    <sheetView workbookViewId="0">
      <selection activeCell="K6" sqref="K6:M6"/>
    </sheetView>
  </sheetViews>
  <sheetFormatPr defaultRowHeight="12.75" x14ac:dyDescent="0.2"/>
  <cols>
    <col min="1" max="16384" width="9.140625" style="7"/>
  </cols>
  <sheetData>
    <row r="1" spans="1:18" ht="37.5" x14ac:dyDescent="0.2">
      <c r="A1" s="57" t="s">
        <v>121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</row>
    <row r="2" spans="1:18" ht="18.75" thickBot="1" x14ac:dyDescent="0.3">
      <c r="H2" s="56" t="s">
        <v>120</v>
      </c>
      <c r="I2" s="55">
        <v>906</v>
      </c>
      <c r="J2" s="54"/>
      <c r="K2" s="47" t="s">
        <v>119</v>
      </c>
      <c r="L2" s="53">
        <v>37924</v>
      </c>
      <c r="N2" s="47"/>
      <c r="O2" s="48"/>
    </row>
    <row r="3" spans="1:18" ht="17.25" thickTop="1" thickBot="1" x14ac:dyDescent="0.25">
      <c r="B3" s="50" t="s">
        <v>116</v>
      </c>
      <c r="C3" s="52">
        <v>37914</v>
      </c>
      <c r="K3" s="47" t="s">
        <v>115</v>
      </c>
      <c r="L3" s="48">
        <v>2421.6999999999998</v>
      </c>
      <c r="N3" s="47" t="s">
        <v>114</v>
      </c>
      <c r="O3" s="46">
        <f>(L3-(L4+L5))/L3</f>
        <v>3.4996077135896274E-2</v>
      </c>
    </row>
    <row r="4" spans="1:18" ht="17.25" thickTop="1" thickBot="1" x14ac:dyDescent="0.25">
      <c r="B4" s="50" t="s">
        <v>113</v>
      </c>
      <c r="C4" s="52">
        <v>37921</v>
      </c>
      <c r="F4" s="45"/>
      <c r="G4" s="45"/>
      <c r="H4" s="50" t="s">
        <v>112</v>
      </c>
      <c r="I4" s="51" t="s">
        <v>117</v>
      </c>
      <c r="K4" s="47" t="s">
        <v>110</v>
      </c>
      <c r="L4" s="48">
        <v>855.4</v>
      </c>
      <c r="N4" s="47" t="s">
        <v>109</v>
      </c>
      <c r="O4" s="46">
        <f>L4/L3</f>
        <v>0.35322294256101089</v>
      </c>
    </row>
    <row r="5" spans="1:18" ht="17.25" thickTop="1" thickBot="1" x14ac:dyDescent="0.25">
      <c r="B5" s="50" t="s">
        <v>108</v>
      </c>
      <c r="C5" s="49">
        <v>0.4826388888888889</v>
      </c>
      <c r="F5" s="45"/>
      <c r="G5" s="45"/>
      <c r="K5" s="47" t="s">
        <v>107</v>
      </c>
      <c r="L5" s="48">
        <v>1481.55</v>
      </c>
      <c r="N5" s="47" t="s">
        <v>106</v>
      </c>
      <c r="O5" s="46">
        <f>L5/L3</f>
        <v>0.61178098030309291</v>
      </c>
      <c r="Q5" s="20"/>
    </row>
    <row r="6" spans="1:18" ht="17.25" thickTop="1" thickBot="1" x14ac:dyDescent="0.25">
      <c r="F6" s="45"/>
      <c r="G6" s="45"/>
      <c r="K6" s="43" t="s">
        <v>105</v>
      </c>
      <c r="L6" s="43"/>
      <c r="M6" s="44"/>
      <c r="N6" s="43" t="s">
        <v>104</v>
      </c>
      <c r="O6" s="43"/>
      <c r="P6" s="43"/>
    </row>
    <row r="7" spans="1:18" ht="26.25" thickBot="1" x14ac:dyDescent="0.25">
      <c r="A7" s="36"/>
      <c r="B7" s="36"/>
      <c r="C7" s="35" t="s">
        <v>103</v>
      </c>
      <c r="D7" s="39" t="s">
        <v>102</v>
      </c>
      <c r="E7" s="42" t="s">
        <v>101</v>
      </c>
      <c r="F7" s="42" t="s">
        <v>100</v>
      </c>
      <c r="G7" s="42" t="s">
        <v>99</v>
      </c>
      <c r="H7" s="42" t="s">
        <v>98</v>
      </c>
      <c r="I7" s="35" t="s">
        <v>97</v>
      </c>
      <c r="J7" s="38"/>
      <c r="K7" s="38" t="s">
        <v>96</v>
      </c>
      <c r="L7" s="38" t="s">
        <v>95</v>
      </c>
      <c r="M7" s="41" t="s">
        <v>94</v>
      </c>
      <c r="N7" s="38" t="s">
        <v>95</v>
      </c>
      <c r="O7" s="38" t="s">
        <v>94</v>
      </c>
      <c r="P7" s="40" t="s">
        <v>93</v>
      </c>
      <c r="Q7" s="36"/>
      <c r="R7" s="36"/>
    </row>
    <row r="8" spans="1:18" ht="13.5" thickBot="1" x14ac:dyDescent="0.25">
      <c r="A8" s="36"/>
      <c r="B8" s="36"/>
      <c r="C8" s="35"/>
      <c r="D8" s="39"/>
      <c r="E8" s="35"/>
      <c r="F8" s="35"/>
      <c r="G8" s="35"/>
      <c r="H8" s="35"/>
      <c r="I8" s="35"/>
      <c r="J8" s="38"/>
      <c r="K8" s="36"/>
      <c r="L8" s="36"/>
      <c r="M8" s="37"/>
      <c r="N8" s="36"/>
      <c r="O8" s="36"/>
      <c r="P8" s="36"/>
      <c r="Q8" s="36"/>
      <c r="R8" s="36"/>
    </row>
    <row r="9" spans="1:18" ht="13.5" thickBot="1" x14ac:dyDescent="0.25">
      <c r="C9" s="35">
        <v>3</v>
      </c>
      <c r="D9" s="35">
        <v>2</v>
      </c>
      <c r="E9" s="28">
        <v>500.7</v>
      </c>
      <c r="F9" s="28"/>
      <c r="G9" s="23"/>
      <c r="H9" s="23">
        <f>SUM(E9:G9)</f>
        <v>500.7</v>
      </c>
      <c r="I9" s="28"/>
      <c r="K9" s="7">
        <f>H9/D9</f>
        <v>250.35</v>
      </c>
      <c r="L9" s="21">
        <f>K9/1.016*10</f>
        <v>2464.0748031496064</v>
      </c>
      <c r="M9" s="22">
        <f>L9/1.12085</f>
        <v>2198.3983611987392</v>
      </c>
      <c r="N9" s="21">
        <f>L9*$O$4</f>
        <v>870.36775265894767</v>
      </c>
      <c r="O9" s="21">
        <f>M9*$O$4</f>
        <v>776.52473806392277</v>
      </c>
      <c r="P9" s="20">
        <f>O9/480</f>
        <v>1.6177598709665058</v>
      </c>
    </row>
    <row r="10" spans="1:18" ht="13.5" thickBot="1" x14ac:dyDescent="0.25">
      <c r="C10" s="35">
        <v>4</v>
      </c>
      <c r="D10" s="35">
        <v>2</v>
      </c>
      <c r="E10" s="28">
        <v>498.6</v>
      </c>
      <c r="F10" s="28"/>
      <c r="G10" s="23"/>
      <c r="H10" s="23">
        <f>SUM(E10:G10)</f>
        <v>498.6</v>
      </c>
      <c r="I10" s="28"/>
      <c r="K10" s="7">
        <f>H10/D10</f>
        <v>249.3</v>
      </c>
      <c r="L10" s="21">
        <f>K10/1.016*10</f>
        <v>2453.7401574803148</v>
      </c>
      <c r="M10" s="22">
        <f>L10/1.12085</f>
        <v>2189.1779965921532</v>
      </c>
      <c r="N10" s="21">
        <f>L10*$O$4</f>
        <v>866.71731870531505</v>
      </c>
      <c r="O10" s="21">
        <f>M10*$O$4</f>
        <v>773.26789374609905</v>
      </c>
      <c r="P10" s="20">
        <f>O10/480</f>
        <v>1.6109747786377064</v>
      </c>
    </row>
    <row r="11" spans="1:18" ht="13.5" thickBot="1" x14ac:dyDescent="0.25">
      <c r="C11" s="35">
        <v>5</v>
      </c>
      <c r="D11" s="35">
        <v>2</v>
      </c>
      <c r="E11" s="28">
        <v>508.6</v>
      </c>
      <c r="F11" s="28"/>
      <c r="G11" s="23"/>
      <c r="H11" s="23">
        <f>SUM(E11:G11)</f>
        <v>508.6</v>
      </c>
      <c r="I11" s="28"/>
      <c r="K11" s="7">
        <f>H11/D11</f>
        <v>254.3</v>
      </c>
      <c r="L11" s="21">
        <f>K11/1.016*10</f>
        <v>2502.9527559055118</v>
      </c>
      <c r="M11" s="22">
        <f>L11/1.12085</f>
        <v>2233.0844947187511</v>
      </c>
      <c r="N11" s="21">
        <f>L11*$O$4</f>
        <v>884.10033753213656</v>
      </c>
      <c r="O11" s="21">
        <f>M11*$O$4</f>
        <v>788.77667621192541</v>
      </c>
      <c r="P11" s="20">
        <f>O11/480</f>
        <v>1.643284742108178</v>
      </c>
    </row>
    <row r="12" spans="1:18" ht="13.5" thickBot="1" x14ac:dyDescent="0.25">
      <c r="C12" s="35">
        <v>6</v>
      </c>
      <c r="D12" s="35">
        <v>2</v>
      </c>
      <c r="E12" s="28">
        <v>480.5</v>
      </c>
      <c r="F12" s="28"/>
      <c r="G12" s="23"/>
      <c r="H12" s="23">
        <f>SUM(E12:G12)</f>
        <v>480.5</v>
      </c>
      <c r="I12" s="28"/>
      <c r="K12" s="7">
        <f>H12/D12</f>
        <v>240.25</v>
      </c>
      <c r="L12" s="21">
        <f>K12/1.016*10</f>
        <v>2364.6653543307089</v>
      </c>
      <c r="M12" s="22">
        <f>L12/1.12085</f>
        <v>2109.7072349830119</v>
      </c>
      <c r="N12" s="21">
        <f>L12*$O$4</f>
        <v>835.25405462876847</v>
      </c>
      <c r="O12" s="21">
        <f>M12*$O$4</f>
        <v>745.19699748295352</v>
      </c>
      <c r="P12" s="20">
        <f>O12/480</f>
        <v>1.5524937447561531</v>
      </c>
    </row>
    <row r="13" spans="1:18" ht="13.5" thickBot="1" x14ac:dyDescent="0.25">
      <c r="C13" s="35">
        <v>7</v>
      </c>
      <c r="D13" s="35">
        <v>2</v>
      </c>
      <c r="E13" s="28">
        <v>521</v>
      </c>
      <c r="F13" s="28"/>
      <c r="G13" s="23"/>
      <c r="H13" s="23">
        <f>SUM(E13:G13)</f>
        <v>521</v>
      </c>
      <c r="I13" s="28"/>
      <c r="K13" s="7">
        <f>H13/D13</f>
        <v>260.5</v>
      </c>
      <c r="L13" s="21">
        <f>K13/1.016*10</f>
        <v>2563.9763779527561</v>
      </c>
      <c r="M13" s="22">
        <f>L13/1.12085</f>
        <v>2287.5285523957323</v>
      </c>
      <c r="N13" s="21">
        <f>L13*$O$4</f>
        <v>905.65528087739517</v>
      </c>
      <c r="O13" s="21">
        <f>M13*$O$4</f>
        <v>808.00756646955017</v>
      </c>
      <c r="P13" s="20">
        <f>O13/480</f>
        <v>1.6833490968115628</v>
      </c>
    </row>
    <row r="14" spans="1:18" ht="13.5" thickBot="1" x14ac:dyDescent="0.25">
      <c r="C14" s="35">
        <v>8</v>
      </c>
      <c r="D14" s="35">
        <v>2</v>
      </c>
      <c r="E14" s="28">
        <v>617.20000000000005</v>
      </c>
      <c r="F14" s="28"/>
      <c r="G14" s="23"/>
      <c r="H14" s="23">
        <f>SUM(E14:G14)</f>
        <v>617.20000000000005</v>
      </c>
      <c r="I14" s="28"/>
      <c r="K14" s="7">
        <f>H14/D14</f>
        <v>308.60000000000002</v>
      </c>
      <c r="L14" s="21">
        <f>K14/1.016*10</f>
        <v>3037.4015748031497</v>
      </c>
      <c r="M14" s="22">
        <f>L14/1.12085</f>
        <v>2709.9090643736004</v>
      </c>
      <c r="N14" s="21">
        <f>L14*$O$4</f>
        <v>1072.8799219914169</v>
      </c>
      <c r="O14" s="21">
        <f>M14*$O$4</f>
        <v>957.20205379079903</v>
      </c>
      <c r="P14" s="20">
        <f>O14/480</f>
        <v>1.9941709453974981</v>
      </c>
    </row>
    <row r="15" spans="1:18" ht="13.5" thickBot="1" x14ac:dyDescent="0.25">
      <c r="C15" s="35"/>
      <c r="D15" s="35"/>
      <c r="E15" s="23"/>
      <c r="F15" s="23"/>
      <c r="G15" s="23"/>
      <c r="H15" s="23"/>
      <c r="I15" s="23"/>
      <c r="M15" s="34"/>
    </row>
    <row r="16" spans="1:18" ht="13.5" thickBot="1" x14ac:dyDescent="0.25">
      <c r="C16" s="33" t="s">
        <v>92</v>
      </c>
      <c r="D16" s="32"/>
      <c r="E16" s="31"/>
      <c r="F16" s="30" t="s">
        <v>91</v>
      </c>
      <c r="G16" s="29"/>
      <c r="H16" s="28"/>
      <c r="I16" s="23"/>
      <c r="K16" s="7">
        <f>H16/SUM($D$9:$D$14)</f>
        <v>0</v>
      </c>
      <c r="L16" s="21">
        <f>K16/1.016*10</f>
        <v>0</v>
      </c>
      <c r="M16" s="22">
        <f>L16/1.12085</f>
        <v>0</v>
      </c>
      <c r="N16" s="21">
        <f>L16*$O$4</f>
        <v>0</v>
      </c>
      <c r="O16" s="21">
        <f>M16*$O$4</f>
        <v>0</v>
      </c>
      <c r="P16" s="20">
        <f>O16/480</f>
        <v>0</v>
      </c>
    </row>
    <row r="17" spans="3:16" ht="13.5" thickBot="1" x14ac:dyDescent="0.25">
      <c r="C17" s="27"/>
      <c r="D17" s="25"/>
      <c r="E17" s="26"/>
      <c r="F17" s="25"/>
      <c r="G17" s="24"/>
      <c r="H17" s="23"/>
      <c r="I17" s="23"/>
      <c r="L17" s="21"/>
      <c r="M17" s="22"/>
      <c r="N17" s="21"/>
      <c r="O17" s="21"/>
      <c r="P17" s="20"/>
    </row>
    <row r="18" spans="3:16" ht="16.5" thickBot="1" x14ac:dyDescent="0.25">
      <c r="C18" s="15" t="s">
        <v>90</v>
      </c>
      <c r="D18" s="14"/>
      <c r="E18" s="14"/>
      <c r="F18" s="14"/>
      <c r="G18" s="19"/>
      <c r="H18" s="13">
        <f>SUM(H9:H14,H16)</f>
        <v>3126.6000000000004</v>
      </c>
      <c r="I18" s="12"/>
      <c r="J18" s="11"/>
      <c r="K18" s="17">
        <f>AVERAGE(K9:K14)+K16/6</f>
        <v>260.55</v>
      </c>
      <c r="L18" s="17">
        <f>AVERAGE(L9:L14)+L16/6</f>
        <v>2564.4685039370083</v>
      </c>
      <c r="M18" s="18">
        <f>AVERAGE(M9:M14)+M16/6</f>
        <v>2287.9676173769981</v>
      </c>
      <c r="N18" s="17">
        <f>AVERAGE(N9:N14)+N16/6</f>
        <v>905.82911106566326</v>
      </c>
      <c r="O18" s="17">
        <f>AVERAGE(O9:O14)+O16/6</f>
        <v>808.16265429420821</v>
      </c>
      <c r="P18" s="16">
        <f>AVERAGE(P9:P14)+P16/6</f>
        <v>1.6836721964462671</v>
      </c>
    </row>
    <row r="19" spans="3:16" ht="16.5" thickBot="1" x14ac:dyDescent="0.25">
      <c r="C19" s="15" t="s">
        <v>89</v>
      </c>
      <c r="D19" s="14"/>
      <c r="E19" s="14"/>
      <c r="F19" s="14"/>
      <c r="G19" s="14"/>
      <c r="H19" s="13">
        <f>STDEV(H9:H14)/SQRT(COUNT(H9:H14))</f>
        <v>19.968508540532856</v>
      </c>
      <c r="I19" s="12"/>
      <c r="J19" s="11"/>
      <c r="K19" s="9">
        <f>STDEV(K9:K14)/SQRT(COUNT(K9:K14))</f>
        <v>9.9842542702664279</v>
      </c>
      <c r="L19" s="9">
        <f>STDEV(L9:L14)/SQRT(COUNT(L9:L14))</f>
        <v>98.270219195535688</v>
      </c>
      <c r="M19" s="10">
        <f>STDEV(M9:M14)/SQRT(COUNT(M9:M14))</f>
        <v>87.674728282585278</v>
      </c>
      <c r="N19" s="9">
        <f>STDEV(N9:N14)/SQRT(COUNT(N9:N14))</f>
        <v>34.711295990362643</v>
      </c>
      <c r="O19" s="9">
        <f>STDEV(O9:O14)/SQRT(COUNT(O9:O14))</f>
        <v>30.968725512211861</v>
      </c>
      <c r="P19" s="58">
        <f>STDEV(P9:P14)/SQRT(COUNT(P9:P14))</f>
        <v>6.4518178150441377E-2</v>
      </c>
    </row>
    <row r="21" spans="3:16" x14ac:dyDescent="0.2">
      <c r="C21" s="7" t="s">
        <v>122</v>
      </c>
    </row>
    <row r="22" spans="3:16" x14ac:dyDescent="0.2">
      <c r="C22" s="7" t="s">
        <v>87</v>
      </c>
    </row>
  </sheetData>
  <mergeCells count="6">
    <mergeCell ref="C18:G18"/>
    <mergeCell ref="C19:G19"/>
    <mergeCell ref="K6:M6"/>
    <mergeCell ref="N6:P6"/>
    <mergeCell ref="C16:D16"/>
    <mergeCell ref="F16:G16"/>
  </mergeCells>
  <pageMargins left="0.75" right="0.75" top="1" bottom="0.52" header="0.5" footer="0.5"/>
  <pageSetup scale="75" orientation="landscape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903D7-1384-4181-862D-D29440712929}">
  <sheetPr codeName="Sheet41">
    <pageSetUpPr fitToPage="1"/>
  </sheetPr>
  <dimension ref="A1:R22"/>
  <sheetViews>
    <sheetView workbookViewId="0">
      <selection activeCell="K6" sqref="K6:M6"/>
    </sheetView>
  </sheetViews>
  <sheetFormatPr defaultRowHeight="12.75" x14ac:dyDescent="0.2"/>
  <cols>
    <col min="1" max="16384" width="9.140625" style="7"/>
  </cols>
  <sheetData>
    <row r="1" spans="1:18" ht="37.5" x14ac:dyDescent="0.2">
      <c r="A1" s="57" t="s">
        <v>121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</row>
    <row r="2" spans="1:18" ht="18.75" thickBot="1" x14ac:dyDescent="0.3">
      <c r="H2" s="56" t="s">
        <v>120</v>
      </c>
      <c r="I2" s="55">
        <v>908</v>
      </c>
      <c r="J2" s="54"/>
      <c r="K2" s="47" t="s">
        <v>119</v>
      </c>
      <c r="L2" s="53">
        <v>37924</v>
      </c>
      <c r="N2" s="47"/>
      <c r="O2" s="48"/>
    </row>
    <row r="3" spans="1:18" ht="17.25" thickTop="1" thickBot="1" x14ac:dyDescent="0.25">
      <c r="B3" s="50" t="s">
        <v>116</v>
      </c>
      <c r="C3" s="52">
        <v>37914</v>
      </c>
      <c r="K3" s="47" t="s">
        <v>115</v>
      </c>
      <c r="L3" s="48">
        <v>1403.35</v>
      </c>
      <c r="N3" s="47" t="s">
        <v>114</v>
      </c>
      <c r="O3" s="46">
        <f>(L3-(L4+L5))/L3</f>
        <v>5.5417394092706726E-2</v>
      </c>
    </row>
    <row r="4" spans="1:18" ht="17.25" thickTop="1" thickBot="1" x14ac:dyDescent="0.25">
      <c r="B4" s="50" t="s">
        <v>113</v>
      </c>
      <c r="C4" s="52">
        <v>37921</v>
      </c>
      <c r="F4" s="45"/>
      <c r="G4" s="45"/>
      <c r="H4" s="50" t="s">
        <v>112</v>
      </c>
      <c r="I4" s="51" t="s">
        <v>111</v>
      </c>
      <c r="K4" s="47" t="s">
        <v>110</v>
      </c>
      <c r="L4" s="48">
        <v>461</v>
      </c>
      <c r="N4" s="47" t="s">
        <v>109</v>
      </c>
      <c r="O4" s="46">
        <f>L4/L3</f>
        <v>0.32849966152420995</v>
      </c>
    </row>
    <row r="5" spans="1:18" ht="17.25" thickTop="1" thickBot="1" x14ac:dyDescent="0.25">
      <c r="B5" s="50" t="s">
        <v>108</v>
      </c>
      <c r="C5" s="49">
        <v>0.4826388888888889</v>
      </c>
      <c r="F5" s="45"/>
      <c r="G5" s="45"/>
      <c r="K5" s="47" t="s">
        <v>107</v>
      </c>
      <c r="L5" s="48">
        <v>864.58</v>
      </c>
      <c r="M5" s="7" t="s">
        <v>131</v>
      </c>
      <c r="N5" s="47" t="s">
        <v>106</v>
      </c>
      <c r="O5" s="46">
        <f>L5/L3</f>
        <v>0.61608294438308342</v>
      </c>
      <c r="Q5" s="20"/>
    </row>
    <row r="6" spans="1:18" ht="17.25" thickTop="1" thickBot="1" x14ac:dyDescent="0.25">
      <c r="F6" s="45"/>
      <c r="G6" s="45"/>
      <c r="K6" s="43" t="s">
        <v>105</v>
      </c>
      <c r="L6" s="43"/>
      <c r="M6" s="44"/>
      <c r="N6" s="43" t="s">
        <v>104</v>
      </c>
      <c r="O6" s="43"/>
      <c r="P6" s="43"/>
    </row>
    <row r="7" spans="1:18" ht="26.25" thickBot="1" x14ac:dyDescent="0.25">
      <c r="A7" s="36"/>
      <c r="B7" s="36"/>
      <c r="C7" s="35" t="s">
        <v>103</v>
      </c>
      <c r="D7" s="39" t="s">
        <v>102</v>
      </c>
      <c r="E7" s="42" t="s">
        <v>101</v>
      </c>
      <c r="F7" s="42" t="s">
        <v>100</v>
      </c>
      <c r="G7" s="42" t="s">
        <v>99</v>
      </c>
      <c r="H7" s="42" t="s">
        <v>98</v>
      </c>
      <c r="I7" s="35" t="s">
        <v>97</v>
      </c>
      <c r="J7" s="38"/>
      <c r="K7" s="38" t="s">
        <v>96</v>
      </c>
      <c r="L7" s="38" t="s">
        <v>95</v>
      </c>
      <c r="M7" s="41" t="s">
        <v>94</v>
      </c>
      <c r="N7" s="38" t="s">
        <v>95</v>
      </c>
      <c r="O7" s="38" t="s">
        <v>94</v>
      </c>
      <c r="P7" s="40" t="s">
        <v>93</v>
      </c>
      <c r="Q7" s="36"/>
      <c r="R7" s="36"/>
    </row>
    <row r="8" spans="1:18" ht="13.5" thickBot="1" x14ac:dyDescent="0.25">
      <c r="A8" s="36"/>
      <c r="B8" s="36"/>
      <c r="C8" s="35"/>
      <c r="D8" s="39"/>
      <c r="E8" s="35"/>
      <c r="F8" s="35"/>
      <c r="G8" s="35"/>
      <c r="H8" s="35"/>
      <c r="I8" s="35"/>
      <c r="J8" s="38"/>
      <c r="K8" s="36"/>
      <c r="L8" s="36"/>
      <c r="M8" s="37"/>
      <c r="N8" s="36"/>
      <c r="O8" s="36"/>
      <c r="P8" s="36"/>
      <c r="Q8" s="36"/>
      <c r="R8" s="36"/>
    </row>
    <row r="9" spans="1:18" ht="13.5" thickBot="1" x14ac:dyDescent="0.25">
      <c r="C9" s="35">
        <v>3</v>
      </c>
      <c r="D9" s="35">
        <v>2</v>
      </c>
      <c r="E9" s="28">
        <v>260.27999999999997</v>
      </c>
      <c r="F9" s="28"/>
      <c r="G9" s="23"/>
      <c r="H9" s="23">
        <f>SUM(E9:G9)</f>
        <v>260.27999999999997</v>
      </c>
      <c r="I9" s="28"/>
      <c r="K9" s="7">
        <f>H9/D9</f>
        <v>130.13999999999999</v>
      </c>
      <c r="L9" s="21">
        <f>K9/1.016*10</f>
        <v>1280.9055118110234</v>
      </c>
      <c r="M9" s="22">
        <f>L9/1.12085</f>
        <v>1142.7983332390806</v>
      </c>
      <c r="N9" s="21">
        <f>L9*$O$4</f>
        <v>420.77702707441608</v>
      </c>
      <c r="O9" s="21">
        <f>M9*$O$4</f>
        <v>375.40886565946926</v>
      </c>
      <c r="P9" s="20">
        <f>O9/480</f>
        <v>0.78210180345722757</v>
      </c>
    </row>
    <row r="10" spans="1:18" ht="13.5" thickBot="1" x14ac:dyDescent="0.25">
      <c r="C10" s="35">
        <v>4</v>
      </c>
      <c r="D10" s="35">
        <v>2</v>
      </c>
      <c r="E10" s="28">
        <v>239.37</v>
      </c>
      <c r="F10" s="28"/>
      <c r="G10" s="23"/>
      <c r="H10" s="23">
        <f>SUM(E10:G10)</f>
        <v>239.37</v>
      </c>
      <c r="I10" s="28"/>
      <c r="K10" s="7">
        <f>H10/D10</f>
        <v>119.685</v>
      </c>
      <c r="L10" s="21">
        <f>K10/1.016*10</f>
        <v>1178.001968503937</v>
      </c>
      <c r="M10" s="22">
        <f>L10/1.12085</f>
        <v>1050.9898456563653</v>
      </c>
      <c r="N10" s="21">
        <f>L10*$O$4</f>
        <v>386.97324792839635</v>
      </c>
      <c r="O10" s="21">
        <f>M10*$O$4</f>
        <v>345.24980856349765</v>
      </c>
      <c r="P10" s="20">
        <f>O10/480</f>
        <v>0.71927043450728678</v>
      </c>
    </row>
    <row r="11" spans="1:18" ht="13.5" thickBot="1" x14ac:dyDescent="0.25">
      <c r="C11" s="35">
        <v>5</v>
      </c>
      <c r="D11" s="35">
        <v>2</v>
      </c>
      <c r="E11" s="28">
        <v>266.67</v>
      </c>
      <c r="F11" s="28"/>
      <c r="G11" s="23"/>
      <c r="H11" s="23">
        <f>SUM(E11:G11)</f>
        <v>266.67</v>
      </c>
      <c r="I11" s="28"/>
      <c r="K11" s="7">
        <f>H11/D11</f>
        <v>133.33500000000001</v>
      </c>
      <c r="L11" s="21">
        <f>K11/1.016*10</f>
        <v>1312.3523622047244</v>
      </c>
      <c r="M11" s="22">
        <f>L11/1.12085</f>
        <v>1170.8545855419766</v>
      </c>
      <c r="N11" s="21">
        <f>L11*$O$4</f>
        <v>431.10730678474937</v>
      </c>
      <c r="O11" s="21">
        <f>M11*$O$4</f>
        <v>384.62533504460845</v>
      </c>
      <c r="P11" s="20">
        <f>O11/480</f>
        <v>0.80130278134293431</v>
      </c>
    </row>
    <row r="12" spans="1:18" ht="13.5" thickBot="1" x14ac:dyDescent="0.25">
      <c r="C12" s="35">
        <v>6</v>
      </c>
      <c r="D12" s="35">
        <v>2</v>
      </c>
      <c r="E12" s="28">
        <v>272.72000000000003</v>
      </c>
      <c r="F12" s="28"/>
      <c r="G12" s="23"/>
      <c r="H12" s="23">
        <f>SUM(E12:G12)</f>
        <v>272.72000000000003</v>
      </c>
      <c r="I12" s="28"/>
      <c r="K12" s="7">
        <f>H12/D12</f>
        <v>136.36000000000001</v>
      </c>
      <c r="L12" s="21">
        <f>K12/1.016*10</f>
        <v>1342.1259842519685</v>
      </c>
      <c r="M12" s="22">
        <f>L12/1.12085</f>
        <v>1197.4180169085682</v>
      </c>
      <c r="N12" s="21">
        <f>L12*$O$4</f>
        <v>440.88793154961877</v>
      </c>
      <c r="O12" s="21">
        <f>M12*$O$4</f>
        <v>393.35141325745536</v>
      </c>
      <c r="P12" s="20">
        <f>O12/480</f>
        <v>0.81948211095303203</v>
      </c>
    </row>
    <row r="13" spans="1:18" ht="13.5" thickBot="1" x14ac:dyDescent="0.25">
      <c r="C13" s="35">
        <v>7</v>
      </c>
      <c r="D13" s="35">
        <v>2</v>
      </c>
      <c r="E13" s="28">
        <v>193.16</v>
      </c>
      <c r="F13" s="28"/>
      <c r="G13" s="23"/>
      <c r="H13" s="23">
        <f>SUM(E13:G13)</f>
        <v>193.16</v>
      </c>
      <c r="I13" s="28"/>
      <c r="K13" s="7">
        <f>H13/D13</f>
        <v>96.58</v>
      </c>
      <c r="L13" s="21">
        <f>K13/1.016*10</f>
        <v>950.59055118110234</v>
      </c>
      <c r="M13" s="22">
        <f>L13/1.12085</f>
        <v>848.09791781335809</v>
      </c>
      <c r="N13" s="21">
        <f>L13*$O$4</f>
        <v>312.26867431110429</v>
      </c>
      <c r="O13" s="21">
        <f>M13*$O$4</f>
        <v>278.59987894107536</v>
      </c>
      <c r="P13" s="20">
        <f>O13/480</f>
        <v>0.58041641446057368</v>
      </c>
    </row>
    <row r="14" spans="1:18" ht="13.5" thickBot="1" x14ac:dyDescent="0.25">
      <c r="C14" s="35">
        <v>8</v>
      </c>
      <c r="D14" s="35">
        <v>2</v>
      </c>
      <c r="E14" s="28">
        <v>208.18</v>
      </c>
      <c r="F14" s="28"/>
      <c r="G14" s="23"/>
      <c r="H14" s="23">
        <f>SUM(E14:G14)</f>
        <v>208.18</v>
      </c>
      <c r="I14" s="28"/>
      <c r="K14" s="7">
        <f>H14/D14</f>
        <v>104.09</v>
      </c>
      <c r="L14" s="21">
        <f>K14/1.016*10</f>
        <v>1024.507874015748</v>
      </c>
      <c r="M14" s="22">
        <f>L14/1.12085</f>
        <v>914.04547799950763</v>
      </c>
      <c r="N14" s="21">
        <f>L14*$O$4</f>
        <v>336.55048984306114</v>
      </c>
      <c r="O14" s="21">
        <f>M14*$O$4</f>
        <v>300.26363014057296</v>
      </c>
      <c r="P14" s="20">
        <f>O14/480</f>
        <v>0.62554922945952696</v>
      </c>
    </row>
    <row r="15" spans="1:18" ht="13.5" thickBot="1" x14ac:dyDescent="0.25">
      <c r="C15" s="35"/>
      <c r="D15" s="35"/>
      <c r="E15" s="23"/>
      <c r="F15" s="23"/>
      <c r="G15" s="23"/>
      <c r="H15" s="23"/>
      <c r="I15" s="23"/>
      <c r="M15" s="34"/>
    </row>
    <row r="16" spans="1:18" ht="13.5" thickBot="1" x14ac:dyDescent="0.25">
      <c r="C16" s="33" t="s">
        <v>92</v>
      </c>
      <c r="D16" s="32"/>
      <c r="E16" s="31"/>
      <c r="F16" s="30" t="s">
        <v>91</v>
      </c>
      <c r="G16" s="29"/>
      <c r="H16" s="28"/>
      <c r="I16" s="23"/>
      <c r="K16" s="7">
        <f>H16/SUM($D$9:$D$14)</f>
        <v>0</v>
      </c>
      <c r="L16" s="21">
        <f>K16/1.016*10</f>
        <v>0</v>
      </c>
      <c r="M16" s="22">
        <f>L16/1.12085</f>
        <v>0</v>
      </c>
      <c r="N16" s="21">
        <f>L16*$O$4</f>
        <v>0</v>
      </c>
      <c r="O16" s="21">
        <f>M16*$O$4</f>
        <v>0</v>
      </c>
      <c r="P16" s="20">
        <f>O16/480</f>
        <v>0</v>
      </c>
    </row>
    <row r="17" spans="3:16" ht="13.5" thickBot="1" x14ac:dyDescent="0.25">
      <c r="C17" s="27"/>
      <c r="D17" s="25"/>
      <c r="E17" s="26"/>
      <c r="F17" s="25"/>
      <c r="G17" s="24"/>
      <c r="H17" s="23"/>
      <c r="I17" s="23"/>
      <c r="L17" s="21"/>
      <c r="M17" s="22"/>
      <c r="N17" s="21"/>
      <c r="O17" s="21"/>
      <c r="P17" s="20"/>
    </row>
    <row r="18" spans="3:16" ht="16.5" thickBot="1" x14ac:dyDescent="0.25">
      <c r="C18" s="15" t="s">
        <v>90</v>
      </c>
      <c r="D18" s="14"/>
      <c r="E18" s="14"/>
      <c r="F18" s="14"/>
      <c r="G18" s="19"/>
      <c r="H18" s="13">
        <f>SUM(H9:H14,H16)</f>
        <v>1440.38</v>
      </c>
      <c r="I18" s="12"/>
      <c r="J18" s="11"/>
      <c r="K18" s="17">
        <f>AVERAGE(K9:K14)+K16/6</f>
        <v>120.03166666666668</v>
      </c>
      <c r="L18" s="17">
        <f>AVERAGE(L9:L14)+L16/6</f>
        <v>1181.4140419947505</v>
      </c>
      <c r="M18" s="18">
        <f>AVERAGE(M9:M14)+M16/6</f>
        <v>1054.0340295264762</v>
      </c>
      <c r="N18" s="17">
        <f>AVERAGE(N9:N14)+N16/6</f>
        <v>388.09411291522434</v>
      </c>
      <c r="O18" s="17">
        <f>AVERAGE(O9:O14)+O16/6</f>
        <v>346.24982193444652</v>
      </c>
      <c r="P18" s="16">
        <f>AVERAGE(P9:P14)+P16/6</f>
        <v>0.72135379569676361</v>
      </c>
    </row>
    <row r="19" spans="3:16" ht="16.5" thickBot="1" x14ac:dyDescent="0.25">
      <c r="C19" s="15" t="s">
        <v>89</v>
      </c>
      <c r="D19" s="14"/>
      <c r="E19" s="14"/>
      <c r="F19" s="14"/>
      <c r="G19" s="14"/>
      <c r="H19" s="13">
        <f>STDEV(H9:H14)/SQRT(COUNT(H9:H14))</f>
        <v>13.416453248820149</v>
      </c>
      <c r="I19" s="12"/>
      <c r="J19" s="11"/>
      <c r="K19" s="9">
        <f>STDEV(K9:K14)/SQRT(COUNT(K9:K14))</f>
        <v>6.7082266244100746</v>
      </c>
      <c r="L19" s="9">
        <f>STDEV(L9:L14)/SQRT(COUNT(L9:L14))</f>
        <v>66.025852602461413</v>
      </c>
      <c r="M19" s="10">
        <f>STDEV(M9:M14)/SQRT(COUNT(M9:M14))</f>
        <v>58.906947943490138</v>
      </c>
      <c r="N19" s="9">
        <f>STDEV(N9:N14)/SQRT(COUNT(N9:N14))</f>
        <v>21.689470231755937</v>
      </c>
      <c r="O19" s="9">
        <f>STDEV(O9:O14)/SQRT(COUNT(O9:O14))</f>
        <v>19.35091246086089</v>
      </c>
      <c r="P19" s="58">
        <f>STDEV(P9:P14)/SQRT(COUNT(P9:P14))</f>
        <v>4.0314400960126895E-2</v>
      </c>
    </row>
    <row r="21" spans="3:16" x14ac:dyDescent="0.2">
      <c r="C21" s="7" t="s">
        <v>122</v>
      </c>
    </row>
    <row r="22" spans="3:16" x14ac:dyDescent="0.2">
      <c r="C22" s="7" t="s">
        <v>87</v>
      </c>
    </row>
  </sheetData>
  <mergeCells count="6">
    <mergeCell ref="C18:G18"/>
    <mergeCell ref="C19:G19"/>
    <mergeCell ref="K6:M6"/>
    <mergeCell ref="N6:P6"/>
    <mergeCell ref="C16:D16"/>
    <mergeCell ref="F16:G16"/>
  </mergeCells>
  <pageMargins left="0.75" right="0.75" top="1" bottom="0.52" header="0.5" footer="0.5"/>
  <pageSetup scale="75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39</vt:i4>
      </vt:variant>
      <vt:variant>
        <vt:lpstr>Named Ranges</vt:lpstr>
      </vt:variant>
      <vt:variant>
        <vt:i4>36</vt:i4>
      </vt:variant>
    </vt:vector>
  </HeadingPairs>
  <TitlesOfParts>
    <vt:vector size="75" baseType="lpstr">
      <vt:lpstr>Raw Scale</vt:lpstr>
      <vt:lpstr>Plot Scale</vt:lpstr>
      <vt:lpstr>Compare</vt:lpstr>
      <vt:lpstr>101</vt:lpstr>
      <vt:lpstr>102</vt:lpstr>
      <vt:lpstr>103</vt:lpstr>
      <vt:lpstr>104</vt:lpstr>
      <vt:lpstr>105</vt:lpstr>
      <vt:lpstr>106</vt:lpstr>
      <vt:lpstr>107</vt:lpstr>
      <vt:lpstr>108</vt:lpstr>
      <vt:lpstr>201</vt:lpstr>
      <vt:lpstr>202</vt:lpstr>
      <vt:lpstr>203</vt:lpstr>
      <vt:lpstr>204</vt:lpstr>
      <vt:lpstr>205</vt:lpstr>
      <vt:lpstr>206</vt:lpstr>
      <vt:lpstr>207</vt:lpstr>
      <vt:lpstr>208</vt:lpstr>
      <vt:lpstr>301</vt:lpstr>
      <vt:lpstr>302</vt:lpstr>
      <vt:lpstr>303</vt:lpstr>
      <vt:lpstr>304</vt:lpstr>
      <vt:lpstr>305</vt:lpstr>
      <vt:lpstr>306</vt:lpstr>
      <vt:lpstr>307</vt:lpstr>
      <vt:lpstr>308</vt:lpstr>
      <vt:lpstr>401</vt:lpstr>
      <vt:lpstr>402</vt:lpstr>
      <vt:lpstr>403</vt:lpstr>
      <vt:lpstr>404</vt:lpstr>
      <vt:lpstr>405</vt:lpstr>
      <vt:lpstr>406</vt:lpstr>
      <vt:lpstr>407</vt:lpstr>
      <vt:lpstr>408</vt:lpstr>
      <vt:lpstr>902</vt:lpstr>
      <vt:lpstr>904</vt:lpstr>
      <vt:lpstr>906</vt:lpstr>
      <vt:lpstr>908</vt:lpstr>
      <vt:lpstr>'101'!Print_Area</vt:lpstr>
      <vt:lpstr>'102'!Print_Area</vt:lpstr>
      <vt:lpstr>'103'!Print_Area</vt:lpstr>
      <vt:lpstr>'104'!Print_Area</vt:lpstr>
      <vt:lpstr>'105'!Print_Area</vt:lpstr>
      <vt:lpstr>'106'!Print_Area</vt:lpstr>
      <vt:lpstr>'107'!Print_Area</vt:lpstr>
      <vt:lpstr>'108'!Print_Area</vt:lpstr>
      <vt:lpstr>'201'!Print_Area</vt:lpstr>
      <vt:lpstr>'202'!Print_Area</vt:lpstr>
      <vt:lpstr>'203'!Print_Area</vt:lpstr>
      <vt:lpstr>'204'!Print_Area</vt:lpstr>
      <vt:lpstr>'205'!Print_Area</vt:lpstr>
      <vt:lpstr>'206'!Print_Area</vt:lpstr>
      <vt:lpstr>'207'!Print_Area</vt:lpstr>
      <vt:lpstr>'208'!Print_Area</vt:lpstr>
      <vt:lpstr>'301'!Print_Area</vt:lpstr>
      <vt:lpstr>'302'!Print_Area</vt:lpstr>
      <vt:lpstr>'303'!Print_Area</vt:lpstr>
      <vt:lpstr>'304'!Print_Area</vt:lpstr>
      <vt:lpstr>'305'!Print_Area</vt:lpstr>
      <vt:lpstr>'306'!Print_Area</vt:lpstr>
      <vt:lpstr>'307'!Print_Area</vt:lpstr>
      <vt:lpstr>'308'!Print_Area</vt:lpstr>
      <vt:lpstr>'401'!Print_Area</vt:lpstr>
      <vt:lpstr>'402'!Print_Area</vt:lpstr>
      <vt:lpstr>'403'!Print_Area</vt:lpstr>
      <vt:lpstr>'404'!Print_Area</vt:lpstr>
      <vt:lpstr>'405'!Print_Area</vt:lpstr>
      <vt:lpstr>'406'!Print_Area</vt:lpstr>
      <vt:lpstr>'407'!Print_Area</vt:lpstr>
      <vt:lpstr>'408'!Print_Area</vt:lpstr>
      <vt:lpstr>'902'!Print_Area</vt:lpstr>
      <vt:lpstr>'904'!Print_Area</vt:lpstr>
      <vt:lpstr>'906'!Print_Area</vt:lpstr>
      <vt:lpstr>'908'!Print_Area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Reviewer</dc:creator>
  <cp:lastModifiedBy>Reviewer</cp:lastModifiedBy>
  <dcterms:created xsi:type="dcterms:W3CDTF">2023-09-06T13:49:24Z</dcterms:created>
  <dcterms:modified xsi:type="dcterms:W3CDTF">2025-05-27T22:54:59Z</dcterms:modified>
</cp:coreProperties>
</file>