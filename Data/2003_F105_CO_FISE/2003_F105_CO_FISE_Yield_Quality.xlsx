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tool\tool\Data\2003_F105_CO_FISE\"/>
    </mc:Choice>
  </mc:AlternateContent>
  <xr:revisionPtr revIDLastSave="0" documentId="13_ncr:1_{28AE780A-6ED6-4DEE-9CD4-0C57AC6BF124}" xr6:coauthVersionLast="47" xr6:coauthVersionMax="47" xr10:uidLastSave="{00000000-0000-0000-0000-000000000000}"/>
  <bookViews>
    <workbookView xWindow="-4590" yWindow="-28920" windowWidth="18240" windowHeight="29040" xr2:uid="{5485CBB2-C13A-4C0B-BAC8-38661C175E52}"/>
  </bookViews>
  <sheets>
    <sheet name="Raw Scale" sheetId="1" r:id="rId1"/>
    <sheet name="Plot Scale" sheetId="2" r:id="rId2"/>
    <sheet name="Compar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5" i="1" l="1"/>
  <c r="K57" i="1"/>
  <c r="A20" i="1"/>
  <c r="K31" i="1"/>
  <c r="L31" i="1"/>
  <c r="K32" i="1"/>
  <c r="L32" i="1"/>
  <c r="K33" i="1"/>
  <c r="L33" i="1"/>
  <c r="K34" i="1"/>
  <c r="L34" i="1"/>
  <c r="K35" i="1"/>
  <c r="L35" i="1"/>
  <c r="K36" i="1"/>
  <c r="L36" i="1"/>
  <c r="K37" i="1"/>
  <c r="L37" i="1"/>
  <c r="K38" i="1"/>
  <c r="L38" i="1"/>
  <c r="K39" i="1"/>
  <c r="L39" i="1"/>
  <c r="K40" i="1"/>
  <c r="L40" i="1"/>
  <c r="K41" i="1"/>
  <c r="L41" i="1"/>
  <c r="K42" i="1"/>
  <c r="L42" i="1"/>
  <c r="K43" i="1"/>
  <c r="L43" i="1"/>
  <c r="K44" i="1"/>
  <c r="L44" i="1"/>
  <c r="K45" i="1"/>
  <c r="L45" i="1"/>
  <c r="K46" i="1"/>
  <c r="L46" i="1"/>
  <c r="K47" i="1"/>
  <c r="L47" i="1"/>
  <c r="K48" i="1"/>
  <c r="L48" i="1"/>
  <c r="K49" i="1"/>
  <c r="L49" i="1"/>
  <c r="K50" i="1"/>
  <c r="L50" i="1"/>
  <c r="K51" i="1"/>
  <c r="L51" i="1"/>
  <c r="K52" i="1"/>
  <c r="L52" i="1"/>
  <c r="K53" i="1"/>
  <c r="L53" i="1"/>
  <c r="K54" i="1"/>
  <c r="L54" i="1"/>
  <c r="K55" i="1"/>
  <c r="K56" i="1"/>
  <c r="M56" i="1" s="1"/>
  <c r="L56" i="1"/>
  <c r="L57" i="1"/>
  <c r="K58" i="1"/>
  <c r="L58" i="1"/>
  <c r="K59" i="1"/>
  <c r="L59" i="1"/>
  <c r="K61" i="1"/>
  <c r="L61" i="1"/>
  <c r="K62" i="1"/>
  <c r="L62" i="1"/>
  <c r="K63" i="1"/>
  <c r="L63" i="1"/>
  <c r="K64" i="1"/>
  <c r="L64" i="1"/>
  <c r="K65" i="1"/>
  <c r="L65" i="1"/>
  <c r="K30" i="1"/>
  <c r="F63" i="1" l="1"/>
  <c r="F62" i="1"/>
  <c r="F65" i="1"/>
  <c r="F64" i="1"/>
  <c r="M49" i="1"/>
  <c r="M47" i="1"/>
  <c r="M42" i="1"/>
  <c r="M40" i="1"/>
  <c r="M64" i="1"/>
  <c r="M48" i="1"/>
  <c r="M51" i="1"/>
  <c r="M39" i="1"/>
  <c r="M43" i="1"/>
  <c r="M46" i="1"/>
  <c r="M52" i="1"/>
  <c r="M63" i="1"/>
  <c r="M59" i="1"/>
  <c r="M55" i="1"/>
  <c r="M32" i="1"/>
  <c r="M65" i="1"/>
  <c r="M62" i="1"/>
  <c r="M35" i="1"/>
  <c r="M31" i="1"/>
  <c r="M54" i="1"/>
  <c r="M45" i="1"/>
  <c r="M41" i="1"/>
  <c r="M53" i="1"/>
  <c r="M50" i="1"/>
  <c r="M33" i="1"/>
  <c r="M61" i="1"/>
  <c r="M38" i="1"/>
  <c r="M34" i="1"/>
  <c r="M36" i="1"/>
  <c r="M58" i="1"/>
  <c r="M57" i="1"/>
  <c r="M44" i="1"/>
  <c r="M37" i="1"/>
  <c r="A19" i="1"/>
  <c r="F41" i="1" l="1"/>
  <c r="F38" i="1"/>
  <c r="F61" i="1"/>
  <c r="F58" i="1"/>
  <c r="F50" i="1"/>
  <c r="F42" i="1"/>
  <c r="F34" i="1"/>
  <c r="F31" i="1"/>
  <c r="F60" i="1"/>
  <c r="F43" i="1"/>
  <c r="F57" i="1"/>
  <c r="F49" i="1"/>
  <c r="F33" i="1"/>
  <c r="O33" i="1" s="1"/>
  <c r="F46" i="1"/>
  <c r="F45" i="1"/>
  <c r="F44" i="1"/>
  <c r="F35" i="1"/>
  <c r="F56" i="1"/>
  <c r="O56" i="1" s="1"/>
  <c r="F48" i="1"/>
  <c r="N48" i="1" s="1"/>
  <c r="F40" i="1"/>
  <c r="O40" i="1" s="1"/>
  <c r="F32" i="1"/>
  <c r="O32" i="1" s="1"/>
  <c r="F54" i="1"/>
  <c r="N54" i="1" s="1"/>
  <c r="F53" i="1"/>
  <c r="F52" i="1"/>
  <c r="F51" i="1"/>
  <c r="F55" i="1"/>
  <c r="O55" i="1" s="1"/>
  <c r="F47" i="1"/>
  <c r="F39" i="1"/>
  <c r="F37" i="1"/>
  <c r="F36" i="1"/>
  <c r="F30" i="1"/>
  <c r="F59" i="1"/>
  <c r="N64" i="1"/>
  <c r="N33" i="1" l="1"/>
  <c r="P33" i="1" s="1"/>
  <c r="O48" i="1"/>
  <c r="P48" i="1" s="1"/>
  <c r="N32" i="1"/>
  <c r="P32" i="1" s="1"/>
  <c r="N56" i="1"/>
  <c r="P56" i="1" s="1"/>
  <c r="O64" i="1"/>
  <c r="P64" i="1" s="1"/>
  <c r="N40" i="1"/>
  <c r="P40" i="1" s="1"/>
  <c r="N43" i="1"/>
  <c r="O43" i="1"/>
  <c r="O45" i="1"/>
  <c r="N45" i="1"/>
  <c r="N39" i="1"/>
  <c r="O39" i="1"/>
  <c r="N65" i="1"/>
  <c r="O65" i="1"/>
  <c r="O51" i="1"/>
  <c r="N51" i="1"/>
  <c r="N53" i="1"/>
  <c r="O53" i="1"/>
  <c r="N47" i="1"/>
  <c r="O47" i="1"/>
  <c r="O57" i="1"/>
  <c r="N57" i="1"/>
  <c r="N34" i="1"/>
  <c r="O34" i="1"/>
  <c r="O61" i="1"/>
  <c r="N61" i="1"/>
  <c r="N42" i="1"/>
  <c r="O42" i="1"/>
  <c r="N36" i="1"/>
  <c r="O36" i="1"/>
  <c r="N38" i="1"/>
  <c r="O38" i="1"/>
  <c r="N63" i="1"/>
  <c r="O63" i="1"/>
  <c r="N50" i="1"/>
  <c r="O50" i="1"/>
  <c r="N44" i="1"/>
  <c r="O44" i="1"/>
  <c r="N46" i="1"/>
  <c r="O46" i="1"/>
  <c r="N35" i="1"/>
  <c r="O35" i="1"/>
  <c r="N59" i="1"/>
  <c r="O59" i="1"/>
  <c r="N55" i="1"/>
  <c r="N58" i="1"/>
  <c r="O58" i="1"/>
  <c r="N52" i="1"/>
  <c r="O52" i="1"/>
  <c r="O54" i="1"/>
  <c r="N41" i="1"/>
  <c r="O41" i="1"/>
  <c r="N30" i="1"/>
  <c r="N62" i="1"/>
  <c r="O62" i="1"/>
  <c r="N49" i="1"/>
  <c r="O49" i="1"/>
  <c r="N37" i="1"/>
  <c r="O37" i="1"/>
  <c r="N31" i="1"/>
  <c r="O31" i="1"/>
  <c r="P51" i="1" l="1"/>
  <c r="P41" i="1"/>
  <c r="P44" i="1"/>
  <c r="P36" i="1"/>
  <c r="P55" i="1"/>
  <c r="P58" i="1"/>
  <c r="P46" i="1"/>
  <c r="P62" i="1"/>
  <c r="P63" i="1"/>
  <c r="P59" i="1"/>
  <c r="P50" i="1"/>
  <c r="P42" i="1"/>
  <c r="P61" i="1"/>
  <c r="P49" i="1"/>
  <c r="P45" i="1"/>
  <c r="P54" i="1"/>
  <c r="P65" i="1"/>
  <c r="P47" i="1"/>
  <c r="P39" i="1"/>
  <c r="P31" i="1"/>
  <c r="P52" i="1"/>
  <c r="P35" i="1"/>
  <c r="P53" i="1"/>
  <c r="P37" i="1"/>
  <c r="P38" i="1"/>
  <c r="P34" i="1"/>
  <c r="P57" i="1"/>
  <c r="P43" i="1"/>
  <c r="L30" i="1" l="1"/>
  <c r="O30" i="1" s="1"/>
  <c r="P30" i="1" s="1"/>
  <c r="M30" i="1" l="1"/>
</calcChain>
</file>

<file path=xl/sharedStrings.xml><?xml version="1.0" encoding="utf-8"?>
<sst xmlns="http://schemas.openxmlformats.org/spreadsheetml/2006/main" count="286" uniqueCount="87">
  <si>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</si>
  <si>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</si>
  <si>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</si>
  <si>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</si>
  <si>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</si>
  <si>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</si>
  <si>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</si>
  <si>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</si>
  <si>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</si>
  <si>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wt</t>
  </si>
  <si>
    <t>(g)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</si>
  <si>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</si>
  <si>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</si>
  <si>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</si>
  <si>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</si>
  <si>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</si>
  <si>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</si>
  <si>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</si>
  <si>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</si>
  <si>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</si>
  <si>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</si>
  <si>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</si>
  <si>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Column H - Weight of bulk cotton subsample prior to ginning (g)</t>
  </si>
  <si>
    <t>Column K - Fiber fraction after ginning (FFRAC, g/g)</t>
  </si>
  <si>
    <t>Column L - Seed fraction after ginning (SFRAC, g/g)</t>
  </si>
  <si>
    <t>Column N - Wet fiber weight at harvest (WFWAH, kg/ha)</t>
  </si>
  <si>
    <t>Column O - Wet seed weight at harvest (WSWAH, kg/ha)</t>
  </si>
  <si>
    <t>Column P - Wet seed cotton weight at harvest (fiber + seed) (WSCWAH, kg/ha)</t>
  </si>
  <si>
    <t>Plot</t>
  </si>
  <si>
    <t>HARM</t>
  </si>
  <si>
    <t>Hand</t>
  </si>
  <si>
    <t>Column C - Harvest method (HARM)</t>
  </si>
  <si>
    <t>Size of harvest area (6 40-inch rows by 4 m) (m2)</t>
  </si>
  <si>
    <t>g per kg</t>
  </si>
  <si>
    <t>Column F - Wet bulk weight at harvest (fiber + seed + trash) (WBWAH, kg/ha)</t>
  </si>
  <si>
    <t>Date</t>
  </si>
  <si>
    <t>GNDAT</t>
  </si>
  <si>
    <t>Column D - Harvest date (HADAT, mm/dd/yyyy)</t>
  </si>
  <si>
    <t>Column G - Ginning Date (GNDAT, mm/dd/yyyy)</t>
  </si>
  <si>
    <t>Size of harvest area for stress plots (6 40-inch rows by 2 m) (m2)</t>
  </si>
  <si>
    <t>Column E - Weight of bulk hand-picked cotton in six 4 m rows with gleaning weight from 10/21/2003 added (g)</t>
  </si>
  <si>
    <t>Column I - Weight of fiber after ginning (g)</t>
  </si>
  <si>
    <t>Column M - Trash fraction after ginning (TFRAC, g/g)</t>
  </si>
  <si>
    <t>LintYield mean (kg/ha)</t>
  </si>
  <si>
    <t>SCYield mean (kg/ha)</t>
  </si>
  <si>
    <t>Original</t>
  </si>
  <si>
    <t>Spreadsheet</t>
  </si>
  <si>
    <t>Column J - Weight of fuzzy seed after ginning (g)</t>
  </si>
  <si>
    <t>ID</t>
  </si>
  <si>
    <t>Column A - ID (ID)</t>
  </si>
  <si>
    <t>Column B - Plot ID (PID)</t>
  </si>
  <si>
    <t>p101</t>
  </si>
  <si>
    <t>p102</t>
  </si>
  <si>
    <t>p103</t>
  </si>
  <si>
    <t>p104</t>
  </si>
  <si>
    <t>p105</t>
  </si>
  <si>
    <t>p106</t>
  </si>
  <si>
    <t>p107</t>
  </si>
  <si>
    <t>p108</t>
  </si>
  <si>
    <t>p201</t>
  </si>
  <si>
    <t>p202</t>
  </si>
  <si>
    <t>p203</t>
  </si>
  <si>
    <t>p204</t>
  </si>
  <si>
    <t>p205</t>
  </si>
  <si>
    <t>p206</t>
  </si>
  <si>
    <t>p207</t>
  </si>
  <si>
    <t>p208</t>
  </si>
  <si>
    <t>p301</t>
  </si>
  <si>
    <t>p302</t>
  </si>
  <si>
    <t>p303</t>
  </si>
  <si>
    <t>p304</t>
  </si>
  <si>
    <t>p305</t>
  </si>
  <si>
    <t>p306</t>
  </si>
  <si>
    <t>p307</t>
  </si>
  <si>
    <t>p308</t>
  </si>
  <si>
    <t>p401</t>
  </si>
  <si>
    <t>p402</t>
  </si>
  <si>
    <t>p403</t>
  </si>
  <si>
    <t>p404</t>
  </si>
  <si>
    <t>p405</t>
  </si>
  <si>
    <t>p406</t>
  </si>
  <si>
    <t>p407</t>
  </si>
  <si>
    <t>p408</t>
  </si>
  <si>
    <t>p902</t>
  </si>
  <si>
    <t>p904</t>
  </si>
  <si>
    <t>p906</t>
  </si>
  <si>
    <t>p908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</si>
</sst>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Compare!$N$3:$N$4</c:f>
              <c:numCache>
                <c:formatCode>General</c:formatCode>
                <c:ptCount val="2"/>
                <c:pt idx="0">
                  <c:v>0</c:v>
                </c:pt>
                <c:pt idx="1">
                  <c:v>2500</c:v>
                </c:pt>
              </c:numCache>
            </c:numRef>
          </c:xVal>
          <c:yVal>
            <c:numRef>
              <c:f>Compare!$N$3:$N$4</c:f>
              <c:numCache>
                <c:formatCode>General</c:formatCode>
                <c:ptCount val="2"/>
                <c:pt idx="0">
                  <c:v>0</c:v>
                </c:pt>
                <c:pt idx="1">
                  <c:v>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F4-458B-BA21-3B82D59A2767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Compare!$B$5:$B$40</c:f>
              <c:numCache>
                <c:formatCode>General</c:formatCode>
                <c:ptCount val="36"/>
                <c:pt idx="0">
                  <c:v>1411.513035464701</c:v>
                </c:pt>
                <c:pt idx="1">
                  <c:v>1453.5868442745239</c:v>
                </c:pt>
                <c:pt idx="2">
                  <c:v>1868.6518252248575</c:v>
                </c:pt>
                <c:pt idx="3">
                  <c:v>1740.7652176573783</c:v>
                </c:pt>
                <c:pt idx="4">
                  <c:v>1698.7388302851746</c:v>
                </c:pt>
                <c:pt idx="5">
                  <c:v>1754.5844353961515</c:v>
                </c:pt>
                <c:pt idx="6">
                  <c:v>1696.3505525120154</c:v>
                </c:pt>
                <c:pt idx="7">
                  <c:v>1989.6852140400031</c:v>
                </c:pt>
                <c:pt idx="8">
                  <c:v>1655.5309234167814</c:v>
                </c:pt>
                <c:pt idx="9">
                  <c:v>1678.1449810343856</c:v>
                </c:pt>
                <c:pt idx="10">
                  <c:v>1720.481804653987</c:v>
                </c:pt>
                <c:pt idx="11">
                  <c:v>1880.8467679436351</c:v>
                </c:pt>
                <c:pt idx="12">
                  <c:v>1769.6962615600878</c:v>
                </c:pt>
                <c:pt idx="13">
                  <c:v>1682.6135053665093</c:v>
                </c:pt>
                <c:pt idx="14">
                  <c:v>1708.6638562342978</c:v>
                </c:pt>
                <c:pt idx="15">
                  <c:v>1524.681533858078</c:v>
                </c:pt>
                <c:pt idx="16">
                  <c:v>1682.9569465552941</c:v>
                </c:pt>
                <c:pt idx="17">
                  <c:v>1598.2053356540434</c:v>
                </c:pt>
                <c:pt idx="18">
                  <c:v>1735.2461704722039</c:v>
                </c:pt>
                <c:pt idx="19">
                  <c:v>1690.0381400451226</c:v>
                </c:pt>
                <c:pt idx="20">
                  <c:v>1714.959655714787</c:v>
                </c:pt>
                <c:pt idx="21">
                  <c:v>1602.144981518227</c:v>
                </c:pt>
                <c:pt idx="22">
                  <c:v>1632.2232818067805</c:v>
                </c:pt>
                <c:pt idx="23">
                  <c:v>1732.029882583379</c:v>
                </c:pt>
                <c:pt idx="24">
                  <c:v>1225.2614115540505</c:v>
                </c:pt>
                <c:pt idx="25">
                  <c:v>1576.8725226146112</c:v>
                </c:pt>
                <c:pt idx="26">
                  <c:v>1624.3792534533929</c:v>
                </c:pt>
                <c:pt idx="27">
                  <c:v>1777.2915061247352</c:v>
                </c:pt>
                <c:pt idx="28">
                  <c:v>1573.2129719297675</c:v>
                </c:pt>
                <c:pt idx="29">
                  <c:v>1901.0618755527248</c:v>
                </c:pt>
                <c:pt idx="30">
                  <c:v>1666.6220877175294</c:v>
                </c:pt>
                <c:pt idx="31">
                  <c:v>1659.2196784104278</c:v>
                </c:pt>
                <c:pt idx="32">
                  <c:v>780.27918537746791</c:v>
                </c:pt>
                <c:pt idx="33">
                  <c:v>262.34145223321212</c:v>
                </c:pt>
                <c:pt idx="34">
                  <c:v>905.82911106566326</c:v>
                </c:pt>
                <c:pt idx="35">
                  <c:v>388.09411291522434</c:v>
                </c:pt>
              </c:numCache>
            </c:numRef>
          </c:xVal>
          <c:yVal>
            <c:numRef>
              <c:f>'Raw Scale'!$N$30:$N$65</c:f>
              <c:numCache>
                <c:formatCode>0.0</c:formatCode>
                <c:ptCount val="36"/>
                <c:pt idx="0">
                  <c:v>1487.2437682509747</c:v>
                </c:pt>
                <c:pt idx="1">
                  <c:v>1492.5120689393598</c:v>
                </c:pt>
                <c:pt idx="2">
                  <c:v>1923.5182764549334</c:v>
                </c:pt>
                <c:pt idx="3">
                  <c:v>1781.4660764554692</c:v>
                </c:pt>
                <c:pt idx="4">
                  <c:v>1732.0382070100218</c:v>
                </c:pt>
                <c:pt idx="5">
                  <c:v>1818.8018168560759</c:v>
                </c:pt>
                <c:pt idx="6">
                  <c:v>1737.1360384756726</c:v>
                </c:pt>
                <c:pt idx="7">
                  <c:v>2050.7267249492379</c:v>
                </c:pt>
                <c:pt idx="8">
                  <c:v>1687.3568693625227</c:v>
                </c:pt>
                <c:pt idx="9">
                  <c:v>1749.5206723181864</c:v>
                </c:pt>
                <c:pt idx="10">
                  <c:v>1776.1299265103216</c:v>
                </c:pt>
                <c:pt idx="11">
                  <c:v>1927.5100597990449</c:v>
                </c:pt>
                <c:pt idx="12">
                  <c:v>1819.2510668909372</c:v>
                </c:pt>
                <c:pt idx="13">
                  <c:v>1736.2905852275831</c:v>
                </c:pt>
                <c:pt idx="14">
                  <c:v>1744.1601093080233</c:v>
                </c:pt>
                <c:pt idx="15">
                  <c:v>1561.4899713355346</c:v>
                </c:pt>
                <c:pt idx="16">
                  <c:v>1710.5784687698174</c:v>
                </c:pt>
                <c:pt idx="17">
                  <c:v>1634.6843354299153</c:v>
                </c:pt>
                <c:pt idx="18">
                  <c:v>1775.0687038554393</c:v>
                </c:pt>
                <c:pt idx="19">
                  <c:v>1714.3891200656858</c:v>
                </c:pt>
                <c:pt idx="20">
                  <c:v>1747.3013254062926</c:v>
                </c:pt>
                <c:pt idx="21">
                  <c:v>1629.4385563784926</c:v>
                </c:pt>
                <c:pt idx="22">
                  <c:v>1666.5869584502043</c:v>
                </c:pt>
                <c:pt idx="23">
                  <c:v>1774.6919287285268</c:v>
                </c:pt>
                <c:pt idx="24">
                  <c:v>1237.5408722713782</c:v>
                </c:pt>
                <c:pt idx="25">
                  <c:v>1596.0983775197531</c:v>
                </c:pt>
                <c:pt idx="26">
                  <c:v>1639.0118542040352</c:v>
                </c:pt>
                <c:pt idx="27">
                  <c:v>1799.8167007366769</c:v>
                </c:pt>
                <c:pt idx="28">
                  <c:v>1584.6919261546025</c:v>
                </c:pt>
                <c:pt idx="29">
                  <c:v>1917.1735274776731</c:v>
                </c:pt>
                <c:pt idx="31">
                  <c:v>1673.4509158708752</c:v>
                </c:pt>
                <c:pt idx="32">
                  <c:v>780.2791853774678</c:v>
                </c:pt>
                <c:pt idx="33">
                  <c:v>262.34145223321207</c:v>
                </c:pt>
                <c:pt idx="34">
                  <c:v>905.82911106566314</c:v>
                </c:pt>
                <c:pt idx="35">
                  <c:v>388.0941129152244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F4-458B-BA21-3B82D59A27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855368"/>
        <c:axId val="867856088"/>
      </c:scatterChart>
      <c:valAx>
        <c:axId val="867855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56088"/>
        <c:crosses val="autoZero"/>
        <c:crossBetween val="midCat"/>
      </c:valAx>
      <c:valAx>
        <c:axId val="867856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55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WSCWAH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6000</c:v>
                </c:pt>
              </c:numCache>
            </c:numRef>
          </c:xVal>
          <c:yVal>
            <c:numRef>
              <c:f>Compare!$N$20:$N$21</c:f>
              <c:numCache>
                <c:formatCode>General</c:formatCode>
                <c:ptCount val="2"/>
                <c:pt idx="0">
                  <c:v>0</c:v>
                </c:pt>
                <c:pt idx="1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B2-42F8-B86A-3B81AFF527CD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Compare!$C$5:$C$40</c:f>
              <c:numCache>
                <c:formatCode>General</c:formatCode>
                <c:ptCount val="36"/>
                <c:pt idx="0">
                  <c:v>3947.7539916885394</c:v>
                </c:pt>
                <c:pt idx="1">
                  <c:v>4034.1138998250217</c:v>
                </c:pt>
                <c:pt idx="2">
                  <c:v>5038.1691546369202</c:v>
                </c:pt>
                <c:pt idx="3">
                  <c:v>4753.3628608923882</c:v>
                </c:pt>
                <c:pt idx="4">
                  <c:v>4352.1222933070876</c:v>
                </c:pt>
                <c:pt idx="5">
                  <c:v>5215.0522200349951</c:v>
                </c:pt>
                <c:pt idx="6">
                  <c:v>4635.5492672790906</c:v>
                </c:pt>
                <c:pt idx="7">
                  <c:v>5479.6109470691163</c:v>
                </c:pt>
                <c:pt idx="8">
                  <c:v>4407.7441491688533</c:v>
                </c:pt>
                <c:pt idx="9">
                  <c:v>4784.9204396325458</c:v>
                </c:pt>
                <c:pt idx="10">
                  <c:v>4819.183344269466</c:v>
                </c:pt>
                <c:pt idx="11">
                  <c:v>5124.3028215223094</c:v>
                </c:pt>
                <c:pt idx="12">
                  <c:v>5203.8358486439183</c:v>
                </c:pt>
                <c:pt idx="13">
                  <c:v>4799.4039807524059</c:v>
                </c:pt>
                <c:pt idx="14">
                  <c:v>4666.2791174540689</c:v>
                </c:pt>
                <c:pt idx="15">
                  <c:v>4234.108431758531</c:v>
                </c:pt>
                <c:pt idx="16">
                  <c:v>4552.0730807086611</c:v>
                </c:pt>
                <c:pt idx="17">
                  <c:v>4316.6625656167989</c:v>
                </c:pt>
                <c:pt idx="18">
                  <c:v>4986.8035050306216</c:v>
                </c:pt>
                <c:pt idx="19">
                  <c:v>4613.3188429571301</c:v>
                </c:pt>
                <c:pt idx="20">
                  <c:v>4709.8985673665793</c:v>
                </c:pt>
                <c:pt idx="21">
                  <c:v>4330.7947834645674</c:v>
                </c:pt>
                <c:pt idx="22">
                  <c:v>4778.939741907262</c:v>
                </c:pt>
                <c:pt idx="23">
                  <c:v>4813.3154254155725</c:v>
                </c:pt>
                <c:pt idx="24">
                  <c:v>3734.0264107611547</c:v>
                </c:pt>
                <c:pt idx="25">
                  <c:v>4523.2180938320207</c:v>
                </c:pt>
                <c:pt idx="26">
                  <c:v>4287.0461504811901</c:v>
                </c:pt>
                <c:pt idx="27">
                  <c:v>5105.8638178040246</c:v>
                </c:pt>
                <c:pt idx="28">
                  <c:v>4220.1101815398079</c:v>
                </c:pt>
                <c:pt idx="29">
                  <c:v>5413.5765255905508</c:v>
                </c:pt>
                <c:pt idx="30">
                  <c:v>4933.2280730533685</c:v>
                </c:pt>
                <c:pt idx="31">
                  <c:v>4580.593832020998</c:v>
                </c:pt>
                <c:pt idx="32">
                  <c:v>2237.1227034120734</c:v>
                </c:pt>
                <c:pt idx="33">
                  <c:v>857.52132545931761</c:v>
                </c:pt>
                <c:pt idx="34">
                  <c:v>2564.4685039370083</c:v>
                </c:pt>
                <c:pt idx="35">
                  <c:v>1181.4140419947505</c:v>
                </c:pt>
              </c:numCache>
            </c:numRef>
          </c:xVal>
          <c:yVal>
            <c:numRef>
              <c:f>'Raw Scale'!$P$30:$P$65</c:f>
              <c:numCache>
                <c:formatCode>0.0</c:formatCode>
                <c:ptCount val="36"/>
                <c:pt idx="0">
                  <c:v>4112.0280403263432</c:v>
                </c:pt>
                <c:pt idx="1">
                  <c:v>4020.3203047957163</c:v>
                </c:pt>
                <c:pt idx="2">
                  <c:v>5088.7489480356508</c:v>
                </c:pt>
                <c:pt idx="3">
                  <c:v>4617.3947275372966</c:v>
                </c:pt>
                <c:pt idx="4">
                  <c:v>4407.4251769255807</c:v>
                </c:pt>
                <c:pt idx="5">
                  <c:v>5087.0667960856608</c:v>
                </c:pt>
                <c:pt idx="6">
                  <c:v>4629.189021644368</c:v>
                </c:pt>
                <c:pt idx="7">
                  <c:v>5456.327424688543</c:v>
                </c:pt>
                <c:pt idx="8">
                  <c:v>4293.1688848153735</c:v>
                </c:pt>
                <c:pt idx="9">
                  <c:v>4812.3490853128915</c:v>
                </c:pt>
                <c:pt idx="10">
                  <c:v>4768.0502679447181</c:v>
                </c:pt>
                <c:pt idx="11">
                  <c:v>5186.272670669563</c:v>
                </c:pt>
                <c:pt idx="12">
                  <c:v>5079.8921390411051</c:v>
                </c:pt>
                <c:pt idx="13">
                  <c:v>4696.966603349385</c:v>
                </c:pt>
                <c:pt idx="14">
                  <c:v>4599.1230506481361</c:v>
                </c:pt>
                <c:pt idx="15">
                  <c:v>4155.5347888526303</c:v>
                </c:pt>
                <c:pt idx="16">
                  <c:v>4507.959160312701</c:v>
                </c:pt>
                <c:pt idx="17">
                  <c:v>4255.5783128037674</c:v>
                </c:pt>
                <c:pt idx="18">
                  <c:v>4854.9937559506325</c:v>
                </c:pt>
                <c:pt idx="19">
                  <c:v>4555.1169098374485</c:v>
                </c:pt>
                <c:pt idx="20">
                  <c:v>4576.272570601499</c:v>
                </c:pt>
                <c:pt idx="21">
                  <c:v>4281.6354905188527</c:v>
                </c:pt>
                <c:pt idx="22">
                  <c:v>4617.4594814512857</c:v>
                </c:pt>
                <c:pt idx="23">
                  <c:v>4750.6841763976136</c:v>
                </c:pt>
                <c:pt idx="24">
                  <c:v>3561.8390547234271</c:v>
                </c:pt>
                <c:pt idx="25">
                  <c:v>4435.3366175627962</c:v>
                </c:pt>
                <c:pt idx="26">
                  <c:v>4207.7051836019355</c:v>
                </c:pt>
                <c:pt idx="27">
                  <c:v>4908.2392206886252</c:v>
                </c:pt>
                <c:pt idx="28">
                  <c:v>4077.3084857841068</c:v>
                </c:pt>
                <c:pt idx="29">
                  <c:v>5194.9419218226285</c:v>
                </c:pt>
                <c:pt idx="31">
                  <c:v>4400.0539762279968</c:v>
                </c:pt>
                <c:pt idx="32">
                  <c:v>2098.8501284629838</c:v>
                </c:pt>
                <c:pt idx="33">
                  <c:v>735.72351073209893</c:v>
                </c:pt>
                <c:pt idx="34">
                  <c:v>2474.7221663606515</c:v>
                </c:pt>
                <c:pt idx="35">
                  <c:v>1115.9431544428703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B2-42F8-B86A-3B81AFF52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855368"/>
        <c:axId val="867856088"/>
      </c:scatterChart>
      <c:valAx>
        <c:axId val="867855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56088"/>
        <c:crosses val="autoZero"/>
        <c:crossBetween val="midCat"/>
      </c:valAx>
      <c:valAx>
        <c:axId val="867856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7855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</xdr:colOff>
      <xdr:row>2</xdr:row>
      <xdr:rowOff>120015</xdr:rowOff>
    </xdr:from>
    <xdr:to>
      <xdr:col>11</xdr:col>
      <xdr:colOff>330517</xdr:colOff>
      <xdr:row>17</xdr:row>
      <xdr:rowOff>154305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71C399-481A-2EB4-42E6-61D780130F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590550</xdr:colOff>
      <xdr:row>19</xdr:row>
      <xdr:rowOff>19050</xdr:rowOff>
    </xdr:from>
    <xdr:to>
      <xdr:col>11</xdr:col>
      <xdr:colOff>285750</xdr:colOff>
      <xdr:row>34</xdr:row>
      <xdr:rowOff>49530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65E7BB-3134-457B-87C9-C556C9C793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Q65"/>
  <sheetViews>
    <sheetView tabSelected="1" workbookViewId="0"/>
  </sheetViews>
  <sheetFormatPr defaultRowHeight="14.4" x14ac:dyDescent="0.3"/>
  <cols>
    <col min="1" max="3" width="8.88671875" customWidth="1"/>
    <col min="4" max="5" width="10.5546875" bestFit="1" customWidth="1"/>
    <col min="7" max="7" width="10.5546875" bestFit="1" customWidth="1"/>
  </cols>
  <sheetData>
    <row r="1" spans="1:1" x14ac:dyDescent="0.3">
      <c r="A1" t="s">
        <v>49</v>
      </c>
    </row>
    <row r="2" spans="1:1" x14ac:dyDescent="0.3">
      <c r="A2" t="s">
        <v>50</v>
      </c>
    </row>
    <row r="3" spans="1:1" x14ac:dyDescent="0.3">
      <c r="A3" t="s">
        <v>31</v>
      </c>
    </row>
    <row r="4" spans="1:1" x14ac:dyDescent="0.3">
      <c r="A4" t="s">
        <v>37</v>
      </c>
    </row>
    <row r="5" spans="1:1" x14ac:dyDescent="0.3">
      <c r="A5" t="s">
        <v>40</v>
      </c>
    </row>
    <row r="6" spans="1:1" x14ac:dyDescent="0.3">
      <c r="A6" t="s">
        <v>34</v>
      </c>
    </row>
    <row r="7" spans="1:1" x14ac:dyDescent="0.3">
      <c r="A7" t="s">
        <v>38</v>
      </c>
    </row>
    <row r="8" spans="1:1" x14ac:dyDescent="0.3">
      <c r="A8" t="s">
        <v>22</v>
      </c>
    </row>
    <row r="9" spans="1:1" x14ac:dyDescent="0.3">
      <c r="A9" t="s">
        <v>41</v>
      </c>
    </row>
    <row r="10" spans="1:1" x14ac:dyDescent="0.3">
      <c r="A10" t="s">
        <v>47</v>
      </c>
    </row>
    <row r="11" spans="1:1" x14ac:dyDescent="0.3">
      <c r="A11" t="s">
        <v>23</v>
      </c>
    </row>
    <row r="12" spans="1:1" x14ac:dyDescent="0.3">
      <c r="A12" t="s">
        <v>24</v>
      </c>
    </row>
    <row r="13" spans="1:1" x14ac:dyDescent="0.3">
      <c r="A13" t="s">
        <v>42</v>
      </c>
    </row>
    <row r="14" spans="1:1" x14ac:dyDescent="0.3">
      <c r="A14" t="s">
        <v>25</v>
      </c>
    </row>
    <row r="15" spans="1:1" x14ac:dyDescent="0.3">
      <c r="A15" t="s">
        <v>26</v>
      </c>
    </row>
    <row r="16" spans="1:1" x14ac:dyDescent="0.3">
      <c r="A16" t="s">
        <v>27</v>
      </c>
    </row>
    <row r="18" spans="1:17" x14ac:dyDescent="0.3">
      <c r="A18" t="s">
        <v>5</v>
      </c>
    </row>
    <row r="19" spans="1:17" x14ac:dyDescent="0.3">
      <c r="A19">
        <f>6*1.016*4</f>
        <v>24.384</v>
      </c>
      <c r="B19" t="s">
        <v>32</v>
      </c>
    </row>
    <row r="20" spans="1:17" x14ac:dyDescent="0.3">
      <c r="A20">
        <f>6*1.016*2</f>
        <v>12.192</v>
      </c>
      <c r="B20" t="s">
        <v>39</v>
      </c>
    </row>
    <row r="21" spans="1:17" x14ac:dyDescent="0.3">
      <c r="A21">
        <v>1000</v>
      </c>
      <c r="B21" t="s">
        <v>33</v>
      </c>
    </row>
    <row r="22" spans="1:17" x14ac:dyDescent="0.3">
      <c r="A22">
        <v>10000</v>
      </c>
      <c r="B22" t="s">
        <v>6</v>
      </c>
    </row>
    <row r="24" spans="1:17" x14ac:dyDescent="0.3">
      <c r="B24" s="1"/>
      <c r="C24" s="1" t="s">
        <v>0</v>
      </c>
      <c r="D24" s="1" t="s">
        <v>0</v>
      </c>
      <c r="E24" t="s">
        <v>0</v>
      </c>
      <c r="F24" s="1" t="s">
        <v>0</v>
      </c>
      <c r="G24" s="1" t="s">
        <v>7</v>
      </c>
      <c r="H24" t="s">
        <v>7</v>
      </c>
      <c r="I24" t="s">
        <v>7</v>
      </c>
      <c r="J24" t="s">
        <v>7</v>
      </c>
      <c r="K24" s="1" t="s">
        <v>7</v>
      </c>
      <c r="L24" s="1" t="s">
        <v>7</v>
      </c>
      <c r="M24" s="1" t="s">
        <v>7</v>
      </c>
      <c r="N24" s="1" t="s">
        <v>17</v>
      </c>
      <c r="O24" s="1" t="s">
        <v>17</v>
      </c>
      <c r="P24" s="1" t="s">
        <v>17</v>
      </c>
    </row>
    <row r="25" spans="1:17" x14ac:dyDescent="0.3">
      <c r="B25" s="1"/>
      <c r="C25" s="1"/>
      <c r="D25" s="1"/>
      <c r="F25" s="1"/>
      <c r="G25" s="1"/>
      <c r="K25" s="1"/>
      <c r="L25" s="1"/>
      <c r="M25" s="1"/>
      <c r="N25" s="1"/>
      <c r="O25" s="1"/>
      <c r="P25" s="1"/>
    </row>
    <row r="26" spans="1:17" x14ac:dyDescent="0.3">
      <c r="B26" s="1"/>
      <c r="C26" s="1"/>
      <c r="D26" s="1"/>
      <c r="E26" t="s">
        <v>1</v>
      </c>
      <c r="F26" s="1"/>
      <c r="G26" s="1" t="s">
        <v>35</v>
      </c>
      <c r="H26" t="s">
        <v>8</v>
      </c>
      <c r="I26" t="s">
        <v>11</v>
      </c>
      <c r="J26" t="s">
        <v>12</v>
      </c>
      <c r="K26" s="1"/>
      <c r="L26" s="1"/>
      <c r="M26" s="1"/>
      <c r="N26" s="1"/>
      <c r="O26" s="1"/>
      <c r="P26" s="1"/>
    </row>
    <row r="27" spans="1:17" x14ac:dyDescent="0.3">
      <c r="A27" t="s">
        <v>48</v>
      </c>
      <c r="B27" s="1" t="s">
        <v>21</v>
      </c>
      <c r="C27" s="1" t="s">
        <v>29</v>
      </c>
      <c r="D27" s="1" t="s">
        <v>2</v>
      </c>
      <c r="F27" s="1" t="s">
        <v>3</v>
      </c>
      <c r="G27" s="1" t="s">
        <v>36</v>
      </c>
      <c r="H27" t="s">
        <v>9</v>
      </c>
      <c r="I27" t="s">
        <v>9</v>
      </c>
      <c r="J27" t="s">
        <v>9</v>
      </c>
      <c r="K27" s="1" t="s">
        <v>13</v>
      </c>
      <c r="L27" s="1" t="s">
        <v>14</v>
      </c>
      <c r="M27" s="1" t="s">
        <v>15</v>
      </c>
      <c r="N27" s="1" t="s">
        <v>18</v>
      </c>
      <c r="O27" s="1" t="s">
        <v>19</v>
      </c>
      <c r="P27" s="1" t="s">
        <v>20</v>
      </c>
    </row>
    <row r="28" spans="1:17" x14ac:dyDescent="0.3">
      <c r="B28" s="1"/>
      <c r="C28" s="1"/>
      <c r="D28" s="1"/>
      <c r="E28" t="s">
        <v>10</v>
      </c>
      <c r="F28" s="1" t="s">
        <v>4</v>
      </c>
      <c r="G28" s="1"/>
      <c r="H28" t="s">
        <v>10</v>
      </c>
      <c r="I28" t="s">
        <v>10</v>
      </c>
      <c r="J28" t="s">
        <v>10</v>
      </c>
      <c r="K28" s="5" t="s">
        <v>16</v>
      </c>
      <c r="L28" s="5" t="s">
        <v>16</v>
      </c>
      <c r="M28" s="5" t="s">
        <v>16</v>
      </c>
      <c r="N28" s="5" t="s">
        <v>4</v>
      </c>
      <c r="O28" s="5" t="s">
        <v>4</v>
      </c>
      <c r="P28" s="5" t="s">
        <v>4</v>
      </c>
    </row>
    <row r="29" spans="1:17" x14ac:dyDescent="0.3">
      <c r="A29" t="s">
        <v>48</v>
      </c>
      <c r="B29" s="1" t="s">
        <v>21</v>
      </c>
      <c r="C29" s="1" t="s">
        <v>29</v>
      </c>
      <c r="D29" s="1" t="s">
        <v>2</v>
      </c>
      <c r="F29" s="1" t="s">
        <v>3</v>
      </c>
      <c r="G29" s="1" t="s">
        <v>36</v>
      </c>
      <c r="K29" s="1" t="s">
        <v>13</v>
      </c>
      <c r="L29" s="1" t="s">
        <v>14</v>
      </c>
      <c r="M29" s="1" t="s">
        <v>15</v>
      </c>
      <c r="N29" s="1" t="s">
        <v>18</v>
      </c>
      <c r="O29" s="1" t="s">
        <v>19</v>
      </c>
      <c r="P29" s="1" t="s">
        <v>20</v>
      </c>
    </row>
    <row r="30" spans="1:17" x14ac:dyDescent="0.3">
      <c r="A30">
        <v>1</v>
      </c>
      <c r="B30" s="1" t="s">
        <v>51</v>
      </c>
      <c r="C30" s="1" t="s">
        <v>30</v>
      </c>
      <c r="D30" s="2">
        <v>37909</v>
      </c>
      <c r="E30" s="3">
        <v>10142.67</v>
      </c>
      <c r="F30" s="4">
        <f t="shared" ref="F30:F61" si="0">(E30/$A$21)/$A$19*$A$22</f>
        <v>4159.5595472440946</v>
      </c>
      <c r="G30" s="2">
        <v>37924</v>
      </c>
      <c r="H30" s="3">
        <v>2069.65</v>
      </c>
      <c r="I30" s="3">
        <v>740</v>
      </c>
      <c r="J30" s="3">
        <v>1306</v>
      </c>
      <c r="K30" s="6">
        <f>I30/H30</f>
        <v>0.35754837774502934</v>
      </c>
      <c r="L30" s="6">
        <f>J30/H30</f>
        <v>0.63102456937163287</v>
      </c>
      <c r="M30" s="6">
        <f>1-K30-L30</f>
        <v>1.1427052883337785E-2</v>
      </c>
      <c r="N30" s="4">
        <f>F30*K30</f>
        <v>1487.2437682509747</v>
      </c>
      <c r="O30" s="4">
        <f>F30*L30</f>
        <v>2624.7842720753688</v>
      </c>
      <c r="P30" s="4">
        <f>N30+O30</f>
        <v>4112.0280403263432</v>
      </c>
      <c r="Q30" s="3"/>
    </row>
    <row r="31" spans="1:17" x14ac:dyDescent="0.3">
      <c r="A31">
        <v>2</v>
      </c>
      <c r="B31" s="1" t="s">
        <v>52</v>
      </c>
      <c r="C31" s="1" t="s">
        <v>30</v>
      </c>
      <c r="D31" s="2">
        <v>37909</v>
      </c>
      <c r="E31" s="3">
        <v>10100.200000000001</v>
      </c>
      <c r="F31" s="4">
        <f t="shared" si="0"/>
        <v>4142.1423884514443</v>
      </c>
      <c r="G31" s="2">
        <v>37924</v>
      </c>
      <c r="H31" s="3">
        <v>2162.5</v>
      </c>
      <c r="I31" s="3">
        <v>779.2</v>
      </c>
      <c r="J31" s="3">
        <v>1319.7</v>
      </c>
      <c r="K31" s="6">
        <f t="shared" ref="K31:K65" si="1">I31/H31</f>
        <v>0.36032369942196535</v>
      </c>
      <c r="L31" s="6">
        <f t="shared" ref="L31:L65" si="2">J31/H31</f>
        <v>0.61026589595375724</v>
      </c>
      <c r="M31" s="6">
        <f t="shared" ref="M31:M65" si="3">1-K31-L31</f>
        <v>2.9410404624277353E-2</v>
      </c>
      <c r="N31" s="4">
        <f t="shared" ref="N31:N65" si="4">F31*K31</f>
        <v>1492.5120689393598</v>
      </c>
      <c r="O31" s="4">
        <f t="shared" ref="O31:O65" si="5">F31*L31</f>
        <v>2527.8082358563565</v>
      </c>
      <c r="P31" s="4">
        <f t="shared" ref="P31:P65" si="6">N31+O31</f>
        <v>4020.3203047957163</v>
      </c>
      <c r="Q31" s="3"/>
    </row>
    <row r="32" spans="1:17" x14ac:dyDescent="0.3">
      <c r="A32">
        <v>3</v>
      </c>
      <c r="B32" s="1" t="s">
        <v>53</v>
      </c>
      <c r="C32" s="1" t="s">
        <v>30</v>
      </c>
      <c r="D32" s="2">
        <v>37909</v>
      </c>
      <c r="E32" s="3">
        <v>12645.78</v>
      </c>
      <c r="F32" s="4">
        <f t="shared" si="0"/>
        <v>5186.0974409448827</v>
      </c>
      <c r="G32" s="2">
        <v>37924</v>
      </c>
      <c r="H32" s="3">
        <v>2122.9499999999998</v>
      </c>
      <c r="I32" s="3">
        <v>787.4</v>
      </c>
      <c r="J32" s="3">
        <v>1295.7</v>
      </c>
      <c r="K32" s="6">
        <f t="shared" si="1"/>
        <v>0.37089898490308298</v>
      </c>
      <c r="L32" s="6">
        <f t="shared" si="2"/>
        <v>0.61032996537836504</v>
      </c>
      <c r="M32" s="6">
        <f t="shared" si="3"/>
        <v>1.8771049718551924E-2</v>
      </c>
      <c r="N32" s="4">
        <f t="shared" si="4"/>
        <v>1923.5182764549334</v>
      </c>
      <c r="O32" s="4">
        <f t="shared" si="5"/>
        <v>3165.2306715807176</v>
      </c>
      <c r="P32" s="4">
        <f t="shared" si="6"/>
        <v>5088.7489480356508</v>
      </c>
      <c r="Q32" s="3"/>
    </row>
    <row r="33" spans="1:17" x14ac:dyDescent="0.3">
      <c r="A33">
        <v>4</v>
      </c>
      <c r="B33" s="1" t="s">
        <v>54</v>
      </c>
      <c r="C33" s="1" t="s">
        <v>30</v>
      </c>
      <c r="D33" s="2">
        <v>37909</v>
      </c>
      <c r="E33" s="3">
        <v>11861.6</v>
      </c>
      <c r="F33" s="4">
        <f t="shared" si="0"/>
        <v>4864.5013123359586</v>
      </c>
      <c r="G33" s="2">
        <v>37924</v>
      </c>
      <c r="H33" s="3">
        <v>2412.5</v>
      </c>
      <c r="I33" s="3">
        <v>883.5</v>
      </c>
      <c r="J33" s="3">
        <v>1406.45</v>
      </c>
      <c r="K33" s="6">
        <f t="shared" si="1"/>
        <v>0.36621761658031088</v>
      </c>
      <c r="L33" s="6">
        <f t="shared" si="2"/>
        <v>0.5829844559585492</v>
      </c>
      <c r="M33" s="6">
        <f t="shared" si="3"/>
        <v>5.079792746113998E-2</v>
      </c>
      <c r="N33" s="4">
        <f t="shared" si="4"/>
        <v>1781.4660764554692</v>
      </c>
      <c r="O33" s="4">
        <f t="shared" si="5"/>
        <v>2835.9286510818274</v>
      </c>
      <c r="P33" s="4">
        <f t="shared" si="6"/>
        <v>4617.3947275372966</v>
      </c>
      <c r="Q33" s="3"/>
    </row>
    <row r="34" spans="1:17" x14ac:dyDescent="0.3">
      <c r="A34">
        <v>5</v>
      </c>
      <c r="B34" s="1" t="s">
        <v>55</v>
      </c>
      <c r="C34" s="1" t="s">
        <v>30</v>
      </c>
      <c r="D34" s="2">
        <v>37909</v>
      </c>
      <c r="E34" s="3">
        <v>10820.24</v>
      </c>
      <c r="F34" s="4">
        <f t="shared" si="0"/>
        <v>4437.4343832020995</v>
      </c>
      <c r="G34" s="2">
        <v>37924</v>
      </c>
      <c r="H34" s="3">
        <v>1943</v>
      </c>
      <c r="I34" s="3">
        <v>758.4</v>
      </c>
      <c r="J34" s="3">
        <v>1171.46</v>
      </c>
      <c r="K34" s="6">
        <f t="shared" si="1"/>
        <v>0.39032424086464229</v>
      </c>
      <c r="L34" s="6">
        <f t="shared" si="2"/>
        <v>0.60291302110138967</v>
      </c>
      <c r="M34" s="6">
        <f t="shared" si="3"/>
        <v>6.7627380339679855E-3</v>
      </c>
      <c r="N34" s="4">
        <f t="shared" si="4"/>
        <v>1732.0382070100218</v>
      </c>
      <c r="O34" s="4">
        <f t="shared" si="5"/>
        <v>2675.3869699155593</v>
      </c>
      <c r="P34" s="4">
        <f t="shared" si="6"/>
        <v>4407.4251769255807</v>
      </c>
      <c r="Q34" s="3"/>
    </row>
    <row r="35" spans="1:17" x14ac:dyDescent="0.3">
      <c r="A35">
        <v>6</v>
      </c>
      <c r="B35" s="1" t="s">
        <v>56</v>
      </c>
      <c r="C35" s="1" t="s">
        <v>30</v>
      </c>
      <c r="D35" s="2">
        <v>37909</v>
      </c>
      <c r="E35" s="3">
        <v>13181.8</v>
      </c>
      <c r="F35" s="4">
        <f t="shared" si="0"/>
        <v>5405.9219160104985</v>
      </c>
      <c r="G35" s="2">
        <v>37924</v>
      </c>
      <c r="H35" s="3">
        <v>1938.2</v>
      </c>
      <c r="I35" s="3">
        <v>652.1</v>
      </c>
      <c r="J35" s="3">
        <v>1171.78</v>
      </c>
      <c r="K35" s="6">
        <f t="shared" si="1"/>
        <v>0.33644618718398517</v>
      </c>
      <c r="L35" s="6">
        <f t="shared" si="2"/>
        <v>0.60457125167681347</v>
      </c>
      <c r="M35" s="6">
        <f t="shared" si="3"/>
        <v>5.8982561139201306E-2</v>
      </c>
      <c r="N35" s="4">
        <f t="shared" si="4"/>
        <v>1818.8018168560759</v>
      </c>
      <c r="O35" s="4">
        <f t="shared" si="5"/>
        <v>3268.2649792295847</v>
      </c>
      <c r="P35" s="4">
        <f t="shared" si="6"/>
        <v>5087.0667960856608</v>
      </c>
      <c r="Q35" s="3"/>
    </row>
    <row r="36" spans="1:17" x14ac:dyDescent="0.3">
      <c r="A36">
        <v>7</v>
      </c>
      <c r="B36" s="1" t="s">
        <v>57</v>
      </c>
      <c r="C36" s="1" t="s">
        <v>30</v>
      </c>
      <c r="D36" s="2">
        <v>37909</v>
      </c>
      <c r="E36" s="3">
        <v>11575.09</v>
      </c>
      <c r="F36" s="4">
        <f t="shared" si="0"/>
        <v>4747.002132545932</v>
      </c>
      <c r="G36" s="2">
        <v>37924</v>
      </c>
      <c r="H36" s="3">
        <v>1934.45</v>
      </c>
      <c r="I36" s="3">
        <v>707.9</v>
      </c>
      <c r="J36" s="3">
        <v>1178.54</v>
      </c>
      <c r="K36" s="6">
        <f t="shared" si="1"/>
        <v>0.36594380831760964</v>
      </c>
      <c r="L36" s="6">
        <f t="shared" si="2"/>
        <v>0.60923776784098838</v>
      </c>
      <c r="M36" s="6">
        <f t="shared" si="3"/>
        <v>2.4818423841401982E-2</v>
      </c>
      <c r="N36" s="4">
        <f t="shared" si="4"/>
        <v>1737.1360384756726</v>
      </c>
      <c r="O36" s="4">
        <f t="shared" si="5"/>
        <v>2892.0529831686954</v>
      </c>
      <c r="P36" s="4">
        <f t="shared" si="6"/>
        <v>4629.189021644368</v>
      </c>
      <c r="Q36" s="3"/>
    </row>
    <row r="37" spans="1:17" x14ac:dyDescent="0.3">
      <c r="A37">
        <v>8</v>
      </c>
      <c r="B37" s="1" t="s">
        <v>58</v>
      </c>
      <c r="C37" s="1" t="s">
        <v>30</v>
      </c>
      <c r="D37" s="2">
        <v>37909</v>
      </c>
      <c r="E37" s="3">
        <v>13771.4</v>
      </c>
      <c r="F37" s="4">
        <f t="shared" si="0"/>
        <v>5647.7198162729655</v>
      </c>
      <c r="G37" s="2">
        <v>37924</v>
      </c>
      <c r="H37" s="3">
        <v>2576.1</v>
      </c>
      <c r="I37" s="3">
        <v>935.4</v>
      </c>
      <c r="J37" s="3">
        <v>1553.4</v>
      </c>
      <c r="K37" s="6">
        <f t="shared" si="1"/>
        <v>0.36310702224292535</v>
      </c>
      <c r="L37" s="6">
        <f t="shared" si="2"/>
        <v>0.60300454174915574</v>
      </c>
      <c r="M37" s="6">
        <f t="shared" si="3"/>
        <v>3.388843600791891E-2</v>
      </c>
      <c r="N37" s="4">
        <f t="shared" si="4"/>
        <v>2050.7267249492379</v>
      </c>
      <c r="O37" s="4">
        <f t="shared" si="5"/>
        <v>3405.6006997393056</v>
      </c>
      <c r="P37" s="4">
        <f t="shared" si="6"/>
        <v>5456.327424688543</v>
      </c>
      <c r="Q37" s="3"/>
    </row>
    <row r="38" spans="1:17" x14ac:dyDescent="0.3">
      <c r="A38">
        <v>9</v>
      </c>
      <c r="B38" s="1" t="s">
        <v>59</v>
      </c>
      <c r="C38" s="1" t="s">
        <v>30</v>
      </c>
      <c r="D38" s="2">
        <v>37910</v>
      </c>
      <c r="E38" s="3">
        <v>10954.46</v>
      </c>
      <c r="F38" s="4">
        <f>(E38/$A$21)/$A$19*$A$22</f>
        <v>4492.4786745406818</v>
      </c>
      <c r="G38" s="2">
        <v>37924</v>
      </c>
      <c r="H38" s="3">
        <v>2370.1</v>
      </c>
      <c r="I38" s="3">
        <v>890.2</v>
      </c>
      <c r="J38" s="3">
        <v>1374.75</v>
      </c>
      <c r="K38" s="6">
        <f t="shared" si="1"/>
        <v>0.37559596641491921</v>
      </c>
      <c r="L38" s="6">
        <f t="shared" si="2"/>
        <v>0.58003881692755577</v>
      </c>
      <c r="M38" s="6">
        <f t="shared" si="3"/>
        <v>4.436521665752502E-2</v>
      </c>
      <c r="N38" s="4">
        <f t="shared" si="4"/>
        <v>1687.3568693625227</v>
      </c>
      <c r="O38" s="4">
        <f t="shared" si="5"/>
        <v>2605.812015452851</v>
      </c>
      <c r="P38" s="4">
        <f t="shared" si="6"/>
        <v>4293.1688848153735</v>
      </c>
      <c r="Q38" s="3"/>
    </row>
    <row r="39" spans="1:17" x14ac:dyDescent="0.3">
      <c r="A39">
        <v>10</v>
      </c>
      <c r="B39" s="1" t="s">
        <v>60</v>
      </c>
      <c r="C39" s="1" t="s">
        <v>30</v>
      </c>
      <c r="D39" s="2">
        <v>37910</v>
      </c>
      <c r="E39" s="3">
        <v>12163.8</v>
      </c>
      <c r="F39" s="4">
        <f t="shared" si="0"/>
        <v>4988.4350393700779</v>
      </c>
      <c r="G39" s="2">
        <v>37924</v>
      </c>
      <c r="H39" s="3">
        <v>2243.6999999999998</v>
      </c>
      <c r="I39" s="3">
        <v>786.9</v>
      </c>
      <c r="J39" s="3">
        <v>1377.6</v>
      </c>
      <c r="K39" s="6">
        <f t="shared" si="1"/>
        <v>0.35071533627490309</v>
      </c>
      <c r="L39" s="6">
        <f t="shared" si="2"/>
        <v>0.61398582698221693</v>
      </c>
      <c r="M39" s="6">
        <f t="shared" si="3"/>
        <v>3.5298836742879924E-2</v>
      </c>
      <c r="N39" s="4">
        <f t="shared" si="4"/>
        <v>1749.5206723181864</v>
      </c>
      <c r="O39" s="4">
        <f t="shared" si="5"/>
        <v>3062.8284129947051</v>
      </c>
      <c r="P39" s="4">
        <f t="shared" si="6"/>
        <v>4812.3490853128915</v>
      </c>
      <c r="Q39" s="3"/>
    </row>
    <row r="40" spans="1:17" x14ac:dyDescent="0.3">
      <c r="A40">
        <v>11</v>
      </c>
      <c r="B40" s="1" t="s">
        <v>61</v>
      </c>
      <c r="C40" s="1" t="s">
        <v>30</v>
      </c>
      <c r="D40" s="2">
        <v>37910</v>
      </c>
      <c r="E40" s="3">
        <v>12131.18</v>
      </c>
      <c r="F40" s="4">
        <f t="shared" si="0"/>
        <v>4975.0574146981626</v>
      </c>
      <c r="G40" s="2">
        <v>37924</v>
      </c>
      <c r="H40" s="3">
        <v>2312</v>
      </c>
      <c r="I40" s="3">
        <v>825.4</v>
      </c>
      <c r="J40" s="3">
        <v>1390.4</v>
      </c>
      <c r="K40" s="6">
        <f t="shared" si="1"/>
        <v>0.35700692041522492</v>
      </c>
      <c r="L40" s="6">
        <f t="shared" si="2"/>
        <v>0.6013840830449827</v>
      </c>
      <c r="M40" s="6">
        <f t="shared" si="3"/>
        <v>4.1608996539792442E-2</v>
      </c>
      <c r="N40" s="4">
        <f t="shared" si="4"/>
        <v>1776.1299265103216</v>
      </c>
      <c r="O40" s="4">
        <f t="shared" si="5"/>
        <v>2991.9203414343965</v>
      </c>
      <c r="P40" s="4">
        <f t="shared" si="6"/>
        <v>4768.0502679447181</v>
      </c>
      <c r="Q40" s="3"/>
    </row>
    <row r="41" spans="1:17" x14ac:dyDescent="0.3">
      <c r="A41">
        <v>12</v>
      </c>
      <c r="B41" s="1" t="s">
        <v>62</v>
      </c>
      <c r="C41" s="1" t="s">
        <v>30</v>
      </c>
      <c r="D41" s="2">
        <v>37910</v>
      </c>
      <c r="E41" s="3">
        <v>12805.1</v>
      </c>
      <c r="F41" s="4">
        <f>(E41/$A$21)/$A$19*$A$22</f>
        <v>5251.435367454068</v>
      </c>
      <c r="G41" s="2">
        <v>37924</v>
      </c>
      <c r="H41" s="3">
        <v>2091.3000000000002</v>
      </c>
      <c r="I41" s="3">
        <v>767.6</v>
      </c>
      <c r="J41" s="3">
        <v>1297.75</v>
      </c>
      <c r="K41" s="6">
        <f t="shared" si="1"/>
        <v>0.36704442212977573</v>
      </c>
      <c r="L41" s="6">
        <f t="shared" si="2"/>
        <v>0.62054702816429963</v>
      </c>
      <c r="M41" s="6">
        <f t="shared" si="3"/>
        <v>1.2408549705924643E-2</v>
      </c>
      <c r="N41" s="4">
        <f t="shared" si="4"/>
        <v>1927.5100597990449</v>
      </c>
      <c r="O41" s="4">
        <f t="shared" si="5"/>
        <v>3258.7626108705185</v>
      </c>
      <c r="P41" s="4">
        <f t="shared" si="6"/>
        <v>5186.272670669563</v>
      </c>
      <c r="Q41" s="3"/>
    </row>
    <row r="42" spans="1:17" x14ac:dyDescent="0.3">
      <c r="A42">
        <v>13</v>
      </c>
      <c r="B42" s="1" t="s">
        <v>63</v>
      </c>
      <c r="C42" s="1" t="s">
        <v>30</v>
      </c>
      <c r="D42" s="2">
        <v>37910</v>
      </c>
      <c r="E42" s="3">
        <v>13044.35</v>
      </c>
      <c r="F42" s="4">
        <f t="shared" si="0"/>
        <v>5349.5529855643044</v>
      </c>
      <c r="G42" s="2">
        <v>37924</v>
      </c>
      <c r="H42" s="3">
        <v>2229.8000000000002</v>
      </c>
      <c r="I42" s="3">
        <v>758.3</v>
      </c>
      <c r="J42" s="3">
        <v>1359.1</v>
      </c>
      <c r="K42" s="6">
        <f t="shared" si="1"/>
        <v>0.34007534308009685</v>
      </c>
      <c r="L42" s="6">
        <f t="shared" si="2"/>
        <v>0.60951654856937831</v>
      </c>
      <c r="M42" s="6">
        <f t="shared" si="3"/>
        <v>5.0408108350524783E-2</v>
      </c>
      <c r="N42" s="4">
        <f t="shared" si="4"/>
        <v>1819.2510668909372</v>
      </c>
      <c r="O42" s="4">
        <f t="shared" si="5"/>
        <v>3260.6410721501679</v>
      </c>
      <c r="P42" s="4">
        <f t="shared" si="6"/>
        <v>5079.8921390411051</v>
      </c>
      <c r="Q42" s="3"/>
    </row>
    <row r="43" spans="1:17" x14ac:dyDescent="0.3">
      <c r="A43">
        <v>14</v>
      </c>
      <c r="B43" s="1" t="s">
        <v>64</v>
      </c>
      <c r="C43" s="1" t="s">
        <v>30</v>
      </c>
      <c r="D43" s="2">
        <v>37910</v>
      </c>
      <c r="E43" s="3">
        <v>12076.2</v>
      </c>
      <c r="F43" s="4">
        <f t="shared" si="0"/>
        <v>4952.5098425196848</v>
      </c>
      <c r="G43" s="2">
        <v>37924</v>
      </c>
      <c r="H43" s="3">
        <v>2117.3000000000002</v>
      </c>
      <c r="I43" s="3">
        <v>742.3</v>
      </c>
      <c r="J43" s="3">
        <v>1265.75</v>
      </c>
      <c r="K43" s="6">
        <f t="shared" si="1"/>
        <v>0.35058801303546966</v>
      </c>
      <c r="L43" s="6">
        <f t="shared" si="2"/>
        <v>0.59781325272753028</v>
      </c>
      <c r="M43" s="6">
        <f t="shared" si="3"/>
        <v>5.159873423700001E-2</v>
      </c>
      <c r="N43" s="4">
        <f t="shared" si="4"/>
        <v>1736.2905852275831</v>
      </c>
      <c r="O43" s="4">
        <f t="shared" si="5"/>
        <v>2960.6760181218015</v>
      </c>
      <c r="P43" s="4">
        <f t="shared" si="6"/>
        <v>4696.966603349385</v>
      </c>
      <c r="Q43" s="3"/>
    </row>
    <row r="44" spans="1:17" x14ac:dyDescent="0.3">
      <c r="A44">
        <v>15</v>
      </c>
      <c r="B44" s="1" t="s">
        <v>65</v>
      </c>
      <c r="C44" s="1" t="s">
        <v>30</v>
      </c>
      <c r="D44" s="2">
        <v>37910</v>
      </c>
      <c r="E44" s="3">
        <v>11614.63</v>
      </c>
      <c r="F44" s="4">
        <f t="shared" si="0"/>
        <v>4763.2176837270345</v>
      </c>
      <c r="G44" s="2">
        <v>37924</v>
      </c>
      <c r="H44" s="3">
        <v>2182.85</v>
      </c>
      <c r="I44" s="3">
        <v>799.3</v>
      </c>
      <c r="J44" s="3">
        <v>1308.3499999999999</v>
      </c>
      <c r="K44" s="6">
        <f t="shared" si="1"/>
        <v>0.366172664177566</v>
      </c>
      <c r="L44" s="6">
        <f t="shared" si="2"/>
        <v>0.59937696131204621</v>
      </c>
      <c r="M44" s="6">
        <f t="shared" si="3"/>
        <v>3.4450374510387793E-2</v>
      </c>
      <c r="N44" s="4">
        <f t="shared" si="4"/>
        <v>1744.1601093080233</v>
      </c>
      <c r="O44" s="4">
        <f t="shared" si="5"/>
        <v>2854.962941340113</v>
      </c>
      <c r="P44" s="4">
        <f t="shared" si="6"/>
        <v>4599.1230506481361</v>
      </c>
      <c r="Q44" s="3"/>
    </row>
    <row r="45" spans="1:17" x14ac:dyDescent="0.3">
      <c r="A45">
        <v>16</v>
      </c>
      <c r="B45" s="1" t="s">
        <v>66</v>
      </c>
      <c r="C45" s="1" t="s">
        <v>30</v>
      </c>
      <c r="D45" s="2">
        <v>37910</v>
      </c>
      <c r="E45" s="3">
        <v>10573.7</v>
      </c>
      <c r="F45" s="4">
        <f t="shared" si="0"/>
        <v>4336.327099737533</v>
      </c>
      <c r="G45" s="2">
        <v>37924</v>
      </c>
      <c r="H45" s="3">
        <v>1935.6</v>
      </c>
      <c r="I45" s="3">
        <v>697</v>
      </c>
      <c r="J45" s="3">
        <v>1157.9000000000001</v>
      </c>
      <c r="K45" s="6">
        <f t="shared" si="1"/>
        <v>0.36009506096300892</v>
      </c>
      <c r="L45" s="6">
        <f t="shared" si="2"/>
        <v>0.59821244058689815</v>
      </c>
      <c r="M45" s="6">
        <f t="shared" si="3"/>
        <v>4.169249845009293E-2</v>
      </c>
      <c r="N45" s="4">
        <f t="shared" si="4"/>
        <v>1561.4899713355346</v>
      </c>
      <c r="O45" s="4">
        <f t="shared" si="5"/>
        <v>2594.0448175170955</v>
      </c>
      <c r="P45" s="4">
        <f t="shared" si="6"/>
        <v>4155.5347888526303</v>
      </c>
      <c r="Q45" s="3"/>
    </row>
    <row r="46" spans="1:17" x14ac:dyDescent="0.3">
      <c r="A46">
        <v>17</v>
      </c>
      <c r="B46" s="1" t="s">
        <v>67</v>
      </c>
      <c r="C46" s="1" t="s">
        <v>30</v>
      </c>
      <c r="D46" s="2">
        <v>37911</v>
      </c>
      <c r="E46" s="3">
        <v>11281.95</v>
      </c>
      <c r="F46" s="4">
        <f t="shared" si="0"/>
        <v>4626.7839566929133</v>
      </c>
      <c r="G46" s="2">
        <v>37924</v>
      </c>
      <c r="H46" s="3">
        <v>1930.15</v>
      </c>
      <c r="I46" s="3">
        <v>713.6</v>
      </c>
      <c r="J46" s="3">
        <v>1166.98</v>
      </c>
      <c r="K46" s="6">
        <f t="shared" si="1"/>
        <v>0.36971219853379272</v>
      </c>
      <c r="L46" s="6">
        <f t="shared" si="2"/>
        <v>0.60460585964821389</v>
      </c>
      <c r="M46" s="6">
        <f t="shared" si="3"/>
        <v>2.5681941817993326E-2</v>
      </c>
      <c r="N46" s="4">
        <f t="shared" si="4"/>
        <v>1710.5784687698174</v>
      </c>
      <c r="O46" s="4">
        <f t="shared" si="5"/>
        <v>2797.3806915428831</v>
      </c>
      <c r="P46" s="4">
        <f t="shared" si="6"/>
        <v>4507.959160312701</v>
      </c>
      <c r="Q46" s="3"/>
    </row>
    <row r="47" spans="1:17" x14ac:dyDescent="0.3">
      <c r="A47">
        <v>18</v>
      </c>
      <c r="B47" s="1" t="s">
        <v>68</v>
      </c>
      <c r="C47" s="1" t="s">
        <v>30</v>
      </c>
      <c r="D47" s="2">
        <v>37911</v>
      </c>
      <c r="E47" s="3">
        <v>10766</v>
      </c>
      <c r="F47" s="4">
        <f t="shared" si="0"/>
        <v>4415.1902887139104</v>
      </c>
      <c r="G47" s="2">
        <v>37924</v>
      </c>
      <c r="H47" s="3">
        <v>1946.3</v>
      </c>
      <c r="I47" s="3">
        <v>720.6</v>
      </c>
      <c r="J47" s="3">
        <v>1155.3399999999999</v>
      </c>
      <c r="K47" s="6">
        <f t="shared" si="1"/>
        <v>0.37024097004572781</v>
      </c>
      <c r="L47" s="6">
        <f t="shared" si="2"/>
        <v>0.59360838514103687</v>
      </c>
      <c r="M47" s="6">
        <f t="shared" si="3"/>
        <v>3.6150644813235266E-2</v>
      </c>
      <c r="N47" s="4">
        <f t="shared" si="4"/>
        <v>1634.6843354299153</v>
      </c>
      <c r="O47" s="4">
        <f t="shared" si="5"/>
        <v>2620.8939773738525</v>
      </c>
      <c r="P47" s="4">
        <f t="shared" si="6"/>
        <v>4255.5783128037674</v>
      </c>
      <c r="Q47" s="3"/>
    </row>
    <row r="48" spans="1:17" x14ac:dyDescent="0.3">
      <c r="A48">
        <v>19</v>
      </c>
      <c r="B48" s="1" t="s">
        <v>69</v>
      </c>
      <c r="C48" s="1" t="s">
        <v>30</v>
      </c>
      <c r="D48" s="2">
        <v>37911</v>
      </c>
      <c r="E48" s="3">
        <v>12438.88</v>
      </c>
      <c r="F48" s="4">
        <f t="shared" si="0"/>
        <v>5101.2467191601045</v>
      </c>
      <c r="G48" s="2">
        <v>37924</v>
      </c>
      <c r="H48" s="3">
        <v>2242.4499999999998</v>
      </c>
      <c r="I48" s="3">
        <v>780.3</v>
      </c>
      <c r="J48" s="3">
        <v>1353.9</v>
      </c>
      <c r="K48" s="6">
        <f t="shared" si="1"/>
        <v>0.34796762469620285</v>
      </c>
      <c r="L48" s="6">
        <f t="shared" si="2"/>
        <v>0.60375928114339239</v>
      </c>
      <c r="M48" s="6">
        <f t="shared" si="3"/>
        <v>4.8273094160404706E-2</v>
      </c>
      <c r="N48" s="4">
        <f t="shared" si="4"/>
        <v>1775.0687038554393</v>
      </c>
      <c r="O48" s="4">
        <f t="shared" si="5"/>
        <v>3079.9250520951937</v>
      </c>
      <c r="P48" s="4">
        <f t="shared" si="6"/>
        <v>4854.9937559506325</v>
      </c>
      <c r="Q48" s="3"/>
    </row>
    <row r="49" spans="1:17" x14ac:dyDescent="0.3">
      <c r="A49">
        <v>20</v>
      </c>
      <c r="B49" s="1" t="s">
        <v>70</v>
      </c>
      <c r="C49" s="1" t="s">
        <v>30</v>
      </c>
      <c r="D49" s="2">
        <v>37911</v>
      </c>
      <c r="E49" s="3">
        <v>11411.2</v>
      </c>
      <c r="F49" s="4">
        <f t="shared" si="0"/>
        <v>4679.7900262467192</v>
      </c>
      <c r="G49" s="2">
        <v>37924</v>
      </c>
      <c r="H49" s="3">
        <v>2186.5</v>
      </c>
      <c r="I49" s="3">
        <v>801</v>
      </c>
      <c r="J49" s="3">
        <v>1327.25</v>
      </c>
      <c r="K49" s="6">
        <f t="shared" si="1"/>
        <v>0.36633889778184314</v>
      </c>
      <c r="L49" s="6">
        <f t="shared" si="2"/>
        <v>0.60702035216098793</v>
      </c>
      <c r="M49" s="6">
        <f t="shared" si="3"/>
        <v>2.6640750057168927E-2</v>
      </c>
      <c r="N49" s="4">
        <f t="shared" si="4"/>
        <v>1714.3891200656858</v>
      </c>
      <c r="O49" s="4">
        <f t="shared" si="5"/>
        <v>2840.7277897717622</v>
      </c>
      <c r="P49" s="4">
        <f t="shared" si="6"/>
        <v>4555.1169098374485</v>
      </c>
      <c r="Q49" s="3"/>
    </row>
    <row r="50" spans="1:17" x14ac:dyDescent="0.3">
      <c r="A50">
        <v>21</v>
      </c>
      <c r="B50" s="1" t="s">
        <v>71</v>
      </c>
      <c r="C50" s="1" t="s">
        <v>30</v>
      </c>
      <c r="D50" s="2">
        <v>37911</v>
      </c>
      <c r="E50" s="3">
        <v>11701.2</v>
      </c>
      <c r="F50" s="4">
        <f t="shared" si="0"/>
        <v>4798.7204724409448</v>
      </c>
      <c r="G50" s="2">
        <v>37924</v>
      </c>
      <c r="H50" s="3">
        <v>1905.7</v>
      </c>
      <c r="I50" s="3">
        <v>693.9</v>
      </c>
      <c r="J50" s="3">
        <v>1123.46</v>
      </c>
      <c r="K50" s="6">
        <f t="shared" si="1"/>
        <v>0.3641181718003883</v>
      </c>
      <c r="L50" s="6">
        <f t="shared" si="2"/>
        <v>0.58952615836700428</v>
      </c>
      <c r="M50" s="6">
        <f t="shared" si="3"/>
        <v>4.6355669832607416E-2</v>
      </c>
      <c r="N50" s="4">
        <f t="shared" si="4"/>
        <v>1747.3013254062926</v>
      </c>
      <c r="O50" s="4">
        <f t="shared" si="5"/>
        <v>2828.9712451952059</v>
      </c>
      <c r="P50" s="4">
        <f t="shared" si="6"/>
        <v>4576.272570601499</v>
      </c>
      <c r="Q50" s="3"/>
    </row>
    <row r="51" spans="1:17" x14ac:dyDescent="0.3">
      <c r="A51">
        <v>22</v>
      </c>
      <c r="B51" s="1" t="s">
        <v>72</v>
      </c>
      <c r="C51" s="1" t="s">
        <v>30</v>
      </c>
      <c r="D51" s="2">
        <v>37911</v>
      </c>
      <c r="E51" s="3">
        <v>10740.11</v>
      </c>
      <c r="F51" s="4">
        <f t="shared" si="0"/>
        <v>4404.5726706036749</v>
      </c>
      <c r="G51" s="2">
        <v>37924</v>
      </c>
      <c r="H51" s="3">
        <v>2008.15</v>
      </c>
      <c r="I51" s="3">
        <v>742.9</v>
      </c>
      <c r="J51" s="3">
        <v>1209.2</v>
      </c>
      <c r="K51" s="6">
        <f t="shared" si="1"/>
        <v>0.36994248437616711</v>
      </c>
      <c r="L51" s="6">
        <f t="shared" si="2"/>
        <v>0.6021462540148893</v>
      </c>
      <c r="M51" s="6">
        <f t="shared" si="3"/>
        <v>2.7911261608943527E-2</v>
      </c>
      <c r="N51" s="4">
        <f t="shared" si="4"/>
        <v>1629.4385563784926</v>
      </c>
      <c r="O51" s="4">
        <f t="shared" si="5"/>
        <v>2652.1969341403596</v>
      </c>
      <c r="P51" s="4">
        <f t="shared" si="6"/>
        <v>4281.6354905188527</v>
      </c>
      <c r="Q51" s="3"/>
    </row>
    <row r="52" spans="1:17" x14ac:dyDescent="0.3">
      <c r="A52">
        <v>23</v>
      </c>
      <c r="B52" s="1" t="s">
        <v>73</v>
      </c>
      <c r="C52" s="1" t="s">
        <v>30</v>
      </c>
      <c r="D52" s="2">
        <v>37911</v>
      </c>
      <c r="E52" s="3">
        <v>11898.3</v>
      </c>
      <c r="F52" s="4">
        <f t="shared" si="0"/>
        <v>4879.5521653543301</v>
      </c>
      <c r="G52" s="2">
        <v>37924</v>
      </c>
      <c r="H52" s="3">
        <v>2330</v>
      </c>
      <c r="I52" s="3">
        <v>795.8</v>
      </c>
      <c r="J52" s="3">
        <v>1409.05</v>
      </c>
      <c r="K52" s="6">
        <f t="shared" si="1"/>
        <v>0.34154506437768239</v>
      </c>
      <c r="L52" s="6">
        <f t="shared" si="2"/>
        <v>0.60474248927038621</v>
      </c>
      <c r="M52" s="6">
        <f t="shared" si="3"/>
        <v>5.3712446351931398E-2</v>
      </c>
      <c r="N52" s="4">
        <f t="shared" si="4"/>
        <v>1666.5869584502043</v>
      </c>
      <c r="O52" s="4">
        <f t="shared" si="5"/>
        <v>2950.8725230010809</v>
      </c>
      <c r="P52" s="4">
        <f t="shared" si="6"/>
        <v>4617.4594814512857</v>
      </c>
      <c r="Q52" s="3"/>
    </row>
    <row r="53" spans="1:17" x14ac:dyDescent="0.3">
      <c r="A53">
        <v>24</v>
      </c>
      <c r="B53" s="1" t="s">
        <v>74</v>
      </c>
      <c r="C53" s="1" t="s">
        <v>30</v>
      </c>
      <c r="D53" s="2">
        <v>37911</v>
      </c>
      <c r="E53" s="3">
        <v>12025.88</v>
      </c>
      <c r="F53" s="4">
        <f t="shared" si="0"/>
        <v>4931.8733595800522</v>
      </c>
      <c r="G53" s="2">
        <v>37924</v>
      </c>
      <c r="H53" s="3">
        <v>2306.85</v>
      </c>
      <c r="I53" s="3">
        <v>830.1</v>
      </c>
      <c r="J53" s="3">
        <v>1392</v>
      </c>
      <c r="K53" s="6">
        <f t="shared" si="1"/>
        <v>0.35984134208986285</v>
      </c>
      <c r="L53" s="6">
        <f t="shared" si="2"/>
        <v>0.60342024839066266</v>
      </c>
      <c r="M53" s="6">
        <f t="shared" si="3"/>
        <v>3.6738409519474491E-2</v>
      </c>
      <c r="N53" s="4">
        <f t="shared" si="4"/>
        <v>1774.6919287285268</v>
      </c>
      <c r="O53" s="4">
        <f t="shared" si="5"/>
        <v>2975.9922476690872</v>
      </c>
      <c r="P53" s="4">
        <f t="shared" si="6"/>
        <v>4750.6841763976136</v>
      </c>
      <c r="Q53" s="3"/>
    </row>
    <row r="54" spans="1:17" x14ac:dyDescent="0.3">
      <c r="A54">
        <v>25</v>
      </c>
      <c r="B54" s="1" t="s">
        <v>75</v>
      </c>
      <c r="C54" s="1" t="s">
        <v>30</v>
      </c>
      <c r="D54" s="2">
        <v>37914</v>
      </c>
      <c r="E54" s="3">
        <v>9196.2999999999993</v>
      </c>
      <c r="F54" s="4">
        <f t="shared" si="0"/>
        <v>3771.4484908136483</v>
      </c>
      <c r="G54" s="2">
        <v>37924</v>
      </c>
      <c r="H54" s="3">
        <v>2231.1</v>
      </c>
      <c r="I54" s="3">
        <v>732.1</v>
      </c>
      <c r="J54" s="3">
        <v>1375</v>
      </c>
      <c r="K54" s="6">
        <f t="shared" si="1"/>
        <v>0.32813410425350725</v>
      </c>
      <c r="L54" s="6">
        <f t="shared" si="2"/>
        <v>0.61628792972076551</v>
      </c>
      <c r="M54" s="6">
        <f t="shared" si="3"/>
        <v>5.5577966025727177E-2</v>
      </c>
      <c r="N54" s="4">
        <f>F54*K54</f>
        <v>1237.5408722713782</v>
      </c>
      <c r="O54" s="4">
        <f t="shared" si="5"/>
        <v>2324.2981824520489</v>
      </c>
      <c r="P54" s="4">
        <f t="shared" si="6"/>
        <v>3561.8390547234271</v>
      </c>
      <c r="Q54" s="3"/>
    </row>
    <row r="55" spans="1:17" x14ac:dyDescent="0.3">
      <c r="A55">
        <v>26</v>
      </c>
      <c r="B55" s="1" t="s">
        <v>76</v>
      </c>
      <c r="C55" s="1" t="s">
        <v>30</v>
      </c>
      <c r="D55" s="2">
        <v>37914</v>
      </c>
      <c r="E55" s="3">
        <v>11163.89</v>
      </c>
      <c r="F55" s="4">
        <f t="shared" si="0"/>
        <v>4578.3669619422571</v>
      </c>
      <c r="G55" s="2">
        <v>37924</v>
      </c>
      <c r="H55" s="3">
        <v>2131.85</v>
      </c>
      <c r="I55" s="3">
        <v>743.2</v>
      </c>
      <c r="J55" s="3">
        <v>1322.05</v>
      </c>
      <c r="K55" s="6">
        <f t="shared" si="1"/>
        <v>0.34861739803457092</v>
      </c>
      <c r="L55" s="6">
        <f>J55/H55</f>
        <v>0.62014213007481767</v>
      </c>
      <c r="M55" s="6">
        <f t="shared" si="3"/>
        <v>3.124047189061141E-2</v>
      </c>
      <c r="N55" s="4">
        <f t="shared" si="4"/>
        <v>1596.0983775197531</v>
      </c>
      <c r="O55" s="4">
        <f>F55*L55</f>
        <v>2839.2382400430429</v>
      </c>
      <c r="P55" s="4">
        <f t="shared" si="6"/>
        <v>4435.3366175627962</v>
      </c>
      <c r="Q55" s="3"/>
    </row>
    <row r="56" spans="1:17" x14ac:dyDescent="0.3">
      <c r="A56">
        <v>27</v>
      </c>
      <c r="B56" s="1" t="s">
        <v>77</v>
      </c>
      <c r="C56" s="1" t="s">
        <v>30</v>
      </c>
      <c r="D56" s="2">
        <v>37914</v>
      </c>
      <c r="E56" s="3">
        <v>10547.7</v>
      </c>
      <c r="F56" s="4">
        <f t="shared" si="0"/>
        <v>4325.6643700787408</v>
      </c>
      <c r="G56" s="2">
        <v>37924</v>
      </c>
      <c r="H56" s="3">
        <v>2334.1</v>
      </c>
      <c r="I56" s="3">
        <v>884.4</v>
      </c>
      <c r="J56" s="3">
        <v>1386.05</v>
      </c>
      <c r="K56" s="6">
        <f t="shared" si="1"/>
        <v>0.37890407437556234</v>
      </c>
      <c r="L56" s="6">
        <f t="shared" si="2"/>
        <v>0.59382631421104493</v>
      </c>
      <c r="M56" s="6">
        <f>1-K56-L56</f>
        <v>2.7269611413392791E-2</v>
      </c>
      <c r="N56" s="4">
        <f t="shared" si="4"/>
        <v>1639.0118542040352</v>
      </c>
      <c r="O56" s="4">
        <f t="shared" si="5"/>
        <v>2568.6933293979</v>
      </c>
      <c r="P56" s="4">
        <f>N56+O56</f>
        <v>4207.7051836019355</v>
      </c>
      <c r="Q56" s="3"/>
    </row>
    <row r="57" spans="1:17" x14ac:dyDescent="0.3">
      <c r="A57">
        <v>28</v>
      </c>
      <c r="B57" s="1" t="s">
        <v>78</v>
      </c>
      <c r="C57" s="1" t="s">
        <v>30</v>
      </c>
      <c r="D57" s="2">
        <v>37914</v>
      </c>
      <c r="E57" s="3">
        <v>12607.93</v>
      </c>
      <c r="F57" s="4">
        <f t="shared" si="0"/>
        <v>5170.574967191601</v>
      </c>
      <c r="G57" s="2">
        <v>37924</v>
      </c>
      <c r="H57" s="3">
        <v>2271.5500000000002</v>
      </c>
      <c r="I57" s="3">
        <v>790.7</v>
      </c>
      <c r="J57" s="3">
        <v>1365.6</v>
      </c>
      <c r="K57" s="6">
        <f>I57/H57</f>
        <v>0.3480883097444476</v>
      </c>
      <c r="L57" s="6">
        <f t="shared" si="2"/>
        <v>0.60117540886179033</v>
      </c>
      <c r="M57" s="6">
        <f t="shared" si="3"/>
        <v>5.0736281393762073E-2</v>
      </c>
      <c r="N57" s="4">
        <f t="shared" si="4"/>
        <v>1799.8167007366769</v>
      </c>
      <c r="O57" s="4">
        <f t="shared" si="5"/>
        <v>3108.4225199519487</v>
      </c>
      <c r="P57" s="4">
        <f t="shared" si="6"/>
        <v>4908.2392206886252</v>
      </c>
      <c r="Q57" s="3"/>
    </row>
    <row r="58" spans="1:17" x14ac:dyDescent="0.3">
      <c r="A58">
        <v>29</v>
      </c>
      <c r="B58" s="1" t="s">
        <v>79</v>
      </c>
      <c r="C58" s="1" t="s">
        <v>30</v>
      </c>
      <c r="D58" s="2">
        <v>37914</v>
      </c>
      <c r="E58" s="3">
        <v>10365.4</v>
      </c>
      <c r="F58" s="4">
        <f t="shared" si="0"/>
        <v>4250.9022309711281</v>
      </c>
      <c r="G58" s="2">
        <v>37924</v>
      </c>
      <c r="H58" s="3">
        <v>1883.1</v>
      </c>
      <c r="I58" s="3">
        <v>702</v>
      </c>
      <c r="J58" s="3">
        <v>1104.2</v>
      </c>
      <c r="K58" s="6">
        <f t="shared" si="1"/>
        <v>0.37278954914768203</v>
      </c>
      <c r="L58" s="6">
        <f t="shared" si="2"/>
        <v>0.58637353300408901</v>
      </c>
      <c r="M58" s="6">
        <f t="shared" si="3"/>
        <v>4.083691784822896E-2</v>
      </c>
      <c r="N58" s="4">
        <f t="shared" si="4"/>
        <v>1584.6919261546025</v>
      </c>
      <c r="O58" s="4">
        <f t="shared" si="5"/>
        <v>2492.6165596295045</v>
      </c>
      <c r="P58" s="4">
        <f t="shared" si="6"/>
        <v>4077.3084857841068</v>
      </c>
      <c r="Q58" s="3"/>
    </row>
    <row r="59" spans="1:17" x14ac:dyDescent="0.3">
      <c r="A59">
        <v>30</v>
      </c>
      <c r="B59" s="1" t="s">
        <v>80</v>
      </c>
      <c r="C59" s="1" t="s">
        <v>30</v>
      </c>
      <c r="D59" s="2">
        <v>37914</v>
      </c>
      <c r="E59" s="3">
        <v>13312.34</v>
      </c>
      <c r="F59" s="4">
        <f t="shared" si="0"/>
        <v>5459.4570209973763</v>
      </c>
      <c r="G59" s="2">
        <v>37924</v>
      </c>
      <c r="H59" s="3">
        <v>2189.85</v>
      </c>
      <c r="I59" s="3">
        <v>769</v>
      </c>
      <c r="J59" s="3">
        <v>1314.75</v>
      </c>
      <c r="K59" s="6">
        <f t="shared" si="1"/>
        <v>0.35116560495011073</v>
      </c>
      <c r="L59" s="6">
        <f t="shared" si="2"/>
        <v>0.60038358791698065</v>
      </c>
      <c r="M59" s="6">
        <f t="shared" si="3"/>
        <v>4.8450807132908613E-2</v>
      </c>
      <c r="N59" s="4">
        <f t="shared" si="4"/>
        <v>1917.1735274776731</v>
      </c>
      <c r="O59" s="4">
        <f t="shared" si="5"/>
        <v>3277.7683943449556</v>
      </c>
      <c r="P59" s="4">
        <f t="shared" si="6"/>
        <v>5194.9419218226285</v>
      </c>
      <c r="Q59" s="3"/>
    </row>
    <row r="60" spans="1:17" x14ac:dyDescent="0.3">
      <c r="A60">
        <v>31</v>
      </c>
      <c r="B60" s="1" t="s">
        <v>81</v>
      </c>
      <c r="C60" s="1" t="s">
        <v>30</v>
      </c>
      <c r="D60" s="2">
        <v>37914</v>
      </c>
      <c r="E60" s="3">
        <v>11962.7</v>
      </c>
      <c r="F60" s="4">
        <f t="shared" si="0"/>
        <v>4905.9629265091862</v>
      </c>
      <c r="G60" s="2">
        <v>37924</v>
      </c>
      <c r="H60" s="3"/>
      <c r="I60" s="3"/>
      <c r="J60" s="3"/>
      <c r="K60" s="6"/>
      <c r="L60" s="6"/>
      <c r="M60" s="6"/>
      <c r="N60" s="4"/>
      <c r="O60" s="4"/>
      <c r="P60" s="4"/>
      <c r="Q60" s="3"/>
    </row>
    <row r="61" spans="1:17" x14ac:dyDescent="0.3">
      <c r="A61">
        <v>32</v>
      </c>
      <c r="B61" s="1" t="s">
        <v>82</v>
      </c>
      <c r="C61" s="1" t="s">
        <v>30</v>
      </c>
      <c r="D61" s="2">
        <v>37914</v>
      </c>
      <c r="E61" s="3">
        <v>11265.12</v>
      </c>
      <c r="F61" s="4">
        <f t="shared" si="0"/>
        <v>4619.8818897637802</v>
      </c>
      <c r="G61" s="2">
        <v>37924</v>
      </c>
      <c r="H61" s="3">
        <v>1955.95</v>
      </c>
      <c r="I61" s="3">
        <v>708.5</v>
      </c>
      <c r="J61" s="3">
        <v>1154.3800000000001</v>
      </c>
      <c r="K61" s="6">
        <f t="shared" si="1"/>
        <v>0.36222807331475754</v>
      </c>
      <c r="L61" s="6">
        <f t="shared" si="2"/>
        <v>0.59018891075947755</v>
      </c>
      <c r="M61" s="6">
        <f t="shared" si="3"/>
        <v>4.758301592576486E-2</v>
      </c>
      <c r="N61" s="4">
        <f t="shared" si="4"/>
        <v>1673.4509158708752</v>
      </c>
      <c r="O61" s="4">
        <f t="shared" si="5"/>
        <v>2726.6030603571221</v>
      </c>
      <c r="P61" s="4">
        <f t="shared" si="6"/>
        <v>4400.0539762279968</v>
      </c>
      <c r="Q61" s="3"/>
    </row>
    <row r="62" spans="1:17" x14ac:dyDescent="0.3">
      <c r="A62">
        <v>34</v>
      </c>
      <c r="B62" s="1" t="s">
        <v>83</v>
      </c>
      <c r="C62" s="1" t="s">
        <v>30</v>
      </c>
      <c r="D62" s="2">
        <v>37914</v>
      </c>
      <c r="E62" s="3">
        <v>2727.5</v>
      </c>
      <c r="F62" s="4">
        <f>(E62/$A$21)/$A$20*$A$22</f>
        <v>2237.1227034120734</v>
      </c>
      <c r="G62" s="2">
        <v>37924</v>
      </c>
      <c r="H62">
        <v>2683.3</v>
      </c>
      <c r="I62">
        <v>935.9</v>
      </c>
      <c r="J62">
        <v>1581.55</v>
      </c>
      <c r="K62" s="6">
        <f t="shared" si="1"/>
        <v>0.34878694145268885</v>
      </c>
      <c r="L62" s="6">
        <f t="shared" si="2"/>
        <v>0.58940483732717175</v>
      </c>
      <c r="M62" s="6">
        <f t="shared" si="3"/>
        <v>6.1808221220139403E-2</v>
      </c>
      <c r="N62" s="4">
        <f t="shared" si="4"/>
        <v>780.2791853774678</v>
      </c>
      <c r="O62" s="4">
        <f t="shared" si="5"/>
        <v>1318.5709430855159</v>
      </c>
      <c r="P62" s="4">
        <f t="shared" si="6"/>
        <v>2098.8501284629838</v>
      </c>
      <c r="Q62" s="3"/>
    </row>
    <row r="63" spans="1:17" x14ac:dyDescent="0.3">
      <c r="A63">
        <v>36</v>
      </c>
      <c r="B63" s="1" t="s">
        <v>84</v>
      </c>
      <c r="C63" s="1" t="s">
        <v>30</v>
      </c>
      <c r="D63" s="2">
        <v>37914</v>
      </c>
      <c r="E63" s="3">
        <v>1045.49</v>
      </c>
      <c r="F63" s="4">
        <f>(E63/$A$21)/$A$20*$A$22</f>
        <v>857.5213254593175</v>
      </c>
      <c r="G63" s="2">
        <v>37924</v>
      </c>
      <c r="H63">
        <v>1028.3399999999999</v>
      </c>
      <c r="I63">
        <v>314.60000000000002</v>
      </c>
      <c r="J63">
        <v>567.67999999999995</v>
      </c>
      <c r="K63" s="6">
        <f t="shared" si="1"/>
        <v>0.30592994534881462</v>
      </c>
      <c r="L63" s="6">
        <f t="shared" si="2"/>
        <v>0.55203531905789915</v>
      </c>
      <c r="M63" s="6">
        <f t="shared" si="3"/>
        <v>0.14203473559328617</v>
      </c>
      <c r="N63" s="4">
        <f t="shared" si="4"/>
        <v>262.34145223321207</v>
      </c>
      <c r="O63" s="4">
        <f t="shared" si="5"/>
        <v>473.38205849888692</v>
      </c>
      <c r="P63" s="4">
        <f t="shared" si="6"/>
        <v>735.72351073209893</v>
      </c>
      <c r="Q63" s="3"/>
    </row>
    <row r="64" spans="1:17" x14ac:dyDescent="0.3">
      <c r="A64">
        <v>38</v>
      </c>
      <c r="B64" s="1" t="s">
        <v>85</v>
      </c>
      <c r="C64" s="1" t="s">
        <v>30</v>
      </c>
      <c r="D64" s="2">
        <v>37914</v>
      </c>
      <c r="E64" s="3">
        <v>3126.6</v>
      </c>
      <c r="F64" s="4">
        <f>(E64/$A$21)/$A$20*$A$22</f>
        <v>2564.4685039370074</v>
      </c>
      <c r="G64" s="2">
        <v>37924</v>
      </c>
      <c r="H64">
        <v>2421.6999999999998</v>
      </c>
      <c r="I64">
        <v>855.4</v>
      </c>
      <c r="J64">
        <v>1481.55</v>
      </c>
      <c r="K64" s="6">
        <f t="shared" si="1"/>
        <v>0.35322294256101089</v>
      </c>
      <c r="L64" s="6">
        <f t="shared" si="2"/>
        <v>0.61178098030309291</v>
      </c>
      <c r="M64" s="6">
        <f t="shared" si="3"/>
        <v>3.4996077135896142E-2</v>
      </c>
      <c r="N64" s="4">
        <f t="shared" si="4"/>
        <v>905.82911106566314</v>
      </c>
      <c r="O64" s="4">
        <f t="shared" si="5"/>
        <v>1568.8930552949885</v>
      </c>
      <c r="P64" s="4">
        <f t="shared" si="6"/>
        <v>2474.7221663606515</v>
      </c>
      <c r="Q64" s="3"/>
    </row>
    <row r="65" spans="1:17" x14ac:dyDescent="0.3">
      <c r="A65">
        <v>40</v>
      </c>
      <c r="B65" s="1" t="s">
        <v>86</v>
      </c>
      <c r="C65" s="1" t="s">
        <v>30</v>
      </c>
      <c r="D65" s="2">
        <v>37914</v>
      </c>
      <c r="E65" s="3">
        <v>1440.38</v>
      </c>
      <c r="F65" s="4">
        <f>(E65/$A$21)/$A$20*$A$22</f>
        <v>1181.4140419947507</v>
      </c>
      <c r="G65" s="2">
        <v>37924</v>
      </c>
      <c r="H65">
        <v>1403.35</v>
      </c>
      <c r="I65">
        <v>461</v>
      </c>
      <c r="J65">
        <v>864.58</v>
      </c>
      <c r="K65" s="6">
        <f t="shared" si="1"/>
        <v>0.32849966152420995</v>
      </c>
      <c r="L65" s="6">
        <f t="shared" si="2"/>
        <v>0.61608294438308342</v>
      </c>
      <c r="M65" s="6">
        <f t="shared" si="3"/>
        <v>5.5417394092706629E-2</v>
      </c>
      <c r="N65" s="4">
        <f t="shared" si="4"/>
        <v>388.0941129152244</v>
      </c>
      <c r="O65" s="4">
        <f t="shared" si="5"/>
        <v>727.8490415276458</v>
      </c>
      <c r="P65" s="4">
        <f t="shared" si="6"/>
        <v>1115.9431544428703</v>
      </c>
      <c r="Q65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Q42"/>
  <sheetViews>
    <sheetView workbookViewId="0"/>
  </sheetViews>
  <sheetFormatPr defaultRowHeight="14.4" x14ac:dyDescent="0.3"/>
  <cols>
    <col min="4" max="4" width="10.5546875" bestFit="1" customWidth="1"/>
    <col min="7" max="7" width="10.5546875" bestFit="1" customWidth="1"/>
    <col min="17" max="17" width="9.5546875" bestFit="1" customWidth="1"/>
  </cols>
  <sheetData>
    <row r="1" spans="1:17" x14ac:dyDescent="0.3">
      <c r="B1" s="1"/>
      <c r="C1" s="1" t="s">
        <v>0</v>
      </c>
      <c r="D1" s="1" t="s">
        <v>0</v>
      </c>
      <c r="E1" t="s">
        <v>0</v>
      </c>
      <c r="F1" s="1" t="s">
        <v>0</v>
      </c>
      <c r="G1" s="1" t="s">
        <v>7</v>
      </c>
      <c r="H1" t="s">
        <v>7</v>
      </c>
      <c r="I1" t="s">
        <v>7</v>
      </c>
      <c r="J1" t="s">
        <v>7</v>
      </c>
      <c r="K1" s="1" t="s">
        <v>7</v>
      </c>
      <c r="L1" s="1" t="s">
        <v>7</v>
      </c>
      <c r="M1" s="1" t="s">
        <v>7</v>
      </c>
      <c r="N1" s="1" t="s">
        <v>17</v>
      </c>
      <c r="O1" s="1" t="s">
        <v>17</v>
      </c>
      <c r="P1" s="1" t="s">
        <v>17</v>
      </c>
    </row>
    <row r="2" spans="1:17" x14ac:dyDescent="0.3">
      <c r="B2" s="1"/>
      <c r="C2" s="1"/>
      <c r="D2" s="1"/>
      <c r="F2" s="1"/>
      <c r="G2" s="1"/>
      <c r="K2" s="1"/>
      <c r="L2" s="1"/>
      <c r="M2" s="1"/>
      <c r="N2" s="1"/>
      <c r="O2" s="1"/>
      <c r="P2" s="1"/>
    </row>
    <row r="3" spans="1:17" x14ac:dyDescent="0.3">
      <c r="B3" s="1"/>
      <c r="C3" s="1"/>
      <c r="D3" s="1"/>
      <c r="E3" t="s">
        <v>1</v>
      </c>
      <c r="F3" s="1"/>
      <c r="G3" s="1" t="s">
        <v>35</v>
      </c>
      <c r="H3" t="s">
        <v>8</v>
      </c>
      <c r="I3" t="s">
        <v>11</v>
      </c>
      <c r="J3" t="s">
        <v>12</v>
      </c>
      <c r="K3" s="1"/>
      <c r="L3" s="1"/>
      <c r="M3" s="1"/>
      <c r="N3" s="1"/>
      <c r="O3" s="1"/>
      <c r="P3" s="1"/>
    </row>
    <row r="4" spans="1:17" x14ac:dyDescent="0.3">
      <c r="A4" t="s">
        <v>48</v>
      </c>
      <c r="B4" s="1" t="s">
        <v>21</v>
      </c>
      <c r="C4" s="1" t="s">
        <v>29</v>
      </c>
      <c r="D4" s="1" t="s">
        <v>2</v>
      </c>
      <c r="F4" s="1" t="s">
        <v>3</v>
      </c>
      <c r="G4" s="1" t="s">
        <v>36</v>
      </c>
      <c r="H4" t="s">
        <v>9</v>
      </c>
      <c r="I4" t="s">
        <v>9</v>
      </c>
      <c r="J4" t="s">
        <v>9</v>
      </c>
      <c r="K4" s="1" t="s">
        <v>13</v>
      </c>
      <c r="L4" s="1" t="s">
        <v>14</v>
      </c>
      <c r="M4" s="1" t="s">
        <v>15</v>
      </c>
      <c r="N4" s="1" t="s">
        <v>18</v>
      </c>
      <c r="O4" s="1" t="s">
        <v>19</v>
      </c>
      <c r="P4" s="1" t="s">
        <v>20</v>
      </c>
    </row>
    <row r="5" spans="1:17" x14ac:dyDescent="0.3">
      <c r="B5" s="1"/>
      <c r="C5" s="1"/>
      <c r="D5" s="1"/>
      <c r="E5" t="s">
        <v>10</v>
      </c>
      <c r="F5" s="1" t="s">
        <v>4</v>
      </c>
      <c r="G5" s="1"/>
      <c r="H5" t="s">
        <v>10</v>
      </c>
      <c r="I5" t="s">
        <v>10</v>
      </c>
      <c r="J5" t="s">
        <v>10</v>
      </c>
      <c r="K5" s="5" t="s">
        <v>16</v>
      </c>
      <c r="L5" s="5" t="s">
        <v>16</v>
      </c>
      <c r="M5" s="5" t="s">
        <v>16</v>
      </c>
      <c r="N5" s="5" t="s">
        <v>4</v>
      </c>
      <c r="O5" s="5" t="s">
        <v>4</v>
      </c>
      <c r="P5" s="5" t="s">
        <v>4</v>
      </c>
    </row>
    <row r="6" spans="1:17" x14ac:dyDescent="0.3">
      <c r="A6" t="s">
        <v>48</v>
      </c>
      <c r="B6" s="1" t="s">
        <v>21</v>
      </c>
      <c r="C6" s="1" t="s">
        <v>29</v>
      </c>
      <c r="D6" s="1" t="s">
        <v>2</v>
      </c>
      <c r="F6" s="1" t="s">
        <v>3</v>
      </c>
      <c r="G6" s="1" t="s">
        <v>36</v>
      </c>
      <c r="K6" s="1" t="s">
        <v>13</v>
      </c>
      <c r="L6" s="1" t="s">
        <v>14</v>
      </c>
      <c r="M6" s="1" t="s">
        <v>15</v>
      </c>
      <c r="N6" s="1" t="s">
        <v>18</v>
      </c>
      <c r="O6" s="1" t="s">
        <v>19</v>
      </c>
      <c r="P6" s="1" t="s">
        <v>20</v>
      </c>
    </row>
    <row r="7" spans="1:17" x14ac:dyDescent="0.3">
      <c r="A7">
        <v>1</v>
      </c>
      <c r="B7" s="1" t="s">
        <v>51</v>
      </c>
      <c r="C7" s="1" t="s">
        <v>30</v>
      </c>
      <c r="D7" s="2">
        <v>37909</v>
      </c>
      <c r="E7" s="3">
        <v>10142.67</v>
      </c>
      <c r="F7" s="4">
        <v>4159.5595472440946</v>
      </c>
      <c r="G7" s="2">
        <v>37559</v>
      </c>
      <c r="H7" s="3">
        <v>2069.65</v>
      </c>
      <c r="I7" s="3">
        <v>740</v>
      </c>
      <c r="J7" s="3">
        <v>1306</v>
      </c>
      <c r="K7" s="6">
        <v>0.35754837774502934</v>
      </c>
      <c r="L7" s="6">
        <v>0.63102456937163287</v>
      </c>
      <c r="M7" s="6">
        <v>1.1427052883337785E-2</v>
      </c>
      <c r="N7" s="4">
        <v>1487.2437682509747</v>
      </c>
      <c r="O7" s="4">
        <v>2624.7842720753688</v>
      </c>
      <c r="P7" s="4">
        <v>4112.0280403263432</v>
      </c>
      <c r="Q7" s="3"/>
    </row>
    <row r="8" spans="1:17" x14ac:dyDescent="0.3">
      <c r="A8">
        <v>2</v>
      </c>
      <c r="B8" s="1" t="s">
        <v>52</v>
      </c>
      <c r="C8" s="1" t="s">
        <v>30</v>
      </c>
      <c r="D8" s="2">
        <v>37909</v>
      </c>
      <c r="E8" s="3">
        <v>10100.200000000001</v>
      </c>
      <c r="F8" s="4">
        <v>4142.1423884514443</v>
      </c>
      <c r="G8" s="2">
        <v>37559</v>
      </c>
      <c r="H8" s="3">
        <v>2162.5</v>
      </c>
      <c r="I8" s="3">
        <v>779.2</v>
      </c>
      <c r="J8" s="3">
        <v>1319.7</v>
      </c>
      <c r="K8" s="6">
        <v>0.36032369942196535</v>
      </c>
      <c r="L8" s="6">
        <v>0.61026589595375724</v>
      </c>
      <c r="M8" s="6">
        <v>2.9410404624277353E-2</v>
      </c>
      <c r="N8" s="4">
        <v>1492.5120689393598</v>
      </c>
      <c r="O8" s="4">
        <v>2527.8082358563565</v>
      </c>
      <c r="P8" s="4">
        <v>4020.3203047957163</v>
      </c>
      <c r="Q8" s="3"/>
    </row>
    <row r="9" spans="1:17" x14ac:dyDescent="0.3">
      <c r="A9">
        <v>3</v>
      </c>
      <c r="B9" s="1" t="s">
        <v>53</v>
      </c>
      <c r="C9" s="1" t="s">
        <v>30</v>
      </c>
      <c r="D9" s="2">
        <v>37909</v>
      </c>
      <c r="E9" s="3">
        <v>12645.78</v>
      </c>
      <c r="F9" s="4">
        <v>5186.0974409448827</v>
      </c>
      <c r="G9" s="2">
        <v>37559</v>
      </c>
      <c r="H9" s="3">
        <v>2122.9499999999998</v>
      </c>
      <c r="I9" s="3">
        <v>787.4</v>
      </c>
      <c r="J9" s="3">
        <v>1295.7</v>
      </c>
      <c r="K9" s="6">
        <v>0.37089898490308298</v>
      </c>
      <c r="L9" s="6">
        <v>0.61032996537836504</v>
      </c>
      <c r="M9" s="6">
        <v>1.8771049718551924E-2</v>
      </c>
      <c r="N9" s="4">
        <v>1923.5182764549334</v>
      </c>
      <c r="O9" s="4">
        <v>3165.2306715807176</v>
      </c>
      <c r="P9" s="4">
        <v>5088.7489480356508</v>
      </c>
      <c r="Q9" s="3"/>
    </row>
    <row r="10" spans="1:17" x14ac:dyDescent="0.3">
      <c r="A10">
        <v>4</v>
      </c>
      <c r="B10" s="1" t="s">
        <v>54</v>
      </c>
      <c r="C10" s="1" t="s">
        <v>30</v>
      </c>
      <c r="D10" s="2">
        <v>37909</v>
      </c>
      <c r="E10" s="3">
        <v>11861.6</v>
      </c>
      <c r="F10" s="4">
        <v>4864.5013123359586</v>
      </c>
      <c r="G10" s="2">
        <v>37559</v>
      </c>
      <c r="H10" s="3">
        <v>2412.5</v>
      </c>
      <c r="I10" s="3">
        <v>883.5</v>
      </c>
      <c r="J10" s="3">
        <v>1406.45</v>
      </c>
      <c r="K10" s="6">
        <v>0.36621761658031088</v>
      </c>
      <c r="L10" s="6">
        <v>0.5829844559585492</v>
      </c>
      <c r="M10" s="6">
        <v>5.079792746113998E-2</v>
      </c>
      <c r="N10" s="4">
        <v>1781.4660764554692</v>
      </c>
      <c r="O10" s="4">
        <v>2835.9286510818274</v>
      </c>
      <c r="P10" s="4">
        <v>4617.3947275372966</v>
      </c>
      <c r="Q10" s="3"/>
    </row>
    <row r="11" spans="1:17" x14ac:dyDescent="0.3">
      <c r="A11">
        <v>5</v>
      </c>
      <c r="B11" s="1" t="s">
        <v>55</v>
      </c>
      <c r="C11" s="1" t="s">
        <v>30</v>
      </c>
      <c r="D11" s="2">
        <v>37909</v>
      </c>
      <c r="E11" s="3">
        <v>10820.24</v>
      </c>
      <c r="F11" s="4">
        <v>4437.4343832020995</v>
      </c>
      <c r="G11" s="2">
        <v>37559</v>
      </c>
      <c r="H11" s="3">
        <v>1943</v>
      </c>
      <c r="I11" s="3">
        <v>758.4</v>
      </c>
      <c r="J11" s="3">
        <v>1171.46</v>
      </c>
      <c r="K11" s="6">
        <v>0.39032424086464229</v>
      </c>
      <c r="L11" s="6">
        <v>0.60291302110138967</v>
      </c>
      <c r="M11" s="6">
        <v>6.7627380339679855E-3</v>
      </c>
      <c r="N11" s="4">
        <v>1732.0382070100218</v>
      </c>
      <c r="O11" s="4">
        <v>2675.3869699155593</v>
      </c>
      <c r="P11" s="4">
        <v>4407.4251769255807</v>
      </c>
      <c r="Q11" s="3"/>
    </row>
    <row r="12" spans="1:17" x14ac:dyDescent="0.3">
      <c r="A12">
        <v>6</v>
      </c>
      <c r="B12" s="1" t="s">
        <v>56</v>
      </c>
      <c r="C12" s="1" t="s">
        <v>30</v>
      </c>
      <c r="D12" s="2">
        <v>37909</v>
      </c>
      <c r="E12" s="3">
        <v>13181.8</v>
      </c>
      <c r="F12" s="4">
        <v>5405.9219160104985</v>
      </c>
      <c r="G12" s="2">
        <v>37559</v>
      </c>
      <c r="H12" s="3">
        <v>1938.2</v>
      </c>
      <c r="I12" s="3">
        <v>652.1</v>
      </c>
      <c r="J12" s="3">
        <v>1171.78</v>
      </c>
      <c r="K12" s="6">
        <v>0.33644618718398517</v>
      </c>
      <c r="L12" s="6">
        <v>0.60457125167681347</v>
      </c>
      <c r="M12" s="6">
        <v>5.8982561139201306E-2</v>
      </c>
      <c r="N12" s="4">
        <v>1818.8018168560759</v>
      </c>
      <c r="O12" s="4">
        <v>3268.2649792295847</v>
      </c>
      <c r="P12" s="4">
        <v>5087.0667960856608</v>
      </c>
      <c r="Q12" s="3"/>
    </row>
    <row r="13" spans="1:17" x14ac:dyDescent="0.3">
      <c r="A13">
        <v>7</v>
      </c>
      <c r="B13" s="1" t="s">
        <v>57</v>
      </c>
      <c r="C13" s="1" t="s">
        <v>30</v>
      </c>
      <c r="D13" s="2">
        <v>37909</v>
      </c>
      <c r="E13" s="3">
        <v>11575.09</v>
      </c>
      <c r="F13" s="4">
        <v>4747.002132545932</v>
      </c>
      <c r="G13" s="2">
        <v>37559</v>
      </c>
      <c r="H13" s="3">
        <v>1934.45</v>
      </c>
      <c r="I13" s="3">
        <v>707.9</v>
      </c>
      <c r="J13" s="3">
        <v>1178.54</v>
      </c>
      <c r="K13" s="6">
        <v>0.36594380831760964</v>
      </c>
      <c r="L13" s="6">
        <v>0.60923776784098838</v>
      </c>
      <c r="M13" s="6">
        <v>2.4818423841401982E-2</v>
      </c>
      <c r="N13" s="4">
        <v>1737.1360384756726</v>
      </c>
      <c r="O13" s="4">
        <v>2892.0529831686954</v>
      </c>
      <c r="P13" s="4">
        <v>4629.189021644368</v>
      </c>
      <c r="Q13" s="3"/>
    </row>
    <row r="14" spans="1:17" x14ac:dyDescent="0.3">
      <c r="A14">
        <v>8</v>
      </c>
      <c r="B14" s="1" t="s">
        <v>58</v>
      </c>
      <c r="C14" s="1" t="s">
        <v>30</v>
      </c>
      <c r="D14" s="2">
        <v>37909</v>
      </c>
      <c r="E14" s="3">
        <v>13771.4</v>
      </c>
      <c r="F14" s="4">
        <v>5647.7198162729655</v>
      </c>
      <c r="G14" s="2">
        <v>37559</v>
      </c>
      <c r="H14" s="3">
        <v>2576.1</v>
      </c>
      <c r="I14" s="3">
        <v>935.4</v>
      </c>
      <c r="J14" s="3">
        <v>1553.4</v>
      </c>
      <c r="K14" s="6">
        <v>0.36310702224292535</v>
      </c>
      <c r="L14" s="6">
        <v>0.60300454174915574</v>
      </c>
      <c r="M14" s="6">
        <v>3.388843600791891E-2</v>
      </c>
      <c r="N14" s="4">
        <v>2050.7267249492379</v>
      </c>
      <c r="O14" s="4">
        <v>3405.6006997393056</v>
      </c>
      <c r="P14" s="4">
        <v>5456.327424688543</v>
      </c>
      <c r="Q14" s="3"/>
    </row>
    <row r="15" spans="1:17" x14ac:dyDescent="0.3">
      <c r="A15">
        <v>9</v>
      </c>
      <c r="B15" s="1" t="s">
        <v>59</v>
      </c>
      <c r="C15" s="1" t="s">
        <v>30</v>
      </c>
      <c r="D15" s="2">
        <v>37910</v>
      </c>
      <c r="E15" s="3">
        <v>10954.46</v>
      </c>
      <c r="F15" s="4">
        <v>4492.4786745406818</v>
      </c>
      <c r="G15" s="2">
        <v>37559</v>
      </c>
      <c r="H15" s="3">
        <v>2370.1</v>
      </c>
      <c r="I15" s="3">
        <v>890.2</v>
      </c>
      <c r="J15" s="3">
        <v>1374.75</v>
      </c>
      <c r="K15" s="6">
        <v>0.37559596641491921</v>
      </c>
      <c r="L15" s="6">
        <v>0.58003881692755577</v>
      </c>
      <c r="M15" s="6">
        <v>4.436521665752502E-2</v>
      </c>
      <c r="N15" s="4">
        <v>1687.3568693625227</v>
      </c>
      <c r="O15" s="4">
        <v>2605.812015452851</v>
      </c>
      <c r="P15" s="4">
        <v>4293.1688848153735</v>
      </c>
      <c r="Q15" s="3"/>
    </row>
    <row r="16" spans="1:17" x14ac:dyDescent="0.3">
      <c r="A16">
        <v>10</v>
      </c>
      <c r="B16" s="1" t="s">
        <v>60</v>
      </c>
      <c r="C16" s="1" t="s">
        <v>30</v>
      </c>
      <c r="D16" s="2">
        <v>37910</v>
      </c>
      <c r="E16" s="3">
        <v>12163.8</v>
      </c>
      <c r="F16" s="4">
        <v>4988.4350393700779</v>
      </c>
      <c r="G16" s="2">
        <v>37559</v>
      </c>
      <c r="H16" s="3">
        <v>2243.6999999999998</v>
      </c>
      <c r="I16" s="3">
        <v>786.9</v>
      </c>
      <c r="J16" s="3">
        <v>1377.6</v>
      </c>
      <c r="K16" s="6">
        <v>0.35071533627490309</v>
      </c>
      <c r="L16" s="6">
        <v>0.61398582698221693</v>
      </c>
      <c r="M16" s="6">
        <v>3.5298836742879924E-2</v>
      </c>
      <c r="N16" s="4">
        <v>1749.5206723181864</v>
      </c>
      <c r="O16" s="4">
        <v>3062.8284129947051</v>
      </c>
      <c r="P16" s="4">
        <v>4812.3490853128915</v>
      </c>
      <c r="Q16" s="3"/>
    </row>
    <row r="17" spans="1:17" x14ac:dyDescent="0.3">
      <c r="A17">
        <v>11</v>
      </c>
      <c r="B17" s="1" t="s">
        <v>61</v>
      </c>
      <c r="C17" s="1" t="s">
        <v>30</v>
      </c>
      <c r="D17" s="2">
        <v>37910</v>
      </c>
      <c r="E17" s="3">
        <v>12131.18</v>
      </c>
      <c r="F17" s="4">
        <v>4975.0574146981626</v>
      </c>
      <c r="G17" s="2">
        <v>37559</v>
      </c>
      <c r="H17" s="3">
        <v>2312</v>
      </c>
      <c r="I17" s="3">
        <v>825.4</v>
      </c>
      <c r="J17" s="3">
        <v>1390.4</v>
      </c>
      <c r="K17" s="6">
        <v>0.35700692041522492</v>
      </c>
      <c r="L17" s="6">
        <v>0.6013840830449827</v>
      </c>
      <c r="M17" s="6">
        <v>4.1608996539792442E-2</v>
      </c>
      <c r="N17" s="4">
        <v>1776.1299265103216</v>
      </c>
      <c r="O17" s="4">
        <v>2991.9203414343965</v>
      </c>
      <c r="P17" s="4">
        <v>4768.0502679447181</v>
      </c>
      <c r="Q17" s="3"/>
    </row>
    <row r="18" spans="1:17" x14ac:dyDescent="0.3">
      <c r="A18">
        <v>12</v>
      </c>
      <c r="B18" s="1" t="s">
        <v>62</v>
      </c>
      <c r="C18" s="1" t="s">
        <v>30</v>
      </c>
      <c r="D18" s="2">
        <v>37910</v>
      </c>
      <c r="E18" s="3">
        <v>12805.1</v>
      </c>
      <c r="F18" s="4">
        <v>5251.435367454068</v>
      </c>
      <c r="G18" s="2">
        <v>37559</v>
      </c>
      <c r="H18" s="3">
        <v>2091.3000000000002</v>
      </c>
      <c r="I18" s="3">
        <v>767.6</v>
      </c>
      <c r="J18" s="3">
        <v>1297.75</v>
      </c>
      <c r="K18" s="6">
        <v>0.36704442212977573</v>
      </c>
      <c r="L18" s="6">
        <v>0.62054702816429963</v>
      </c>
      <c r="M18" s="6">
        <v>1.2408549705924643E-2</v>
      </c>
      <c r="N18" s="4">
        <v>1927.5100597990449</v>
      </c>
      <c r="O18" s="4">
        <v>3258.7626108705185</v>
      </c>
      <c r="P18" s="4">
        <v>5186.272670669563</v>
      </c>
      <c r="Q18" s="3"/>
    </row>
    <row r="19" spans="1:17" x14ac:dyDescent="0.3">
      <c r="A19">
        <v>13</v>
      </c>
      <c r="B19" s="1" t="s">
        <v>63</v>
      </c>
      <c r="C19" s="1" t="s">
        <v>30</v>
      </c>
      <c r="D19" s="2">
        <v>37910</v>
      </c>
      <c r="E19" s="3">
        <v>13044.35</v>
      </c>
      <c r="F19" s="4">
        <v>5349.5529855643044</v>
      </c>
      <c r="G19" s="2">
        <v>37559</v>
      </c>
      <c r="H19" s="3">
        <v>2229.8000000000002</v>
      </c>
      <c r="I19" s="3">
        <v>758.3</v>
      </c>
      <c r="J19" s="3">
        <v>1359.1</v>
      </c>
      <c r="K19" s="6">
        <v>0.34007534308009685</v>
      </c>
      <c r="L19" s="6">
        <v>0.60951654856937831</v>
      </c>
      <c r="M19" s="6">
        <v>5.0408108350524783E-2</v>
      </c>
      <c r="N19" s="4">
        <v>1819.2510668909372</v>
      </c>
      <c r="O19" s="4">
        <v>3260.6410721501679</v>
      </c>
      <c r="P19" s="4">
        <v>5079.8921390411051</v>
      </c>
      <c r="Q19" s="3"/>
    </row>
    <row r="20" spans="1:17" x14ac:dyDescent="0.3">
      <c r="A20">
        <v>14</v>
      </c>
      <c r="B20" s="1" t="s">
        <v>64</v>
      </c>
      <c r="C20" s="1" t="s">
        <v>30</v>
      </c>
      <c r="D20" s="2">
        <v>37910</v>
      </c>
      <c r="E20" s="3">
        <v>12076.2</v>
      </c>
      <c r="F20" s="4">
        <v>4952.5098425196848</v>
      </c>
      <c r="G20" s="2">
        <v>37559</v>
      </c>
      <c r="H20" s="3">
        <v>2117.3000000000002</v>
      </c>
      <c r="I20" s="3">
        <v>742.3</v>
      </c>
      <c r="J20" s="3">
        <v>1265.75</v>
      </c>
      <c r="K20" s="6">
        <v>0.35058801303546966</v>
      </c>
      <c r="L20" s="6">
        <v>0.59781325272753028</v>
      </c>
      <c r="M20" s="6">
        <v>5.159873423700001E-2</v>
      </c>
      <c r="N20" s="4">
        <v>1736.2905852275831</v>
      </c>
      <c r="O20" s="4">
        <v>2960.6760181218015</v>
      </c>
      <c r="P20" s="4">
        <v>4696.966603349385</v>
      </c>
      <c r="Q20" s="3"/>
    </row>
    <row r="21" spans="1:17" x14ac:dyDescent="0.3">
      <c r="A21">
        <v>15</v>
      </c>
      <c r="B21" s="1" t="s">
        <v>65</v>
      </c>
      <c r="C21" s="1" t="s">
        <v>30</v>
      </c>
      <c r="D21" s="2">
        <v>37910</v>
      </c>
      <c r="E21" s="3">
        <v>11614.63</v>
      </c>
      <c r="F21" s="4">
        <v>4763.2176837270345</v>
      </c>
      <c r="G21" s="2">
        <v>37559</v>
      </c>
      <c r="H21" s="3">
        <v>2182.85</v>
      </c>
      <c r="I21" s="3">
        <v>799.3</v>
      </c>
      <c r="J21" s="3">
        <v>1308.3499999999999</v>
      </c>
      <c r="K21" s="6">
        <v>0.366172664177566</v>
      </c>
      <c r="L21" s="6">
        <v>0.59937696131204621</v>
      </c>
      <c r="M21" s="6">
        <v>3.4450374510387793E-2</v>
      </c>
      <c r="N21" s="4">
        <v>1744.1601093080233</v>
      </c>
      <c r="O21" s="4">
        <v>2854.962941340113</v>
      </c>
      <c r="P21" s="4">
        <v>4599.1230506481361</v>
      </c>
      <c r="Q21" s="3"/>
    </row>
    <row r="22" spans="1:17" x14ac:dyDescent="0.3">
      <c r="A22">
        <v>16</v>
      </c>
      <c r="B22" s="1" t="s">
        <v>66</v>
      </c>
      <c r="C22" s="1" t="s">
        <v>30</v>
      </c>
      <c r="D22" s="2">
        <v>37910</v>
      </c>
      <c r="E22" s="3">
        <v>10573.7</v>
      </c>
      <c r="F22" s="4">
        <v>4336.327099737533</v>
      </c>
      <c r="G22" s="2">
        <v>37559</v>
      </c>
      <c r="H22" s="3">
        <v>1935.6</v>
      </c>
      <c r="I22" s="3">
        <v>697</v>
      </c>
      <c r="J22" s="3">
        <v>1157.9000000000001</v>
      </c>
      <c r="K22" s="6">
        <v>0.36009506096300892</v>
      </c>
      <c r="L22" s="6">
        <v>0.59821244058689815</v>
      </c>
      <c r="M22" s="6">
        <v>4.169249845009293E-2</v>
      </c>
      <c r="N22" s="4">
        <v>1561.4899713355346</v>
      </c>
      <c r="O22" s="4">
        <v>2594.0448175170955</v>
      </c>
      <c r="P22" s="4">
        <v>4155.5347888526303</v>
      </c>
      <c r="Q22" s="3"/>
    </row>
    <row r="23" spans="1:17" x14ac:dyDescent="0.3">
      <c r="A23">
        <v>17</v>
      </c>
      <c r="B23" s="1" t="s">
        <v>67</v>
      </c>
      <c r="C23" s="1" t="s">
        <v>30</v>
      </c>
      <c r="D23" s="2">
        <v>37911</v>
      </c>
      <c r="E23" s="3">
        <v>11281.95</v>
      </c>
      <c r="F23" s="4">
        <v>4626.7839566929133</v>
      </c>
      <c r="G23" s="2">
        <v>37559</v>
      </c>
      <c r="H23" s="3">
        <v>1930.15</v>
      </c>
      <c r="I23" s="3">
        <v>713.6</v>
      </c>
      <c r="J23" s="3">
        <v>1166.98</v>
      </c>
      <c r="K23" s="6">
        <v>0.36971219853379272</v>
      </c>
      <c r="L23" s="6">
        <v>0.60460585964821389</v>
      </c>
      <c r="M23" s="6">
        <v>2.5681941817993326E-2</v>
      </c>
      <c r="N23" s="4">
        <v>1710.5784687698174</v>
      </c>
      <c r="O23" s="4">
        <v>2797.3806915428831</v>
      </c>
      <c r="P23" s="4">
        <v>4507.959160312701</v>
      </c>
      <c r="Q23" s="3"/>
    </row>
    <row r="24" spans="1:17" x14ac:dyDescent="0.3">
      <c r="A24">
        <v>18</v>
      </c>
      <c r="B24" s="1" t="s">
        <v>68</v>
      </c>
      <c r="C24" s="1" t="s">
        <v>30</v>
      </c>
      <c r="D24" s="2">
        <v>37911</v>
      </c>
      <c r="E24" s="3">
        <v>10766</v>
      </c>
      <c r="F24" s="4">
        <v>4415.1902887139104</v>
      </c>
      <c r="G24" s="2">
        <v>37559</v>
      </c>
      <c r="H24" s="3">
        <v>1946.3</v>
      </c>
      <c r="I24" s="3">
        <v>720.6</v>
      </c>
      <c r="J24" s="3">
        <v>1155.3399999999999</v>
      </c>
      <c r="K24" s="6">
        <v>0.37024097004572781</v>
      </c>
      <c r="L24" s="6">
        <v>0.59360838514103687</v>
      </c>
      <c r="M24" s="6">
        <v>3.6150644813235266E-2</v>
      </c>
      <c r="N24" s="4">
        <v>1634.6843354299153</v>
      </c>
      <c r="O24" s="4">
        <v>2620.8939773738525</v>
      </c>
      <c r="P24" s="4">
        <v>4255.5783128037674</v>
      </c>
      <c r="Q24" s="3"/>
    </row>
    <row r="25" spans="1:17" x14ac:dyDescent="0.3">
      <c r="A25">
        <v>19</v>
      </c>
      <c r="B25" s="1" t="s">
        <v>69</v>
      </c>
      <c r="C25" s="1" t="s">
        <v>30</v>
      </c>
      <c r="D25" s="2">
        <v>37911</v>
      </c>
      <c r="E25" s="3">
        <v>12438.88</v>
      </c>
      <c r="F25" s="4">
        <v>5101.2467191601045</v>
      </c>
      <c r="G25" s="2">
        <v>37559</v>
      </c>
      <c r="H25" s="3">
        <v>2242.4499999999998</v>
      </c>
      <c r="I25" s="3">
        <v>780.3</v>
      </c>
      <c r="J25" s="3">
        <v>1353.9</v>
      </c>
      <c r="K25" s="6">
        <v>0.34796762469620285</v>
      </c>
      <c r="L25" s="6">
        <v>0.60375928114339239</v>
      </c>
      <c r="M25" s="6">
        <v>4.8273094160404706E-2</v>
      </c>
      <c r="N25" s="4">
        <v>1775.0687038554393</v>
      </c>
      <c r="O25" s="4">
        <v>3079.9250520951937</v>
      </c>
      <c r="P25" s="4">
        <v>4854.9937559506325</v>
      </c>
      <c r="Q25" s="3"/>
    </row>
    <row r="26" spans="1:17" x14ac:dyDescent="0.3">
      <c r="A26">
        <v>20</v>
      </c>
      <c r="B26" s="1" t="s">
        <v>70</v>
      </c>
      <c r="C26" s="1" t="s">
        <v>30</v>
      </c>
      <c r="D26" s="2">
        <v>37911</v>
      </c>
      <c r="E26" s="3">
        <v>11411.2</v>
      </c>
      <c r="F26" s="4">
        <v>4679.7900262467192</v>
      </c>
      <c r="G26" s="2">
        <v>37559</v>
      </c>
      <c r="H26" s="3">
        <v>2186.5</v>
      </c>
      <c r="I26" s="3">
        <v>801</v>
      </c>
      <c r="J26" s="3">
        <v>1327.25</v>
      </c>
      <c r="K26" s="6">
        <v>0.36633889778184314</v>
      </c>
      <c r="L26" s="6">
        <v>0.60702035216098793</v>
      </c>
      <c r="M26" s="6">
        <v>2.6640750057168927E-2</v>
      </c>
      <c r="N26" s="4">
        <v>1714.3891200656858</v>
      </c>
      <c r="O26" s="4">
        <v>2840.7277897717622</v>
      </c>
      <c r="P26" s="4">
        <v>4555.1169098374485</v>
      </c>
      <c r="Q26" s="3"/>
    </row>
    <row r="27" spans="1:17" x14ac:dyDescent="0.3">
      <c r="A27">
        <v>21</v>
      </c>
      <c r="B27" s="1" t="s">
        <v>71</v>
      </c>
      <c r="C27" s="1" t="s">
        <v>30</v>
      </c>
      <c r="D27" s="2">
        <v>37911</v>
      </c>
      <c r="E27" s="3">
        <v>11701.2</v>
      </c>
      <c r="F27" s="4">
        <v>4798.7204724409448</v>
      </c>
      <c r="G27" s="2">
        <v>37559</v>
      </c>
      <c r="H27" s="3">
        <v>1905.7</v>
      </c>
      <c r="I27" s="3">
        <v>693.9</v>
      </c>
      <c r="J27" s="3">
        <v>1123.46</v>
      </c>
      <c r="K27" s="6">
        <v>0.3641181718003883</v>
      </c>
      <c r="L27" s="6">
        <v>0.58952615836700428</v>
      </c>
      <c r="M27" s="6">
        <v>4.6355669832607416E-2</v>
      </c>
      <c r="N27" s="4">
        <v>1747.3013254062926</v>
      </c>
      <c r="O27" s="4">
        <v>2828.9712451952059</v>
      </c>
      <c r="P27" s="4">
        <v>4576.272570601499</v>
      </c>
      <c r="Q27" s="3"/>
    </row>
    <row r="28" spans="1:17" x14ac:dyDescent="0.3">
      <c r="A28">
        <v>22</v>
      </c>
      <c r="B28" s="1" t="s">
        <v>72</v>
      </c>
      <c r="C28" s="1" t="s">
        <v>30</v>
      </c>
      <c r="D28" s="2">
        <v>37911</v>
      </c>
      <c r="E28" s="3">
        <v>10740.11</v>
      </c>
      <c r="F28" s="4">
        <v>4404.5726706036749</v>
      </c>
      <c r="G28" s="2">
        <v>37559</v>
      </c>
      <c r="H28" s="3">
        <v>2008.15</v>
      </c>
      <c r="I28" s="3">
        <v>742.9</v>
      </c>
      <c r="J28" s="3">
        <v>1209.2</v>
      </c>
      <c r="K28" s="6">
        <v>0.36994248437616711</v>
      </c>
      <c r="L28" s="6">
        <v>0.6021462540148893</v>
      </c>
      <c r="M28" s="6">
        <v>2.7911261608943527E-2</v>
      </c>
      <c r="N28" s="4">
        <v>1629.4385563784926</v>
      </c>
      <c r="O28" s="4">
        <v>2652.1969341403596</v>
      </c>
      <c r="P28" s="4">
        <v>4281.6354905188527</v>
      </c>
      <c r="Q28" s="3"/>
    </row>
    <row r="29" spans="1:17" x14ac:dyDescent="0.3">
      <c r="A29">
        <v>23</v>
      </c>
      <c r="B29" s="1" t="s">
        <v>73</v>
      </c>
      <c r="C29" s="1" t="s">
        <v>30</v>
      </c>
      <c r="D29" s="2">
        <v>37911</v>
      </c>
      <c r="E29" s="3">
        <v>11898.3</v>
      </c>
      <c r="F29" s="4">
        <v>4879.5521653543301</v>
      </c>
      <c r="G29" s="2">
        <v>37559</v>
      </c>
      <c r="H29" s="3">
        <v>2330</v>
      </c>
      <c r="I29" s="3">
        <v>795.8</v>
      </c>
      <c r="J29" s="3">
        <v>1409.05</v>
      </c>
      <c r="K29" s="6">
        <v>0.34154506437768239</v>
      </c>
      <c r="L29" s="6">
        <v>0.60474248927038621</v>
      </c>
      <c r="M29" s="6">
        <v>5.3712446351931398E-2</v>
      </c>
      <c r="N29" s="4">
        <v>1666.5869584502043</v>
      </c>
      <c r="O29" s="4">
        <v>2950.8725230010809</v>
      </c>
      <c r="P29" s="4">
        <v>4617.4594814512857</v>
      </c>
      <c r="Q29" s="3"/>
    </row>
    <row r="30" spans="1:17" x14ac:dyDescent="0.3">
      <c r="A30">
        <v>24</v>
      </c>
      <c r="B30" s="1" t="s">
        <v>74</v>
      </c>
      <c r="C30" s="1" t="s">
        <v>30</v>
      </c>
      <c r="D30" s="2">
        <v>37911</v>
      </c>
      <c r="E30" s="3">
        <v>12025.88</v>
      </c>
      <c r="F30" s="4">
        <v>4931.8733595800522</v>
      </c>
      <c r="G30" s="2">
        <v>37559</v>
      </c>
      <c r="H30" s="3">
        <v>2306.85</v>
      </c>
      <c r="I30" s="3">
        <v>830.1</v>
      </c>
      <c r="J30" s="3">
        <v>1392</v>
      </c>
      <c r="K30" s="6">
        <v>0.35984134208986285</v>
      </c>
      <c r="L30" s="6">
        <v>0.60342024839066266</v>
      </c>
      <c r="M30" s="6">
        <v>3.6738409519474491E-2</v>
      </c>
      <c r="N30" s="4">
        <v>1774.6919287285268</v>
      </c>
      <c r="O30" s="4">
        <v>2975.9922476690872</v>
      </c>
      <c r="P30" s="4">
        <v>4750.6841763976136</v>
      </c>
      <c r="Q30" s="3"/>
    </row>
    <row r="31" spans="1:17" x14ac:dyDescent="0.3">
      <c r="A31">
        <v>25</v>
      </c>
      <c r="B31" s="1" t="s">
        <v>75</v>
      </c>
      <c r="C31" s="1" t="s">
        <v>30</v>
      </c>
      <c r="D31" s="2">
        <v>37914</v>
      </c>
      <c r="E31" s="3">
        <v>9196.2999999999993</v>
      </c>
      <c r="F31" s="4">
        <v>3771.4484908136483</v>
      </c>
      <c r="G31" s="2">
        <v>37559</v>
      </c>
      <c r="H31" s="3">
        <v>2231.1</v>
      </c>
      <c r="I31" s="3">
        <v>732.1</v>
      </c>
      <c r="J31" s="3">
        <v>1375</v>
      </c>
      <c r="K31" s="6">
        <v>0.32813410425350725</v>
      </c>
      <c r="L31" s="6">
        <v>0.61628792972076551</v>
      </c>
      <c r="M31" s="6">
        <v>5.5577966025727177E-2</v>
      </c>
      <c r="N31" s="4">
        <v>1237.5408722713782</v>
      </c>
      <c r="O31" s="4">
        <v>2324.2981824520489</v>
      </c>
      <c r="P31" s="4">
        <v>3561.8390547234271</v>
      </c>
      <c r="Q31" s="3"/>
    </row>
    <row r="32" spans="1:17" x14ac:dyDescent="0.3">
      <c r="A32">
        <v>26</v>
      </c>
      <c r="B32" s="1" t="s">
        <v>76</v>
      </c>
      <c r="C32" s="1" t="s">
        <v>30</v>
      </c>
      <c r="D32" s="2">
        <v>37914</v>
      </c>
      <c r="E32" s="3">
        <v>11163.89</v>
      </c>
      <c r="F32" s="4">
        <v>4578.3669619422571</v>
      </c>
      <c r="G32" s="2">
        <v>37559</v>
      </c>
      <c r="H32" s="3">
        <v>2131.85</v>
      </c>
      <c r="I32" s="3">
        <v>743.2</v>
      </c>
      <c r="J32" s="3">
        <v>1322.05</v>
      </c>
      <c r="K32" s="6">
        <v>0.34861739803457092</v>
      </c>
      <c r="L32" s="6">
        <v>0.62014213007481767</v>
      </c>
      <c r="M32" s="6">
        <v>3.124047189061141E-2</v>
      </c>
      <c r="N32" s="4">
        <v>1596.0983775197531</v>
      </c>
      <c r="O32" s="4">
        <v>2839.2382400430429</v>
      </c>
      <c r="P32" s="4">
        <v>4435.3366175627962</v>
      </c>
      <c r="Q32" s="3"/>
    </row>
    <row r="33" spans="1:17" x14ac:dyDescent="0.3">
      <c r="A33">
        <v>27</v>
      </c>
      <c r="B33" s="1" t="s">
        <v>77</v>
      </c>
      <c r="C33" s="1" t="s">
        <v>30</v>
      </c>
      <c r="D33" s="2">
        <v>37914</v>
      </c>
      <c r="E33" s="3">
        <v>10547.7</v>
      </c>
      <c r="F33" s="4">
        <v>4325.6643700787408</v>
      </c>
      <c r="G33" s="2">
        <v>37559</v>
      </c>
      <c r="H33" s="3">
        <v>2334.1</v>
      </c>
      <c r="I33" s="3">
        <v>884.4</v>
      </c>
      <c r="J33" s="3">
        <v>1386.05</v>
      </c>
      <c r="K33" s="6">
        <v>0.37890407437556234</v>
      </c>
      <c r="L33" s="6">
        <v>0.59382631421104493</v>
      </c>
      <c r="M33" s="6">
        <v>2.7269611413392791E-2</v>
      </c>
      <c r="N33" s="4">
        <v>1639.0118542040352</v>
      </c>
      <c r="O33" s="4">
        <v>2568.6933293979</v>
      </c>
      <c r="P33" s="4">
        <v>4207.7051836019355</v>
      </c>
      <c r="Q33" s="3"/>
    </row>
    <row r="34" spans="1:17" x14ac:dyDescent="0.3">
      <c r="A34">
        <v>28</v>
      </c>
      <c r="B34" s="1" t="s">
        <v>78</v>
      </c>
      <c r="C34" s="1" t="s">
        <v>30</v>
      </c>
      <c r="D34" s="2">
        <v>37914</v>
      </c>
      <c r="E34" s="3">
        <v>12607.93</v>
      </c>
      <c r="F34" s="4">
        <v>5170.574967191601</v>
      </c>
      <c r="G34" s="2">
        <v>37559</v>
      </c>
      <c r="H34" s="3">
        <v>2271.5500000000002</v>
      </c>
      <c r="I34" s="3">
        <v>790.7</v>
      </c>
      <c r="J34" s="3">
        <v>1365.6</v>
      </c>
      <c r="K34" s="6">
        <v>0.3480883097444476</v>
      </c>
      <c r="L34" s="6">
        <v>0.60117540886179033</v>
      </c>
      <c r="M34" s="6">
        <v>5.0736281393762073E-2</v>
      </c>
      <c r="N34" s="4">
        <v>1799.8167007366769</v>
      </c>
      <c r="O34" s="4">
        <v>3108.4225199519487</v>
      </c>
      <c r="P34" s="4">
        <v>4908.2392206886252</v>
      </c>
      <c r="Q34" s="3"/>
    </row>
    <row r="35" spans="1:17" x14ac:dyDescent="0.3">
      <c r="A35">
        <v>29</v>
      </c>
      <c r="B35" s="1" t="s">
        <v>79</v>
      </c>
      <c r="C35" s="1" t="s">
        <v>30</v>
      </c>
      <c r="D35" s="2">
        <v>37914</v>
      </c>
      <c r="E35" s="3">
        <v>10365.4</v>
      </c>
      <c r="F35" s="4">
        <v>4250.9022309711281</v>
      </c>
      <c r="G35" s="2">
        <v>37559</v>
      </c>
      <c r="H35" s="3">
        <v>1883.1</v>
      </c>
      <c r="I35" s="3">
        <v>702</v>
      </c>
      <c r="J35" s="3">
        <v>1104.2</v>
      </c>
      <c r="K35" s="6">
        <v>0.37278954914768203</v>
      </c>
      <c r="L35" s="6">
        <v>0.58637353300408901</v>
      </c>
      <c r="M35" s="6">
        <v>4.083691784822896E-2</v>
      </c>
      <c r="N35" s="4">
        <v>1584.6919261546025</v>
      </c>
      <c r="O35" s="4">
        <v>2492.6165596295045</v>
      </c>
      <c r="P35" s="4">
        <v>4077.3084857841068</v>
      </c>
      <c r="Q35" s="3"/>
    </row>
    <row r="36" spans="1:17" x14ac:dyDescent="0.3">
      <c r="A36">
        <v>30</v>
      </c>
      <c r="B36" s="1" t="s">
        <v>80</v>
      </c>
      <c r="C36" s="1" t="s">
        <v>30</v>
      </c>
      <c r="D36" s="2">
        <v>37914</v>
      </c>
      <c r="E36" s="3">
        <v>13312.34</v>
      </c>
      <c r="F36" s="4">
        <v>5459.4570209973763</v>
      </c>
      <c r="G36" s="2">
        <v>37559</v>
      </c>
      <c r="H36" s="3">
        <v>2189.85</v>
      </c>
      <c r="I36" s="3">
        <v>769</v>
      </c>
      <c r="J36" s="3">
        <v>1314.75</v>
      </c>
      <c r="K36" s="6">
        <v>0.35116560495011073</v>
      </c>
      <c r="L36" s="6">
        <v>0.60038358791698065</v>
      </c>
      <c r="M36" s="6">
        <v>4.8450807132908613E-2</v>
      </c>
      <c r="N36" s="4">
        <v>1917.1735274776731</v>
      </c>
      <c r="O36" s="4">
        <v>3277.7683943449556</v>
      </c>
      <c r="P36" s="4">
        <v>5194.9419218226285</v>
      </c>
      <c r="Q36" s="3"/>
    </row>
    <row r="37" spans="1:17" x14ac:dyDescent="0.3">
      <c r="A37">
        <v>31</v>
      </c>
      <c r="B37" s="1" t="s">
        <v>81</v>
      </c>
      <c r="C37" s="1" t="s">
        <v>30</v>
      </c>
      <c r="D37" s="2">
        <v>37914</v>
      </c>
      <c r="E37" s="3">
        <v>11962.7</v>
      </c>
      <c r="F37" s="4">
        <v>4905.9629265091862</v>
      </c>
      <c r="G37" s="2">
        <v>37559</v>
      </c>
      <c r="H37" s="3"/>
      <c r="I37" s="3"/>
      <c r="J37" s="3"/>
      <c r="K37" s="6"/>
      <c r="L37" s="6"/>
      <c r="M37" s="6"/>
      <c r="N37" s="4"/>
      <c r="O37" s="4"/>
      <c r="P37" s="4"/>
      <c r="Q37" s="3"/>
    </row>
    <row r="38" spans="1:17" x14ac:dyDescent="0.3">
      <c r="A38">
        <v>32</v>
      </c>
      <c r="B38" s="1" t="s">
        <v>82</v>
      </c>
      <c r="C38" s="1" t="s">
        <v>30</v>
      </c>
      <c r="D38" s="2">
        <v>37914</v>
      </c>
      <c r="E38" s="3">
        <v>11265.12</v>
      </c>
      <c r="F38" s="4">
        <v>4619.8818897637802</v>
      </c>
      <c r="G38" s="2">
        <v>37559</v>
      </c>
      <c r="H38" s="3">
        <v>1955.95</v>
      </c>
      <c r="I38" s="3">
        <v>708.5</v>
      </c>
      <c r="J38" s="3">
        <v>1154.3800000000001</v>
      </c>
      <c r="K38" s="6">
        <v>0.36222807331475754</v>
      </c>
      <c r="L38" s="6">
        <v>0.59018891075947755</v>
      </c>
      <c r="M38" s="6">
        <v>4.758301592576486E-2</v>
      </c>
      <c r="N38" s="4">
        <v>1673.4509158708752</v>
      </c>
      <c r="O38" s="4">
        <v>2726.6030603571221</v>
      </c>
      <c r="P38" s="4">
        <v>4400.0539762279968</v>
      </c>
      <c r="Q38" s="3"/>
    </row>
    <row r="39" spans="1:17" x14ac:dyDescent="0.3">
      <c r="A39">
        <v>34</v>
      </c>
      <c r="B39" s="1" t="s">
        <v>83</v>
      </c>
      <c r="C39" s="1" t="s">
        <v>30</v>
      </c>
      <c r="D39" s="2">
        <v>37914</v>
      </c>
      <c r="E39" s="3">
        <v>2727.5</v>
      </c>
      <c r="F39" s="4">
        <v>2237.1227034120734</v>
      </c>
      <c r="G39" s="2">
        <v>37559</v>
      </c>
      <c r="H39">
        <v>2683.3</v>
      </c>
      <c r="I39">
        <v>935.9</v>
      </c>
      <c r="J39">
        <v>1581.55</v>
      </c>
      <c r="K39" s="6">
        <v>0.34878694145268885</v>
      </c>
      <c r="L39" s="6">
        <v>0.58940483732717175</v>
      </c>
      <c r="M39" s="6">
        <v>6.1808221220139403E-2</v>
      </c>
      <c r="N39" s="4">
        <v>780.2791853774678</v>
      </c>
      <c r="O39" s="4">
        <v>1318.5709430855159</v>
      </c>
      <c r="P39" s="4">
        <v>2098.8501284629838</v>
      </c>
      <c r="Q39" s="3"/>
    </row>
    <row r="40" spans="1:17" x14ac:dyDescent="0.3">
      <c r="A40">
        <v>36</v>
      </c>
      <c r="B40" s="1" t="s">
        <v>84</v>
      </c>
      <c r="C40" s="1" t="s">
        <v>30</v>
      </c>
      <c r="D40" s="2">
        <v>37914</v>
      </c>
      <c r="E40" s="3">
        <v>1045.49</v>
      </c>
      <c r="F40" s="4">
        <v>857.5213254593175</v>
      </c>
      <c r="G40" s="2">
        <v>37559</v>
      </c>
      <c r="H40">
        <v>1028.3399999999999</v>
      </c>
      <c r="I40">
        <v>314.60000000000002</v>
      </c>
      <c r="J40">
        <v>567.67999999999995</v>
      </c>
      <c r="K40" s="6">
        <v>0.30592994534881462</v>
      </c>
      <c r="L40" s="6">
        <v>0.55203531905789915</v>
      </c>
      <c r="M40" s="6">
        <v>0.14203473559328617</v>
      </c>
      <c r="N40" s="4">
        <v>262.34145223321207</v>
      </c>
      <c r="O40" s="4">
        <v>473.38205849888692</v>
      </c>
      <c r="P40" s="4">
        <v>735.72351073209893</v>
      </c>
      <c r="Q40" s="3"/>
    </row>
    <row r="41" spans="1:17" x14ac:dyDescent="0.3">
      <c r="A41">
        <v>38</v>
      </c>
      <c r="B41" s="1" t="s">
        <v>85</v>
      </c>
      <c r="C41" s="1" t="s">
        <v>30</v>
      </c>
      <c r="D41" s="2">
        <v>37914</v>
      </c>
      <c r="E41" s="3">
        <v>3126.6</v>
      </c>
      <c r="F41" s="4">
        <v>2564.4685039370074</v>
      </c>
      <c r="G41" s="2">
        <v>37559</v>
      </c>
      <c r="H41">
        <v>2421.6999999999998</v>
      </c>
      <c r="I41">
        <v>855.4</v>
      </c>
      <c r="J41">
        <v>1481.55</v>
      </c>
      <c r="K41" s="6">
        <v>0.35322294256101089</v>
      </c>
      <c r="L41" s="6">
        <v>0.61178098030309291</v>
      </c>
      <c r="M41" s="6">
        <v>3.4996077135896142E-2</v>
      </c>
      <c r="N41" s="4">
        <v>905.82911106566314</v>
      </c>
      <c r="O41" s="4">
        <v>1568.8930552949885</v>
      </c>
      <c r="P41" s="4">
        <v>2474.7221663606515</v>
      </c>
      <c r="Q41" s="3"/>
    </row>
    <row r="42" spans="1:17" x14ac:dyDescent="0.3">
      <c r="A42">
        <v>40</v>
      </c>
      <c r="B42" s="1" t="s">
        <v>86</v>
      </c>
      <c r="C42" s="1" t="s">
        <v>30</v>
      </c>
      <c r="D42" s="2">
        <v>37914</v>
      </c>
      <c r="E42" s="3">
        <v>1440.38</v>
      </c>
      <c r="F42" s="4">
        <v>1181.4140419947507</v>
      </c>
      <c r="G42" s="2">
        <v>37559</v>
      </c>
      <c r="H42">
        <v>1403.35</v>
      </c>
      <c r="I42">
        <v>461</v>
      </c>
      <c r="J42">
        <v>864.58</v>
      </c>
      <c r="K42" s="6">
        <v>0.32849966152420995</v>
      </c>
      <c r="L42" s="6">
        <v>0.61608294438308342</v>
      </c>
      <c r="M42" s="6">
        <v>5.5417394092706629E-2</v>
      </c>
      <c r="N42" s="4">
        <v>388.0941129152244</v>
      </c>
      <c r="O42" s="4">
        <v>727.8490415276458</v>
      </c>
      <c r="P42" s="4">
        <v>1115.9431544428703</v>
      </c>
      <c r="Q4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D9C7D-972E-4183-BA7B-49952E257057}">
  <dimension ref="A1:N40"/>
  <sheetViews>
    <sheetView workbookViewId="0"/>
  </sheetViews>
  <sheetFormatPr defaultRowHeight="14.4" x14ac:dyDescent="0.3"/>
  <sheetData>
    <row r="1" spans="1:14" x14ac:dyDescent="0.3">
      <c r="B1" t="s">
        <v>45</v>
      </c>
      <c r="C1" t="s">
        <v>45</v>
      </c>
    </row>
    <row r="2" spans="1:14" x14ac:dyDescent="0.3">
      <c r="B2" t="s">
        <v>46</v>
      </c>
      <c r="C2" t="s">
        <v>46</v>
      </c>
    </row>
    <row r="3" spans="1:14" x14ac:dyDescent="0.3">
      <c r="N3">
        <v>0</v>
      </c>
    </row>
    <row r="4" spans="1:14" x14ac:dyDescent="0.3">
      <c r="A4" t="s">
        <v>28</v>
      </c>
      <c r="B4" t="s">
        <v>43</v>
      </c>
      <c r="C4" t="s">
        <v>44</v>
      </c>
      <c r="N4">
        <v>2500</v>
      </c>
    </row>
    <row r="5" spans="1:14" x14ac:dyDescent="0.3">
      <c r="A5">
        <v>101</v>
      </c>
      <c r="B5">
        <v>1411.513035464701</v>
      </c>
      <c r="C5">
        <v>3947.7539916885394</v>
      </c>
    </row>
    <row r="6" spans="1:14" x14ac:dyDescent="0.3">
      <c r="A6">
        <v>102</v>
      </c>
      <c r="B6">
        <v>1453.5868442745239</v>
      </c>
      <c r="C6">
        <v>4034.1138998250217</v>
      </c>
    </row>
    <row r="7" spans="1:14" x14ac:dyDescent="0.3">
      <c r="A7">
        <v>103</v>
      </c>
      <c r="B7">
        <v>1868.6518252248575</v>
      </c>
      <c r="C7">
        <v>5038.1691546369202</v>
      </c>
    </row>
    <row r="8" spans="1:14" x14ac:dyDescent="0.3">
      <c r="A8">
        <v>104</v>
      </c>
      <c r="B8">
        <v>1740.7652176573783</v>
      </c>
      <c r="C8">
        <v>4753.3628608923882</v>
      </c>
    </row>
    <row r="9" spans="1:14" x14ac:dyDescent="0.3">
      <c r="A9">
        <v>105</v>
      </c>
      <c r="B9">
        <v>1698.7388302851746</v>
      </c>
      <c r="C9">
        <v>4352.1222933070876</v>
      </c>
    </row>
    <row r="10" spans="1:14" x14ac:dyDescent="0.3">
      <c r="A10">
        <v>106</v>
      </c>
      <c r="B10">
        <v>1754.5844353961515</v>
      </c>
      <c r="C10">
        <v>5215.0522200349951</v>
      </c>
    </row>
    <row r="11" spans="1:14" x14ac:dyDescent="0.3">
      <c r="A11">
        <v>107</v>
      </c>
      <c r="B11">
        <v>1696.3505525120154</v>
      </c>
      <c r="C11">
        <v>4635.5492672790906</v>
      </c>
    </row>
    <row r="12" spans="1:14" x14ac:dyDescent="0.3">
      <c r="A12">
        <v>108</v>
      </c>
      <c r="B12">
        <v>1989.6852140400031</v>
      </c>
      <c r="C12">
        <v>5479.6109470691163</v>
      </c>
    </row>
    <row r="13" spans="1:14" x14ac:dyDescent="0.3">
      <c r="A13">
        <v>201</v>
      </c>
      <c r="B13">
        <v>1655.5309234167814</v>
      </c>
      <c r="C13">
        <v>4407.7441491688533</v>
      </c>
    </row>
    <row r="14" spans="1:14" x14ac:dyDescent="0.3">
      <c r="A14">
        <v>202</v>
      </c>
      <c r="B14">
        <v>1678.1449810343856</v>
      </c>
      <c r="C14">
        <v>4784.9204396325458</v>
      </c>
    </row>
    <row r="15" spans="1:14" x14ac:dyDescent="0.3">
      <c r="A15">
        <v>203</v>
      </c>
      <c r="B15">
        <v>1720.481804653987</v>
      </c>
      <c r="C15">
        <v>4819.183344269466</v>
      </c>
    </row>
    <row r="16" spans="1:14" x14ac:dyDescent="0.3">
      <c r="A16">
        <v>204</v>
      </c>
      <c r="B16">
        <v>1880.8467679436351</v>
      </c>
      <c r="C16">
        <v>5124.3028215223094</v>
      </c>
    </row>
    <row r="17" spans="1:14" x14ac:dyDescent="0.3">
      <c r="A17">
        <v>205</v>
      </c>
      <c r="B17">
        <v>1769.6962615600878</v>
      </c>
      <c r="C17">
        <v>5203.8358486439183</v>
      </c>
    </row>
    <row r="18" spans="1:14" x14ac:dyDescent="0.3">
      <c r="A18">
        <v>206</v>
      </c>
      <c r="B18">
        <v>1682.6135053665093</v>
      </c>
      <c r="C18">
        <v>4799.4039807524059</v>
      </c>
    </row>
    <row r="19" spans="1:14" x14ac:dyDescent="0.3">
      <c r="A19">
        <v>207</v>
      </c>
      <c r="B19">
        <v>1708.6638562342978</v>
      </c>
      <c r="C19">
        <v>4666.2791174540689</v>
      </c>
    </row>
    <row r="20" spans="1:14" x14ac:dyDescent="0.3">
      <c r="A20">
        <v>208</v>
      </c>
      <c r="B20">
        <v>1524.681533858078</v>
      </c>
      <c r="C20">
        <v>4234.108431758531</v>
      </c>
      <c r="N20">
        <v>0</v>
      </c>
    </row>
    <row r="21" spans="1:14" x14ac:dyDescent="0.3">
      <c r="A21">
        <v>301</v>
      </c>
      <c r="B21">
        <v>1682.9569465552941</v>
      </c>
      <c r="C21">
        <v>4552.0730807086611</v>
      </c>
      <c r="N21">
        <v>6000</v>
      </c>
    </row>
    <row r="22" spans="1:14" x14ac:dyDescent="0.3">
      <c r="A22">
        <v>302</v>
      </c>
      <c r="B22">
        <v>1598.2053356540434</v>
      </c>
      <c r="C22">
        <v>4316.6625656167989</v>
      </c>
    </row>
    <row r="23" spans="1:14" x14ac:dyDescent="0.3">
      <c r="A23">
        <v>303</v>
      </c>
      <c r="B23">
        <v>1735.2461704722039</v>
      </c>
      <c r="C23">
        <v>4986.8035050306216</v>
      </c>
    </row>
    <row r="24" spans="1:14" x14ac:dyDescent="0.3">
      <c r="A24">
        <v>304</v>
      </c>
      <c r="B24">
        <v>1690.0381400451226</v>
      </c>
      <c r="C24">
        <v>4613.3188429571301</v>
      </c>
    </row>
    <row r="25" spans="1:14" x14ac:dyDescent="0.3">
      <c r="A25">
        <v>305</v>
      </c>
      <c r="B25">
        <v>1714.959655714787</v>
      </c>
      <c r="C25">
        <v>4709.8985673665793</v>
      </c>
    </row>
    <row r="26" spans="1:14" x14ac:dyDescent="0.3">
      <c r="A26">
        <v>306</v>
      </c>
      <c r="B26">
        <v>1602.144981518227</v>
      </c>
      <c r="C26">
        <v>4330.7947834645674</v>
      </c>
    </row>
    <row r="27" spans="1:14" x14ac:dyDescent="0.3">
      <c r="A27">
        <v>307</v>
      </c>
      <c r="B27">
        <v>1632.2232818067805</v>
      </c>
      <c r="C27">
        <v>4778.939741907262</v>
      </c>
    </row>
    <row r="28" spans="1:14" x14ac:dyDescent="0.3">
      <c r="A28">
        <v>308</v>
      </c>
      <c r="B28">
        <v>1732.029882583379</v>
      </c>
      <c r="C28">
        <v>4813.3154254155725</v>
      </c>
    </row>
    <row r="29" spans="1:14" x14ac:dyDescent="0.3">
      <c r="A29">
        <v>401</v>
      </c>
      <c r="B29">
        <v>1225.2614115540505</v>
      </c>
      <c r="C29">
        <v>3734.0264107611547</v>
      </c>
    </row>
    <row r="30" spans="1:14" x14ac:dyDescent="0.3">
      <c r="A30">
        <v>402</v>
      </c>
      <c r="B30">
        <v>1576.8725226146112</v>
      </c>
      <c r="C30">
        <v>4523.2180938320207</v>
      </c>
    </row>
    <row r="31" spans="1:14" x14ac:dyDescent="0.3">
      <c r="A31">
        <v>403</v>
      </c>
      <c r="B31">
        <v>1624.3792534533929</v>
      </c>
      <c r="C31">
        <v>4287.0461504811901</v>
      </c>
    </row>
    <row r="32" spans="1:14" x14ac:dyDescent="0.3">
      <c r="A32">
        <v>404</v>
      </c>
      <c r="B32">
        <v>1777.2915061247352</v>
      </c>
      <c r="C32">
        <v>5105.8638178040246</v>
      </c>
    </row>
    <row r="33" spans="1:3" x14ac:dyDescent="0.3">
      <c r="A33">
        <v>405</v>
      </c>
      <c r="B33">
        <v>1573.2129719297675</v>
      </c>
      <c r="C33">
        <v>4220.1101815398079</v>
      </c>
    </row>
    <row r="34" spans="1:3" x14ac:dyDescent="0.3">
      <c r="A34">
        <v>406</v>
      </c>
      <c r="B34">
        <v>1901.0618755527248</v>
      </c>
      <c r="C34">
        <v>5413.5765255905508</v>
      </c>
    </row>
    <row r="35" spans="1:3" x14ac:dyDescent="0.3">
      <c r="A35">
        <v>407</v>
      </c>
      <c r="B35">
        <v>1666.6220877175294</v>
      </c>
      <c r="C35">
        <v>4933.2280730533685</v>
      </c>
    </row>
    <row r="36" spans="1:3" x14ac:dyDescent="0.3">
      <c r="A36">
        <v>408</v>
      </c>
      <c r="B36">
        <v>1659.2196784104278</v>
      </c>
      <c r="C36">
        <v>4580.593832020998</v>
      </c>
    </row>
    <row r="37" spans="1:3" x14ac:dyDescent="0.3">
      <c r="A37">
        <v>902</v>
      </c>
      <c r="B37">
        <v>780.27918537746791</v>
      </c>
      <c r="C37">
        <v>2237.1227034120734</v>
      </c>
    </row>
    <row r="38" spans="1:3" x14ac:dyDescent="0.3">
      <c r="A38">
        <v>904</v>
      </c>
      <c r="B38">
        <v>262.34145223321212</v>
      </c>
      <c r="C38">
        <v>857.52132545931761</v>
      </c>
    </row>
    <row r="39" spans="1:3" x14ac:dyDescent="0.3">
      <c r="A39">
        <v>906</v>
      </c>
      <c r="B39">
        <v>905.82911106566326</v>
      </c>
      <c r="C39">
        <v>2564.4685039370083</v>
      </c>
    </row>
    <row r="40" spans="1:3" x14ac:dyDescent="0.3">
      <c r="A40">
        <v>908</v>
      </c>
      <c r="B40">
        <v>388.09411291522434</v>
      </c>
      <c r="C40">
        <v>1181.4140419947505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Scale</vt:lpstr>
      <vt:lpstr>Plot Scale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2023-10-05T13:56:42Z</dcterms:modified>
</cp:coreProperties>
</file>