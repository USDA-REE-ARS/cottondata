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3_F105_CO_FISE\"/>
    </mc:Choice>
  </mc:AlternateContent>
  <xr:revisionPtr revIDLastSave="0" documentId="13_ncr:9_{2677278E-51A8-4E7A-BA9C-5438884D69A3}" xr6:coauthVersionLast="47" xr6:coauthVersionMax="47" xr10:uidLastSave="{00000000-0000-0000-0000-000000000000}"/>
  <bookViews>
    <workbookView xWindow="16110" yWindow="-18105" windowWidth="17850" windowHeight="16440" activeTab="2" xr2:uid="{AF4E1496-350D-4A46-A15E-D8F42B334E55}"/>
  </bookViews>
  <sheets>
    <sheet name="Irrigation" sheetId="2" r:id="rId1"/>
    <sheet name="Timeline" sheetId="3" r:id="rId2"/>
    <sheet name="IrrigationDF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1" i="2" l="1"/>
  <c r="AD33" i="2" s="1"/>
  <c r="AD22" i="2"/>
  <c r="AD23" i="2"/>
  <c r="AD24" i="2"/>
  <c r="AD25" i="2"/>
  <c r="AD26" i="2"/>
  <c r="AD27" i="2"/>
  <c r="AD28" i="2"/>
  <c r="AD29" i="2"/>
  <c r="AD30" i="2"/>
  <c r="AD31" i="2"/>
  <c r="AD20" i="2"/>
  <c r="AD6" i="2"/>
  <c r="AE6" i="2"/>
  <c r="AD7" i="2"/>
  <c r="AE7" i="2"/>
  <c r="AD8" i="2"/>
  <c r="AE8" i="2"/>
  <c r="AD9" i="2"/>
  <c r="AE9" i="2"/>
  <c r="AD10" i="2"/>
  <c r="AE10" i="2"/>
  <c r="AD11" i="2"/>
  <c r="AE11" i="2"/>
  <c r="AD12" i="2"/>
  <c r="AE12" i="2"/>
  <c r="AD13" i="2"/>
  <c r="AE13" i="2"/>
  <c r="AD14" i="2"/>
  <c r="AE14" i="2"/>
  <c r="AD15" i="2"/>
  <c r="AE15" i="2"/>
  <c r="AD16" i="2"/>
  <c r="AE16" i="2"/>
  <c r="AE5" i="2"/>
  <c r="AD5" i="2"/>
</calcChain>
</file>

<file path=xl/sharedStrings.xml><?xml version="1.0" encoding="utf-8"?>
<sst xmlns="http://schemas.openxmlformats.org/spreadsheetml/2006/main" count="229" uniqueCount="78">
  <si>
    <t>Number</t>
  </si>
  <si>
    <t>FSH</t>
  </si>
  <si>
    <t>FSL</t>
  </si>
  <si>
    <t>FTH</t>
  </si>
  <si>
    <t>FTL</t>
  </si>
  <si>
    <t>FDH</t>
  </si>
  <si>
    <t>FDL</t>
  </si>
  <si>
    <t>Irrigation</t>
  </si>
  <si>
    <t>DOY</t>
  </si>
  <si>
    <t>Date</t>
  </si>
  <si>
    <t>(mm)</t>
  </si>
  <si>
    <t>NSH</t>
  </si>
  <si>
    <t>NSL</t>
  </si>
  <si>
    <t>NTH</t>
  </si>
  <si>
    <t>NTL</t>
  </si>
  <si>
    <t>of</t>
  </si>
  <si>
    <t>Total</t>
  </si>
  <si>
    <t>Depth Applied</t>
  </si>
  <si>
    <t>NDH</t>
  </si>
  <si>
    <t>NDL</t>
  </si>
  <si>
    <t>Crop: Cotton DP458 B/RR</t>
  </si>
  <si>
    <t>ID</t>
  </si>
  <si>
    <t>Plot</t>
  </si>
  <si>
    <t>Block</t>
  </si>
  <si>
    <t>I</t>
  </si>
  <si>
    <t>Trt.</t>
  </si>
  <si>
    <t>II</t>
  </si>
  <si>
    <t>III</t>
  </si>
  <si>
    <t>IV</t>
  </si>
  <si>
    <t>Year: 2003</t>
  </si>
  <si>
    <t>Nitrogen</t>
  </si>
  <si>
    <t>fertilizer</t>
  </si>
  <si>
    <t>application</t>
  </si>
  <si>
    <t>(kg/ha)</t>
  </si>
  <si>
    <t>Irrigation and Fertilizer Schedules for plots</t>
  </si>
  <si>
    <t>FAO DOYs</t>
  </si>
  <si>
    <t>FAO Rates</t>
  </si>
  <si>
    <t>Year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</si>
  <si>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</si>
  <si>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</si>
  <si>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</si>
  <si>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</si>
  <si>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</si>
  <si>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</si>
  <si>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</si>
  <si>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</si>
  <si>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</si>
  <si>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</si>
  <si>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</si>
  <si>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</si>
  <si>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</si>
  <si>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</si>
  <si>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</si>
  <si>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</si>
  <si>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</si>
  <si>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</si>
  <si>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</si>
  <si>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</si>
  <si>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</si>
  <si>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</si>
  <si>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</si>
  <si>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</si>
  <si>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</si>
  <si>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</si>
  <si>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</si>
  <si>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</si>
  <si>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</si>
  <si>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</si>
  <si>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</si>
  <si>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</si>
  <si>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p901</t>
  </si>
  <si>
    <t>p902</t>
  </si>
  <si>
    <t>p903</t>
  </si>
  <si>
    <t>p904</t>
  </si>
  <si>
    <t>p905</t>
  </si>
  <si>
    <t>p906</t>
  </si>
  <si>
    <t>p907</t>
  </si>
  <si>
    <t>p908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</si>
</sst>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7" x14ac:knownFonts="1">
    <font>
      <sz val="10"/>
      <name val="Arial"/>
    </font>
    <font>
      <b/>
      <sz val="12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name val="Arial"/>
      <family val="2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0" borderId="0" xfId="0" applyFill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0" xfId="0" applyFont="1" applyFill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15" fontId="3" fillId="0" borderId="0" xfId="0" applyNumberFormat="1" applyFont="1" applyAlignment="1">
      <alignment horizontal="center"/>
    </xf>
    <xf numFmtId="0" fontId="2" fillId="2" borderId="4" xfId="0" applyFont="1" applyFill="1" applyBorder="1"/>
    <xf numFmtId="0" fontId="1" fillId="2" borderId="5" xfId="0" applyFont="1" applyFill="1" applyBorder="1"/>
    <xf numFmtId="0" fontId="2" fillId="2" borderId="6" xfId="0" applyFont="1" applyFill="1" applyBorder="1"/>
    <xf numFmtId="0" fontId="1" fillId="2" borderId="0" xfId="0" applyFont="1" applyFill="1" applyBorder="1"/>
    <xf numFmtId="0" fontId="2" fillId="2" borderId="7" xfId="0" applyFont="1" applyFill="1" applyBorder="1"/>
    <xf numFmtId="0" fontId="1" fillId="2" borderId="1" xfId="0" applyFont="1" applyFill="1" applyBorder="1"/>
    <xf numFmtId="0" fontId="3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0" borderId="0" xfId="0" applyFont="1" applyFill="1" applyBorder="1"/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5" fontId="3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65" fontId="1" fillId="4" borderId="10" xfId="0" applyNumberFormat="1" applyFont="1" applyFill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0" fontId="2" fillId="2" borderId="5" xfId="0" applyFont="1" applyFill="1" applyBorder="1"/>
    <xf numFmtId="0" fontId="2" fillId="2" borderId="0" xfId="0" applyFont="1" applyFill="1" applyBorder="1"/>
    <xf numFmtId="0" fontId="2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2" borderId="0" xfId="0" applyFont="1" applyFill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0" fontId="1" fillId="2" borderId="11" xfId="0" applyFont="1" applyFill="1" applyBorder="1"/>
    <xf numFmtId="165" fontId="4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65" fontId="1" fillId="0" borderId="0" xfId="0" applyNumberFormat="1" applyFont="1"/>
    <xf numFmtId="0" fontId="1" fillId="0" borderId="0" xfId="0" applyFont="1" applyFill="1" applyBorder="1" applyAlignment="1">
      <alignment horizontal="center"/>
    </xf>
    <xf numFmtId="0" fontId="0" fillId="0" borderId="10" xfId="0" applyBorder="1"/>
    <xf numFmtId="165" fontId="3" fillId="0" borderId="0" xfId="0" applyNumberFormat="1" applyFont="1" applyBorder="1" applyAlignment="1">
      <alignment horizontal="center"/>
    </xf>
    <xf numFmtId="15" fontId="1" fillId="0" borderId="0" xfId="0" applyNumberFormat="1" applyFont="1" applyFill="1" applyBorder="1"/>
    <xf numFmtId="0" fontId="1" fillId="2" borderId="12" xfId="0" applyFont="1" applyFill="1" applyBorder="1" applyAlignment="1">
      <alignment horizontal="center"/>
    </xf>
    <xf numFmtId="0" fontId="5" fillId="0" borderId="0" xfId="0" applyFont="1"/>
    <xf numFmtId="165" fontId="0" fillId="0" borderId="0" xfId="0" applyNumberFormat="1"/>
  </cellXfs>
  <cellStyles count="1">
    <cellStyle name="Normal" xfId="0" builtinId="0"/>
  </cellStyles>
  <dxfs count="34"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4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A518-39B9-42F2-8436-CB28396E8BE9}">
  <dimension ref="A1:AE641"/>
  <sheetViews>
    <sheetView zoomScale="75" workbookViewId="0"/>
  </sheetViews>
  <sheetFormatPr defaultRowHeight="12.75" x14ac:dyDescent="0.2"/>
  <cols>
    <col min="1" max="5" width="8.7109375" customWidth="1"/>
    <col min="6" max="7" width="12.7109375" customWidth="1"/>
    <col min="8" max="10" width="16.7109375" customWidth="1"/>
    <col min="11" max="15" width="14.7109375" customWidth="1"/>
  </cols>
  <sheetData>
    <row r="1" spans="1:31" ht="18.75" x14ac:dyDescent="0.3">
      <c r="A1" s="14" t="s">
        <v>34</v>
      </c>
      <c r="B1" s="34"/>
      <c r="C1" s="15"/>
      <c r="D1" s="15"/>
      <c r="E1" s="15"/>
      <c r="F1" s="42"/>
      <c r="G1" s="40"/>
      <c r="I1" s="5"/>
    </row>
    <row r="2" spans="1:31" ht="18.75" x14ac:dyDescent="0.3">
      <c r="A2" s="16" t="s">
        <v>29</v>
      </c>
      <c r="B2" s="35"/>
      <c r="C2" s="17"/>
      <c r="D2" s="17"/>
      <c r="E2" s="17"/>
      <c r="F2" s="37"/>
      <c r="G2" s="41"/>
      <c r="I2" s="50"/>
    </row>
    <row r="3" spans="1:31" ht="19.5" thickBot="1" x14ac:dyDescent="0.35">
      <c r="A3" s="18" t="s">
        <v>20</v>
      </c>
      <c r="B3" s="36"/>
      <c r="C3" s="19"/>
      <c r="D3" s="19"/>
      <c r="E3" s="19"/>
      <c r="F3" s="38"/>
      <c r="G3" s="41"/>
      <c r="H3" s="3"/>
    </row>
    <row r="4" spans="1:31" ht="16.5" thickBot="1" x14ac:dyDescent="0.3">
      <c r="C4" s="22"/>
      <c r="D4" s="22"/>
      <c r="M4" s="52" t="s">
        <v>35</v>
      </c>
    </row>
    <row r="5" spans="1:31" ht="16.5" thickBot="1" x14ac:dyDescent="0.3">
      <c r="J5" s="51" t="s">
        <v>30</v>
      </c>
      <c r="M5" s="25">
        <v>106</v>
      </c>
      <c r="N5" s="25">
        <v>106</v>
      </c>
      <c r="O5" s="25">
        <v>106</v>
      </c>
      <c r="P5" s="25">
        <v>106</v>
      </c>
      <c r="Q5" s="25">
        <v>106</v>
      </c>
      <c r="R5" s="25">
        <v>106</v>
      </c>
      <c r="S5" s="25">
        <v>106</v>
      </c>
      <c r="T5" s="25">
        <v>106</v>
      </c>
      <c r="U5" s="25">
        <v>106</v>
      </c>
      <c r="V5" s="25">
        <v>106</v>
      </c>
      <c r="W5" s="25">
        <v>106</v>
      </c>
      <c r="X5" s="25">
        <v>106</v>
      </c>
      <c r="Y5" s="25">
        <v>106</v>
      </c>
      <c r="Z5" s="25">
        <v>106</v>
      </c>
      <c r="AA5" s="25">
        <v>106</v>
      </c>
      <c r="AB5" s="25">
        <v>106</v>
      </c>
      <c r="AD5" s="45">
        <f>MIN(M5:AB5)</f>
        <v>106</v>
      </c>
      <c r="AE5" s="45">
        <f>MAX(M5:AB5)</f>
        <v>106</v>
      </c>
    </row>
    <row r="6" spans="1:31" ht="15.75" x14ac:dyDescent="0.25">
      <c r="A6" s="20"/>
      <c r="B6" s="20"/>
      <c r="C6" s="20"/>
      <c r="D6" s="20"/>
      <c r="E6" s="20"/>
      <c r="F6" s="20"/>
      <c r="G6" s="21" t="s">
        <v>8</v>
      </c>
      <c r="H6" s="21" t="s">
        <v>9</v>
      </c>
      <c r="I6" s="21" t="s">
        <v>7</v>
      </c>
      <c r="J6" s="8" t="s">
        <v>31</v>
      </c>
      <c r="K6" s="3"/>
      <c r="L6" s="3"/>
      <c r="M6" s="32">
        <v>108</v>
      </c>
      <c r="N6" s="32">
        <v>108</v>
      </c>
      <c r="O6" s="32">
        <v>108</v>
      </c>
      <c r="P6" s="32">
        <v>108</v>
      </c>
      <c r="Q6" s="32">
        <v>108</v>
      </c>
      <c r="R6" s="32">
        <v>108</v>
      </c>
      <c r="S6" s="32">
        <v>108</v>
      </c>
      <c r="T6" s="32">
        <v>108</v>
      </c>
      <c r="U6" s="32">
        <v>108</v>
      </c>
      <c r="V6" s="32">
        <v>108</v>
      </c>
      <c r="W6" s="32">
        <v>108</v>
      </c>
      <c r="X6" s="32">
        <v>108</v>
      </c>
      <c r="Y6" s="32">
        <v>108</v>
      </c>
      <c r="Z6" s="32">
        <v>108</v>
      </c>
      <c r="AA6" s="32">
        <v>108</v>
      </c>
      <c r="AB6" s="32">
        <v>108</v>
      </c>
      <c r="AD6" s="45">
        <f t="shared" ref="AD6:AD16" si="0">MIN(M6:AB6)</f>
        <v>108</v>
      </c>
      <c r="AE6" s="45">
        <f t="shared" ref="AE6:AE16" si="1">MAX(M6:AB6)</f>
        <v>108</v>
      </c>
    </row>
    <row r="7" spans="1:31" ht="15.75" x14ac:dyDescent="0.25">
      <c r="A7" s="4" t="s">
        <v>21</v>
      </c>
      <c r="B7" s="4" t="s">
        <v>25</v>
      </c>
      <c r="C7" s="39"/>
      <c r="D7" s="2"/>
      <c r="E7" s="2"/>
      <c r="F7" s="4" t="s">
        <v>7</v>
      </c>
      <c r="G7" s="4" t="s">
        <v>15</v>
      </c>
      <c r="H7" s="4" t="s">
        <v>15</v>
      </c>
      <c r="I7" s="4" t="s">
        <v>17</v>
      </c>
      <c r="J7" s="8" t="s">
        <v>32</v>
      </c>
      <c r="K7" s="3"/>
      <c r="L7" s="3"/>
      <c r="M7" s="32">
        <v>112</v>
      </c>
      <c r="N7" s="32">
        <v>112</v>
      </c>
      <c r="O7" s="32">
        <v>112</v>
      </c>
      <c r="P7" s="32">
        <v>112</v>
      </c>
      <c r="Q7" s="32">
        <v>112</v>
      </c>
      <c r="R7" s="32">
        <v>112</v>
      </c>
      <c r="S7" s="32">
        <v>112</v>
      </c>
      <c r="T7" s="32">
        <v>112</v>
      </c>
      <c r="U7" s="32">
        <v>112</v>
      </c>
      <c r="V7" s="32">
        <v>112</v>
      </c>
      <c r="W7" s="32">
        <v>112</v>
      </c>
      <c r="X7" s="32">
        <v>112</v>
      </c>
      <c r="Y7" s="32">
        <v>112</v>
      </c>
      <c r="Z7" s="32">
        <v>112</v>
      </c>
      <c r="AA7" s="32">
        <v>112</v>
      </c>
      <c r="AB7" s="32">
        <v>112</v>
      </c>
      <c r="AD7" s="45">
        <f t="shared" si="0"/>
        <v>112</v>
      </c>
      <c r="AE7" s="45">
        <f t="shared" si="1"/>
        <v>112</v>
      </c>
    </row>
    <row r="8" spans="1:31" ht="16.5" thickBot="1" x14ac:dyDescent="0.3">
      <c r="A8" s="7" t="s">
        <v>0</v>
      </c>
      <c r="B8" s="7" t="s">
        <v>0</v>
      </c>
      <c r="C8" s="7" t="s">
        <v>25</v>
      </c>
      <c r="D8" s="7" t="s">
        <v>22</v>
      </c>
      <c r="E8" s="7" t="s">
        <v>23</v>
      </c>
      <c r="F8" s="7" t="s">
        <v>0</v>
      </c>
      <c r="G8" s="7" t="s">
        <v>7</v>
      </c>
      <c r="H8" s="7" t="s">
        <v>7</v>
      </c>
      <c r="I8" s="7" t="s">
        <v>10</v>
      </c>
      <c r="J8" s="9" t="s">
        <v>33</v>
      </c>
      <c r="K8" s="10"/>
      <c r="L8" s="47"/>
      <c r="M8" s="32">
        <v>129</v>
      </c>
      <c r="N8" s="32">
        <v>129</v>
      </c>
      <c r="O8" s="32">
        <v>129</v>
      </c>
      <c r="P8" s="32">
        <v>129</v>
      </c>
      <c r="Q8" s="32">
        <v>129</v>
      </c>
      <c r="R8" s="32">
        <v>129</v>
      </c>
      <c r="S8" s="32">
        <v>129</v>
      </c>
      <c r="T8" s="32">
        <v>129</v>
      </c>
      <c r="U8" s="32">
        <v>129</v>
      </c>
      <c r="V8" s="32">
        <v>129</v>
      </c>
      <c r="W8" s="32">
        <v>129</v>
      </c>
      <c r="X8" s="32">
        <v>129</v>
      </c>
      <c r="Y8" s="32">
        <v>129</v>
      </c>
      <c r="Z8" s="32">
        <v>129</v>
      </c>
      <c r="AA8" s="32">
        <v>129</v>
      </c>
      <c r="AB8" s="32">
        <v>129</v>
      </c>
      <c r="AD8" s="45">
        <f t="shared" si="0"/>
        <v>129</v>
      </c>
      <c r="AE8" s="45">
        <f t="shared" si="1"/>
        <v>129</v>
      </c>
    </row>
    <row r="9" spans="1:31" ht="16.5" thickBot="1" x14ac:dyDescent="0.3">
      <c r="A9" s="1"/>
      <c r="B9" s="1"/>
      <c r="J9" s="48"/>
      <c r="M9" s="32">
        <v>148</v>
      </c>
      <c r="N9" s="32">
        <v>148</v>
      </c>
      <c r="O9" s="32">
        <v>148</v>
      </c>
      <c r="P9" s="32">
        <v>148</v>
      </c>
      <c r="Q9" s="32">
        <v>148</v>
      </c>
      <c r="R9" s="32">
        <v>148</v>
      </c>
      <c r="S9" s="32">
        <v>148</v>
      </c>
      <c r="T9" s="32">
        <v>148</v>
      </c>
      <c r="U9" s="32">
        <v>148</v>
      </c>
      <c r="V9" s="32">
        <v>148</v>
      </c>
      <c r="W9" s="32">
        <v>148</v>
      </c>
      <c r="X9" s="32">
        <v>148</v>
      </c>
      <c r="Y9" s="32">
        <v>148</v>
      </c>
      <c r="Z9" s="32">
        <v>148</v>
      </c>
      <c r="AA9" s="32">
        <v>148</v>
      </c>
      <c r="AB9" s="32">
        <v>148</v>
      </c>
      <c r="AD9" s="45">
        <f t="shared" si="0"/>
        <v>148</v>
      </c>
      <c r="AE9" s="45">
        <f t="shared" si="1"/>
        <v>148</v>
      </c>
    </row>
    <row r="10" spans="1:31" ht="16.5" thickBot="1" x14ac:dyDescent="0.3">
      <c r="A10" s="23">
        <v>1</v>
      </c>
      <c r="B10" s="28">
        <v>1</v>
      </c>
      <c r="C10" s="28" t="s">
        <v>1</v>
      </c>
      <c r="D10" s="28">
        <v>101</v>
      </c>
      <c r="E10" s="24" t="s">
        <v>24</v>
      </c>
      <c r="F10" s="27">
        <v>1</v>
      </c>
      <c r="G10" s="25">
        <v>106</v>
      </c>
      <c r="H10" s="26">
        <v>37727</v>
      </c>
      <c r="I10" s="25">
        <v>141</v>
      </c>
      <c r="J10" s="32"/>
      <c r="L10" s="44"/>
      <c r="M10" s="32">
        <v>161</v>
      </c>
      <c r="N10" s="32">
        <v>161</v>
      </c>
      <c r="O10" s="32">
        <v>161</v>
      </c>
      <c r="P10" s="32">
        <v>161</v>
      </c>
      <c r="Q10" s="32">
        <v>161</v>
      </c>
      <c r="R10" s="32">
        <v>161</v>
      </c>
      <c r="S10" s="32">
        <v>161</v>
      </c>
      <c r="T10" s="32">
        <v>161</v>
      </c>
      <c r="U10" s="32">
        <v>161</v>
      </c>
      <c r="V10" s="32">
        <v>161</v>
      </c>
      <c r="W10" s="32">
        <v>161</v>
      </c>
      <c r="X10" s="32">
        <v>161</v>
      </c>
      <c r="Y10" s="32">
        <v>161</v>
      </c>
      <c r="Z10" s="32">
        <v>161</v>
      </c>
      <c r="AA10" s="32">
        <v>161</v>
      </c>
      <c r="AB10" s="32">
        <v>161</v>
      </c>
      <c r="AD10" s="45">
        <f t="shared" si="0"/>
        <v>161</v>
      </c>
      <c r="AE10" s="45">
        <f t="shared" si="1"/>
        <v>161</v>
      </c>
    </row>
    <row r="11" spans="1:31" ht="15.75" x14ac:dyDescent="0.25">
      <c r="A11" s="1"/>
      <c r="B11" s="1"/>
      <c r="F11" s="11">
        <v>2</v>
      </c>
      <c r="G11" s="32">
        <v>108</v>
      </c>
      <c r="H11" s="13">
        <v>37729</v>
      </c>
      <c r="I11" s="32">
        <v>76</v>
      </c>
      <c r="J11" s="49"/>
      <c r="L11" s="44"/>
      <c r="M11" s="32">
        <v>174</v>
      </c>
      <c r="N11" s="32">
        <v>174</v>
      </c>
      <c r="O11" s="32">
        <v>174</v>
      </c>
      <c r="P11" s="32">
        <v>174</v>
      </c>
      <c r="Q11" s="32">
        <v>174</v>
      </c>
      <c r="R11" s="32">
        <v>174</v>
      </c>
      <c r="S11" s="32">
        <v>174</v>
      </c>
      <c r="T11" s="32">
        <v>174</v>
      </c>
      <c r="U11" s="32">
        <v>174</v>
      </c>
      <c r="V11" s="32">
        <v>174</v>
      </c>
      <c r="W11" s="32">
        <v>174</v>
      </c>
      <c r="X11" s="32">
        <v>174</v>
      </c>
      <c r="Y11" s="32">
        <v>174</v>
      </c>
      <c r="Z11" s="32">
        <v>174</v>
      </c>
      <c r="AA11" s="32">
        <v>174</v>
      </c>
      <c r="AB11" s="32">
        <v>174</v>
      </c>
      <c r="AD11" s="45">
        <f t="shared" si="0"/>
        <v>174</v>
      </c>
      <c r="AE11" s="45">
        <f t="shared" si="1"/>
        <v>174</v>
      </c>
    </row>
    <row r="12" spans="1:31" ht="15.75" x14ac:dyDescent="0.25">
      <c r="A12" s="1"/>
      <c r="B12" s="1"/>
      <c r="F12" s="11">
        <v>3</v>
      </c>
      <c r="G12" s="32">
        <v>112</v>
      </c>
      <c r="H12" s="13">
        <v>37733</v>
      </c>
      <c r="I12" s="32">
        <v>66</v>
      </c>
      <c r="J12" s="33"/>
      <c r="L12" s="44"/>
      <c r="M12" s="32">
        <v>185</v>
      </c>
      <c r="N12" s="32">
        <v>185</v>
      </c>
      <c r="O12" s="32">
        <v>185</v>
      </c>
      <c r="P12" s="32">
        <v>185</v>
      </c>
      <c r="Q12" s="32">
        <v>185</v>
      </c>
      <c r="R12" s="32">
        <v>185</v>
      </c>
      <c r="S12" s="32">
        <v>185</v>
      </c>
      <c r="T12" s="32">
        <v>185</v>
      </c>
      <c r="U12" s="32">
        <v>185</v>
      </c>
      <c r="V12" s="32">
        <v>185</v>
      </c>
      <c r="W12" s="32">
        <v>185</v>
      </c>
      <c r="X12" s="32">
        <v>185</v>
      </c>
      <c r="Y12" s="32">
        <v>185</v>
      </c>
      <c r="Z12" s="32">
        <v>185</v>
      </c>
      <c r="AA12" s="32">
        <v>185</v>
      </c>
      <c r="AB12" s="32">
        <v>185</v>
      </c>
      <c r="AD12" s="45">
        <f t="shared" si="0"/>
        <v>185</v>
      </c>
      <c r="AE12" s="45">
        <f t="shared" si="1"/>
        <v>185</v>
      </c>
    </row>
    <row r="13" spans="1:31" ht="15.75" x14ac:dyDescent="0.25">
      <c r="A13" s="1"/>
      <c r="B13" s="1"/>
      <c r="F13" s="11">
        <v>4</v>
      </c>
      <c r="G13" s="32">
        <v>129</v>
      </c>
      <c r="H13" s="13">
        <v>37750</v>
      </c>
      <c r="I13" s="32">
        <v>82</v>
      </c>
      <c r="J13" s="33"/>
      <c r="L13" s="44"/>
      <c r="M13" s="32">
        <v>195</v>
      </c>
      <c r="N13" s="32">
        <v>195</v>
      </c>
      <c r="O13" s="32">
        <v>195</v>
      </c>
      <c r="P13" s="32">
        <v>195</v>
      </c>
      <c r="Q13" s="32">
        <v>195</v>
      </c>
      <c r="R13" s="32">
        <v>195</v>
      </c>
      <c r="S13" s="32">
        <v>195</v>
      </c>
      <c r="T13" s="32">
        <v>195</v>
      </c>
      <c r="U13" s="32">
        <v>195</v>
      </c>
      <c r="V13" s="32">
        <v>195</v>
      </c>
      <c r="W13" s="32">
        <v>195</v>
      </c>
      <c r="X13" s="32">
        <v>195</v>
      </c>
      <c r="Y13" s="32">
        <v>195</v>
      </c>
      <c r="Z13" s="32">
        <v>195</v>
      </c>
      <c r="AA13" s="32">
        <v>195</v>
      </c>
      <c r="AB13" s="32">
        <v>195</v>
      </c>
      <c r="AD13" s="45">
        <f t="shared" si="0"/>
        <v>195</v>
      </c>
      <c r="AE13" s="45">
        <f t="shared" si="1"/>
        <v>195</v>
      </c>
    </row>
    <row r="14" spans="1:31" ht="15.75" x14ac:dyDescent="0.25">
      <c r="A14" s="1"/>
      <c r="B14" s="1"/>
      <c r="F14" s="11">
        <v>5</v>
      </c>
      <c r="G14" s="32">
        <v>148</v>
      </c>
      <c r="H14" s="13">
        <v>37769</v>
      </c>
      <c r="I14" s="32">
        <v>63</v>
      </c>
      <c r="J14" s="33">
        <v>56</v>
      </c>
      <c r="L14" s="44"/>
      <c r="M14" s="32">
        <v>206</v>
      </c>
      <c r="N14" s="32">
        <v>206</v>
      </c>
      <c r="O14" s="32">
        <v>206</v>
      </c>
      <c r="P14" s="32">
        <v>206</v>
      </c>
      <c r="Q14" s="32">
        <v>206</v>
      </c>
      <c r="R14" s="32">
        <v>206</v>
      </c>
      <c r="S14" s="32">
        <v>206</v>
      </c>
      <c r="T14" s="32">
        <v>206</v>
      </c>
      <c r="U14" s="32">
        <v>206</v>
      </c>
      <c r="V14" s="32">
        <v>206</v>
      </c>
      <c r="W14" s="32">
        <v>206</v>
      </c>
      <c r="X14" s="32">
        <v>206</v>
      </c>
      <c r="Y14" s="32">
        <v>206</v>
      </c>
      <c r="Z14" s="32">
        <v>206</v>
      </c>
      <c r="AA14" s="32">
        <v>206</v>
      </c>
      <c r="AB14" s="32">
        <v>206</v>
      </c>
      <c r="AD14" s="45">
        <f t="shared" si="0"/>
        <v>206</v>
      </c>
      <c r="AE14" s="45">
        <f t="shared" si="1"/>
        <v>206</v>
      </c>
    </row>
    <row r="15" spans="1:31" ht="15.75" x14ac:dyDescent="0.25">
      <c r="A15" s="1"/>
      <c r="B15" s="1"/>
      <c r="F15" s="11">
        <v>6</v>
      </c>
      <c r="G15" s="32">
        <v>161</v>
      </c>
      <c r="H15" s="13">
        <v>37782</v>
      </c>
      <c r="I15" s="32">
        <v>85</v>
      </c>
      <c r="J15" s="33"/>
      <c r="L15" s="44"/>
      <c r="M15" s="32">
        <v>219</v>
      </c>
      <c r="N15" s="32">
        <v>219</v>
      </c>
      <c r="O15" s="32">
        <v>219</v>
      </c>
      <c r="P15" s="32">
        <v>219</v>
      </c>
      <c r="Q15" s="32">
        <v>219</v>
      </c>
      <c r="R15" s="32">
        <v>219</v>
      </c>
      <c r="S15" s="32">
        <v>219</v>
      </c>
      <c r="T15" s="32">
        <v>219</v>
      </c>
      <c r="U15" s="32">
        <v>219</v>
      </c>
      <c r="V15" s="32">
        <v>219</v>
      </c>
      <c r="W15" s="32">
        <v>219</v>
      </c>
      <c r="X15" s="32">
        <v>219</v>
      </c>
      <c r="Y15" s="32">
        <v>219</v>
      </c>
      <c r="Z15" s="32">
        <v>219</v>
      </c>
      <c r="AA15" s="32">
        <v>219</v>
      </c>
      <c r="AB15" s="32">
        <v>219</v>
      </c>
      <c r="AD15" s="45">
        <f t="shared" si="0"/>
        <v>219</v>
      </c>
      <c r="AE15" s="45">
        <f t="shared" si="1"/>
        <v>219</v>
      </c>
    </row>
    <row r="16" spans="1:31" ht="15.75" x14ac:dyDescent="0.25">
      <c r="A16" s="1"/>
      <c r="B16" s="1"/>
      <c r="F16" s="11">
        <v>7</v>
      </c>
      <c r="G16" s="32">
        <v>174</v>
      </c>
      <c r="H16" s="13">
        <v>37795</v>
      </c>
      <c r="I16" s="32">
        <v>113</v>
      </c>
      <c r="J16" s="33"/>
      <c r="L16" s="46"/>
      <c r="M16" s="32">
        <v>232</v>
      </c>
      <c r="N16" s="32">
        <v>232</v>
      </c>
      <c r="O16" s="32">
        <v>232</v>
      </c>
      <c r="P16" s="32">
        <v>232</v>
      </c>
      <c r="Q16" s="32">
        <v>232</v>
      </c>
      <c r="R16" s="32">
        <v>232</v>
      </c>
      <c r="S16" s="32">
        <v>232</v>
      </c>
      <c r="T16" s="32">
        <v>232</v>
      </c>
      <c r="U16" s="32">
        <v>232</v>
      </c>
      <c r="V16" s="32">
        <v>232</v>
      </c>
      <c r="W16" s="32">
        <v>232</v>
      </c>
      <c r="X16" s="32">
        <v>232</v>
      </c>
      <c r="Y16" s="32">
        <v>232</v>
      </c>
      <c r="Z16" s="32">
        <v>232</v>
      </c>
      <c r="AA16" s="32">
        <v>232</v>
      </c>
      <c r="AB16" s="32">
        <v>232</v>
      </c>
      <c r="AD16" s="45">
        <f t="shared" si="0"/>
        <v>232</v>
      </c>
      <c r="AE16" s="45">
        <f t="shared" si="1"/>
        <v>232</v>
      </c>
    </row>
    <row r="17" spans="1:30" ht="15.75" x14ac:dyDescent="0.25">
      <c r="A17" s="1"/>
      <c r="B17" s="1"/>
      <c r="F17" s="11">
        <v>8</v>
      </c>
      <c r="G17" s="32">
        <v>185</v>
      </c>
      <c r="H17" s="13">
        <v>37806</v>
      </c>
      <c r="I17" s="32">
        <v>123</v>
      </c>
      <c r="J17" s="33">
        <v>56</v>
      </c>
      <c r="L17" s="46"/>
      <c r="M17" s="43"/>
      <c r="N17" s="43"/>
      <c r="O17" s="43"/>
    </row>
    <row r="18" spans="1:30" ht="15.75" x14ac:dyDescent="0.25">
      <c r="A18" s="1"/>
      <c r="B18" s="1"/>
      <c r="F18" s="11">
        <v>9</v>
      </c>
      <c r="G18" s="32">
        <v>195</v>
      </c>
      <c r="H18" s="13">
        <v>37816</v>
      </c>
      <c r="I18" s="32">
        <v>122</v>
      </c>
      <c r="J18" s="33"/>
      <c r="L18" s="46"/>
      <c r="M18" s="43"/>
      <c r="N18" s="43"/>
      <c r="O18" s="43"/>
    </row>
    <row r="19" spans="1:30" ht="16.5" thickBot="1" x14ac:dyDescent="0.3">
      <c r="A19" s="1"/>
      <c r="B19" s="1"/>
      <c r="F19" s="11">
        <v>10</v>
      </c>
      <c r="G19" s="32">
        <v>206</v>
      </c>
      <c r="H19" s="13">
        <v>37827</v>
      </c>
      <c r="I19" s="32">
        <v>125</v>
      </c>
      <c r="J19" s="33"/>
      <c r="L19" s="46"/>
      <c r="M19" s="43" t="s">
        <v>36</v>
      </c>
      <c r="N19" s="43"/>
      <c r="O19" s="43"/>
    </row>
    <row r="20" spans="1:30" ht="15.75" x14ac:dyDescent="0.25">
      <c r="A20" s="1"/>
      <c r="B20" s="1"/>
      <c r="F20" s="11">
        <v>11</v>
      </c>
      <c r="G20" s="32">
        <v>219</v>
      </c>
      <c r="H20" s="13">
        <v>37840</v>
      </c>
      <c r="I20" s="32">
        <v>120</v>
      </c>
      <c r="J20" s="33"/>
      <c r="L20" s="46"/>
      <c r="M20" s="25">
        <v>141</v>
      </c>
      <c r="N20" s="25">
        <v>143</v>
      </c>
      <c r="O20" s="25">
        <v>144</v>
      </c>
      <c r="P20" s="25">
        <v>160</v>
      </c>
      <c r="Q20" s="25">
        <v>133</v>
      </c>
      <c r="R20" s="25">
        <v>129</v>
      </c>
      <c r="S20" s="25">
        <v>137</v>
      </c>
      <c r="T20" s="25">
        <v>134</v>
      </c>
      <c r="U20" s="25">
        <v>123</v>
      </c>
      <c r="V20" s="25">
        <v>145</v>
      </c>
      <c r="W20" s="25">
        <v>151.5</v>
      </c>
      <c r="X20" s="25">
        <v>133</v>
      </c>
      <c r="Y20" s="25">
        <v>125</v>
      </c>
      <c r="Z20" s="25">
        <v>153</v>
      </c>
      <c r="AA20" s="25">
        <v>134</v>
      </c>
      <c r="AB20" s="25">
        <v>136</v>
      </c>
      <c r="AD20" s="45">
        <f>AVERAGE(M20:AB20)</f>
        <v>138.84375</v>
      </c>
    </row>
    <row r="21" spans="1:30" ht="15.75" x14ac:dyDescent="0.25">
      <c r="A21" s="1"/>
      <c r="B21" s="1"/>
      <c r="F21" s="11">
        <v>12</v>
      </c>
      <c r="G21" s="32">
        <v>232</v>
      </c>
      <c r="H21" s="13">
        <v>37853</v>
      </c>
      <c r="I21" s="32">
        <v>107</v>
      </c>
      <c r="J21" s="33"/>
      <c r="L21" s="44"/>
      <c r="M21" s="32">
        <v>76</v>
      </c>
      <c r="N21" s="32">
        <v>79</v>
      </c>
      <c r="O21" s="32">
        <v>62</v>
      </c>
      <c r="P21" s="32">
        <v>71</v>
      </c>
      <c r="Q21" s="32">
        <v>84</v>
      </c>
      <c r="R21" s="32">
        <v>62</v>
      </c>
      <c r="S21" s="32">
        <v>72.599999999999994</v>
      </c>
      <c r="T21" s="32">
        <v>75.8</v>
      </c>
      <c r="U21" s="32">
        <v>83</v>
      </c>
      <c r="V21" s="32">
        <v>68</v>
      </c>
      <c r="W21" s="32">
        <v>64.5</v>
      </c>
      <c r="X21" s="32">
        <v>69</v>
      </c>
      <c r="Y21" s="32">
        <v>92</v>
      </c>
      <c r="Z21" s="32">
        <v>55</v>
      </c>
      <c r="AA21" s="32">
        <v>69</v>
      </c>
      <c r="AB21" s="32">
        <v>69</v>
      </c>
      <c r="AD21" s="45">
        <f t="shared" ref="AD21:AD31" si="2">AVERAGE(M21:AB21)</f>
        <v>71.993750000000006</v>
      </c>
    </row>
    <row r="22" spans="1:30" ht="15.75" x14ac:dyDescent="0.25">
      <c r="F22" s="11">
        <v>13</v>
      </c>
      <c r="G22" s="32" t="e">
        <v>#N/A</v>
      </c>
      <c r="H22" s="13" t="e">
        <v>#N/A</v>
      </c>
      <c r="I22" s="32" t="e">
        <v>#N/A</v>
      </c>
      <c r="J22" s="33"/>
      <c r="L22" s="44"/>
      <c r="M22" s="32">
        <v>66</v>
      </c>
      <c r="N22" s="32">
        <v>70</v>
      </c>
      <c r="O22" s="32">
        <v>66.3</v>
      </c>
      <c r="P22" s="32">
        <v>62</v>
      </c>
      <c r="Q22" s="32">
        <v>65</v>
      </c>
      <c r="R22" s="32">
        <v>67</v>
      </c>
      <c r="S22" s="32">
        <v>64.599999999999994</v>
      </c>
      <c r="T22" s="32">
        <v>85.5</v>
      </c>
      <c r="U22" s="32">
        <v>85.5</v>
      </c>
      <c r="V22" s="32">
        <v>64.5</v>
      </c>
      <c r="W22" s="32">
        <v>67</v>
      </c>
      <c r="X22" s="32">
        <v>59</v>
      </c>
      <c r="Y22" s="32">
        <v>59.7</v>
      </c>
      <c r="Z22" s="32">
        <v>54</v>
      </c>
      <c r="AA22" s="32">
        <v>61.3</v>
      </c>
      <c r="AB22" s="32">
        <v>64.5</v>
      </c>
      <c r="AD22" s="45">
        <f t="shared" si="2"/>
        <v>66.368750000000006</v>
      </c>
    </row>
    <row r="23" spans="1:30" ht="15.75" x14ac:dyDescent="0.25">
      <c r="A23" s="1"/>
      <c r="B23" s="1"/>
      <c r="F23" s="11">
        <v>14</v>
      </c>
      <c r="G23" s="32" t="e">
        <v>#N/A</v>
      </c>
      <c r="H23" s="13" t="e">
        <v>#N/A</v>
      </c>
      <c r="I23" s="32" t="e">
        <v>#N/A</v>
      </c>
      <c r="J23" s="33"/>
      <c r="L23" s="44"/>
      <c r="M23" s="32">
        <v>82</v>
      </c>
      <c r="N23" s="32">
        <v>82</v>
      </c>
      <c r="O23" s="32">
        <v>82</v>
      </c>
      <c r="P23" s="32">
        <v>82</v>
      </c>
      <c r="Q23" s="32">
        <v>82</v>
      </c>
      <c r="R23" s="32">
        <v>94</v>
      </c>
      <c r="S23" s="32">
        <v>82</v>
      </c>
      <c r="T23" s="32">
        <v>82</v>
      </c>
      <c r="U23" s="32">
        <v>82</v>
      </c>
      <c r="V23" s="32">
        <v>82</v>
      </c>
      <c r="W23" s="32">
        <v>82</v>
      </c>
      <c r="X23" s="32">
        <v>82</v>
      </c>
      <c r="Y23" s="32">
        <v>84</v>
      </c>
      <c r="Z23" s="32">
        <v>82</v>
      </c>
      <c r="AA23" s="32">
        <v>82</v>
      </c>
      <c r="AB23" s="32">
        <v>82</v>
      </c>
      <c r="AD23" s="45">
        <f t="shared" si="2"/>
        <v>82.875</v>
      </c>
    </row>
    <row r="24" spans="1:30" ht="15.75" x14ac:dyDescent="0.25">
      <c r="A24" s="1"/>
      <c r="B24" s="1"/>
      <c r="F24" s="11">
        <v>15</v>
      </c>
      <c r="G24" s="32" t="e">
        <v>#N/A</v>
      </c>
      <c r="H24" s="13" t="e">
        <v>#N/A</v>
      </c>
      <c r="I24" s="32" t="e">
        <v>#N/A</v>
      </c>
      <c r="J24" s="33"/>
      <c r="L24" s="44"/>
      <c r="M24" s="32">
        <v>63</v>
      </c>
      <c r="N24" s="32">
        <v>63</v>
      </c>
      <c r="O24" s="32">
        <v>63</v>
      </c>
      <c r="P24" s="32">
        <v>63</v>
      </c>
      <c r="Q24" s="32">
        <v>63</v>
      </c>
      <c r="R24" s="32">
        <v>63</v>
      </c>
      <c r="S24" s="32">
        <v>63</v>
      </c>
      <c r="T24" s="32">
        <v>63</v>
      </c>
      <c r="U24" s="32">
        <v>63</v>
      </c>
      <c r="V24" s="32">
        <v>63</v>
      </c>
      <c r="W24" s="32">
        <v>63</v>
      </c>
      <c r="X24" s="32">
        <v>63</v>
      </c>
      <c r="Y24" s="32">
        <v>63</v>
      </c>
      <c r="Z24" s="32">
        <v>63</v>
      </c>
      <c r="AA24" s="32">
        <v>63</v>
      </c>
      <c r="AB24" s="32">
        <v>63</v>
      </c>
      <c r="AD24" s="45">
        <f t="shared" si="2"/>
        <v>63</v>
      </c>
    </row>
    <row r="25" spans="1:30" ht="15.75" x14ac:dyDescent="0.25">
      <c r="A25" s="1"/>
      <c r="B25" s="1"/>
      <c r="F25" s="11">
        <v>16</v>
      </c>
      <c r="G25" s="32" t="e">
        <v>#N/A</v>
      </c>
      <c r="H25" s="13" t="e">
        <v>#N/A</v>
      </c>
      <c r="I25" s="32" t="e">
        <v>#N/A</v>
      </c>
      <c r="J25" s="33"/>
      <c r="L25" s="44"/>
      <c r="M25" s="32">
        <v>85</v>
      </c>
      <c r="N25" s="32">
        <v>85</v>
      </c>
      <c r="O25" s="32">
        <v>85</v>
      </c>
      <c r="P25" s="32">
        <v>85</v>
      </c>
      <c r="Q25" s="32">
        <v>85</v>
      </c>
      <c r="R25" s="32">
        <v>85</v>
      </c>
      <c r="S25" s="32">
        <v>85</v>
      </c>
      <c r="T25" s="32">
        <v>85</v>
      </c>
      <c r="U25" s="32">
        <v>85</v>
      </c>
      <c r="V25" s="32">
        <v>85</v>
      </c>
      <c r="W25" s="32">
        <v>85</v>
      </c>
      <c r="X25" s="32">
        <v>85</v>
      </c>
      <c r="Y25" s="32">
        <v>85</v>
      </c>
      <c r="Z25" s="32">
        <v>85</v>
      </c>
      <c r="AA25" s="32">
        <v>85</v>
      </c>
      <c r="AB25" s="32">
        <v>85</v>
      </c>
      <c r="AD25" s="45">
        <f t="shared" si="2"/>
        <v>85</v>
      </c>
    </row>
    <row r="26" spans="1:30" ht="16.5" thickBot="1" x14ac:dyDescent="0.3">
      <c r="A26" s="1"/>
      <c r="B26" s="1"/>
      <c r="F26" s="11">
        <v>17</v>
      </c>
      <c r="G26" s="32" t="e">
        <v>#N/A</v>
      </c>
      <c r="H26" s="13" t="e">
        <v>#N/A</v>
      </c>
      <c r="I26" s="32" t="e">
        <v>#N/A</v>
      </c>
      <c r="J26" s="33"/>
      <c r="L26" s="44"/>
      <c r="M26" s="32">
        <v>113</v>
      </c>
      <c r="N26" s="32">
        <v>113</v>
      </c>
      <c r="O26" s="32">
        <v>113</v>
      </c>
      <c r="P26" s="32">
        <v>113</v>
      </c>
      <c r="Q26" s="32">
        <v>113</v>
      </c>
      <c r="R26" s="32">
        <v>113</v>
      </c>
      <c r="S26" s="32">
        <v>113</v>
      </c>
      <c r="T26" s="32">
        <v>113</v>
      </c>
      <c r="U26" s="32">
        <v>113</v>
      </c>
      <c r="V26" s="32">
        <v>113</v>
      </c>
      <c r="W26" s="32">
        <v>113</v>
      </c>
      <c r="X26" s="32">
        <v>113</v>
      </c>
      <c r="Y26" s="32">
        <v>113</v>
      </c>
      <c r="Z26" s="32">
        <v>113</v>
      </c>
      <c r="AA26" s="32">
        <v>113</v>
      </c>
      <c r="AB26" s="32">
        <v>113</v>
      </c>
      <c r="AD26" s="45">
        <f t="shared" si="2"/>
        <v>113</v>
      </c>
    </row>
    <row r="27" spans="1:30" ht="16.5" thickBot="1" x14ac:dyDescent="0.3">
      <c r="A27" s="23">
        <v>1</v>
      </c>
      <c r="B27" s="28">
        <v>1</v>
      </c>
      <c r="C27" s="28" t="s">
        <v>1</v>
      </c>
      <c r="D27" s="28">
        <v>101</v>
      </c>
      <c r="E27" s="24" t="s">
        <v>24</v>
      </c>
      <c r="F27" s="29" t="s">
        <v>16</v>
      </c>
      <c r="G27" s="30"/>
      <c r="H27" s="30"/>
      <c r="I27" s="31">
        <v>1223</v>
      </c>
      <c r="J27" s="31">
        <v>112</v>
      </c>
      <c r="L27" s="45"/>
      <c r="M27" s="32">
        <v>123</v>
      </c>
      <c r="N27" s="32">
        <v>123</v>
      </c>
      <c r="O27" s="32">
        <v>123</v>
      </c>
      <c r="P27" s="32">
        <v>123</v>
      </c>
      <c r="Q27" s="32">
        <v>123</v>
      </c>
      <c r="R27" s="32">
        <v>123</v>
      </c>
      <c r="S27" s="32">
        <v>123</v>
      </c>
      <c r="T27" s="32">
        <v>123</v>
      </c>
      <c r="U27" s="32">
        <v>123</v>
      </c>
      <c r="V27" s="32">
        <v>123</v>
      </c>
      <c r="W27" s="32">
        <v>123</v>
      </c>
      <c r="X27" s="32">
        <v>123</v>
      </c>
      <c r="Y27" s="32">
        <v>123</v>
      </c>
      <c r="Z27" s="32">
        <v>123</v>
      </c>
      <c r="AA27" s="32">
        <v>123</v>
      </c>
      <c r="AB27" s="32">
        <v>123</v>
      </c>
      <c r="AD27" s="45">
        <f t="shared" si="2"/>
        <v>123</v>
      </c>
    </row>
    <row r="28" spans="1:30" ht="16.5" thickBot="1" x14ac:dyDescent="0.3">
      <c r="A28" s="1"/>
      <c r="B28" s="1"/>
      <c r="J28" s="48"/>
      <c r="L28" s="45"/>
      <c r="M28" s="32">
        <v>122</v>
      </c>
      <c r="N28" s="32">
        <v>122</v>
      </c>
      <c r="O28" s="32">
        <v>121</v>
      </c>
      <c r="P28" s="32">
        <v>122</v>
      </c>
      <c r="Q28" s="32">
        <v>122</v>
      </c>
      <c r="R28" s="32">
        <v>123</v>
      </c>
      <c r="S28" s="32">
        <v>122</v>
      </c>
      <c r="T28" s="32">
        <v>122</v>
      </c>
      <c r="U28" s="32">
        <v>122</v>
      </c>
      <c r="V28" s="32">
        <v>122</v>
      </c>
      <c r="W28" s="32">
        <v>122</v>
      </c>
      <c r="X28" s="32">
        <v>122</v>
      </c>
      <c r="Y28" s="32">
        <v>122</v>
      </c>
      <c r="Z28" s="32">
        <v>122</v>
      </c>
      <c r="AA28" s="32">
        <v>122</v>
      </c>
      <c r="AB28" s="32">
        <v>122</v>
      </c>
      <c r="AD28" s="45">
        <f t="shared" si="2"/>
        <v>122</v>
      </c>
    </row>
    <row r="29" spans="1:30" ht="16.5" thickBot="1" x14ac:dyDescent="0.3">
      <c r="A29" s="23">
        <v>13</v>
      </c>
      <c r="B29" s="28">
        <v>1</v>
      </c>
      <c r="C29" s="28" t="s">
        <v>1</v>
      </c>
      <c r="D29" s="28">
        <v>205</v>
      </c>
      <c r="E29" s="24" t="s">
        <v>26</v>
      </c>
      <c r="F29" s="12">
        <v>1</v>
      </c>
      <c r="G29" s="25">
        <v>106</v>
      </c>
      <c r="H29" s="26">
        <v>37727</v>
      </c>
      <c r="I29" s="25">
        <v>143</v>
      </c>
      <c r="J29" s="32"/>
      <c r="L29" s="45"/>
      <c r="M29" s="32">
        <v>125</v>
      </c>
      <c r="N29" s="32">
        <v>125</v>
      </c>
      <c r="O29" s="32">
        <v>125</v>
      </c>
      <c r="P29" s="32">
        <v>125</v>
      </c>
      <c r="Q29" s="32">
        <v>125</v>
      </c>
      <c r="R29" s="32">
        <v>125</v>
      </c>
      <c r="S29" s="32">
        <v>125</v>
      </c>
      <c r="T29" s="32">
        <v>125</v>
      </c>
      <c r="U29" s="32">
        <v>125</v>
      </c>
      <c r="V29" s="32">
        <v>128</v>
      </c>
      <c r="W29" s="32">
        <v>125</v>
      </c>
      <c r="X29" s="32">
        <v>125</v>
      </c>
      <c r="Y29" s="32">
        <v>125</v>
      </c>
      <c r="Z29" s="32">
        <v>125</v>
      </c>
      <c r="AA29" s="32">
        <v>125</v>
      </c>
      <c r="AB29" s="32">
        <v>125</v>
      </c>
      <c r="AD29" s="45">
        <f t="shared" si="2"/>
        <v>125.1875</v>
      </c>
    </row>
    <row r="30" spans="1:30" ht="15.75" x14ac:dyDescent="0.25">
      <c r="A30" s="1"/>
      <c r="B30" s="1"/>
      <c r="F30" s="11">
        <v>2</v>
      </c>
      <c r="G30" s="32">
        <v>108</v>
      </c>
      <c r="H30" s="13">
        <v>37729</v>
      </c>
      <c r="I30" s="32">
        <v>79</v>
      </c>
      <c r="J30" s="49"/>
      <c r="L30" s="45"/>
      <c r="M30" s="32">
        <v>120</v>
      </c>
      <c r="N30" s="32">
        <v>120</v>
      </c>
      <c r="O30" s="32">
        <v>120</v>
      </c>
      <c r="P30" s="32">
        <v>120</v>
      </c>
      <c r="Q30" s="32">
        <v>120</v>
      </c>
      <c r="R30" s="32">
        <v>120</v>
      </c>
      <c r="S30" s="32">
        <v>120</v>
      </c>
      <c r="T30" s="32">
        <v>120</v>
      </c>
      <c r="U30" s="32">
        <v>120</v>
      </c>
      <c r="V30" s="32">
        <v>120</v>
      </c>
      <c r="W30" s="32">
        <v>120</v>
      </c>
      <c r="X30" s="32">
        <v>120</v>
      </c>
      <c r="Y30" s="32">
        <v>120</v>
      </c>
      <c r="Z30" s="32">
        <v>120</v>
      </c>
      <c r="AA30" s="32">
        <v>120</v>
      </c>
      <c r="AB30" s="32">
        <v>120</v>
      </c>
      <c r="AD30" s="45">
        <f t="shared" si="2"/>
        <v>120</v>
      </c>
    </row>
    <row r="31" spans="1:30" ht="15.75" x14ac:dyDescent="0.25">
      <c r="A31" s="1"/>
      <c r="B31" s="1"/>
      <c r="F31" s="11">
        <v>3</v>
      </c>
      <c r="G31" s="32">
        <v>112</v>
      </c>
      <c r="H31" s="13">
        <v>37733</v>
      </c>
      <c r="I31" s="32">
        <v>70</v>
      </c>
      <c r="J31" s="33"/>
      <c r="L31" s="45"/>
      <c r="M31" s="32">
        <v>107</v>
      </c>
      <c r="N31" s="32">
        <v>107</v>
      </c>
      <c r="O31" s="32">
        <v>107</v>
      </c>
      <c r="P31" s="32">
        <v>107</v>
      </c>
      <c r="Q31" s="32">
        <v>107</v>
      </c>
      <c r="R31" s="32">
        <v>107</v>
      </c>
      <c r="S31" s="32">
        <v>107</v>
      </c>
      <c r="T31" s="32">
        <v>107</v>
      </c>
      <c r="U31" s="32">
        <v>107</v>
      </c>
      <c r="V31" s="32">
        <v>107</v>
      </c>
      <c r="W31" s="32">
        <v>107</v>
      </c>
      <c r="X31" s="32">
        <v>107</v>
      </c>
      <c r="Y31" s="32">
        <v>107</v>
      </c>
      <c r="Z31" s="32">
        <v>107</v>
      </c>
      <c r="AA31" s="32">
        <v>107</v>
      </c>
      <c r="AB31" s="32">
        <v>107</v>
      </c>
      <c r="AD31" s="45">
        <f t="shared" si="2"/>
        <v>107</v>
      </c>
    </row>
    <row r="32" spans="1:30" ht="15.75" x14ac:dyDescent="0.25">
      <c r="A32" s="1"/>
      <c r="B32" s="1"/>
      <c r="F32" s="11">
        <v>4</v>
      </c>
      <c r="G32" s="32">
        <v>129</v>
      </c>
      <c r="H32" s="13">
        <v>37750</v>
      </c>
      <c r="I32" s="32">
        <v>82</v>
      </c>
      <c r="J32" s="33"/>
      <c r="L32" s="45"/>
    </row>
    <row r="33" spans="1:30" ht="15.75" x14ac:dyDescent="0.25">
      <c r="A33" s="1"/>
      <c r="B33" s="1"/>
      <c r="F33" s="11">
        <v>5</v>
      </c>
      <c r="G33" s="32">
        <v>148</v>
      </c>
      <c r="H33" s="13">
        <v>37769</v>
      </c>
      <c r="I33" s="32">
        <v>63</v>
      </c>
      <c r="J33" s="33">
        <v>56</v>
      </c>
      <c r="L33" s="45"/>
      <c r="AD33" s="45">
        <f>SUM(AD20:AD31)</f>
        <v>1218.26875</v>
      </c>
    </row>
    <row r="34" spans="1:30" ht="15.75" x14ac:dyDescent="0.25">
      <c r="A34" s="1"/>
      <c r="B34" s="1"/>
      <c r="F34" s="11">
        <v>6</v>
      </c>
      <c r="G34" s="32">
        <v>161</v>
      </c>
      <c r="H34" s="13">
        <v>37782</v>
      </c>
      <c r="I34" s="32">
        <v>85</v>
      </c>
      <c r="J34" s="33"/>
      <c r="L34" s="45"/>
    </row>
    <row r="35" spans="1:30" ht="15.75" x14ac:dyDescent="0.25">
      <c r="A35" s="1"/>
      <c r="B35" s="1"/>
      <c r="F35" s="11">
        <v>7</v>
      </c>
      <c r="G35" s="32">
        <v>174</v>
      </c>
      <c r="H35" s="13">
        <v>37795</v>
      </c>
      <c r="I35" s="32">
        <v>113</v>
      </c>
      <c r="J35" s="33"/>
      <c r="L35" s="45"/>
    </row>
    <row r="36" spans="1:30" ht="15.75" x14ac:dyDescent="0.25">
      <c r="A36" s="1"/>
      <c r="B36" s="1"/>
      <c r="F36" s="11">
        <v>8</v>
      </c>
      <c r="G36" s="32">
        <v>185</v>
      </c>
      <c r="H36" s="13">
        <v>37806</v>
      </c>
      <c r="I36" s="32">
        <v>123</v>
      </c>
      <c r="J36" s="33">
        <v>56</v>
      </c>
      <c r="L36" s="45"/>
    </row>
    <row r="37" spans="1:30" ht="15.75" x14ac:dyDescent="0.25">
      <c r="A37" s="1"/>
      <c r="B37" s="1"/>
      <c r="F37" s="11">
        <v>9</v>
      </c>
      <c r="G37" s="32">
        <v>195</v>
      </c>
      <c r="H37" s="13">
        <v>37816</v>
      </c>
      <c r="I37" s="32">
        <v>122</v>
      </c>
      <c r="J37" s="33"/>
      <c r="L37" s="45"/>
    </row>
    <row r="38" spans="1:30" ht="15.75" x14ac:dyDescent="0.25">
      <c r="A38" s="1"/>
      <c r="B38" s="1"/>
      <c r="F38" s="11">
        <v>10</v>
      </c>
      <c r="G38" s="32">
        <v>206</v>
      </c>
      <c r="H38" s="13">
        <v>37827</v>
      </c>
      <c r="I38" s="32">
        <v>125</v>
      </c>
      <c r="J38" s="33"/>
      <c r="L38" s="45"/>
    </row>
    <row r="39" spans="1:30" ht="15.75" x14ac:dyDescent="0.25">
      <c r="A39" s="1"/>
      <c r="B39" s="1"/>
      <c r="F39" s="11">
        <v>11</v>
      </c>
      <c r="G39" s="32">
        <v>219</v>
      </c>
      <c r="H39" s="13">
        <v>37840</v>
      </c>
      <c r="I39" s="32">
        <v>120</v>
      </c>
      <c r="J39" s="33"/>
      <c r="L39" s="45"/>
    </row>
    <row r="40" spans="1:30" ht="15.75" x14ac:dyDescent="0.25">
      <c r="A40" s="1"/>
      <c r="B40" s="1"/>
      <c r="F40" s="11">
        <v>12</v>
      </c>
      <c r="G40" s="32">
        <v>232</v>
      </c>
      <c r="H40" s="13">
        <v>37853</v>
      </c>
      <c r="I40" s="32">
        <v>107</v>
      </c>
      <c r="J40" s="33"/>
      <c r="L40" s="45"/>
    </row>
    <row r="41" spans="1:30" ht="15.75" x14ac:dyDescent="0.25">
      <c r="F41" s="11">
        <v>13</v>
      </c>
      <c r="G41" s="32" t="e">
        <v>#N/A</v>
      </c>
      <c r="H41" s="13" t="e">
        <v>#N/A</v>
      </c>
      <c r="I41" s="32" t="e">
        <v>#N/A</v>
      </c>
      <c r="J41" s="33"/>
      <c r="L41" s="45"/>
    </row>
    <row r="42" spans="1:30" ht="15.75" x14ac:dyDescent="0.25">
      <c r="A42" s="1"/>
      <c r="B42" s="1"/>
      <c r="F42" s="11">
        <v>14</v>
      </c>
      <c r="G42" s="32" t="e">
        <v>#N/A</v>
      </c>
      <c r="H42" s="13" t="e">
        <v>#N/A</v>
      </c>
      <c r="I42" s="32" t="e">
        <v>#N/A</v>
      </c>
      <c r="J42" s="33"/>
      <c r="L42" s="45"/>
    </row>
    <row r="43" spans="1:30" ht="15.75" x14ac:dyDescent="0.25">
      <c r="A43" s="1"/>
      <c r="B43" s="1"/>
      <c r="F43" s="11">
        <v>15</v>
      </c>
      <c r="G43" s="32" t="e">
        <v>#N/A</v>
      </c>
      <c r="H43" s="13" t="e">
        <v>#N/A</v>
      </c>
      <c r="I43" s="32" t="e">
        <v>#N/A</v>
      </c>
      <c r="J43" s="33"/>
      <c r="L43" s="45"/>
    </row>
    <row r="44" spans="1:30" ht="15.75" x14ac:dyDescent="0.25">
      <c r="A44" s="1"/>
      <c r="B44" s="1"/>
      <c r="F44" s="11">
        <v>16</v>
      </c>
      <c r="G44" s="32" t="e">
        <v>#N/A</v>
      </c>
      <c r="H44" s="13" t="e">
        <v>#N/A</v>
      </c>
      <c r="I44" s="32" t="e">
        <v>#N/A</v>
      </c>
      <c r="J44" s="33"/>
      <c r="L44" s="45"/>
    </row>
    <row r="45" spans="1:30" ht="16.5" thickBot="1" x14ac:dyDescent="0.3">
      <c r="A45" s="1"/>
      <c r="B45" s="1"/>
      <c r="F45" s="11">
        <v>17</v>
      </c>
      <c r="G45" s="32" t="e">
        <v>#N/A</v>
      </c>
      <c r="H45" s="13" t="e">
        <v>#N/A</v>
      </c>
      <c r="I45" s="32" t="e">
        <v>#N/A</v>
      </c>
      <c r="J45" s="33"/>
      <c r="L45" s="45"/>
    </row>
    <row r="46" spans="1:30" ht="16.5" thickBot="1" x14ac:dyDescent="0.3">
      <c r="A46" s="23">
        <v>13</v>
      </c>
      <c r="B46" s="28">
        <v>1</v>
      </c>
      <c r="C46" s="28" t="s">
        <v>1</v>
      </c>
      <c r="D46" s="28">
        <v>205</v>
      </c>
      <c r="E46" s="24" t="s">
        <v>26</v>
      </c>
      <c r="F46" s="29" t="s">
        <v>16</v>
      </c>
      <c r="G46" s="30"/>
      <c r="H46" s="30"/>
      <c r="I46" s="31">
        <v>1232</v>
      </c>
      <c r="J46" s="31">
        <v>112</v>
      </c>
      <c r="L46" s="45"/>
    </row>
    <row r="47" spans="1:30" ht="16.5" thickBot="1" x14ac:dyDescent="0.3">
      <c r="A47" s="1"/>
      <c r="B47" s="1"/>
      <c r="G47" s="6"/>
      <c r="H47" s="6"/>
      <c r="I47" s="6"/>
      <c r="J47" s="48"/>
      <c r="L47" s="45"/>
    </row>
    <row r="48" spans="1:30" ht="16.5" thickBot="1" x14ac:dyDescent="0.3">
      <c r="A48" s="23">
        <v>16</v>
      </c>
      <c r="B48" s="28">
        <v>2</v>
      </c>
      <c r="C48" s="28" t="s">
        <v>2</v>
      </c>
      <c r="D48" s="28">
        <v>208</v>
      </c>
      <c r="E48" s="24" t="s">
        <v>26</v>
      </c>
      <c r="F48" s="12">
        <v>1</v>
      </c>
      <c r="G48" s="25">
        <v>106</v>
      </c>
      <c r="H48" s="26">
        <v>37727</v>
      </c>
      <c r="I48" s="25">
        <v>144</v>
      </c>
      <c r="J48" s="32"/>
      <c r="L48" s="45"/>
    </row>
    <row r="49" spans="1:12" ht="15.75" x14ac:dyDescent="0.25">
      <c r="A49" s="1"/>
      <c r="B49" s="1"/>
      <c r="F49" s="11">
        <v>2</v>
      </c>
      <c r="G49" s="32">
        <v>108</v>
      </c>
      <c r="H49" s="13">
        <v>37729</v>
      </c>
      <c r="I49" s="32">
        <v>62</v>
      </c>
      <c r="J49" s="49"/>
      <c r="L49" s="45"/>
    </row>
    <row r="50" spans="1:12" ht="15.75" x14ac:dyDescent="0.25">
      <c r="A50" s="1"/>
      <c r="B50" s="1"/>
      <c r="F50" s="11">
        <v>3</v>
      </c>
      <c r="G50" s="32">
        <v>112</v>
      </c>
      <c r="H50" s="13">
        <v>37733</v>
      </c>
      <c r="I50" s="32">
        <v>66.3</v>
      </c>
      <c r="J50" s="33"/>
      <c r="L50" s="45"/>
    </row>
    <row r="51" spans="1:12" ht="15.75" x14ac:dyDescent="0.25">
      <c r="A51" s="1"/>
      <c r="B51" s="1"/>
      <c r="F51" s="11">
        <v>4</v>
      </c>
      <c r="G51" s="32">
        <v>129</v>
      </c>
      <c r="H51" s="13">
        <v>37750</v>
      </c>
      <c r="I51" s="32">
        <v>82</v>
      </c>
      <c r="J51" s="33"/>
      <c r="L51" s="45"/>
    </row>
    <row r="52" spans="1:12" ht="15.75" x14ac:dyDescent="0.25">
      <c r="A52" s="1"/>
      <c r="B52" s="1"/>
      <c r="F52" s="11">
        <v>5</v>
      </c>
      <c r="G52" s="32">
        <v>148</v>
      </c>
      <c r="H52" s="13">
        <v>37769</v>
      </c>
      <c r="I52" s="32">
        <v>63</v>
      </c>
      <c r="J52" s="33"/>
      <c r="L52" s="45"/>
    </row>
    <row r="53" spans="1:12" ht="15.75" x14ac:dyDescent="0.25">
      <c r="A53" s="1"/>
      <c r="B53" s="1"/>
      <c r="F53" s="11">
        <v>6</v>
      </c>
      <c r="G53" s="32">
        <v>161</v>
      </c>
      <c r="H53" s="13">
        <v>37782</v>
      </c>
      <c r="I53" s="32">
        <v>85</v>
      </c>
      <c r="J53" s="33"/>
      <c r="L53" s="45"/>
    </row>
    <row r="54" spans="1:12" ht="15.75" x14ac:dyDescent="0.25">
      <c r="A54" s="1"/>
      <c r="B54" s="1"/>
      <c r="F54" s="11">
        <v>7</v>
      </c>
      <c r="G54" s="32">
        <v>174</v>
      </c>
      <c r="H54" s="13">
        <v>37795</v>
      </c>
      <c r="I54" s="32">
        <v>113</v>
      </c>
      <c r="J54" s="33"/>
      <c r="L54" s="45"/>
    </row>
    <row r="55" spans="1:12" ht="15.75" x14ac:dyDescent="0.25">
      <c r="A55" s="1"/>
      <c r="B55" s="1"/>
      <c r="F55" s="11">
        <v>8</v>
      </c>
      <c r="G55" s="32">
        <v>185</v>
      </c>
      <c r="H55" s="13">
        <v>37806</v>
      </c>
      <c r="I55" s="32">
        <v>123</v>
      </c>
      <c r="J55" s="33"/>
      <c r="L55" s="45"/>
    </row>
    <row r="56" spans="1:12" ht="15.75" x14ac:dyDescent="0.25">
      <c r="A56" s="1"/>
      <c r="B56" s="1"/>
      <c r="F56" s="11">
        <v>9</v>
      </c>
      <c r="G56" s="32">
        <v>195</v>
      </c>
      <c r="H56" s="13">
        <v>37816</v>
      </c>
      <c r="I56" s="32">
        <v>121</v>
      </c>
      <c r="J56" s="33"/>
      <c r="L56" s="45"/>
    </row>
    <row r="57" spans="1:12" ht="15.75" x14ac:dyDescent="0.25">
      <c r="A57" s="1"/>
      <c r="B57" s="1"/>
      <c r="F57" s="11">
        <v>10</v>
      </c>
      <c r="G57" s="32">
        <v>206</v>
      </c>
      <c r="H57" s="13">
        <v>37827</v>
      </c>
      <c r="I57" s="32">
        <v>125</v>
      </c>
      <c r="J57" s="33"/>
      <c r="L57" s="45"/>
    </row>
    <row r="58" spans="1:12" ht="15.75" x14ac:dyDescent="0.25">
      <c r="A58" s="1"/>
      <c r="B58" s="1"/>
      <c r="F58" s="11">
        <v>11</v>
      </c>
      <c r="G58" s="32">
        <v>219</v>
      </c>
      <c r="H58" s="13">
        <v>37840</v>
      </c>
      <c r="I58" s="32">
        <v>120</v>
      </c>
      <c r="J58" s="33"/>
      <c r="L58" s="45"/>
    </row>
    <row r="59" spans="1:12" ht="15.75" x14ac:dyDescent="0.25">
      <c r="A59" s="1"/>
      <c r="B59" s="1"/>
      <c r="F59" s="11">
        <v>12</v>
      </c>
      <c r="G59" s="32">
        <v>232</v>
      </c>
      <c r="H59" s="13">
        <v>37853</v>
      </c>
      <c r="I59" s="32">
        <v>107</v>
      </c>
      <c r="J59" s="33"/>
      <c r="L59" s="45"/>
    </row>
    <row r="60" spans="1:12" ht="15.75" x14ac:dyDescent="0.25">
      <c r="F60" s="11">
        <v>13</v>
      </c>
      <c r="G60" s="32" t="e">
        <v>#N/A</v>
      </c>
      <c r="H60" s="13" t="e">
        <v>#N/A</v>
      </c>
      <c r="I60" s="32" t="e">
        <v>#N/A</v>
      </c>
      <c r="J60" s="33"/>
      <c r="L60" s="45"/>
    </row>
    <row r="61" spans="1:12" ht="15.75" x14ac:dyDescent="0.25">
      <c r="A61" s="1"/>
      <c r="B61" s="1"/>
      <c r="F61" s="11">
        <v>14</v>
      </c>
      <c r="G61" s="32" t="e">
        <v>#N/A</v>
      </c>
      <c r="H61" s="13" t="e">
        <v>#N/A</v>
      </c>
      <c r="I61" s="32" t="e">
        <v>#N/A</v>
      </c>
      <c r="J61" s="33"/>
      <c r="L61" s="45"/>
    </row>
    <row r="62" spans="1:12" ht="15.75" x14ac:dyDescent="0.25">
      <c r="A62" s="1"/>
      <c r="B62" s="1"/>
      <c r="F62" s="11">
        <v>15</v>
      </c>
      <c r="G62" s="32" t="e">
        <v>#N/A</v>
      </c>
      <c r="H62" s="13" t="e">
        <v>#N/A</v>
      </c>
      <c r="I62" s="32" t="e">
        <v>#N/A</v>
      </c>
      <c r="J62" s="33"/>
      <c r="L62" s="45"/>
    </row>
    <row r="63" spans="1:12" ht="15.75" x14ac:dyDescent="0.25">
      <c r="A63" s="1"/>
      <c r="B63" s="1"/>
      <c r="F63" s="11">
        <v>16</v>
      </c>
      <c r="G63" s="32" t="e">
        <v>#N/A</v>
      </c>
      <c r="H63" s="13" t="e">
        <v>#N/A</v>
      </c>
      <c r="I63" s="32" t="e">
        <v>#N/A</v>
      </c>
      <c r="J63" s="33"/>
      <c r="L63" s="45"/>
    </row>
    <row r="64" spans="1:12" ht="16.5" thickBot="1" x14ac:dyDescent="0.3">
      <c r="A64" s="1"/>
      <c r="B64" s="1"/>
      <c r="F64" s="11">
        <v>17</v>
      </c>
      <c r="G64" s="32" t="e">
        <v>#N/A</v>
      </c>
      <c r="H64" s="13" t="e">
        <v>#N/A</v>
      </c>
      <c r="I64" s="32" t="e">
        <v>#N/A</v>
      </c>
      <c r="J64" s="33"/>
      <c r="L64" s="45"/>
    </row>
    <row r="65" spans="1:12" ht="16.5" thickBot="1" x14ac:dyDescent="0.3">
      <c r="A65" s="23">
        <v>16</v>
      </c>
      <c r="B65" s="28">
        <v>2</v>
      </c>
      <c r="C65" s="28" t="s">
        <v>2</v>
      </c>
      <c r="D65" s="28">
        <v>208</v>
      </c>
      <c r="E65" s="24" t="s">
        <v>26</v>
      </c>
      <c r="F65" s="29" t="s">
        <v>16</v>
      </c>
      <c r="G65" s="30"/>
      <c r="H65" s="30"/>
      <c r="I65" s="31">
        <v>1211.3</v>
      </c>
      <c r="J65" s="31">
        <v>0</v>
      </c>
      <c r="L65" s="45"/>
    </row>
    <row r="66" spans="1:12" ht="16.5" thickBot="1" x14ac:dyDescent="0.3">
      <c r="A66" s="1"/>
      <c r="B66" s="1"/>
      <c r="G66" s="6"/>
      <c r="H66" s="6"/>
      <c r="I66" s="6"/>
      <c r="J66" s="48"/>
      <c r="L66" s="45"/>
    </row>
    <row r="67" spans="1:12" ht="16.5" thickBot="1" x14ac:dyDescent="0.3">
      <c r="A67" s="23">
        <v>20</v>
      </c>
      <c r="B67" s="28">
        <v>2</v>
      </c>
      <c r="C67" s="28" t="s">
        <v>2</v>
      </c>
      <c r="D67" s="28">
        <v>304</v>
      </c>
      <c r="E67" s="24" t="s">
        <v>27</v>
      </c>
      <c r="F67" s="12">
        <v>1</v>
      </c>
      <c r="G67" s="25">
        <v>106</v>
      </c>
      <c r="H67" s="26">
        <v>37727</v>
      </c>
      <c r="I67" s="25">
        <v>160</v>
      </c>
      <c r="J67" s="32"/>
      <c r="L67" s="45"/>
    </row>
    <row r="68" spans="1:12" ht="15.75" x14ac:dyDescent="0.25">
      <c r="A68" s="1"/>
      <c r="B68" s="1"/>
      <c r="F68" s="11">
        <v>2</v>
      </c>
      <c r="G68" s="32">
        <v>108</v>
      </c>
      <c r="H68" s="13">
        <v>37729</v>
      </c>
      <c r="I68" s="32">
        <v>71</v>
      </c>
      <c r="J68" s="49"/>
      <c r="L68" s="45"/>
    </row>
    <row r="69" spans="1:12" ht="15.75" x14ac:dyDescent="0.25">
      <c r="A69" s="1"/>
      <c r="B69" s="1"/>
      <c r="F69" s="11">
        <v>3</v>
      </c>
      <c r="G69" s="32">
        <v>112</v>
      </c>
      <c r="H69" s="13">
        <v>37733</v>
      </c>
      <c r="I69" s="32">
        <v>62</v>
      </c>
      <c r="J69" s="33"/>
      <c r="L69" s="45"/>
    </row>
    <row r="70" spans="1:12" ht="15.75" x14ac:dyDescent="0.25">
      <c r="A70" s="1"/>
      <c r="B70" s="1"/>
      <c r="F70" s="11">
        <v>4</v>
      </c>
      <c r="G70" s="32">
        <v>129</v>
      </c>
      <c r="H70" s="13">
        <v>37750</v>
      </c>
      <c r="I70" s="32">
        <v>82</v>
      </c>
      <c r="J70" s="33"/>
      <c r="L70" s="45"/>
    </row>
    <row r="71" spans="1:12" ht="15.75" x14ac:dyDescent="0.25">
      <c r="A71" s="1"/>
      <c r="B71" s="1"/>
      <c r="F71" s="11">
        <v>5</v>
      </c>
      <c r="G71" s="32">
        <v>148</v>
      </c>
      <c r="H71" s="13">
        <v>37769</v>
      </c>
      <c r="I71" s="32">
        <v>63</v>
      </c>
      <c r="J71" s="33"/>
      <c r="L71" s="45"/>
    </row>
    <row r="72" spans="1:12" ht="15.75" x14ac:dyDescent="0.25">
      <c r="A72" s="1"/>
      <c r="B72" s="1"/>
      <c r="F72" s="11">
        <v>6</v>
      </c>
      <c r="G72" s="32">
        <v>161</v>
      </c>
      <c r="H72" s="13">
        <v>37782</v>
      </c>
      <c r="I72" s="32">
        <v>85</v>
      </c>
      <c r="J72" s="33"/>
      <c r="L72" s="45"/>
    </row>
    <row r="73" spans="1:12" ht="15.75" x14ac:dyDescent="0.25">
      <c r="A73" s="1"/>
      <c r="B73" s="1"/>
      <c r="F73" s="11">
        <v>7</v>
      </c>
      <c r="G73" s="32">
        <v>174</v>
      </c>
      <c r="H73" s="13">
        <v>37795</v>
      </c>
      <c r="I73" s="32">
        <v>113</v>
      </c>
      <c r="J73" s="33"/>
      <c r="L73" s="45"/>
    </row>
    <row r="74" spans="1:12" ht="15.75" x14ac:dyDescent="0.25">
      <c r="A74" s="1"/>
      <c r="B74" s="1"/>
      <c r="F74" s="11">
        <v>8</v>
      </c>
      <c r="G74" s="32">
        <v>185</v>
      </c>
      <c r="H74" s="13">
        <v>37806</v>
      </c>
      <c r="I74" s="32">
        <v>123</v>
      </c>
      <c r="J74" s="33"/>
      <c r="L74" s="45"/>
    </row>
    <row r="75" spans="1:12" ht="15.75" x14ac:dyDescent="0.25">
      <c r="A75" s="1"/>
      <c r="B75" s="1"/>
      <c r="F75" s="11">
        <v>9</v>
      </c>
      <c r="G75" s="32">
        <v>195</v>
      </c>
      <c r="H75" s="13">
        <v>37816</v>
      </c>
      <c r="I75" s="32">
        <v>122</v>
      </c>
      <c r="J75" s="33"/>
      <c r="L75" s="45"/>
    </row>
    <row r="76" spans="1:12" ht="15.75" x14ac:dyDescent="0.25">
      <c r="A76" s="1"/>
      <c r="B76" s="1"/>
      <c r="F76" s="11">
        <v>10</v>
      </c>
      <c r="G76" s="32">
        <v>206</v>
      </c>
      <c r="H76" s="13">
        <v>37827</v>
      </c>
      <c r="I76" s="32">
        <v>125</v>
      </c>
      <c r="J76" s="33"/>
      <c r="L76" s="45"/>
    </row>
    <row r="77" spans="1:12" ht="15.75" x14ac:dyDescent="0.25">
      <c r="A77" s="1"/>
      <c r="B77" s="1"/>
      <c r="F77" s="11">
        <v>11</v>
      </c>
      <c r="G77" s="32">
        <v>219</v>
      </c>
      <c r="H77" s="13">
        <v>37840</v>
      </c>
      <c r="I77" s="32">
        <v>120</v>
      </c>
      <c r="J77" s="33"/>
      <c r="L77" s="45"/>
    </row>
    <row r="78" spans="1:12" ht="15.75" x14ac:dyDescent="0.25">
      <c r="A78" s="1"/>
      <c r="B78" s="1"/>
      <c r="F78" s="11">
        <v>12</v>
      </c>
      <c r="G78" s="32">
        <v>232</v>
      </c>
      <c r="H78" s="13">
        <v>37853</v>
      </c>
      <c r="I78" s="32">
        <v>107</v>
      </c>
      <c r="J78" s="33"/>
      <c r="L78" s="45"/>
    </row>
    <row r="79" spans="1:12" ht="15.75" x14ac:dyDescent="0.25">
      <c r="F79" s="11">
        <v>13</v>
      </c>
      <c r="G79" s="32" t="e">
        <v>#N/A</v>
      </c>
      <c r="H79" s="13" t="e">
        <v>#N/A</v>
      </c>
      <c r="I79" s="32" t="e">
        <v>#N/A</v>
      </c>
      <c r="J79" s="33"/>
      <c r="L79" s="45"/>
    </row>
    <row r="80" spans="1:12" ht="15.75" x14ac:dyDescent="0.25">
      <c r="A80" s="1"/>
      <c r="B80" s="1"/>
      <c r="F80" s="11">
        <v>14</v>
      </c>
      <c r="G80" s="32" t="e">
        <v>#N/A</v>
      </c>
      <c r="H80" s="13" t="e">
        <v>#N/A</v>
      </c>
      <c r="I80" s="32" t="e">
        <v>#N/A</v>
      </c>
      <c r="J80" s="33"/>
      <c r="L80" s="45"/>
    </row>
    <row r="81" spans="1:12" ht="15.75" x14ac:dyDescent="0.25">
      <c r="A81" s="1"/>
      <c r="B81" s="1"/>
      <c r="F81" s="11">
        <v>15</v>
      </c>
      <c r="G81" s="32" t="e">
        <v>#N/A</v>
      </c>
      <c r="H81" s="13" t="e">
        <v>#N/A</v>
      </c>
      <c r="I81" s="32" t="e">
        <v>#N/A</v>
      </c>
      <c r="J81" s="33"/>
      <c r="L81" s="45"/>
    </row>
    <row r="82" spans="1:12" ht="15.75" x14ac:dyDescent="0.25">
      <c r="A82" s="1"/>
      <c r="B82" s="1"/>
      <c r="F82" s="11">
        <v>16</v>
      </c>
      <c r="G82" s="32" t="e">
        <v>#N/A</v>
      </c>
      <c r="H82" s="13" t="e">
        <v>#N/A</v>
      </c>
      <c r="I82" s="32" t="e">
        <v>#N/A</v>
      </c>
      <c r="J82" s="33"/>
      <c r="L82" s="45"/>
    </row>
    <row r="83" spans="1:12" ht="16.5" thickBot="1" x14ac:dyDescent="0.3">
      <c r="A83" s="1"/>
      <c r="B83" s="1"/>
      <c r="F83" s="11">
        <v>17</v>
      </c>
      <c r="G83" s="32" t="e">
        <v>#N/A</v>
      </c>
      <c r="H83" s="13" t="e">
        <v>#N/A</v>
      </c>
      <c r="I83" s="32" t="e">
        <v>#N/A</v>
      </c>
      <c r="J83" s="33"/>
      <c r="L83" s="45"/>
    </row>
    <row r="84" spans="1:12" ht="16.5" thickBot="1" x14ac:dyDescent="0.3">
      <c r="A84" s="23">
        <v>20</v>
      </c>
      <c r="B84" s="28">
        <v>2</v>
      </c>
      <c r="C84" s="28" t="s">
        <v>2</v>
      </c>
      <c r="D84" s="28">
        <v>304</v>
      </c>
      <c r="E84" s="24" t="s">
        <v>27</v>
      </c>
      <c r="F84" s="29" t="s">
        <v>16</v>
      </c>
      <c r="G84" s="30"/>
      <c r="H84" s="30"/>
      <c r="I84" s="31">
        <v>1233</v>
      </c>
      <c r="J84" s="31">
        <v>0</v>
      </c>
      <c r="L84" s="45"/>
    </row>
    <row r="85" spans="1:12" ht="16.5" thickBot="1" x14ac:dyDescent="0.3">
      <c r="A85" s="1"/>
      <c r="B85" s="1"/>
      <c r="G85" s="6"/>
      <c r="H85" s="6"/>
      <c r="I85" s="6"/>
      <c r="J85" s="48"/>
      <c r="L85" s="45"/>
    </row>
    <row r="86" spans="1:12" ht="16.5" thickBot="1" x14ac:dyDescent="0.3">
      <c r="A86" s="23">
        <v>11</v>
      </c>
      <c r="B86" s="28">
        <v>3</v>
      </c>
      <c r="C86" s="28" t="s">
        <v>3</v>
      </c>
      <c r="D86" s="28">
        <v>203</v>
      </c>
      <c r="E86" s="24" t="s">
        <v>24</v>
      </c>
      <c r="F86" s="12">
        <v>1</v>
      </c>
      <c r="G86" s="25">
        <v>106</v>
      </c>
      <c r="H86" s="26">
        <v>37727</v>
      </c>
      <c r="I86" s="25">
        <v>133</v>
      </c>
      <c r="J86" s="32"/>
      <c r="L86" s="45"/>
    </row>
    <row r="87" spans="1:12" ht="15.75" x14ac:dyDescent="0.25">
      <c r="A87" s="1"/>
      <c r="B87" s="1"/>
      <c r="F87" s="11">
        <v>2</v>
      </c>
      <c r="G87" s="32">
        <v>108</v>
      </c>
      <c r="H87" s="13">
        <v>37729</v>
      </c>
      <c r="I87" s="32">
        <v>84</v>
      </c>
      <c r="J87" s="49"/>
      <c r="L87" s="45"/>
    </row>
    <row r="88" spans="1:12" ht="15.75" x14ac:dyDescent="0.25">
      <c r="A88" s="1"/>
      <c r="B88" s="1"/>
      <c r="F88" s="11">
        <v>3</v>
      </c>
      <c r="G88" s="32">
        <v>112</v>
      </c>
      <c r="H88" s="13">
        <v>37733</v>
      </c>
      <c r="I88" s="32">
        <v>65</v>
      </c>
      <c r="J88" s="33"/>
      <c r="L88" s="45"/>
    </row>
    <row r="89" spans="1:12" ht="15.75" x14ac:dyDescent="0.25">
      <c r="A89" s="1"/>
      <c r="B89" s="1"/>
      <c r="F89" s="11">
        <v>4</v>
      </c>
      <c r="G89" s="32">
        <v>129</v>
      </c>
      <c r="H89" s="13">
        <v>37750</v>
      </c>
      <c r="I89" s="32">
        <v>82</v>
      </c>
      <c r="J89" s="33"/>
      <c r="L89" s="45"/>
    </row>
    <row r="90" spans="1:12" ht="15.75" x14ac:dyDescent="0.25">
      <c r="A90" s="1"/>
      <c r="B90" s="1"/>
      <c r="F90" s="11">
        <v>5</v>
      </c>
      <c r="G90" s="32">
        <v>148</v>
      </c>
      <c r="H90" s="13">
        <v>37769</v>
      </c>
      <c r="I90" s="32">
        <v>63</v>
      </c>
      <c r="J90" s="33">
        <v>56</v>
      </c>
      <c r="L90" s="45"/>
    </row>
    <row r="91" spans="1:12" ht="15.75" x14ac:dyDescent="0.25">
      <c r="A91" s="1"/>
      <c r="B91" s="1"/>
      <c r="F91" s="11">
        <v>6</v>
      </c>
      <c r="G91" s="32">
        <v>161</v>
      </c>
      <c r="H91" s="13">
        <v>37782</v>
      </c>
      <c r="I91" s="32">
        <v>85</v>
      </c>
      <c r="J91" s="33"/>
      <c r="L91" s="45"/>
    </row>
    <row r="92" spans="1:12" ht="15.75" x14ac:dyDescent="0.25">
      <c r="A92" s="1"/>
      <c r="B92" s="1"/>
      <c r="F92" s="11">
        <v>7</v>
      </c>
      <c r="G92" s="32">
        <v>174</v>
      </c>
      <c r="H92" s="13">
        <v>37795</v>
      </c>
      <c r="I92" s="32">
        <v>113</v>
      </c>
      <c r="J92" s="33"/>
      <c r="L92" s="45"/>
    </row>
    <row r="93" spans="1:12" ht="15.75" x14ac:dyDescent="0.25">
      <c r="A93" s="1"/>
      <c r="B93" s="1"/>
      <c r="F93" s="11">
        <v>8</v>
      </c>
      <c r="G93" s="32">
        <v>185</v>
      </c>
      <c r="H93" s="13">
        <v>37806</v>
      </c>
      <c r="I93" s="32">
        <v>123</v>
      </c>
      <c r="J93" s="33">
        <v>56</v>
      </c>
      <c r="L93" s="45"/>
    </row>
    <row r="94" spans="1:12" ht="15.75" x14ac:dyDescent="0.25">
      <c r="A94" s="1"/>
      <c r="B94" s="1"/>
      <c r="F94" s="11">
        <v>9</v>
      </c>
      <c r="G94" s="32">
        <v>195</v>
      </c>
      <c r="H94" s="13">
        <v>37816</v>
      </c>
      <c r="I94" s="32">
        <v>122</v>
      </c>
      <c r="J94" s="33"/>
      <c r="L94" s="45"/>
    </row>
    <row r="95" spans="1:12" ht="15.75" x14ac:dyDescent="0.25">
      <c r="A95" s="1"/>
      <c r="B95" s="1"/>
      <c r="F95" s="11">
        <v>10</v>
      </c>
      <c r="G95" s="32">
        <v>206</v>
      </c>
      <c r="H95" s="13">
        <v>37827</v>
      </c>
      <c r="I95" s="32">
        <v>125</v>
      </c>
      <c r="J95" s="33"/>
      <c r="L95" s="45"/>
    </row>
    <row r="96" spans="1:12" ht="15.75" x14ac:dyDescent="0.25">
      <c r="A96" s="1"/>
      <c r="B96" s="1"/>
      <c r="F96" s="11">
        <v>11</v>
      </c>
      <c r="G96" s="32">
        <v>219</v>
      </c>
      <c r="H96" s="13">
        <v>37840</v>
      </c>
      <c r="I96" s="32">
        <v>120</v>
      </c>
      <c r="J96" s="33"/>
      <c r="L96" s="45"/>
    </row>
    <row r="97" spans="1:15" ht="15.75" x14ac:dyDescent="0.25">
      <c r="A97" s="1"/>
      <c r="B97" s="1"/>
      <c r="F97" s="11">
        <v>12</v>
      </c>
      <c r="G97" s="32">
        <v>232</v>
      </c>
      <c r="H97" s="13">
        <v>37853</v>
      </c>
      <c r="I97" s="32">
        <v>107</v>
      </c>
      <c r="J97" s="33"/>
      <c r="L97" s="45"/>
    </row>
    <row r="98" spans="1:15" ht="15.75" x14ac:dyDescent="0.25">
      <c r="F98" s="11">
        <v>13</v>
      </c>
      <c r="G98" s="32" t="e">
        <v>#N/A</v>
      </c>
      <c r="H98" s="13" t="e">
        <v>#N/A</v>
      </c>
      <c r="I98" s="32" t="e">
        <v>#N/A</v>
      </c>
      <c r="J98" s="33"/>
      <c r="L98" s="45"/>
    </row>
    <row r="99" spans="1:15" ht="15.75" x14ac:dyDescent="0.25">
      <c r="A99" s="1"/>
      <c r="B99" s="1"/>
      <c r="F99" s="11">
        <v>14</v>
      </c>
      <c r="G99" s="32" t="e">
        <v>#N/A</v>
      </c>
      <c r="H99" s="13" t="e">
        <v>#N/A</v>
      </c>
      <c r="I99" s="32" t="e">
        <v>#N/A</v>
      </c>
      <c r="J99" s="33"/>
      <c r="L99" s="45"/>
    </row>
    <row r="100" spans="1:15" ht="15.75" x14ac:dyDescent="0.25">
      <c r="A100" s="1"/>
      <c r="B100" s="1"/>
      <c r="F100" s="11">
        <v>15</v>
      </c>
      <c r="G100" s="32" t="e">
        <v>#N/A</v>
      </c>
      <c r="H100" s="13" t="e">
        <v>#N/A</v>
      </c>
      <c r="I100" s="32" t="e">
        <v>#N/A</v>
      </c>
      <c r="J100" s="33"/>
      <c r="L100" s="45"/>
    </row>
    <row r="101" spans="1:15" ht="15.75" x14ac:dyDescent="0.25">
      <c r="A101" s="1"/>
      <c r="B101" s="1"/>
      <c r="F101" s="11">
        <v>16</v>
      </c>
      <c r="G101" s="32" t="e">
        <v>#N/A</v>
      </c>
      <c r="H101" s="13" t="e">
        <v>#N/A</v>
      </c>
      <c r="I101" s="32" t="e">
        <v>#N/A</v>
      </c>
      <c r="J101" s="33"/>
      <c r="L101" s="45"/>
    </row>
    <row r="102" spans="1:15" ht="16.5" thickBot="1" x14ac:dyDescent="0.3">
      <c r="A102" s="1"/>
      <c r="B102" s="1"/>
      <c r="F102" s="11">
        <v>17</v>
      </c>
      <c r="G102" s="32" t="e">
        <v>#N/A</v>
      </c>
      <c r="H102" s="13" t="e">
        <v>#N/A</v>
      </c>
      <c r="I102" s="32" t="e">
        <v>#N/A</v>
      </c>
      <c r="J102" s="33"/>
      <c r="L102" s="45"/>
    </row>
    <row r="103" spans="1:15" ht="16.5" thickBot="1" x14ac:dyDescent="0.3">
      <c r="A103" s="23">
        <v>11</v>
      </c>
      <c r="B103" s="28">
        <v>3</v>
      </c>
      <c r="C103" s="28" t="s">
        <v>3</v>
      </c>
      <c r="D103" s="28">
        <v>203</v>
      </c>
      <c r="E103" s="24" t="s">
        <v>24</v>
      </c>
      <c r="F103" s="29" t="s">
        <v>16</v>
      </c>
      <c r="G103" s="30"/>
      <c r="H103" s="30"/>
      <c r="I103" s="31">
        <v>1222</v>
      </c>
      <c r="J103" s="31">
        <v>112</v>
      </c>
      <c r="L103" s="45"/>
    </row>
    <row r="104" spans="1:15" ht="13.5" thickBot="1" x14ac:dyDescent="0.25">
      <c r="G104" s="6"/>
      <c r="H104" s="6"/>
      <c r="I104" s="6"/>
      <c r="J104" s="48"/>
      <c r="L104" s="45"/>
    </row>
    <row r="105" spans="1:15" ht="16.5" thickBot="1" x14ac:dyDescent="0.3">
      <c r="A105" s="23">
        <v>8</v>
      </c>
      <c r="B105" s="28">
        <v>3</v>
      </c>
      <c r="C105" s="28" t="s">
        <v>3</v>
      </c>
      <c r="D105" s="28">
        <v>108</v>
      </c>
      <c r="E105" s="24" t="s">
        <v>26</v>
      </c>
      <c r="F105" s="12">
        <v>1</v>
      </c>
      <c r="G105" s="25">
        <v>106</v>
      </c>
      <c r="H105" s="26">
        <v>37727</v>
      </c>
      <c r="I105" s="25">
        <v>129</v>
      </c>
      <c r="J105" s="32"/>
      <c r="L105" s="44"/>
      <c r="M105" s="43"/>
      <c r="N105" s="43"/>
      <c r="O105" s="43"/>
    </row>
    <row r="106" spans="1:15" ht="15.75" x14ac:dyDescent="0.25">
      <c r="A106" s="1"/>
      <c r="B106" s="1"/>
      <c r="F106" s="11">
        <v>2</v>
      </c>
      <c r="G106" s="32">
        <v>108</v>
      </c>
      <c r="H106" s="13">
        <v>37729</v>
      </c>
      <c r="I106" s="32">
        <v>62</v>
      </c>
      <c r="J106" s="49"/>
      <c r="L106" s="44"/>
      <c r="M106" s="43"/>
      <c r="N106" s="43"/>
      <c r="O106" s="43"/>
    </row>
    <row r="107" spans="1:15" ht="15.75" x14ac:dyDescent="0.25">
      <c r="A107" s="1"/>
      <c r="B107" s="1"/>
      <c r="F107" s="11">
        <v>3</v>
      </c>
      <c r="G107" s="32">
        <v>112</v>
      </c>
      <c r="H107" s="13">
        <v>37733</v>
      </c>
      <c r="I107" s="32">
        <v>67</v>
      </c>
      <c r="J107" s="33"/>
      <c r="L107" s="44"/>
      <c r="M107" s="43"/>
      <c r="N107" s="43"/>
      <c r="O107" s="43"/>
    </row>
    <row r="108" spans="1:15" ht="15.75" x14ac:dyDescent="0.25">
      <c r="A108" s="1"/>
      <c r="B108" s="1"/>
      <c r="F108" s="11">
        <v>4</v>
      </c>
      <c r="G108" s="32">
        <v>129</v>
      </c>
      <c r="H108" s="13">
        <v>37750</v>
      </c>
      <c r="I108" s="32">
        <v>94</v>
      </c>
      <c r="J108" s="33"/>
      <c r="L108" s="44"/>
      <c r="M108" s="43"/>
      <c r="N108" s="43"/>
      <c r="O108" s="43"/>
    </row>
    <row r="109" spans="1:15" ht="15.75" x14ac:dyDescent="0.25">
      <c r="A109" s="1"/>
      <c r="B109" s="1"/>
      <c r="F109" s="11">
        <v>5</v>
      </c>
      <c r="G109" s="32">
        <v>148</v>
      </c>
      <c r="H109" s="13">
        <v>37769</v>
      </c>
      <c r="I109" s="32">
        <v>63</v>
      </c>
      <c r="J109" s="33">
        <v>56</v>
      </c>
      <c r="L109" s="44"/>
      <c r="M109" s="43"/>
      <c r="N109" s="43"/>
      <c r="O109" s="43"/>
    </row>
    <row r="110" spans="1:15" ht="15.75" x14ac:dyDescent="0.25">
      <c r="A110" s="1"/>
      <c r="B110" s="1"/>
      <c r="F110" s="11">
        <v>6</v>
      </c>
      <c r="G110" s="32">
        <v>161</v>
      </c>
      <c r="H110" s="13">
        <v>37782</v>
      </c>
      <c r="I110" s="32">
        <v>85</v>
      </c>
      <c r="J110" s="33"/>
      <c r="L110" s="45"/>
    </row>
    <row r="111" spans="1:15" ht="15.75" x14ac:dyDescent="0.25">
      <c r="A111" s="1"/>
      <c r="B111" s="1"/>
      <c r="F111" s="11">
        <v>7</v>
      </c>
      <c r="G111" s="32">
        <v>174</v>
      </c>
      <c r="H111" s="13">
        <v>37795</v>
      </c>
      <c r="I111" s="32">
        <v>113</v>
      </c>
      <c r="J111" s="33"/>
      <c r="L111" s="45"/>
    </row>
    <row r="112" spans="1:15" ht="15.75" x14ac:dyDescent="0.25">
      <c r="A112" s="1"/>
      <c r="B112" s="1"/>
      <c r="F112" s="11">
        <v>8</v>
      </c>
      <c r="G112" s="32">
        <v>185</v>
      </c>
      <c r="H112" s="13">
        <v>37806</v>
      </c>
      <c r="I112" s="32">
        <v>123</v>
      </c>
      <c r="J112" s="33">
        <v>56</v>
      </c>
      <c r="L112" s="45"/>
    </row>
    <row r="113" spans="1:12" ht="15.75" x14ac:dyDescent="0.25">
      <c r="A113" s="1"/>
      <c r="B113" s="1"/>
      <c r="F113" s="11">
        <v>9</v>
      </c>
      <c r="G113" s="32">
        <v>195</v>
      </c>
      <c r="H113" s="13">
        <v>37816</v>
      </c>
      <c r="I113" s="32">
        <v>123</v>
      </c>
      <c r="J113" s="33"/>
      <c r="L113" s="45"/>
    </row>
    <row r="114" spans="1:12" ht="15.75" x14ac:dyDescent="0.25">
      <c r="A114" s="1"/>
      <c r="B114" s="1"/>
      <c r="F114" s="11">
        <v>10</v>
      </c>
      <c r="G114" s="32">
        <v>206</v>
      </c>
      <c r="H114" s="13">
        <v>37827</v>
      </c>
      <c r="I114" s="32">
        <v>125</v>
      </c>
      <c r="J114" s="33"/>
      <c r="L114" s="45"/>
    </row>
    <row r="115" spans="1:12" ht="15.75" x14ac:dyDescent="0.25">
      <c r="A115" s="1"/>
      <c r="B115" s="1"/>
      <c r="F115" s="11">
        <v>11</v>
      </c>
      <c r="G115" s="32">
        <v>219</v>
      </c>
      <c r="H115" s="13">
        <v>37840</v>
      </c>
      <c r="I115" s="32">
        <v>120</v>
      </c>
      <c r="J115" s="33"/>
      <c r="L115" s="45"/>
    </row>
    <row r="116" spans="1:12" ht="15.75" x14ac:dyDescent="0.25">
      <c r="A116" s="1"/>
      <c r="B116" s="1"/>
      <c r="F116" s="11">
        <v>12</v>
      </c>
      <c r="G116" s="32">
        <v>232</v>
      </c>
      <c r="H116" s="13">
        <v>37853</v>
      </c>
      <c r="I116" s="32">
        <v>107</v>
      </c>
      <c r="J116" s="33"/>
      <c r="L116" s="45"/>
    </row>
    <row r="117" spans="1:12" ht="15.75" x14ac:dyDescent="0.25">
      <c r="F117" s="11">
        <v>13</v>
      </c>
      <c r="G117" s="32" t="e">
        <v>#N/A</v>
      </c>
      <c r="H117" s="13" t="e">
        <v>#N/A</v>
      </c>
      <c r="I117" s="32" t="e">
        <v>#N/A</v>
      </c>
      <c r="J117" s="33"/>
      <c r="L117" s="45"/>
    </row>
    <row r="118" spans="1:12" ht="15.75" x14ac:dyDescent="0.25">
      <c r="A118" s="1"/>
      <c r="B118" s="1"/>
      <c r="F118" s="11">
        <v>14</v>
      </c>
      <c r="G118" s="32" t="e">
        <v>#N/A</v>
      </c>
      <c r="H118" s="13" t="e">
        <v>#N/A</v>
      </c>
      <c r="I118" s="32" t="e">
        <v>#N/A</v>
      </c>
      <c r="J118" s="33"/>
      <c r="L118" s="45"/>
    </row>
    <row r="119" spans="1:12" ht="15.75" x14ac:dyDescent="0.25">
      <c r="A119" s="1"/>
      <c r="B119" s="1"/>
      <c r="F119" s="11">
        <v>15</v>
      </c>
      <c r="G119" s="32" t="e">
        <v>#N/A</v>
      </c>
      <c r="H119" s="13" t="e">
        <v>#N/A</v>
      </c>
      <c r="I119" s="32" t="e">
        <v>#N/A</v>
      </c>
      <c r="J119" s="33"/>
      <c r="L119" s="45"/>
    </row>
    <row r="120" spans="1:12" ht="15.75" x14ac:dyDescent="0.25">
      <c r="A120" s="1"/>
      <c r="B120" s="1"/>
      <c r="F120" s="11">
        <v>16</v>
      </c>
      <c r="G120" s="32" t="e">
        <v>#N/A</v>
      </c>
      <c r="H120" s="13" t="e">
        <v>#N/A</v>
      </c>
      <c r="I120" s="32" t="e">
        <v>#N/A</v>
      </c>
      <c r="J120" s="33"/>
      <c r="L120" s="45"/>
    </row>
    <row r="121" spans="1:12" ht="16.5" thickBot="1" x14ac:dyDescent="0.3">
      <c r="A121" s="1"/>
      <c r="B121" s="1"/>
      <c r="F121" s="11">
        <v>17</v>
      </c>
      <c r="G121" s="32" t="e">
        <v>#N/A</v>
      </c>
      <c r="H121" s="13" t="e">
        <v>#N/A</v>
      </c>
      <c r="I121" s="32" t="e">
        <v>#N/A</v>
      </c>
      <c r="J121" s="33"/>
      <c r="L121" s="45"/>
    </row>
    <row r="122" spans="1:12" ht="16.5" thickBot="1" x14ac:dyDescent="0.3">
      <c r="A122" s="23">
        <v>8</v>
      </c>
      <c r="B122" s="28">
        <v>3</v>
      </c>
      <c r="C122" s="28" t="s">
        <v>3</v>
      </c>
      <c r="D122" s="28">
        <v>108</v>
      </c>
      <c r="E122" s="24" t="s">
        <v>26</v>
      </c>
      <c r="F122" s="29" t="s">
        <v>16</v>
      </c>
      <c r="G122" s="30"/>
      <c r="H122" s="30"/>
      <c r="I122" s="31">
        <v>1211</v>
      </c>
      <c r="J122" s="31">
        <v>112</v>
      </c>
      <c r="L122" s="45"/>
    </row>
    <row r="123" spans="1:12" ht="13.5" thickBot="1" x14ac:dyDescent="0.25">
      <c r="J123" s="48"/>
      <c r="L123" s="45"/>
    </row>
    <row r="124" spans="1:12" ht="16.5" thickBot="1" x14ac:dyDescent="0.3">
      <c r="A124" s="23">
        <v>28</v>
      </c>
      <c r="B124" s="28">
        <v>3</v>
      </c>
      <c r="C124" s="28" t="s">
        <v>3</v>
      </c>
      <c r="D124" s="28">
        <v>404</v>
      </c>
      <c r="E124" s="24" t="s">
        <v>27</v>
      </c>
      <c r="F124" s="12">
        <v>1</v>
      </c>
      <c r="G124" s="25">
        <v>106</v>
      </c>
      <c r="H124" s="26">
        <v>37727</v>
      </c>
      <c r="I124" s="25">
        <v>137</v>
      </c>
      <c r="J124" s="32"/>
      <c r="L124" s="45"/>
    </row>
    <row r="125" spans="1:12" ht="15.75" x14ac:dyDescent="0.25">
      <c r="A125" s="1"/>
      <c r="B125" s="1"/>
      <c r="F125" s="11">
        <v>2</v>
      </c>
      <c r="G125" s="32">
        <v>108</v>
      </c>
      <c r="H125" s="13">
        <v>37729</v>
      </c>
      <c r="I125" s="32">
        <v>72.599999999999994</v>
      </c>
      <c r="J125" s="49"/>
      <c r="L125" s="45"/>
    </row>
    <row r="126" spans="1:12" ht="15.75" x14ac:dyDescent="0.25">
      <c r="A126" s="1"/>
      <c r="B126" s="1"/>
      <c r="F126" s="11">
        <v>3</v>
      </c>
      <c r="G126" s="32">
        <v>112</v>
      </c>
      <c r="H126" s="13">
        <v>37733</v>
      </c>
      <c r="I126" s="32">
        <v>64.599999999999994</v>
      </c>
      <c r="J126" s="33"/>
      <c r="L126" s="45"/>
    </row>
    <row r="127" spans="1:12" ht="15.75" x14ac:dyDescent="0.25">
      <c r="A127" s="1"/>
      <c r="B127" s="1"/>
      <c r="F127" s="11">
        <v>4</v>
      </c>
      <c r="G127" s="32">
        <v>129</v>
      </c>
      <c r="H127" s="13">
        <v>37750</v>
      </c>
      <c r="I127" s="32">
        <v>82</v>
      </c>
      <c r="J127" s="33"/>
      <c r="L127" s="45"/>
    </row>
    <row r="128" spans="1:12" ht="15.75" x14ac:dyDescent="0.25">
      <c r="A128" s="1"/>
      <c r="B128" s="1"/>
      <c r="F128" s="11">
        <v>5</v>
      </c>
      <c r="G128" s="32">
        <v>148</v>
      </c>
      <c r="H128" s="13">
        <v>37769</v>
      </c>
      <c r="I128" s="32">
        <v>63</v>
      </c>
      <c r="J128" s="33">
        <v>56</v>
      </c>
      <c r="L128" s="45"/>
    </row>
    <row r="129" spans="1:12" ht="15.75" x14ac:dyDescent="0.25">
      <c r="A129" s="1"/>
      <c r="B129" s="1"/>
      <c r="F129" s="11">
        <v>6</v>
      </c>
      <c r="G129" s="32">
        <v>161</v>
      </c>
      <c r="H129" s="13">
        <v>37782</v>
      </c>
      <c r="I129" s="32">
        <v>85</v>
      </c>
      <c r="J129" s="33"/>
      <c r="L129" s="45"/>
    </row>
    <row r="130" spans="1:12" ht="15.75" x14ac:dyDescent="0.25">
      <c r="A130" s="1"/>
      <c r="B130" s="1"/>
      <c r="F130" s="11">
        <v>7</v>
      </c>
      <c r="G130" s="32">
        <v>174</v>
      </c>
      <c r="H130" s="13">
        <v>37795</v>
      </c>
      <c r="I130" s="32">
        <v>113</v>
      </c>
      <c r="J130" s="33"/>
      <c r="L130" s="45"/>
    </row>
    <row r="131" spans="1:12" ht="15.75" x14ac:dyDescent="0.25">
      <c r="A131" s="1"/>
      <c r="B131" s="1"/>
      <c r="F131" s="11">
        <v>8</v>
      </c>
      <c r="G131" s="32">
        <v>185</v>
      </c>
      <c r="H131" s="13">
        <v>37806</v>
      </c>
      <c r="I131" s="32">
        <v>123</v>
      </c>
      <c r="J131" s="33">
        <v>56</v>
      </c>
      <c r="L131" s="45"/>
    </row>
    <row r="132" spans="1:12" ht="15.75" x14ac:dyDescent="0.25">
      <c r="A132" s="1"/>
      <c r="B132" s="1"/>
      <c r="F132" s="11">
        <v>9</v>
      </c>
      <c r="G132" s="32">
        <v>195</v>
      </c>
      <c r="H132" s="13">
        <v>37816</v>
      </c>
      <c r="I132" s="32">
        <v>122</v>
      </c>
      <c r="J132" s="33"/>
      <c r="L132" s="45"/>
    </row>
    <row r="133" spans="1:12" ht="15.75" x14ac:dyDescent="0.25">
      <c r="A133" s="1"/>
      <c r="B133" s="1"/>
      <c r="F133" s="11">
        <v>10</v>
      </c>
      <c r="G133" s="32">
        <v>206</v>
      </c>
      <c r="H133" s="13">
        <v>37827</v>
      </c>
      <c r="I133" s="32">
        <v>125</v>
      </c>
      <c r="J133" s="33"/>
      <c r="L133" s="45"/>
    </row>
    <row r="134" spans="1:12" ht="15.75" x14ac:dyDescent="0.25">
      <c r="A134" s="1"/>
      <c r="B134" s="1"/>
      <c r="F134" s="11">
        <v>11</v>
      </c>
      <c r="G134" s="32">
        <v>219</v>
      </c>
      <c r="H134" s="13">
        <v>37840</v>
      </c>
      <c r="I134" s="32">
        <v>120</v>
      </c>
      <c r="J134" s="33"/>
      <c r="L134" s="45"/>
    </row>
    <row r="135" spans="1:12" ht="15.75" x14ac:dyDescent="0.25">
      <c r="A135" s="1"/>
      <c r="B135" s="1"/>
      <c r="F135" s="11">
        <v>12</v>
      </c>
      <c r="G135" s="32">
        <v>232</v>
      </c>
      <c r="H135" s="13">
        <v>37853</v>
      </c>
      <c r="I135" s="32">
        <v>107</v>
      </c>
      <c r="J135" s="33"/>
      <c r="L135" s="45"/>
    </row>
    <row r="136" spans="1:12" ht="15.75" x14ac:dyDescent="0.25">
      <c r="F136" s="11">
        <v>13</v>
      </c>
      <c r="G136" s="32" t="e">
        <v>#N/A</v>
      </c>
      <c r="H136" s="13" t="e">
        <v>#N/A</v>
      </c>
      <c r="I136" s="32" t="e">
        <v>#N/A</v>
      </c>
      <c r="J136" s="33"/>
      <c r="L136" s="45"/>
    </row>
    <row r="137" spans="1:12" ht="15.75" x14ac:dyDescent="0.25">
      <c r="A137" s="1"/>
      <c r="B137" s="1"/>
      <c r="F137" s="11">
        <v>14</v>
      </c>
      <c r="G137" s="32" t="e">
        <v>#N/A</v>
      </c>
      <c r="H137" s="13" t="e">
        <v>#N/A</v>
      </c>
      <c r="I137" s="32" t="e">
        <v>#N/A</v>
      </c>
      <c r="J137" s="33"/>
      <c r="L137" s="45"/>
    </row>
    <row r="138" spans="1:12" ht="15.75" x14ac:dyDescent="0.25">
      <c r="A138" s="1"/>
      <c r="B138" s="1"/>
      <c r="F138" s="11">
        <v>15</v>
      </c>
      <c r="G138" s="32" t="e">
        <v>#N/A</v>
      </c>
      <c r="H138" s="13" t="e">
        <v>#N/A</v>
      </c>
      <c r="I138" s="32" t="e">
        <v>#N/A</v>
      </c>
      <c r="J138" s="33"/>
      <c r="L138" s="45"/>
    </row>
    <row r="139" spans="1:12" ht="15.75" x14ac:dyDescent="0.25">
      <c r="A139" s="1"/>
      <c r="B139" s="1"/>
      <c r="F139" s="11">
        <v>16</v>
      </c>
      <c r="G139" s="32" t="e">
        <v>#N/A</v>
      </c>
      <c r="H139" s="13" t="e">
        <v>#N/A</v>
      </c>
      <c r="I139" s="32" t="e">
        <v>#N/A</v>
      </c>
      <c r="J139" s="33"/>
      <c r="L139" s="45"/>
    </row>
    <row r="140" spans="1:12" ht="16.5" thickBot="1" x14ac:dyDescent="0.3">
      <c r="A140" s="1"/>
      <c r="B140" s="1"/>
      <c r="F140" s="11">
        <v>17</v>
      </c>
      <c r="G140" s="32" t="e">
        <v>#N/A</v>
      </c>
      <c r="H140" s="13" t="e">
        <v>#N/A</v>
      </c>
      <c r="I140" s="32" t="e">
        <v>#N/A</v>
      </c>
      <c r="J140" s="33"/>
      <c r="L140" s="45"/>
    </row>
    <row r="141" spans="1:12" ht="16.5" thickBot="1" x14ac:dyDescent="0.3">
      <c r="A141" s="23">
        <v>28</v>
      </c>
      <c r="B141" s="28">
        <v>3</v>
      </c>
      <c r="C141" s="28" t="s">
        <v>3</v>
      </c>
      <c r="D141" s="28">
        <v>404</v>
      </c>
      <c r="E141" s="24" t="s">
        <v>27</v>
      </c>
      <c r="F141" s="29" t="s">
        <v>16</v>
      </c>
      <c r="G141" s="30"/>
      <c r="H141" s="30"/>
      <c r="I141" s="31">
        <v>1214.2</v>
      </c>
      <c r="J141" s="31">
        <v>112</v>
      </c>
      <c r="L141" s="45"/>
    </row>
    <row r="142" spans="1:12" ht="13.5" thickBot="1" x14ac:dyDescent="0.25">
      <c r="J142" s="48"/>
      <c r="L142" s="45"/>
    </row>
    <row r="143" spans="1:12" ht="16.5" thickBot="1" x14ac:dyDescent="0.3">
      <c r="A143" s="23">
        <v>30</v>
      </c>
      <c r="B143" s="28">
        <v>3</v>
      </c>
      <c r="C143" s="28" t="s">
        <v>3</v>
      </c>
      <c r="D143" s="28">
        <v>406</v>
      </c>
      <c r="E143" s="24" t="s">
        <v>28</v>
      </c>
      <c r="F143" s="12">
        <v>1</v>
      </c>
      <c r="G143" s="25">
        <v>106</v>
      </c>
      <c r="H143" s="26">
        <v>37727</v>
      </c>
      <c r="I143" s="25">
        <v>134</v>
      </c>
      <c r="J143" s="32"/>
      <c r="L143" s="45"/>
    </row>
    <row r="144" spans="1:12" ht="15.75" x14ac:dyDescent="0.25">
      <c r="A144" s="1"/>
      <c r="B144" s="1"/>
      <c r="F144" s="11">
        <v>2</v>
      </c>
      <c r="G144" s="32">
        <v>108</v>
      </c>
      <c r="H144" s="13">
        <v>37729</v>
      </c>
      <c r="I144" s="32">
        <v>75.8</v>
      </c>
      <c r="J144" s="49"/>
      <c r="L144" s="45"/>
    </row>
    <row r="145" spans="1:12" ht="15.75" x14ac:dyDescent="0.25">
      <c r="A145" s="1"/>
      <c r="B145" s="1"/>
      <c r="F145" s="11">
        <v>3</v>
      </c>
      <c r="G145" s="32">
        <v>112</v>
      </c>
      <c r="H145" s="13">
        <v>37733</v>
      </c>
      <c r="I145" s="32">
        <v>85.5</v>
      </c>
      <c r="J145" s="33"/>
      <c r="L145" s="45"/>
    </row>
    <row r="146" spans="1:12" ht="15.75" x14ac:dyDescent="0.25">
      <c r="A146" s="1"/>
      <c r="B146" s="1"/>
      <c r="F146" s="11">
        <v>4</v>
      </c>
      <c r="G146" s="32">
        <v>129</v>
      </c>
      <c r="H146" s="13">
        <v>37750</v>
      </c>
      <c r="I146" s="32">
        <v>82</v>
      </c>
      <c r="J146" s="33"/>
      <c r="L146" s="45"/>
    </row>
    <row r="147" spans="1:12" ht="15.75" x14ac:dyDescent="0.25">
      <c r="A147" s="1"/>
      <c r="B147" s="1"/>
      <c r="F147" s="11">
        <v>5</v>
      </c>
      <c r="G147" s="32">
        <v>148</v>
      </c>
      <c r="H147" s="13">
        <v>37769</v>
      </c>
      <c r="I147" s="32">
        <v>63</v>
      </c>
      <c r="J147" s="33">
        <v>56</v>
      </c>
      <c r="L147" s="45"/>
    </row>
    <row r="148" spans="1:12" ht="15.75" x14ac:dyDescent="0.25">
      <c r="A148" s="1"/>
      <c r="B148" s="1"/>
      <c r="F148" s="11">
        <v>6</v>
      </c>
      <c r="G148" s="32">
        <v>161</v>
      </c>
      <c r="H148" s="13">
        <v>37782</v>
      </c>
      <c r="I148" s="32">
        <v>85</v>
      </c>
      <c r="J148" s="33"/>
      <c r="L148" s="45"/>
    </row>
    <row r="149" spans="1:12" ht="15.75" x14ac:dyDescent="0.25">
      <c r="A149" s="1"/>
      <c r="B149" s="1"/>
      <c r="F149" s="11">
        <v>7</v>
      </c>
      <c r="G149" s="32">
        <v>174</v>
      </c>
      <c r="H149" s="13">
        <v>37795</v>
      </c>
      <c r="I149" s="32">
        <v>113</v>
      </c>
      <c r="J149" s="33"/>
      <c r="L149" s="45"/>
    </row>
    <row r="150" spans="1:12" ht="15.75" x14ac:dyDescent="0.25">
      <c r="A150" s="1"/>
      <c r="B150" s="1"/>
      <c r="F150" s="11">
        <v>8</v>
      </c>
      <c r="G150" s="32">
        <v>185</v>
      </c>
      <c r="H150" s="13">
        <v>37806</v>
      </c>
      <c r="I150" s="32">
        <v>123</v>
      </c>
      <c r="J150" s="33">
        <v>56</v>
      </c>
      <c r="L150" s="45"/>
    </row>
    <row r="151" spans="1:12" ht="15.75" x14ac:dyDescent="0.25">
      <c r="A151" s="1"/>
      <c r="B151" s="1"/>
      <c r="F151" s="11">
        <v>9</v>
      </c>
      <c r="G151" s="32">
        <v>195</v>
      </c>
      <c r="H151" s="13">
        <v>37816</v>
      </c>
      <c r="I151" s="32">
        <v>122</v>
      </c>
      <c r="J151" s="33"/>
      <c r="L151" s="45"/>
    </row>
    <row r="152" spans="1:12" ht="15.75" x14ac:dyDescent="0.25">
      <c r="A152" s="1"/>
      <c r="B152" s="1"/>
      <c r="F152" s="11">
        <v>10</v>
      </c>
      <c r="G152" s="32">
        <v>206</v>
      </c>
      <c r="H152" s="13">
        <v>37827</v>
      </c>
      <c r="I152" s="32">
        <v>125</v>
      </c>
      <c r="J152" s="33"/>
      <c r="L152" s="45"/>
    </row>
    <row r="153" spans="1:12" ht="15.75" x14ac:dyDescent="0.25">
      <c r="A153" s="1"/>
      <c r="B153" s="1"/>
      <c r="F153" s="11">
        <v>11</v>
      </c>
      <c r="G153" s="32">
        <v>219</v>
      </c>
      <c r="H153" s="13">
        <v>37840</v>
      </c>
      <c r="I153" s="32">
        <v>120</v>
      </c>
      <c r="J153" s="33"/>
      <c r="L153" s="45"/>
    </row>
    <row r="154" spans="1:12" ht="15.75" x14ac:dyDescent="0.25">
      <c r="A154" s="1"/>
      <c r="B154" s="1"/>
      <c r="F154" s="11">
        <v>12</v>
      </c>
      <c r="G154" s="32">
        <v>232</v>
      </c>
      <c r="H154" s="13">
        <v>37853</v>
      </c>
      <c r="I154" s="32">
        <v>107</v>
      </c>
      <c r="J154" s="33"/>
      <c r="L154" s="45"/>
    </row>
    <row r="155" spans="1:12" ht="15.75" x14ac:dyDescent="0.25">
      <c r="F155" s="11">
        <v>13</v>
      </c>
      <c r="G155" s="32" t="e">
        <v>#N/A</v>
      </c>
      <c r="H155" s="13" t="e">
        <v>#N/A</v>
      </c>
      <c r="I155" s="32" t="e">
        <v>#N/A</v>
      </c>
      <c r="J155" s="33"/>
      <c r="L155" s="45"/>
    </row>
    <row r="156" spans="1:12" ht="15.75" x14ac:dyDescent="0.25">
      <c r="A156" s="1"/>
      <c r="B156" s="1"/>
      <c r="F156" s="11">
        <v>14</v>
      </c>
      <c r="G156" s="32" t="e">
        <v>#N/A</v>
      </c>
      <c r="H156" s="13" t="e">
        <v>#N/A</v>
      </c>
      <c r="I156" s="32" t="e">
        <v>#N/A</v>
      </c>
      <c r="J156" s="33"/>
      <c r="L156" s="45"/>
    </row>
    <row r="157" spans="1:12" ht="15.75" x14ac:dyDescent="0.25">
      <c r="A157" s="1"/>
      <c r="B157" s="1"/>
      <c r="F157" s="11">
        <v>15</v>
      </c>
      <c r="G157" s="32" t="e">
        <v>#N/A</v>
      </c>
      <c r="H157" s="13" t="e">
        <v>#N/A</v>
      </c>
      <c r="I157" s="32" t="e">
        <v>#N/A</v>
      </c>
      <c r="J157" s="33"/>
      <c r="L157" s="45"/>
    </row>
    <row r="158" spans="1:12" ht="15.75" x14ac:dyDescent="0.25">
      <c r="A158" s="1"/>
      <c r="B158" s="1"/>
      <c r="F158" s="11">
        <v>16</v>
      </c>
      <c r="G158" s="32" t="e">
        <v>#N/A</v>
      </c>
      <c r="H158" s="13" t="e">
        <v>#N/A</v>
      </c>
      <c r="I158" s="32" t="e">
        <v>#N/A</v>
      </c>
      <c r="J158" s="33"/>
      <c r="L158" s="45"/>
    </row>
    <row r="159" spans="1:12" ht="16.5" thickBot="1" x14ac:dyDescent="0.3">
      <c r="A159" s="1"/>
      <c r="B159" s="1"/>
      <c r="F159" s="11">
        <v>17</v>
      </c>
      <c r="G159" s="32" t="e">
        <v>#N/A</v>
      </c>
      <c r="H159" s="13" t="e">
        <v>#N/A</v>
      </c>
      <c r="I159" s="32" t="e">
        <v>#N/A</v>
      </c>
      <c r="J159" s="33"/>
      <c r="L159" s="45"/>
    </row>
    <row r="160" spans="1:12" ht="16.5" thickBot="1" x14ac:dyDescent="0.3">
      <c r="A160" s="23">
        <v>30</v>
      </c>
      <c r="B160" s="28">
        <v>3</v>
      </c>
      <c r="C160" s="28" t="s">
        <v>3</v>
      </c>
      <c r="D160" s="28">
        <v>406</v>
      </c>
      <c r="E160" s="24" t="s">
        <v>28</v>
      </c>
      <c r="F160" s="29" t="s">
        <v>16</v>
      </c>
      <c r="G160" s="30"/>
      <c r="H160" s="30"/>
      <c r="I160" s="31">
        <v>1235.3</v>
      </c>
      <c r="J160" s="31">
        <v>112</v>
      </c>
      <c r="L160" s="45"/>
    </row>
    <row r="161" spans="1:15" ht="13.5" thickBot="1" x14ac:dyDescent="0.25">
      <c r="J161" s="48"/>
      <c r="L161" s="45"/>
    </row>
    <row r="162" spans="1:15" ht="16.5" thickBot="1" x14ac:dyDescent="0.3">
      <c r="A162" s="23">
        <v>2</v>
      </c>
      <c r="B162" s="28">
        <v>4</v>
      </c>
      <c r="C162" s="28" t="s">
        <v>4</v>
      </c>
      <c r="D162" s="28">
        <v>102</v>
      </c>
      <c r="E162" s="24" t="s">
        <v>24</v>
      </c>
      <c r="F162" s="12">
        <v>1</v>
      </c>
      <c r="G162" s="25">
        <v>106</v>
      </c>
      <c r="H162" s="26">
        <v>37727</v>
      </c>
      <c r="I162" s="25">
        <v>123</v>
      </c>
      <c r="J162" s="32"/>
      <c r="L162" s="44"/>
      <c r="M162" s="43"/>
      <c r="N162" s="43"/>
      <c r="O162" s="43"/>
    </row>
    <row r="163" spans="1:15" ht="15.75" x14ac:dyDescent="0.25">
      <c r="A163" s="1"/>
      <c r="B163" s="1"/>
      <c r="F163" s="11">
        <v>2</v>
      </c>
      <c r="G163" s="32">
        <v>108</v>
      </c>
      <c r="H163" s="13">
        <v>37729</v>
      </c>
      <c r="I163" s="32">
        <v>83</v>
      </c>
      <c r="J163" s="49"/>
      <c r="L163" s="44"/>
      <c r="M163" s="43"/>
      <c r="N163" s="43"/>
      <c r="O163" s="43"/>
    </row>
    <row r="164" spans="1:15" ht="15.75" x14ac:dyDescent="0.25">
      <c r="A164" s="1"/>
      <c r="B164" s="1"/>
      <c r="F164" s="11">
        <v>3</v>
      </c>
      <c r="G164" s="32">
        <v>112</v>
      </c>
      <c r="H164" s="13">
        <v>37733</v>
      </c>
      <c r="I164" s="32">
        <v>85.5</v>
      </c>
      <c r="J164" s="33"/>
      <c r="L164" s="44"/>
      <c r="M164" s="43"/>
      <c r="N164" s="43"/>
      <c r="O164" s="43"/>
    </row>
    <row r="165" spans="1:15" ht="15.75" x14ac:dyDescent="0.25">
      <c r="A165" s="1"/>
      <c r="B165" s="1"/>
      <c r="F165" s="11">
        <v>4</v>
      </c>
      <c r="G165" s="32">
        <v>129</v>
      </c>
      <c r="H165" s="13">
        <v>37750</v>
      </c>
      <c r="I165" s="32">
        <v>82</v>
      </c>
      <c r="J165" s="33"/>
      <c r="L165" s="44"/>
      <c r="M165" s="43"/>
      <c r="N165" s="43"/>
      <c r="O165" s="43"/>
    </row>
    <row r="166" spans="1:15" ht="15.75" x14ac:dyDescent="0.25">
      <c r="A166" s="1"/>
      <c r="B166" s="1"/>
      <c r="F166" s="11">
        <v>5</v>
      </c>
      <c r="G166" s="32">
        <v>148</v>
      </c>
      <c r="H166" s="13">
        <v>37769</v>
      </c>
      <c r="I166" s="32">
        <v>63</v>
      </c>
      <c r="J166" s="33"/>
      <c r="L166" s="44"/>
      <c r="M166" s="43"/>
      <c r="N166" s="43"/>
      <c r="O166" s="43"/>
    </row>
    <row r="167" spans="1:15" ht="15.75" x14ac:dyDescent="0.25">
      <c r="A167" s="1"/>
      <c r="B167" s="1"/>
      <c r="F167" s="11">
        <v>6</v>
      </c>
      <c r="G167" s="32">
        <v>161</v>
      </c>
      <c r="H167" s="13">
        <v>37782</v>
      </c>
      <c r="I167" s="32">
        <v>85</v>
      </c>
      <c r="J167" s="33"/>
      <c r="L167" s="45"/>
    </row>
    <row r="168" spans="1:15" ht="15.75" x14ac:dyDescent="0.25">
      <c r="A168" s="1"/>
      <c r="B168" s="1"/>
      <c r="F168" s="11">
        <v>7</v>
      </c>
      <c r="G168" s="32">
        <v>174</v>
      </c>
      <c r="H168" s="13">
        <v>37795</v>
      </c>
      <c r="I168" s="32">
        <v>113</v>
      </c>
      <c r="J168" s="33"/>
      <c r="L168" s="45"/>
    </row>
    <row r="169" spans="1:15" ht="15.75" x14ac:dyDescent="0.25">
      <c r="A169" s="1"/>
      <c r="B169" s="1"/>
      <c r="F169" s="11">
        <v>8</v>
      </c>
      <c r="G169" s="32">
        <v>185</v>
      </c>
      <c r="H169" s="13">
        <v>37806</v>
      </c>
      <c r="I169" s="32">
        <v>123</v>
      </c>
      <c r="J169" s="33"/>
      <c r="L169" s="45"/>
    </row>
    <row r="170" spans="1:15" ht="15.75" x14ac:dyDescent="0.25">
      <c r="A170" s="1"/>
      <c r="B170" s="1"/>
      <c r="F170" s="11">
        <v>9</v>
      </c>
      <c r="G170" s="32">
        <v>195</v>
      </c>
      <c r="H170" s="13">
        <v>37816</v>
      </c>
      <c r="I170" s="32">
        <v>122</v>
      </c>
      <c r="J170" s="33"/>
      <c r="L170" s="45"/>
    </row>
    <row r="171" spans="1:15" ht="15.75" x14ac:dyDescent="0.25">
      <c r="A171" s="1"/>
      <c r="B171" s="1"/>
      <c r="F171" s="11">
        <v>10</v>
      </c>
      <c r="G171" s="32">
        <v>206</v>
      </c>
      <c r="H171" s="13">
        <v>37827</v>
      </c>
      <c r="I171" s="32">
        <v>125</v>
      </c>
      <c r="J171" s="33"/>
      <c r="L171" s="45"/>
    </row>
    <row r="172" spans="1:15" ht="15.75" x14ac:dyDescent="0.25">
      <c r="A172" s="1"/>
      <c r="B172" s="1"/>
      <c r="F172" s="11">
        <v>11</v>
      </c>
      <c r="G172" s="32">
        <v>219</v>
      </c>
      <c r="H172" s="13">
        <v>37840</v>
      </c>
      <c r="I172" s="32">
        <v>120</v>
      </c>
      <c r="J172" s="33"/>
      <c r="L172" s="45"/>
    </row>
    <row r="173" spans="1:15" ht="15.75" x14ac:dyDescent="0.25">
      <c r="A173" s="1"/>
      <c r="B173" s="1"/>
      <c r="F173" s="11">
        <v>12</v>
      </c>
      <c r="G173" s="32">
        <v>232</v>
      </c>
      <c r="H173" s="13">
        <v>37853</v>
      </c>
      <c r="I173" s="32">
        <v>107</v>
      </c>
      <c r="J173" s="33"/>
      <c r="L173" s="45"/>
    </row>
    <row r="174" spans="1:15" ht="15.75" x14ac:dyDescent="0.25">
      <c r="F174" s="11">
        <v>13</v>
      </c>
      <c r="G174" s="32" t="e">
        <v>#N/A</v>
      </c>
      <c r="H174" s="13" t="e">
        <v>#N/A</v>
      </c>
      <c r="I174" s="32" t="e">
        <v>#N/A</v>
      </c>
      <c r="J174" s="33"/>
      <c r="L174" s="45"/>
    </row>
    <row r="175" spans="1:15" ht="15.75" x14ac:dyDescent="0.25">
      <c r="A175" s="1"/>
      <c r="B175" s="1"/>
      <c r="F175" s="11">
        <v>14</v>
      </c>
      <c r="G175" s="32" t="e">
        <v>#N/A</v>
      </c>
      <c r="H175" s="13" t="e">
        <v>#N/A</v>
      </c>
      <c r="I175" s="32" t="e">
        <v>#N/A</v>
      </c>
      <c r="J175" s="33"/>
      <c r="L175" s="45"/>
    </row>
    <row r="176" spans="1:15" ht="15.75" x14ac:dyDescent="0.25">
      <c r="A176" s="1"/>
      <c r="B176" s="1"/>
      <c r="F176" s="11">
        <v>15</v>
      </c>
      <c r="G176" s="32" t="e">
        <v>#N/A</v>
      </c>
      <c r="H176" s="13" t="e">
        <v>#N/A</v>
      </c>
      <c r="I176" s="32" t="e">
        <v>#N/A</v>
      </c>
      <c r="J176" s="33"/>
      <c r="L176" s="45"/>
    </row>
    <row r="177" spans="1:12" ht="15.75" x14ac:dyDescent="0.25">
      <c r="A177" s="1"/>
      <c r="B177" s="1"/>
      <c r="F177" s="11">
        <v>16</v>
      </c>
      <c r="G177" s="32" t="e">
        <v>#N/A</v>
      </c>
      <c r="H177" s="13" t="e">
        <v>#N/A</v>
      </c>
      <c r="I177" s="32" t="e">
        <v>#N/A</v>
      </c>
      <c r="J177" s="33"/>
      <c r="L177" s="45"/>
    </row>
    <row r="178" spans="1:12" ht="16.5" thickBot="1" x14ac:dyDescent="0.3">
      <c r="A178" s="1"/>
      <c r="B178" s="1"/>
      <c r="F178" s="11">
        <v>17</v>
      </c>
      <c r="G178" s="32" t="e">
        <v>#N/A</v>
      </c>
      <c r="H178" s="13" t="e">
        <v>#N/A</v>
      </c>
      <c r="I178" s="32" t="e">
        <v>#N/A</v>
      </c>
      <c r="J178" s="33"/>
      <c r="L178" s="45"/>
    </row>
    <row r="179" spans="1:12" ht="16.5" thickBot="1" x14ac:dyDescent="0.3">
      <c r="A179" s="23">
        <v>2</v>
      </c>
      <c r="B179" s="28">
        <v>4</v>
      </c>
      <c r="C179" s="28" t="s">
        <v>4</v>
      </c>
      <c r="D179" s="28">
        <v>102</v>
      </c>
      <c r="E179" s="24" t="s">
        <v>24</v>
      </c>
      <c r="F179" s="29" t="s">
        <v>16</v>
      </c>
      <c r="G179" s="30"/>
      <c r="H179" s="30"/>
      <c r="I179" s="31">
        <v>1231.5</v>
      </c>
      <c r="J179" s="31">
        <v>0</v>
      </c>
      <c r="L179" s="45"/>
    </row>
    <row r="180" spans="1:12" ht="13.5" thickBot="1" x14ac:dyDescent="0.25">
      <c r="J180" s="48"/>
      <c r="L180" s="45"/>
    </row>
    <row r="181" spans="1:12" ht="16.5" thickBot="1" x14ac:dyDescent="0.3">
      <c r="A181" s="23">
        <v>15</v>
      </c>
      <c r="B181" s="28">
        <v>4</v>
      </c>
      <c r="C181" s="28" t="s">
        <v>4</v>
      </c>
      <c r="D181" s="28">
        <v>207</v>
      </c>
      <c r="E181" s="24" t="s">
        <v>26</v>
      </c>
      <c r="F181" s="12">
        <v>1</v>
      </c>
      <c r="G181" s="25">
        <v>106</v>
      </c>
      <c r="H181" s="26">
        <v>37727</v>
      </c>
      <c r="I181" s="25">
        <v>145</v>
      </c>
      <c r="J181" s="32"/>
      <c r="L181" s="45"/>
    </row>
    <row r="182" spans="1:12" ht="15.75" x14ac:dyDescent="0.25">
      <c r="A182" s="1"/>
      <c r="B182" s="1"/>
      <c r="F182" s="11">
        <v>2</v>
      </c>
      <c r="G182" s="32">
        <v>108</v>
      </c>
      <c r="H182" s="13">
        <v>37729</v>
      </c>
      <c r="I182" s="32">
        <v>68</v>
      </c>
      <c r="J182" s="49"/>
      <c r="L182" s="45"/>
    </row>
    <row r="183" spans="1:12" ht="15.75" x14ac:dyDescent="0.25">
      <c r="A183" s="1"/>
      <c r="B183" s="1"/>
      <c r="F183" s="11">
        <v>3</v>
      </c>
      <c r="G183" s="32">
        <v>112</v>
      </c>
      <c r="H183" s="13">
        <v>37733</v>
      </c>
      <c r="I183" s="32">
        <v>64.5</v>
      </c>
      <c r="J183" s="33"/>
      <c r="L183" s="45"/>
    </row>
    <row r="184" spans="1:12" ht="15.75" x14ac:dyDescent="0.25">
      <c r="A184" s="1"/>
      <c r="B184" s="1"/>
      <c r="F184" s="11">
        <v>4</v>
      </c>
      <c r="G184" s="32">
        <v>129</v>
      </c>
      <c r="H184" s="13">
        <v>37750</v>
      </c>
      <c r="I184" s="32">
        <v>82</v>
      </c>
      <c r="J184" s="33"/>
      <c r="L184" s="45"/>
    </row>
    <row r="185" spans="1:12" ht="15.75" x14ac:dyDescent="0.25">
      <c r="A185" s="1"/>
      <c r="B185" s="1"/>
      <c r="F185" s="11">
        <v>5</v>
      </c>
      <c r="G185" s="32">
        <v>148</v>
      </c>
      <c r="H185" s="13">
        <v>37769</v>
      </c>
      <c r="I185" s="32">
        <v>63</v>
      </c>
      <c r="J185" s="33"/>
      <c r="L185" s="45"/>
    </row>
    <row r="186" spans="1:12" ht="15.75" x14ac:dyDescent="0.25">
      <c r="A186" s="1"/>
      <c r="B186" s="1"/>
      <c r="F186" s="11">
        <v>6</v>
      </c>
      <c r="G186" s="32">
        <v>161</v>
      </c>
      <c r="H186" s="13">
        <v>37782</v>
      </c>
      <c r="I186" s="32">
        <v>85</v>
      </c>
      <c r="J186" s="33"/>
      <c r="L186" s="45"/>
    </row>
    <row r="187" spans="1:12" ht="15.75" x14ac:dyDescent="0.25">
      <c r="A187" s="1"/>
      <c r="B187" s="1"/>
      <c r="F187" s="11">
        <v>7</v>
      </c>
      <c r="G187" s="32">
        <v>174</v>
      </c>
      <c r="H187" s="13">
        <v>37795</v>
      </c>
      <c r="I187" s="32">
        <v>113</v>
      </c>
      <c r="J187" s="33"/>
      <c r="L187" s="45"/>
    </row>
    <row r="188" spans="1:12" ht="15.75" x14ac:dyDescent="0.25">
      <c r="A188" s="1"/>
      <c r="B188" s="1"/>
      <c r="F188" s="11">
        <v>8</v>
      </c>
      <c r="G188" s="32">
        <v>185</v>
      </c>
      <c r="H188" s="13">
        <v>37806</v>
      </c>
      <c r="I188" s="32">
        <v>123</v>
      </c>
      <c r="J188" s="33"/>
      <c r="L188" s="45"/>
    </row>
    <row r="189" spans="1:12" ht="15.75" x14ac:dyDescent="0.25">
      <c r="A189" s="1"/>
      <c r="B189" s="1"/>
      <c r="F189" s="11">
        <v>9</v>
      </c>
      <c r="G189" s="32">
        <v>195</v>
      </c>
      <c r="H189" s="13">
        <v>37816</v>
      </c>
      <c r="I189" s="32">
        <v>122</v>
      </c>
      <c r="J189" s="33"/>
      <c r="L189" s="45"/>
    </row>
    <row r="190" spans="1:12" ht="15.75" x14ac:dyDescent="0.25">
      <c r="A190" s="1"/>
      <c r="B190" s="1"/>
      <c r="F190" s="11">
        <v>10</v>
      </c>
      <c r="G190" s="32">
        <v>206</v>
      </c>
      <c r="H190" s="13">
        <v>37827</v>
      </c>
      <c r="I190" s="32">
        <v>128</v>
      </c>
      <c r="J190" s="33"/>
      <c r="L190" s="45"/>
    </row>
    <row r="191" spans="1:12" ht="15.75" x14ac:dyDescent="0.25">
      <c r="A191" s="1"/>
      <c r="B191" s="1"/>
      <c r="F191" s="11">
        <v>11</v>
      </c>
      <c r="G191" s="32">
        <v>219</v>
      </c>
      <c r="H191" s="13">
        <v>37840</v>
      </c>
      <c r="I191" s="32">
        <v>120</v>
      </c>
      <c r="J191" s="33"/>
      <c r="L191" s="45"/>
    </row>
    <row r="192" spans="1:12" ht="15.75" x14ac:dyDescent="0.25">
      <c r="A192" s="1"/>
      <c r="B192" s="1"/>
      <c r="F192" s="11">
        <v>12</v>
      </c>
      <c r="G192" s="32">
        <v>232</v>
      </c>
      <c r="H192" s="13">
        <v>37853</v>
      </c>
      <c r="I192" s="32">
        <v>107</v>
      </c>
      <c r="J192" s="33"/>
      <c r="L192" s="45"/>
    </row>
    <row r="193" spans="1:12" ht="15.75" x14ac:dyDescent="0.25">
      <c r="F193" s="11">
        <v>13</v>
      </c>
      <c r="G193" s="32" t="e">
        <v>#N/A</v>
      </c>
      <c r="H193" s="13" t="e">
        <v>#N/A</v>
      </c>
      <c r="I193" s="32" t="e">
        <v>#N/A</v>
      </c>
      <c r="J193" s="33"/>
      <c r="L193" s="45"/>
    </row>
    <row r="194" spans="1:12" ht="15.75" x14ac:dyDescent="0.25">
      <c r="A194" s="1"/>
      <c r="B194" s="1"/>
      <c r="F194" s="11">
        <v>14</v>
      </c>
      <c r="G194" s="32" t="e">
        <v>#N/A</v>
      </c>
      <c r="H194" s="13" t="e">
        <v>#N/A</v>
      </c>
      <c r="I194" s="32" t="e">
        <v>#N/A</v>
      </c>
      <c r="J194" s="33"/>
      <c r="L194" s="45"/>
    </row>
    <row r="195" spans="1:12" ht="15.75" x14ac:dyDescent="0.25">
      <c r="A195" s="1"/>
      <c r="B195" s="1"/>
      <c r="F195" s="11">
        <v>15</v>
      </c>
      <c r="G195" s="32" t="e">
        <v>#N/A</v>
      </c>
      <c r="H195" s="13" t="e">
        <v>#N/A</v>
      </c>
      <c r="I195" s="32" t="e">
        <v>#N/A</v>
      </c>
      <c r="J195" s="33"/>
      <c r="L195" s="45"/>
    </row>
    <row r="196" spans="1:12" ht="15.75" x14ac:dyDescent="0.25">
      <c r="A196" s="1"/>
      <c r="B196" s="1"/>
      <c r="F196" s="11">
        <v>16</v>
      </c>
      <c r="G196" s="32" t="e">
        <v>#N/A</v>
      </c>
      <c r="H196" s="13" t="e">
        <v>#N/A</v>
      </c>
      <c r="I196" s="32" t="e">
        <v>#N/A</v>
      </c>
      <c r="J196" s="33"/>
      <c r="L196" s="45"/>
    </row>
    <row r="197" spans="1:12" ht="16.5" thickBot="1" x14ac:dyDescent="0.3">
      <c r="A197" s="1"/>
      <c r="B197" s="1"/>
      <c r="F197" s="11">
        <v>17</v>
      </c>
      <c r="G197" s="32" t="e">
        <v>#N/A</v>
      </c>
      <c r="H197" s="13" t="e">
        <v>#N/A</v>
      </c>
      <c r="I197" s="32" t="e">
        <v>#N/A</v>
      </c>
      <c r="J197" s="33"/>
      <c r="L197" s="45"/>
    </row>
    <row r="198" spans="1:12" ht="16.5" thickBot="1" x14ac:dyDescent="0.3">
      <c r="A198" s="23">
        <v>15</v>
      </c>
      <c r="B198" s="28">
        <v>4</v>
      </c>
      <c r="C198" s="28" t="s">
        <v>4</v>
      </c>
      <c r="D198" s="28">
        <v>207</v>
      </c>
      <c r="E198" s="24" t="s">
        <v>26</v>
      </c>
      <c r="F198" s="29" t="s">
        <v>16</v>
      </c>
      <c r="G198" s="30"/>
      <c r="H198" s="30"/>
      <c r="I198" s="31">
        <v>1220.5</v>
      </c>
      <c r="J198" s="31">
        <v>0</v>
      </c>
      <c r="L198" s="45"/>
    </row>
    <row r="199" spans="1:12" ht="13.5" thickBot="1" x14ac:dyDescent="0.25">
      <c r="J199" s="48"/>
      <c r="L199" s="45"/>
    </row>
    <row r="200" spans="1:12" ht="16.5" thickBot="1" x14ac:dyDescent="0.3">
      <c r="A200" s="23">
        <v>18</v>
      </c>
      <c r="B200" s="28">
        <v>4</v>
      </c>
      <c r="C200" s="28" t="s">
        <v>4</v>
      </c>
      <c r="D200" s="28">
        <v>302</v>
      </c>
      <c r="E200" s="24" t="s">
        <v>27</v>
      </c>
      <c r="F200" s="12">
        <v>1</v>
      </c>
      <c r="G200" s="25">
        <v>106</v>
      </c>
      <c r="H200" s="26">
        <v>37727</v>
      </c>
      <c r="I200" s="25">
        <v>151.5</v>
      </c>
      <c r="J200" s="32"/>
      <c r="L200" s="45"/>
    </row>
    <row r="201" spans="1:12" ht="15.75" x14ac:dyDescent="0.25">
      <c r="A201" s="1"/>
      <c r="B201" s="1"/>
      <c r="F201" s="11">
        <v>2</v>
      </c>
      <c r="G201" s="32">
        <v>108</v>
      </c>
      <c r="H201" s="13">
        <v>37729</v>
      </c>
      <c r="I201" s="32">
        <v>64.5</v>
      </c>
      <c r="J201" s="49"/>
      <c r="L201" s="45"/>
    </row>
    <row r="202" spans="1:12" ht="15.75" x14ac:dyDescent="0.25">
      <c r="A202" s="1"/>
      <c r="B202" s="1"/>
      <c r="F202" s="11">
        <v>3</v>
      </c>
      <c r="G202" s="32">
        <v>112</v>
      </c>
      <c r="H202" s="13">
        <v>37733</v>
      </c>
      <c r="I202" s="32">
        <v>67</v>
      </c>
      <c r="J202" s="33"/>
      <c r="L202" s="45"/>
    </row>
    <row r="203" spans="1:12" ht="15.75" x14ac:dyDescent="0.25">
      <c r="A203" s="1"/>
      <c r="B203" s="1"/>
      <c r="F203" s="11">
        <v>4</v>
      </c>
      <c r="G203" s="32">
        <v>129</v>
      </c>
      <c r="H203" s="13">
        <v>37750</v>
      </c>
      <c r="I203" s="32">
        <v>82</v>
      </c>
      <c r="J203" s="33"/>
      <c r="L203" s="45"/>
    </row>
    <row r="204" spans="1:12" ht="15.75" x14ac:dyDescent="0.25">
      <c r="A204" s="1"/>
      <c r="B204" s="1"/>
      <c r="F204" s="11">
        <v>5</v>
      </c>
      <c r="G204" s="32">
        <v>148</v>
      </c>
      <c r="H204" s="13">
        <v>37769</v>
      </c>
      <c r="I204" s="32">
        <v>63</v>
      </c>
      <c r="J204" s="33"/>
      <c r="L204" s="45"/>
    </row>
    <row r="205" spans="1:12" ht="15.75" x14ac:dyDescent="0.25">
      <c r="A205" s="1"/>
      <c r="B205" s="1"/>
      <c r="F205" s="11">
        <v>6</v>
      </c>
      <c r="G205" s="32">
        <v>161</v>
      </c>
      <c r="H205" s="13">
        <v>37782</v>
      </c>
      <c r="I205" s="32">
        <v>85</v>
      </c>
      <c r="J205" s="33"/>
      <c r="L205" s="45"/>
    </row>
    <row r="206" spans="1:12" ht="15.75" x14ac:dyDescent="0.25">
      <c r="A206" s="1"/>
      <c r="B206" s="1"/>
      <c r="F206" s="11">
        <v>7</v>
      </c>
      <c r="G206" s="32">
        <v>174</v>
      </c>
      <c r="H206" s="13">
        <v>37795</v>
      </c>
      <c r="I206" s="32">
        <v>113</v>
      </c>
      <c r="J206" s="33"/>
      <c r="L206" s="45"/>
    </row>
    <row r="207" spans="1:12" ht="15.75" x14ac:dyDescent="0.25">
      <c r="A207" s="1"/>
      <c r="B207" s="1"/>
      <c r="F207" s="11">
        <v>8</v>
      </c>
      <c r="G207" s="32">
        <v>185</v>
      </c>
      <c r="H207" s="13">
        <v>37806</v>
      </c>
      <c r="I207" s="32">
        <v>123</v>
      </c>
      <c r="J207" s="33"/>
      <c r="L207" s="45"/>
    </row>
    <row r="208" spans="1:12" ht="15.75" x14ac:dyDescent="0.25">
      <c r="A208" s="1"/>
      <c r="B208" s="1"/>
      <c r="F208" s="11">
        <v>9</v>
      </c>
      <c r="G208" s="32">
        <v>195</v>
      </c>
      <c r="H208" s="13">
        <v>37816</v>
      </c>
      <c r="I208" s="32">
        <v>122</v>
      </c>
      <c r="J208" s="33"/>
      <c r="L208" s="45"/>
    </row>
    <row r="209" spans="1:12" ht="15.75" x14ac:dyDescent="0.25">
      <c r="A209" s="1"/>
      <c r="B209" s="1"/>
      <c r="F209" s="11">
        <v>10</v>
      </c>
      <c r="G209" s="32">
        <v>206</v>
      </c>
      <c r="H209" s="13">
        <v>37827</v>
      </c>
      <c r="I209" s="32">
        <v>125</v>
      </c>
      <c r="J209" s="33"/>
      <c r="L209" s="45"/>
    </row>
    <row r="210" spans="1:12" ht="15.75" x14ac:dyDescent="0.25">
      <c r="A210" s="1"/>
      <c r="B210" s="1"/>
      <c r="F210" s="11">
        <v>11</v>
      </c>
      <c r="G210" s="32">
        <v>219</v>
      </c>
      <c r="H210" s="13">
        <v>37840</v>
      </c>
      <c r="I210" s="32">
        <v>120</v>
      </c>
      <c r="J210" s="33"/>
      <c r="L210" s="45"/>
    </row>
    <row r="211" spans="1:12" ht="15.75" x14ac:dyDescent="0.25">
      <c r="A211" s="1"/>
      <c r="B211" s="1"/>
      <c r="F211" s="11">
        <v>12</v>
      </c>
      <c r="G211" s="32">
        <v>232</v>
      </c>
      <c r="H211" s="13">
        <v>37853</v>
      </c>
      <c r="I211" s="32">
        <v>107</v>
      </c>
      <c r="J211" s="33"/>
      <c r="L211" s="45"/>
    </row>
    <row r="212" spans="1:12" ht="15.75" x14ac:dyDescent="0.25">
      <c r="F212" s="11">
        <v>13</v>
      </c>
      <c r="G212" s="32" t="e">
        <v>#N/A</v>
      </c>
      <c r="H212" s="13" t="e">
        <v>#N/A</v>
      </c>
      <c r="I212" s="32" t="e">
        <v>#N/A</v>
      </c>
      <c r="J212" s="33"/>
      <c r="L212" s="45"/>
    </row>
    <row r="213" spans="1:12" ht="15.75" x14ac:dyDescent="0.25">
      <c r="A213" s="1"/>
      <c r="B213" s="1"/>
      <c r="F213" s="11">
        <v>14</v>
      </c>
      <c r="G213" s="32" t="e">
        <v>#N/A</v>
      </c>
      <c r="H213" s="13" t="e">
        <v>#N/A</v>
      </c>
      <c r="I213" s="32" t="e">
        <v>#N/A</v>
      </c>
      <c r="J213" s="33"/>
      <c r="L213" s="45"/>
    </row>
    <row r="214" spans="1:12" ht="15.75" x14ac:dyDescent="0.25">
      <c r="A214" s="1"/>
      <c r="B214" s="1"/>
      <c r="F214" s="11">
        <v>15</v>
      </c>
      <c r="G214" s="32" t="e">
        <v>#N/A</v>
      </c>
      <c r="H214" s="13" t="e">
        <v>#N/A</v>
      </c>
      <c r="I214" s="32" t="e">
        <v>#N/A</v>
      </c>
      <c r="J214" s="33"/>
      <c r="L214" s="45"/>
    </row>
    <row r="215" spans="1:12" ht="15.75" x14ac:dyDescent="0.25">
      <c r="A215" s="1"/>
      <c r="B215" s="1"/>
      <c r="F215" s="11">
        <v>16</v>
      </c>
      <c r="G215" s="32" t="e">
        <v>#N/A</v>
      </c>
      <c r="H215" s="13" t="e">
        <v>#N/A</v>
      </c>
      <c r="I215" s="32" t="e">
        <v>#N/A</v>
      </c>
      <c r="J215" s="33"/>
      <c r="L215" s="45"/>
    </row>
    <row r="216" spans="1:12" ht="16.5" thickBot="1" x14ac:dyDescent="0.3">
      <c r="A216" s="1"/>
      <c r="B216" s="1"/>
      <c r="F216" s="11">
        <v>17</v>
      </c>
      <c r="G216" s="32" t="e">
        <v>#N/A</v>
      </c>
      <c r="H216" s="13" t="e">
        <v>#N/A</v>
      </c>
      <c r="I216" s="32" t="e">
        <v>#N/A</v>
      </c>
      <c r="J216" s="33"/>
      <c r="L216" s="45"/>
    </row>
    <row r="217" spans="1:12" ht="16.5" thickBot="1" x14ac:dyDescent="0.3">
      <c r="A217" s="23">
        <v>18</v>
      </c>
      <c r="B217" s="28">
        <v>4</v>
      </c>
      <c r="C217" s="28" t="s">
        <v>4</v>
      </c>
      <c r="D217" s="28">
        <v>302</v>
      </c>
      <c r="E217" s="24" t="s">
        <v>27</v>
      </c>
      <c r="F217" s="29" t="s">
        <v>16</v>
      </c>
      <c r="G217" s="30"/>
      <c r="H217" s="30"/>
      <c r="I217" s="31">
        <v>1223</v>
      </c>
      <c r="J217" s="31">
        <v>0</v>
      </c>
      <c r="L217" s="45"/>
    </row>
    <row r="218" spans="1:12" ht="13.5" thickBot="1" x14ac:dyDescent="0.25">
      <c r="J218" s="48"/>
      <c r="L218" s="45"/>
    </row>
    <row r="219" spans="1:12" ht="16.5" thickBot="1" x14ac:dyDescent="0.3">
      <c r="A219" s="23">
        <v>22</v>
      </c>
      <c r="B219" s="28">
        <v>4</v>
      </c>
      <c r="C219" s="28" t="s">
        <v>4</v>
      </c>
      <c r="D219" s="28">
        <v>306</v>
      </c>
      <c r="E219" s="24" t="s">
        <v>28</v>
      </c>
      <c r="F219" s="12">
        <v>1</v>
      </c>
      <c r="G219" s="25">
        <v>106</v>
      </c>
      <c r="H219" s="26">
        <v>37727</v>
      </c>
      <c r="I219" s="25">
        <v>133</v>
      </c>
      <c r="J219" s="32"/>
      <c r="L219" s="45"/>
    </row>
    <row r="220" spans="1:12" ht="15.75" x14ac:dyDescent="0.25">
      <c r="A220" s="1"/>
      <c r="B220" s="1"/>
      <c r="F220" s="11">
        <v>2</v>
      </c>
      <c r="G220" s="32">
        <v>108</v>
      </c>
      <c r="H220" s="13">
        <v>37729</v>
      </c>
      <c r="I220" s="32">
        <v>69</v>
      </c>
      <c r="J220" s="49"/>
      <c r="L220" s="45"/>
    </row>
    <row r="221" spans="1:12" ht="15.75" x14ac:dyDescent="0.25">
      <c r="A221" s="1"/>
      <c r="B221" s="1"/>
      <c r="F221" s="11">
        <v>3</v>
      </c>
      <c r="G221" s="32">
        <v>112</v>
      </c>
      <c r="H221" s="13">
        <v>37733</v>
      </c>
      <c r="I221" s="32">
        <v>59</v>
      </c>
      <c r="J221" s="33"/>
      <c r="L221" s="45"/>
    </row>
    <row r="222" spans="1:12" ht="15.75" x14ac:dyDescent="0.25">
      <c r="A222" s="1"/>
      <c r="B222" s="1"/>
      <c r="F222" s="11">
        <v>4</v>
      </c>
      <c r="G222" s="32">
        <v>129</v>
      </c>
      <c r="H222" s="13">
        <v>37750</v>
      </c>
      <c r="I222" s="32">
        <v>82</v>
      </c>
      <c r="J222" s="33"/>
      <c r="L222" s="45"/>
    </row>
    <row r="223" spans="1:12" ht="15.75" x14ac:dyDescent="0.25">
      <c r="A223" s="1"/>
      <c r="B223" s="1"/>
      <c r="F223" s="11">
        <v>5</v>
      </c>
      <c r="G223" s="32">
        <v>148</v>
      </c>
      <c r="H223" s="13">
        <v>37769</v>
      </c>
      <c r="I223" s="32">
        <v>63</v>
      </c>
      <c r="J223" s="33"/>
      <c r="L223" s="45"/>
    </row>
    <row r="224" spans="1:12" ht="15.75" x14ac:dyDescent="0.25">
      <c r="A224" s="1"/>
      <c r="B224" s="1"/>
      <c r="F224" s="11">
        <v>6</v>
      </c>
      <c r="G224" s="32">
        <v>161</v>
      </c>
      <c r="H224" s="13">
        <v>37782</v>
      </c>
      <c r="I224" s="32">
        <v>85</v>
      </c>
      <c r="J224" s="33"/>
      <c r="L224" s="45"/>
    </row>
    <row r="225" spans="1:15" ht="15.75" x14ac:dyDescent="0.25">
      <c r="A225" s="1"/>
      <c r="B225" s="1"/>
      <c r="F225" s="11">
        <v>7</v>
      </c>
      <c r="G225" s="32">
        <v>174</v>
      </c>
      <c r="H225" s="13">
        <v>37795</v>
      </c>
      <c r="I225" s="32">
        <v>113</v>
      </c>
      <c r="J225" s="33"/>
      <c r="L225" s="45"/>
    </row>
    <row r="226" spans="1:15" ht="15.75" x14ac:dyDescent="0.25">
      <c r="A226" s="1"/>
      <c r="B226" s="1"/>
      <c r="F226" s="11">
        <v>8</v>
      </c>
      <c r="G226" s="32">
        <v>185</v>
      </c>
      <c r="H226" s="13">
        <v>37806</v>
      </c>
      <c r="I226" s="32">
        <v>123</v>
      </c>
      <c r="J226" s="33"/>
      <c r="L226" s="45"/>
    </row>
    <row r="227" spans="1:15" ht="15.75" x14ac:dyDescent="0.25">
      <c r="A227" s="1"/>
      <c r="B227" s="1"/>
      <c r="F227" s="11">
        <v>9</v>
      </c>
      <c r="G227" s="32">
        <v>195</v>
      </c>
      <c r="H227" s="13">
        <v>37816</v>
      </c>
      <c r="I227" s="32">
        <v>122</v>
      </c>
      <c r="J227" s="33"/>
      <c r="L227" s="45"/>
    </row>
    <row r="228" spans="1:15" ht="15.75" x14ac:dyDescent="0.25">
      <c r="A228" s="1"/>
      <c r="B228" s="1"/>
      <c r="F228" s="11">
        <v>10</v>
      </c>
      <c r="G228" s="32">
        <v>206</v>
      </c>
      <c r="H228" s="13">
        <v>37827</v>
      </c>
      <c r="I228" s="32">
        <v>125</v>
      </c>
      <c r="J228" s="33"/>
      <c r="L228" s="45"/>
    </row>
    <row r="229" spans="1:15" ht="15.75" x14ac:dyDescent="0.25">
      <c r="A229" s="1"/>
      <c r="B229" s="1"/>
      <c r="F229" s="11">
        <v>11</v>
      </c>
      <c r="G229" s="32">
        <v>219</v>
      </c>
      <c r="H229" s="13">
        <v>37840</v>
      </c>
      <c r="I229" s="32">
        <v>120</v>
      </c>
      <c r="J229" s="33"/>
      <c r="L229" s="45"/>
    </row>
    <row r="230" spans="1:15" ht="15.75" x14ac:dyDescent="0.25">
      <c r="A230" s="1"/>
      <c r="B230" s="1"/>
      <c r="F230" s="11">
        <v>12</v>
      </c>
      <c r="G230" s="32">
        <v>232</v>
      </c>
      <c r="H230" s="13">
        <v>37853</v>
      </c>
      <c r="I230" s="32">
        <v>107</v>
      </c>
      <c r="J230" s="33"/>
      <c r="L230" s="45"/>
    </row>
    <row r="231" spans="1:15" ht="15.75" x14ac:dyDescent="0.25">
      <c r="F231" s="11">
        <v>13</v>
      </c>
      <c r="G231" s="32" t="e">
        <v>#N/A</v>
      </c>
      <c r="H231" s="13" t="e">
        <v>#N/A</v>
      </c>
      <c r="I231" s="32" t="e">
        <v>#N/A</v>
      </c>
      <c r="J231" s="33"/>
      <c r="L231" s="45"/>
    </row>
    <row r="232" spans="1:15" ht="15.75" x14ac:dyDescent="0.25">
      <c r="A232" s="1"/>
      <c r="B232" s="1"/>
      <c r="F232" s="11">
        <v>14</v>
      </c>
      <c r="G232" s="32" t="e">
        <v>#N/A</v>
      </c>
      <c r="H232" s="13" t="e">
        <v>#N/A</v>
      </c>
      <c r="I232" s="32" t="e">
        <v>#N/A</v>
      </c>
      <c r="J232" s="33"/>
      <c r="L232" s="45"/>
    </row>
    <row r="233" spans="1:15" ht="15.75" x14ac:dyDescent="0.25">
      <c r="A233" s="1"/>
      <c r="B233" s="1"/>
      <c r="F233" s="11">
        <v>15</v>
      </c>
      <c r="G233" s="32" t="e">
        <v>#N/A</v>
      </c>
      <c r="H233" s="13" t="e">
        <v>#N/A</v>
      </c>
      <c r="I233" s="32" t="e">
        <v>#N/A</v>
      </c>
      <c r="J233" s="33"/>
      <c r="L233" s="45"/>
    </row>
    <row r="234" spans="1:15" ht="15.75" x14ac:dyDescent="0.25">
      <c r="A234" s="1"/>
      <c r="B234" s="1"/>
      <c r="F234" s="11">
        <v>16</v>
      </c>
      <c r="G234" s="32" t="e">
        <v>#N/A</v>
      </c>
      <c r="H234" s="13" t="e">
        <v>#N/A</v>
      </c>
      <c r="I234" s="32" t="e">
        <v>#N/A</v>
      </c>
      <c r="J234" s="33"/>
      <c r="L234" s="45"/>
    </row>
    <row r="235" spans="1:15" ht="16.5" thickBot="1" x14ac:dyDescent="0.3">
      <c r="A235" s="1"/>
      <c r="B235" s="1"/>
      <c r="F235" s="11">
        <v>17</v>
      </c>
      <c r="G235" s="32" t="e">
        <v>#N/A</v>
      </c>
      <c r="H235" s="13" t="e">
        <v>#N/A</v>
      </c>
      <c r="I235" s="32" t="e">
        <v>#N/A</v>
      </c>
      <c r="J235" s="33"/>
      <c r="L235" s="45"/>
    </row>
    <row r="236" spans="1:15" ht="16.5" thickBot="1" x14ac:dyDescent="0.3">
      <c r="A236" s="23">
        <v>18</v>
      </c>
      <c r="B236" s="28">
        <v>4</v>
      </c>
      <c r="C236" s="28" t="s">
        <v>4</v>
      </c>
      <c r="D236" s="28">
        <v>302</v>
      </c>
      <c r="E236" s="24" t="s">
        <v>27</v>
      </c>
      <c r="F236" s="29" t="s">
        <v>16</v>
      </c>
      <c r="G236" s="30"/>
      <c r="H236" s="30"/>
      <c r="I236" s="31">
        <v>1201</v>
      </c>
      <c r="J236" s="31">
        <v>0</v>
      </c>
      <c r="L236" s="45"/>
    </row>
    <row r="237" spans="1:15" ht="13.5" thickBot="1" x14ac:dyDescent="0.25">
      <c r="J237" s="48"/>
      <c r="L237" s="45"/>
    </row>
    <row r="238" spans="1:15" ht="16.5" thickBot="1" x14ac:dyDescent="0.3">
      <c r="A238" s="23">
        <v>3</v>
      </c>
      <c r="B238" s="28">
        <v>5</v>
      </c>
      <c r="C238" s="28" t="s">
        <v>5</v>
      </c>
      <c r="D238" s="28">
        <v>103</v>
      </c>
      <c r="E238" s="24" t="s">
        <v>24</v>
      </c>
      <c r="F238" s="12">
        <v>1</v>
      </c>
      <c r="G238" s="25">
        <v>106</v>
      </c>
      <c r="H238" s="26">
        <v>37727</v>
      </c>
      <c r="I238" s="25">
        <v>125</v>
      </c>
      <c r="J238" s="32"/>
      <c r="L238" s="44"/>
      <c r="M238" s="43"/>
      <c r="N238" s="43"/>
      <c r="O238" s="43"/>
    </row>
    <row r="239" spans="1:15" ht="15.75" x14ac:dyDescent="0.25">
      <c r="A239" s="1"/>
      <c r="B239" s="1"/>
      <c r="F239" s="11">
        <v>2</v>
      </c>
      <c r="G239" s="32">
        <v>108</v>
      </c>
      <c r="H239" s="13">
        <v>37729</v>
      </c>
      <c r="I239" s="32">
        <v>92</v>
      </c>
      <c r="J239" s="49"/>
      <c r="L239" s="44"/>
      <c r="M239" s="43"/>
      <c r="N239" s="43"/>
      <c r="O239" s="43"/>
    </row>
    <row r="240" spans="1:15" ht="15.75" x14ac:dyDescent="0.25">
      <c r="A240" s="1"/>
      <c r="B240" s="1"/>
      <c r="F240" s="11">
        <v>3</v>
      </c>
      <c r="G240" s="32">
        <v>112</v>
      </c>
      <c r="H240" s="13">
        <v>37733</v>
      </c>
      <c r="I240" s="32">
        <v>59.7</v>
      </c>
      <c r="J240" s="33"/>
      <c r="L240" s="44"/>
      <c r="M240" s="43"/>
      <c r="N240" s="43"/>
      <c r="O240" s="43"/>
    </row>
    <row r="241" spans="1:15" ht="15.75" x14ac:dyDescent="0.25">
      <c r="A241" s="1"/>
      <c r="B241" s="1"/>
      <c r="F241" s="11">
        <v>4</v>
      </c>
      <c r="G241" s="32">
        <v>129</v>
      </c>
      <c r="H241" s="13">
        <v>37750</v>
      </c>
      <c r="I241" s="32">
        <v>84</v>
      </c>
      <c r="J241" s="33"/>
      <c r="L241" s="44"/>
      <c r="M241" s="43"/>
      <c r="N241" s="43"/>
      <c r="O241" s="43"/>
    </row>
    <row r="242" spans="1:15" ht="15.75" x14ac:dyDescent="0.25">
      <c r="A242" s="1"/>
      <c r="B242" s="1"/>
      <c r="F242" s="11">
        <v>5</v>
      </c>
      <c r="G242" s="32">
        <v>148</v>
      </c>
      <c r="H242" s="13">
        <v>37769</v>
      </c>
      <c r="I242" s="32">
        <v>63</v>
      </c>
      <c r="J242" s="33">
        <v>56</v>
      </c>
      <c r="L242" s="44"/>
      <c r="M242" s="43"/>
      <c r="N242" s="43"/>
      <c r="O242" s="43"/>
    </row>
    <row r="243" spans="1:15" ht="15.75" x14ac:dyDescent="0.25">
      <c r="A243" s="1"/>
      <c r="B243" s="1"/>
      <c r="F243" s="11">
        <v>6</v>
      </c>
      <c r="G243" s="32">
        <v>161</v>
      </c>
      <c r="H243" s="13">
        <v>37782</v>
      </c>
      <c r="I243" s="32">
        <v>85</v>
      </c>
      <c r="J243" s="33"/>
      <c r="L243" s="45"/>
    </row>
    <row r="244" spans="1:15" ht="15.75" x14ac:dyDescent="0.25">
      <c r="A244" s="1"/>
      <c r="B244" s="1"/>
      <c r="F244" s="11">
        <v>7</v>
      </c>
      <c r="G244" s="32">
        <v>174</v>
      </c>
      <c r="H244" s="13">
        <v>37795</v>
      </c>
      <c r="I244" s="32">
        <v>113</v>
      </c>
      <c r="J244" s="33"/>
      <c r="L244" s="45"/>
    </row>
    <row r="245" spans="1:15" ht="15.75" x14ac:dyDescent="0.25">
      <c r="A245" s="1"/>
      <c r="B245" s="1"/>
      <c r="F245" s="11">
        <v>8</v>
      </c>
      <c r="G245" s="32">
        <v>185</v>
      </c>
      <c r="H245" s="13">
        <v>37806</v>
      </c>
      <c r="I245" s="32">
        <v>123</v>
      </c>
      <c r="J245" s="33">
        <v>56</v>
      </c>
      <c r="L245" s="45"/>
    </row>
    <row r="246" spans="1:15" ht="15.75" x14ac:dyDescent="0.25">
      <c r="A246" s="1"/>
      <c r="B246" s="1"/>
      <c r="F246" s="11">
        <v>9</v>
      </c>
      <c r="G246" s="32">
        <v>195</v>
      </c>
      <c r="H246" s="13">
        <v>37816</v>
      </c>
      <c r="I246" s="32">
        <v>122</v>
      </c>
      <c r="J246" s="33"/>
      <c r="L246" s="45"/>
    </row>
    <row r="247" spans="1:15" ht="15.75" x14ac:dyDescent="0.25">
      <c r="A247" s="1"/>
      <c r="B247" s="1"/>
      <c r="F247" s="11">
        <v>10</v>
      </c>
      <c r="G247" s="32">
        <v>206</v>
      </c>
      <c r="H247" s="13">
        <v>37827</v>
      </c>
      <c r="I247" s="32">
        <v>125</v>
      </c>
      <c r="J247" s="33"/>
      <c r="L247" s="45"/>
    </row>
    <row r="248" spans="1:15" ht="15.75" x14ac:dyDescent="0.25">
      <c r="A248" s="1"/>
      <c r="B248" s="1"/>
      <c r="F248" s="11">
        <v>11</v>
      </c>
      <c r="G248" s="32">
        <v>219</v>
      </c>
      <c r="H248" s="13">
        <v>37840</v>
      </c>
      <c r="I248" s="32">
        <v>120</v>
      </c>
      <c r="J248" s="33"/>
      <c r="L248" s="45"/>
    </row>
    <row r="249" spans="1:15" ht="15.75" x14ac:dyDescent="0.25">
      <c r="A249" s="1"/>
      <c r="B249" s="1"/>
      <c r="F249" s="11">
        <v>12</v>
      </c>
      <c r="G249" s="32">
        <v>232</v>
      </c>
      <c r="H249" s="13">
        <v>37853</v>
      </c>
      <c r="I249" s="32">
        <v>107</v>
      </c>
      <c r="J249" s="33"/>
      <c r="L249" s="45"/>
    </row>
    <row r="250" spans="1:15" ht="15.75" x14ac:dyDescent="0.25">
      <c r="F250" s="11">
        <v>13</v>
      </c>
      <c r="G250" s="32" t="e">
        <v>#N/A</v>
      </c>
      <c r="H250" s="13" t="e">
        <v>#N/A</v>
      </c>
      <c r="I250" s="32" t="e">
        <v>#N/A</v>
      </c>
      <c r="J250" s="33"/>
      <c r="L250" s="45"/>
    </row>
    <row r="251" spans="1:15" ht="15.75" x14ac:dyDescent="0.25">
      <c r="A251" s="1"/>
      <c r="B251" s="1"/>
      <c r="F251" s="11">
        <v>14</v>
      </c>
      <c r="G251" s="32" t="e">
        <v>#N/A</v>
      </c>
      <c r="H251" s="13" t="e">
        <v>#N/A</v>
      </c>
      <c r="I251" s="32" t="e">
        <v>#N/A</v>
      </c>
      <c r="J251" s="33"/>
      <c r="L251" s="45"/>
    </row>
    <row r="252" spans="1:15" ht="15.75" x14ac:dyDescent="0.25">
      <c r="A252" s="1"/>
      <c r="B252" s="1"/>
      <c r="F252" s="11">
        <v>15</v>
      </c>
      <c r="G252" s="32" t="e">
        <v>#N/A</v>
      </c>
      <c r="H252" s="13" t="e">
        <v>#N/A</v>
      </c>
      <c r="I252" s="32" t="e">
        <v>#N/A</v>
      </c>
      <c r="J252" s="33"/>
      <c r="L252" s="45"/>
    </row>
    <row r="253" spans="1:15" ht="15.75" x14ac:dyDescent="0.25">
      <c r="A253" s="1"/>
      <c r="B253" s="1"/>
      <c r="F253" s="11">
        <v>16</v>
      </c>
      <c r="G253" s="32" t="e">
        <v>#N/A</v>
      </c>
      <c r="H253" s="13" t="e">
        <v>#N/A</v>
      </c>
      <c r="I253" s="32" t="e">
        <v>#N/A</v>
      </c>
      <c r="J253" s="33"/>
      <c r="L253" s="45"/>
    </row>
    <row r="254" spans="1:15" ht="16.5" thickBot="1" x14ac:dyDescent="0.3">
      <c r="A254" s="1"/>
      <c r="B254" s="1"/>
      <c r="F254" s="11">
        <v>17</v>
      </c>
      <c r="G254" s="32" t="e">
        <v>#N/A</v>
      </c>
      <c r="H254" s="13" t="e">
        <v>#N/A</v>
      </c>
      <c r="I254" s="32" t="e">
        <v>#N/A</v>
      </c>
      <c r="J254" s="33"/>
      <c r="L254" s="45"/>
    </row>
    <row r="255" spans="1:15" ht="16.5" thickBot="1" x14ac:dyDescent="0.3">
      <c r="A255" s="23">
        <v>3</v>
      </c>
      <c r="B255" s="28">
        <v>5</v>
      </c>
      <c r="C255" s="28" t="s">
        <v>5</v>
      </c>
      <c r="D255" s="28">
        <v>103</v>
      </c>
      <c r="E255" s="24" t="s">
        <v>24</v>
      </c>
      <c r="F255" s="29" t="s">
        <v>16</v>
      </c>
      <c r="G255" s="30"/>
      <c r="H255" s="30"/>
      <c r="I255" s="31">
        <v>1218.7</v>
      </c>
      <c r="J255" s="31">
        <v>112</v>
      </c>
      <c r="L255" s="45"/>
    </row>
    <row r="256" spans="1:15" ht="13.5" thickBot="1" x14ac:dyDescent="0.25">
      <c r="J256" s="48"/>
      <c r="L256" s="45"/>
    </row>
    <row r="257" spans="1:12" ht="16.5" thickBot="1" x14ac:dyDescent="0.3">
      <c r="A257" s="23">
        <v>24</v>
      </c>
      <c r="B257" s="28">
        <v>5</v>
      </c>
      <c r="C257" s="28" t="s">
        <v>5</v>
      </c>
      <c r="D257" s="28">
        <v>308</v>
      </c>
      <c r="E257" s="24" t="s">
        <v>28</v>
      </c>
      <c r="F257" s="12">
        <v>1</v>
      </c>
      <c r="G257" s="25">
        <v>106</v>
      </c>
      <c r="H257" s="26">
        <v>37727</v>
      </c>
      <c r="I257" s="25">
        <v>153</v>
      </c>
      <c r="J257" s="32"/>
      <c r="L257" s="45"/>
    </row>
    <row r="258" spans="1:12" ht="15.75" x14ac:dyDescent="0.25">
      <c r="A258" s="1"/>
      <c r="B258" s="1"/>
      <c r="F258" s="11">
        <v>2</v>
      </c>
      <c r="G258" s="32">
        <v>108</v>
      </c>
      <c r="H258" s="13">
        <v>37729</v>
      </c>
      <c r="I258" s="32">
        <v>55</v>
      </c>
      <c r="J258" s="49"/>
      <c r="L258" s="45"/>
    </row>
    <row r="259" spans="1:12" ht="15.75" x14ac:dyDescent="0.25">
      <c r="A259" s="1"/>
      <c r="B259" s="1"/>
      <c r="F259" s="11">
        <v>3</v>
      </c>
      <c r="G259" s="32">
        <v>112</v>
      </c>
      <c r="H259" s="13">
        <v>37733</v>
      </c>
      <c r="I259" s="32">
        <v>54</v>
      </c>
      <c r="J259" s="33"/>
      <c r="L259" s="45"/>
    </row>
    <row r="260" spans="1:12" ht="15.75" x14ac:dyDescent="0.25">
      <c r="A260" s="1"/>
      <c r="B260" s="1"/>
      <c r="F260" s="11">
        <v>4</v>
      </c>
      <c r="G260" s="32">
        <v>129</v>
      </c>
      <c r="H260" s="13">
        <v>37750</v>
      </c>
      <c r="I260" s="32">
        <v>82</v>
      </c>
      <c r="J260" s="33"/>
      <c r="L260" s="45"/>
    </row>
    <row r="261" spans="1:12" ht="15.75" x14ac:dyDescent="0.25">
      <c r="A261" s="1"/>
      <c r="B261" s="1"/>
      <c r="F261" s="11">
        <v>5</v>
      </c>
      <c r="G261" s="32">
        <v>148</v>
      </c>
      <c r="H261" s="13">
        <v>37769</v>
      </c>
      <c r="I261" s="32">
        <v>63</v>
      </c>
      <c r="J261" s="33">
        <v>56</v>
      </c>
      <c r="L261" s="45"/>
    </row>
    <row r="262" spans="1:12" ht="15.75" x14ac:dyDescent="0.25">
      <c r="A262" s="1"/>
      <c r="B262" s="1"/>
      <c r="F262" s="11">
        <v>6</v>
      </c>
      <c r="G262" s="32">
        <v>161</v>
      </c>
      <c r="H262" s="13">
        <v>37782</v>
      </c>
      <c r="I262" s="32">
        <v>85</v>
      </c>
      <c r="J262" s="33"/>
      <c r="L262" s="45"/>
    </row>
    <row r="263" spans="1:12" ht="15.75" x14ac:dyDescent="0.25">
      <c r="A263" s="1"/>
      <c r="B263" s="1"/>
      <c r="F263" s="11">
        <v>7</v>
      </c>
      <c r="G263" s="32">
        <v>174</v>
      </c>
      <c r="H263" s="13">
        <v>37795</v>
      </c>
      <c r="I263" s="32">
        <v>113</v>
      </c>
      <c r="J263" s="33"/>
      <c r="L263" s="45"/>
    </row>
    <row r="264" spans="1:12" ht="15.75" x14ac:dyDescent="0.25">
      <c r="A264" s="1"/>
      <c r="B264" s="1"/>
      <c r="F264" s="11">
        <v>8</v>
      </c>
      <c r="G264" s="32">
        <v>185</v>
      </c>
      <c r="H264" s="13">
        <v>37806</v>
      </c>
      <c r="I264" s="32">
        <v>123</v>
      </c>
      <c r="J264" s="33">
        <v>56</v>
      </c>
      <c r="L264" s="45"/>
    </row>
    <row r="265" spans="1:12" ht="15.75" x14ac:dyDescent="0.25">
      <c r="A265" s="1"/>
      <c r="B265" s="1"/>
      <c r="F265" s="11">
        <v>9</v>
      </c>
      <c r="G265" s="32">
        <v>195</v>
      </c>
      <c r="H265" s="13">
        <v>37816</v>
      </c>
      <c r="I265" s="32">
        <v>122</v>
      </c>
      <c r="J265" s="33"/>
      <c r="L265" s="45"/>
    </row>
    <row r="266" spans="1:12" ht="15.75" x14ac:dyDescent="0.25">
      <c r="A266" s="1"/>
      <c r="B266" s="1"/>
      <c r="F266" s="11">
        <v>10</v>
      </c>
      <c r="G266" s="32">
        <v>206</v>
      </c>
      <c r="H266" s="13">
        <v>37827</v>
      </c>
      <c r="I266" s="32">
        <v>125</v>
      </c>
      <c r="J266" s="33"/>
      <c r="L266" s="45"/>
    </row>
    <row r="267" spans="1:12" ht="15.75" x14ac:dyDescent="0.25">
      <c r="A267" s="1"/>
      <c r="B267" s="1"/>
      <c r="F267" s="11">
        <v>11</v>
      </c>
      <c r="G267" s="32">
        <v>219</v>
      </c>
      <c r="H267" s="13">
        <v>37840</v>
      </c>
      <c r="I267" s="32">
        <v>120</v>
      </c>
      <c r="J267" s="33"/>
      <c r="L267" s="45"/>
    </row>
    <row r="268" spans="1:12" ht="15.75" x14ac:dyDescent="0.25">
      <c r="A268" s="1"/>
      <c r="B268" s="1"/>
      <c r="F268" s="11">
        <v>12</v>
      </c>
      <c r="G268" s="32">
        <v>232</v>
      </c>
      <c r="H268" s="13">
        <v>37853</v>
      </c>
      <c r="I268" s="32">
        <v>107</v>
      </c>
      <c r="J268" s="33"/>
      <c r="L268" s="45"/>
    </row>
    <row r="269" spans="1:12" ht="15.75" x14ac:dyDescent="0.25">
      <c r="F269" s="11">
        <v>13</v>
      </c>
      <c r="G269" s="32" t="e">
        <v>#N/A</v>
      </c>
      <c r="H269" s="13" t="e">
        <v>#N/A</v>
      </c>
      <c r="I269" s="32" t="e">
        <v>#N/A</v>
      </c>
      <c r="J269" s="33"/>
      <c r="L269" s="45"/>
    </row>
    <row r="270" spans="1:12" ht="15.75" x14ac:dyDescent="0.25">
      <c r="A270" s="1"/>
      <c r="B270" s="1"/>
      <c r="F270" s="11">
        <v>14</v>
      </c>
      <c r="G270" s="32" t="e">
        <v>#N/A</v>
      </c>
      <c r="H270" s="13" t="e">
        <v>#N/A</v>
      </c>
      <c r="I270" s="32" t="e">
        <v>#N/A</v>
      </c>
      <c r="J270" s="33"/>
      <c r="L270" s="45"/>
    </row>
    <row r="271" spans="1:12" ht="15.75" x14ac:dyDescent="0.25">
      <c r="A271" s="1"/>
      <c r="B271" s="1"/>
      <c r="F271" s="11">
        <v>15</v>
      </c>
      <c r="G271" s="32" t="e">
        <v>#N/A</v>
      </c>
      <c r="H271" s="13" t="e">
        <v>#N/A</v>
      </c>
      <c r="I271" s="32" t="e">
        <v>#N/A</v>
      </c>
      <c r="J271" s="33"/>
      <c r="L271" s="45"/>
    </row>
    <row r="272" spans="1:12" ht="15.75" x14ac:dyDescent="0.25">
      <c r="A272" s="1"/>
      <c r="B272" s="1"/>
      <c r="F272" s="11">
        <v>16</v>
      </c>
      <c r="G272" s="32" t="e">
        <v>#N/A</v>
      </c>
      <c r="H272" s="13" t="e">
        <v>#N/A</v>
      </c>
      <c r="I272" s="32" t="e">
        <v>#N/A</v>
      </c>
      <c r="J272" s="33"/>
      <c r="L272" s="45"/>
    </row>
    <row r="273" spans="1:12" ht="16.5" thickBot="1" x14ac:dyDescent="0.3">
      <c r="A273" s="1"/>
      <c r="B273" s="1"/>
      <c r="F273" s="11">
        <v>17</v>
      </c>
      <c r="G273" s="32" t="e">
        <v>#N/A</v>
      </c>
      <c r="H273" s="13" t="e">
        <v>#N/A</v>
      </c>
      <c r="I273" s="32" t="e">
        <v>#N/A</v>
      </c>
      <c r="J273" s="33"/>
      <c r="L273" s="45"/>
    </row>
    <row r="274" spans="1:12" ht="16.5" thickBot="1" x14ac:dyDescent="0.3">
      <c r="A274" s="23">
        <v>24</v>
      </c>
      <c r="B274" s="28">
        <v>5</v>
      </c>
      <c r="C274" s="28" t="s">
        <v>5</v>
      </c>
      <c r="D274" s="28">
        <v>308</v>
      </c>
      <c r="E274" s="24" t="s">
        <v>28</v>
      </c>
      <c r="F274" s="29" t="s">
        <v>16</v>
      </c>
      <c r="G274" s="30"/>
      <c r="H274" s="30"/>
      <c r="I274" s="31">
        <v>1202</v>
      </c>
      <c r="J274" s="31">
        <v>112</v>
      </c>
      <c r="L274" s="45"/>
    </row>
    <row r="275" spans="1:12" ht="13.5" thickBot="1" x14ac:dyDescent="0.25">
      <c r="J275" s="48"/>
      <c r="L275" s="45"/>
    </row>
    <row r="276" spans="1:12" ht="16.5" thickBot="1" x14ac:dyDescent="0.3">
      <c r="A276" s="23">
        <v>27</v>
      </c>
      <c r="B276" s="28">
        <v>6</v>
      </c>
      <c r="C276" s="28" t="s">
        <v>6</v>
      </c>
      <c r="D276" s="28">
        <v>403</v>
      </c>
      <c r="E276" s="24" t="s">
        <v>27</v>
      </c>
      <c r="F276" s="12">
        <v>1</v>
      </c>
      <c r="G276" s="25">
        <v>106</v>
      </c>
      <c r="H276" s="26">
        <v>37727</v>
      </c>
      <c r="I276" s="25">
        <v>134</v>
      </c>
      <c r="J276" s="32"/>
      <c r="L276" s="45"/>
    </row>
    <row r="277" spans="1:12" ht="15.75" x14ac:dyDescent="0.25">
      <c r="A277" s="1"/>
      <c r="B277" s="1"/>
      <c r="F277" s="11">
        <v>2</v>
      </c>
      <c r="G277" s="32">
        <v>108</v>
      </c>
      <c r="H277" s="13">
        <v>37729</v>
      </c>
      <c r="I277" s="32">
        <v>69</v>
      </c>
      <c r="J277" s="49"/>
      <c r="L277" s="45"/>
    </row>
    <row r="278" spans="1:12" ht="15.75" x14ac:dyDescent="0.25">
      <c r="A278" s="1"/>
      <c r="B278" s="1"/>
      <c r="F278" s="11">
        <v>3</v>
      </c>
      <c r="G278" s="32">
        <v>112</v>
      </c>
      <c r="H278" s="13">
        <v>37733</v>
      </c>
      <c r="I278" s="32">
        <v>61.3</v>
      </c>
      <c r="J278" s="33"/>
      <c r="L278" s="45"/>
    </row>
    <row r="279" spans="1:12" ht="15.75" x14ac:dyDescent="0.25">
      <c r="A279" s="1"/>
      <c r="B279" s="1"/>
      <c r="F279" s="11">
        <v>4</v>
      </c>
      <c r="G279" s="32">
        <v>129</v>
      </c>
      <c r="H279" s="13">
        <v>37750</v>
      </c>
      <c r="I279" s="32">
        <v>82</v>
      </c>
      <c r="J279" s="33"/>
      <c r="L279" s="45"/>
    </row>
    <row r="280" spans="1:12" ht="15.75" x14ac:dyDescent="0.25">
      <c r="A280" s="1"/>
      <c r="B280" s="1"/>
      <c r="F280" s="11">
        <v>5</v>
      </c>
      <c r="G280" s="32">
        <v>148</v>
      </c>
      <c r="H280" s="13">
        <v>37769</v>
      </c>
      <c r="I280" s="32">
        <v>63</v>
      </c>
      <c r="J280" s="33"/>
      <c r="L280" s="45"/>
    </row>
    <row r="281" spans="1:12" ht="15.75" x14ac:dyDescent="0.25">
      <c r="A281" s="1"/>
      <c r="B281" s="1"/>
      <c r="F281" s="11">
        <v>6</v>
      </c>
      <c r="G281" s="32">
        <v>161</v>
      </c>
      <c r="H281" s="13">
        <v>37782</v>
      </c>
      <c r="I281" s="32">
        <v>85</v>
      </c>
      <c r="J281" s="33"/>
      <c r="L281" s="45"/>
    </row>
    <row r="282" spans="1:12" ht="15.75" x14ac:dyDescent="0.25">
      <c r="A282" s="1"/>
      <c r="B282" s="1"/>
      <c r="F282" s="11">
        <v>7</v>
      </c>
      <c r="G282" s="32">
        <v>174</v>
      </c>
      <c r="H282" s="13">
        <v>37795</v>
      </c>
      <c r="I282" s="32">
        <v>113</v>
      </c>
      <c r="J282" s="33"/>
      <c r="L282" s="45"/>
    </row>
    <row r="283" spans="1:12" ht="15.75" x14ac:dyDescent="0.25">
      <c r="A283" s="1"/>
      <c r="B283" s="1"/>
      <c r="F283" s="11">
        <v>8</v>
      </c>
      <c r="G283" s="32">
        <v>185</v>
      </c>
      <c r="H283" s="13">
        <v>37806</v>
      </c>
      <c r="I283" s="32">
        <v>123</v>
      </c>
      <c r="J283" s="33"/>
      <c r="L283" s="45"/>
    </row>
    <row r="284" spans="1:12" ht="15.75" x14ac:dyDescent="0.25">
      <c r="A284" s="1"/>
      <c r="B284" s="1"/>
      <c r="F284" s="11">
        <v>9</v>
      </c>
      <c r="G284" s="32">
        <v>195</v>
      </c>
      <c r="H284" s="13">
        <v>37816</v>
      </c>
      <c r="I284" s="32">
        <v>122</v>
      </c>
      <c r="J284" s="33"/>
      <c r="L284" s="45"/>
    </row>
    <row r="285" spans="1:12" ht="15.75" x14ac:dyDescent="0.25">
      <c r="A285" s="1"/>
      <c r="B285" s="1"/>
      <c r="F285" s="11">
        <v>10</v>
      </c>
      <c r="G285" s="32">
        <v>206</v>
      </c>
      <c r="H285" s="13">
        <v>37827</v>
      </c>
      <c r="I285" s="32">
        <v>125</v>
      </c>
      <c r="J285" s="33"/>
      <c r="L285" s="45"/>
    </row>
    <row r="286" spans="1:12" ht="15.75" x14ac:dyDescent="0.25">
      <c r="A286" s="1"/>
      <c r="B286" s="1"/>
      <c r="F286" s="11">
        <v>11</v>
      </c>
      <c r="G286" s="32">
        <v>219</v>
      </c>
      <c r="H286" s="13">
        <v>37840</v>
      </c>
      <c r="I286" s="32">
        <v>120</v>
      </c>
      <c r="J286" s="33"/>
      <c r="L286" s="45"/>
    </row>
    <row r="287" spans="1:12" ht="15.75" x14ac:dyDescent="0.25">
      <c r="A287" s="1"/>
      <c r="B287" s="1"/>
      <c r="F287" s="11">
        <v>12</v>
      </c>
      <c r="G287" s="32">
        <v>232</v>
      </c>
      <c r="H287" s="13">
        <v>37853</v>
      </c>
      <c r="I287" s="32">
        <v>107</v>
      </c>
      <c r="J287" s="33"/>
      <c r="L287" s="45"/>
    </row>
    <row r="288" spans="1:12" ht="15.75" x14ac:dyDescent="0.25">
      <c r="F288" s="11">
        <v>13</v>
      </c>
      <c r="G288" s="32" t="e">
        <v>#N/A</v>
      </c>
      <c r="H288" s="13" t="e">
        <v>#N/A</v>
      </c>
      <c r="I288" s="32" t="e">
        <v>#N/A</v>
      </c>
      <c r="J288" s="33"/>
      <c r="L288" s="45"/>
    </row>
    <row r="289" spans="1:12" ht="15.75" x14ac:dyDescent="0.25">
      <c r="A289" s="1"/>
      <c r="B289" s="1"/>
      <c r="F289" s="11">
        <v>14</v>
      </c>
      <c r="G289" s="32" t="e">
        <v>#N/A</v>
      </c>
      <c r="H289" s="13" t="e">
        <v>#N/A</v>
      </c>
      <c r="I289" s="32" t="e">
        <v>#N/A</v>
      </c>
      <c r="J289" s="33"/>
      <c r="L289" s="45"/>
    </row>
    <row r="290" spans="1:12" ht="15.75" x14ac:dyDescent="0.25">
      <c r="A290" s="1"/>
      <c r="B290" s="1"/>
      <c r="F290" s="11">
        <v>15</v>
      </c>
      <c r="G290" s="32" t="e">
        <v>#N/A</v>
      </c>
      <c r="H290" s="13" t="e">
        <v>#N/A</v>
      </c>
      <c r="I290" s="32" t="e">
        <v>#N/A</v>
      </c>
      <c r="J290" s="33"/>
      <c r="L290" s="45"/>
    </row>
    <row r="291" spans="1:12" ht="15.75" x14ac:dyDescent="0.25">
      <c r="A291" s="1"/>
      <c r="B291" s="1"/>
      <c r="F291" s="11">
        <v>16</v>
      </c>
      <c r="G291" s="32" t="e">
        <v>#N/A</v>
      </c>
      <c r="H291" s="13" t="e">
        <v>#N/A</v>
      </c>
      <c r="I291" s="32" t="e">
        <v>#N/A</v>
      </c>
      <c r="J291" s="33"/>
      <c r="L291" s="45"/>
    </row>
    <row r="292" spans="1:12" ht="16.5" thickBot="1" x14ac:dyDescent="0.3">
      <c r="A292" s="1"/>
      <c r="B292" s="1"/>
      <c r="F292" s="11">
        <v>17</v>
      </c>
      <c r="G292" s="32" t="e">
        <v>#N/A</v>
      </c>
      <c r="H292" s="13" t="e">
        <v>#N/A</v>
      </c>
      <c r="I292" s="32" t="e">
        <v>#N/A</v>
      </c>
      <c r="J292" s="33"/>
      <c r="L292" s="45"/>
    </row>
    <row r="293" spans="1:12" ht="16.5" thickBot="1" x14ac:dyDescent="0.3">
      <c r="A293" s="23">
        <v>27</v>
      </c>
      <c r="B293" s="28">
        <v>6</v>
      </c>
      <c r="C293" s="28" t="s">
        <v>6</v>
      </c>
      <c r="D293" s="28">
        <v>403</v>
      </c>
      <c r="E293" s="24" t="s">
        <v>27</v>
      </c>
      <c r="F293" s="29" t="s">
        <v>16</v>
      </c>
      <c r="G293" s="30"/>
      <c r="H293" s="30"/>
      <c r="I293" s="31">
        <v>1204.3</v>
      </c>
      <c r="J293" s="31">
        <v>0</v>
      </c>
      <c r="L293" s="45"/>
    </row>
    <row r="294" spans="1:12" ht="13.5" thickBot="1" x14ac:dyDescent="0.25">
      <c r="J294" s="48"/>
      <c r="L294" s="45"/>
    </row>
    <row r="295" spans="1:12" ht="16.5" thickBot="1" x14ac:dyDescent="0.3">
      <c r="A295" s="23">
        <v>29</v>
      </c>
      <c r="B295" s="28">
        <v>6</v>
      </c>
      <c r="C295" s="28" t="s">
        <v>6</v>
      </c>
      <c r="D295" s="28">
        <v>405</v>
      </c>
      <c r="E295" s="24" t="s">
        <v>28</v>
      </c>
      <c r="F295" s="12">
        <v>1</v>
      </c>
      <c r="G295" s="25">
        <v>106</v>
      </c>
      <c r="H295" s="26">
        <v>37727</v>
      </c>
      <c r="I295" s="25">
        <v>136</v>
      </c>
      <c r="J295" s="32"/>
      <c r="L295" s="45"/>
    </row>
    <row r="296" spans="1:12" ht="15.75" x14ac:dyDescent="0.25">
      <c r="A296" s="1"/>
      <c r="B296" s="1"/>
      <c r="F296" s="11">
        <v>2</v>
      </c>
      <c r="G296" s="32">
        <v>108</v>
      </c>
      <c r="H296" s="13">
        <v>37729</v>
      </c>
      <c r="I296" s="32">
        <v>69</v>
      </c>
      <c r="J296" s="49"/>
      <c r="L296" s="45"/>
    </row>
    <row r="297" spans="1:12" ht="15.75" x14ac:dyDescent="0.25">
      <c r="A297" s="1"/>
      <c r="B297" s="1"/>
      <c r="F297" s="11">
        <v>3</v>
      </c>
      <c r="G297" s="32">
        <v>112</v>
      </c>
      <c r="H297" s="13">
        <v>37733</v>
      </c>
      <c r="I297" s="32">
        <v>64.5</v>
      </c>
      <c r="J297" s="33"/>
      <c r="L297" s="45"/>
    </row>
    <row r="298" spans="1:12" ht="15.75" x14ac:dyDescent="0.25">
      <c r="A298" s="1"/>
      <c r="B298" s="1"/>
      <c r="F298" s="11">
        <v>4</v>
      </c>
      <c r="G298" s="32">
        <v>129</v>
      </c>
      <c r="H298" s="13">
        <v>37750</v>
      </c>
      <c r="I298" s="32">
        <v>82</v>
      </c>
      <c r="J298" s="33"/>
      <c r="L298" s="45"/>
    </row>
    <row r="299" spans="1:12" ht="15.75" x14ac:dyDescent="0.25">
      <c r="A299" s="1"/>
      <c r="B299" s="1"/>
      <c r="F299" s="11">
        <v>5</v>
      </c>
      <c r="G299" s="32">
        <v>148</v>
      </c>
      <c r="H299" s="13">
        <v>37769</v>
      </c>
      <c r="I299" s="32">
        <v>63</v>
      </c>
      <c r="J299" s="33"/>
      <c r="L299" s="45"/>
    </row>
    <row r="300" spans="1:12" ht="15.75" x14ac:dyDescent="0.25">
      <c r="A300" s="1"/>
      <c r="B300" s="1"/>
      <c r="F300" s="11">
        <v>6</v>
      </c>
      <c r="G300" s="32">
        <v>161</v>
      </c>
      <c r="H300" s="13">
        <v>37782</v>
      </c>
      <c r="I300" s="32">
        <v>85</v>
      </c>
      <c r="J300" s="33"/>
      <c r="L300" s="45"/>
    </row>
    <row r="301" spans="1:12" ht="15.75" x14ac:dyDescent="0.25">
      <c r="A301" s="1"/>
      <c r="B301" s="1"/>
      <c r="F301" s="11">
        <v>7</v>
      </c>
      <c r="G301" s="32">
        <v>174</v>
      </c>
      <c r="H301" s="13">
        <v>37795</v>
      </c>
      <c r="I301" s="32">
        <v>113</v>
      </c>
      <c r="J301" s="33"/>
      <c r="L301" s="45"/>
    </row>
    <row r="302" spans="1:12" ht="15.75" x14ac:dyDescent="0.25">
      <c r="A302" s="1"/>
      <c r="B302" s="1"/>
      <c r="F302" s="11">
        <v>8</v>
      </c>
      <c r="G302" s="32">
        <v>185</v>
      </c>
      <c r="H302" s="13">
        <v>37806</v>
      </c>
      <c r="I302" s="32">
        <v>123</v>
      </c>
      <c r="J302" s="33"/>
      <c r="L302" s="45"/>
    </row>
    <row r="303" spans="1:12" ht="15.75" x14ac:dyDescent="0.25">
      <c r="A303" s="1"/>
      <c r="B303" s="1"/>
      <c r="F303" s="11">
        <v>9</v>
      </c>
      <c r="G303" s="32">
        <v>195</v>
      </c>
      <c r="H303" s="13">
        <v>37816</v>
      </c>
      <c r="I303" s="32">
        <v>122</v>
      </c>
      <c r="J303" s="33"/>
      <c r="L303" s="45"/>
    </row>
    <row r="304" spans="1:12" ht="15.75" x14ac:dyDescent="0.25">
      <c r="A304" s="1"/>
      <c r="B304" s="1"/>
      <c r="F304" s="11">
        <v>10</v>
      </c>
      <c r="G304" s="32">
        <v>206</v>
      </c>
      <c r="H304" s="13">
        <v>37827</v>
      </c>
      <c r="I304" s="32">
        <v>125</v>
      </c>
      <c r="J304" s="33"/>
      <c r="L304" s="45"/>
    </row>
    <row r="305" spans="1:12" ht="15.75" x14ac:dyDescent="0.25">
      <c r="A305" s="1"/>
      <c r="B305" s="1"/>
      <c r="F305" s="11">
        <v>11</v>
      </c>
      <c r="G305" s="32">
        <v>219</v>
      </c>
      <c r="H305" s="13">
        <v>37840</v>
      </c>
      <c r="I305" s="32">
        <v>120</v>
      </c>
      <c r="J305" s="33"/>
      <c r="L305" s="45"/>
    </row>
    <row r="306" spans="1:12" ht="15.75" x14ac:dyDescent="0.25">
      <c r="A306" s="1"/>
      <c r="B306" s="1"/>
      <c r="F306" s="11">
        <v>12</v>
      </c>
      <c r="G306" s="32">
        <v>232</v>
      </c>
      <c r="H306" s="13">
        <v>37853</v>
      </c>
      <c r="I306" s="32">
        <v>107</v>
      </c>
      <c r="J306" s="33"/>
      <c r="L306" s="45"/>
    </row>
    <row r="307" spans="1:12" ht="15.75" x14ac:dyDescent="0.25">
      <c r="F307" s="11">
        <v>13</v>
      </c>
      <c r="G307" s="32" t="e">
        <v>#N/A</v>
      </c>
      <c r="H307" s="13" t="e">
        <v>#N/A</v>
      </c>
      <c r="I307" s="32" t="e">
        <v>#N/A</v>
      </c>
      <c r="J307" s="33"/>
      <c r="L307" s="45"/>
    </row>
    <row r="308" spans="1:12" ht="15.75" x14ac:dyDescent="0.25">
      <c r="A308" s="1"/>
      <c r="B308" s="1"/>
      <c r="F308" s="11">
        <v>14</v>
      </c>
      <c r="G308" s="32" t="e">
        <v>#N/A</v>
      </c>
      <c r="H308" s="13" t="e">
        <v>#N/A</v>
      </c>
      <c r="I308" s="32" t="e">
        <v>#N/A</v>
      </c>
      <c r="J308" s="33"/>
      <c r="L308" s="45"/>
    </row>
    <row r="309" spans="1:12" ht="15.75" x14ac:dyDescent="0.25">
      <c r="A309" s="1"/>
      <c r="B309" s="1"/>
      <c r="F309" s="11">
        <v>15</v>
      </c>
      <c r="G309" s="32" t="e">
        <v>#N/A</v>
      </c>
      <c r="H309" s="13" t="e">
        <v>#N/A</v>
      </c>
      <c r="I309" s="32" t="e">
        <v>#N/A</v>
      </c>
      <c r="J309" s="33"/>
      <c r="L309" s="45"/>
    </row>
    <row r="310" spans="1:12" ht="15.75" x14ac:dyDescent="0.25">
      <c r="A310" s="1"/>
      <c r="B310" s="1"/>
      <c r="F310" s="11">
        <v>16</v>
      </c>
      <c r="G310" s="32" t="e">
        <v>#N/A</v>
      </c>
      <c r="H310" s="13" t="e">
        <v>#N/A</v>
      </c>
      <c r="I310" s="32" t="e">
        <v>#N/A</v>
      </c>
      <c r="J310" s="33"/>
      <c r="L310" s="45"/>
    </row>
    <row r="311" spans="1:12" ht="16.5" thickBot="1" x14ac:dyDescent="0.3">
      <c r="A311" s="1"/>
      <c r="B311" s="1"/>
      <c r="F311" s="11">
        <v>17</v>
      </c>
      <c r="G311" s="32" t="e">
        <v>#N/A</v>
      </c>
      <c r="H311" s="13" t="e">
        <v>#N/A</v>
      </c>
      <c r="I311" s="32" t="e">
        <v>#N/A</v>
      </c>
      <c r="J311" s="33"/>
      <c r="L311" s="45"/>
    </row>
    <row r="312" spans="1:12" ht="16.5" thickBot="1" x14ac:dyDescent="0.3">
      <c r="A312" s="23">
        <v>29</v>
      </c>
      <c r="B312" s="28">
        <v>6</v>
      </c>
      <c r="C312" s="28" t="s">
        <v>6</v>
      </c>
      <c r="D312" s="28">
        <v>405</v>
      </c>
      <c r="E312" s="24" t="s">
        <v>28</v>
      </c>
      <c r="F312" s="29" t="s">
        <v>16</v>
      </c>
      <c r="G312" s="30"/>
      <c r="H312" s="30"/>
      <c r="I312" s="31">
        <v>1209.5</v>
      </c>
      <c r="J312" s="31">
        <v>0</v>
      </c>
      <c r="L312" s="45"/>
    </row>
    <row r="313" spans="1:12" ht="13.5" thickBot="1" x14ac:dyDescent="0.25">
      <c r="J313" s="48"/>
      <c r="L313" s="45"/>
    </row>
    <row r="314" spans="1:12" ht="16.5" thickBot="1" x14ac:dyDescent="0.3">
      <c r="A314" s="28">
        <v>25</v>
      </c>
      <c r="B314" s="28">
        <v>7</v>
      </c>
      <c r="C314" s="28" t="s">
        <v>11</v>
      </c>
      <c r="D314" s="28">
        <v>401</v>
      </c>
      <c r="E314" s="24" t="s">
        <v>27</v>
      </c>
      <c r="F314" s="12">
        <v>1</v>
      </c>
      <c r="G314" s="25">
        <v>106</v>
      </c>
      <c r="H314" s="26">
        <v>37727</v>
      </c>
      <c r="I314" s="25">
        <v>136</v>
      </c>
      <c r="J314" s="32"/>
      <c r="L314" s="45"/>
    </row>
    <row r="315" spans="1:12" ht="15.75" x14ac:dyDescent="0.25">
      <c r="A315" s="1"/>
      <c r="B315" s="1"/>
      <c r="C315" s="6"/>
      <c r="D315" s="6"/>
      <c r="F315" s="11">
        <v>2</v>
      </c>
      <c r="G315" s="32">
        <v>108</v>
      </c>
      <c r="H315" s="13">
        <v>37729</v>
      </c>
      <c r="I315" s="32">
        <v>71</v>
      </c>
      <c r="J315" s="49"/>
      <c r="L315" s="45"/>
    </row>
    <row r="316" spans="1:12" ht="15.75" x14ac:dyDescent="0.25">
      <c r="A316" s="1"/>
      <c r="B316" s="1"/>
      <c r="C316" s="6"/>
      <c r="D316" s="6"/>
      <c r="F316" s="11">
        <v>3</v>
      </c>
      <c r="G316" s="32">
        <v>112</v>
      </c>
      <c r="H316" s="13">
        <v>37733</v>
      </c>
      <c r="I316" s="32">
        <v>66</v>
      </c>
      <c r="J316" s="33"/>
      <c r="L316" s="45"/>
    </row>
    <row r="317" spans="1:12" ht="15.75" x14ac:dyDescent="0.25">
      <c r="A317" s="1"/>
      <c r="B317" s="1"/>
      <c r="C317" s="6"/>
      <c r="D317" s="6"/>
      <c r="F317" s="11">
        <v>4</v>
      </c>
      <c r="G317" s="32">
        <v>129</v>
      </c>
      <c r="H317" s="13">
        <v>37750</v>
      </c>
      <c r="I317" s="32">
        <v>82</v>
      </c>
      <c r="J317" s="33"/>
      <c r="L317" s="45"/>
    </row>
    <row r="318" spans="1:12" ht="15.75" x14ac:dyDescent="0.25">
      <c r="A318" s="1"/>
      <c r="B318" s="1"/>
      <c r="C318" s="6"/>
      <c r="D318" s="6"/>
      <c r="F318" s="11">
        <v>5</v>
      </c>
      <c r="G318" s="32">
        <v>149</v>
      </c>
      <c r="H318" s="13">
        <v>37770</v>
      </c>
      <c r="I318" s="32">
        <v>63</v>
      </c>
      <c r="J318" s="33">
        <v>56</v>
      </c>
      <c r="L318" s="45"/>
    </row>
    <row r="319" spans="1:12" ht="15.75" x14ac:dyDescent="0.25">
      <c r="A319" s="1"/>
      <c r="B319" s="1"/>
      <c r="C319" s="6"/>
      <c r="D319" s="6"/>
      <c r="F319" s="11">
        <v>6</v>
      </c>
      <c r="G319" s="32">
        <v>168</v>
      </c>
      <c r="H319" s="13">
        <v>37789</v>
      </c>
      <c r="I319" s="32">
        <v>89</v>
      </c>
      <c r="J319" s="33"/>
      <c r="L319" s="45"/>
    </row>
    <row r="320" spans="1:12" ht="15.75" x14ac:dyDescent="0.25">
      <c r="A320" s="1"/>
      <c r="B320" s="1"/>
      <c r="C320" s="6"/>
      <c r="D320" s="6"/>
      <c r="F320" s="11">
        <v>7</v>
      </c>
      <c r="G320" s="32">
        <v>185</v>
      </c>
      <c r="H320" s="13">
        <v>37806</v>
      </c>
      <c r="I320" s="32">
        <v>130</v>
      </c>
      <c r="J320" s="33"/>
      <c r="L320" s="45"/>
    </row>
    <row r="321" spans="1:12" ht="15.75" x14ac:dyDescent="0.25">
      <c r="A321" s="1"/>
      <c r="B321" s="1"/>
      <c r="C321" s="6"/>
      <c r="D321" s="6"/>
      <c r="F321" s="11">
        <v>8</v>
      </c>
      <c r="G321" s="32">
        <v>199</v>
      </c>
      <c r="H321" s="13">
        <v>37820</v>
      </c>
      <c r="I321" s="32">
        <v>132</v>
      </c>
      <c r="J321" s="33">
        <v>56</v>
      </c>
      <c r="L321" s="45"/>
    </row>
    <row r="322" spans="1:12" ht="15.75" x14ac:dyDescent="0.25">
      <c r="A322" s="1"/>
      <c r="B322" s="1"/>
      <c r="C322" s="6"/>
      <c r="D322" s="6"/>
      <c r="F322" s="11">
        <v>9</v>
      </c>
      <c r="G322" s="32">
        <v>210</v>
      </c>
      <c r="H322" s="13">
        <v>37831</v>
      </c>
      <c r="I322" s="32">
        <v>124</v>
      </c>
      <c r="J322" s="33"/>
      <c r="L322" s="45"/>
    </row>
    <row r="323" spans="1:12" ht="15.75" x14ac:dyDescent="0.25">
      <c r="A323" s="1"/>
      <c r="B323" s="1"/>
      <c r="C323" s="6"/>
      <c r="D323" s="6"/>
      <c r="F323" s="11">
        <v>10</v>
      </c>
      <c r="G323" s="32">
        <v>223</v>
      </c>
      <c r="H323" s="13">
        <v>37844</v>
      </c>
      <c r="I323" s="32">
        <v>130</v>
      </c>
      <c r="J323" s="33"/>
      <c r="L323" s="45"/>
    </row>
    <row r="324" spans="1:12" ht="15.75" x14ac:dyDescent="0.25">
      <c r="A324" s="1"/>
      <c r="B324" s="1"/>
      <c r="C324" s="6"/>
      <c r="D324" s="6"/>
      <c r="F324" s="11">
        <v>11</v>
      </c>
      <c r="G324" s="32">
        <v>237</v>
      </c>
      <c r="H324" s="13">
        <v>37858</v>
      </c>
      <c r="I324" s="32">
        <v>80</v>
      </c>
      <c r="J324" s="33"/>
      <c r="L324" s="45"/>
    </row>
    <row r="325" spans="1:12" ht="15.75" x14ac:dyDescent="0.25">
      <c r="A325" s="1"/>
      <c r="B325" s="1"/>
      <c r="C325" s="6"/>
      <c r="D325" s="6"/>
      <c r="F325" s="11">
        <v>12</v>
      </c>
      <c r="G325" s="32" t="e">
        <v>#N/A</v>
      </c>
      <c r="H325" s="13" t="e">
        <v>#N/A</v>
      </c>
      <c r="I325" s="32" t="e">
        <v>#N/A</v>
      </c>
      <c r="J325" s="33"/>
      <c r="L325" s="45"/>
    </row>
    <row r="326" spans="1:12" ht="15.75" x14ac:dyDescent="0.25">
      <c r="C326" s="6"/>
      <c r="D326" s="6"/>
      <c r="F326" s="11">
        <v>13</v>
      </c>
      <c r="G326" s="32" t="e">
        <v>#N/A</v>
      </c>
      <c r="H326" s="13" t="e">
        <v>#N/A</v>
      </c>
      <c r="I326" s="32" t="e">
        <v>#N/A</v>
      </c>
      <c r="J326" s="33"/>
      <c r="L326" s="45"/>
    </row>
    <row r="327" spans="1:12" ht="15.75" x14ac:dyDescent="0.25">
      <c r="A327" s="1"/>
      <c r="B327" s="1"/>
      <c r="C327" s="6"/>
      <c r="D327" s="6"/>
      <c r="F327" s="11">
        <v>14</v>
      </c>
      <c r="G327" s="32" t="e">
        <v>#N/A</v>
      </c>
      <c r="H327" s="13" t="e">
        <v>#N/A</v>
      </c>
      <c r="I327" s="32" t="e">
        <v>#N/A</v>
      </c>
      <c r="J327" s="33"/>
      <c r="L327" s="45"/>
    </row>
    <row r="328" spans="1:12" ht="15.75" x14ac:dyDescent="0.25">
      <c r="A328" s="1"/>
      <c r="B328" s="1"/>
      <c r="C328" s="6"/>
      <c r="D328" s="6"/>
      <c r="F328" s="11">
        <v>15</v>
      </c>
      <c r="G328" s="32" t="e">
        <v>#N/A</v>
      </c>
      <c r="H328" s="13" t="e">
        <v>#N/A</v>
      </c>
      <c r="I328" s="32" t="e">
        <v>#N/A</v>
      </c>
      <c r="J328" s="33"/>
      <c r="L328" s="45"/>
    </row>
    <row r="329" spans="1:12" ht="15.75" x14ac:dyDescent="0.25">
      <c r="A329" s="1"/>
      <c r="B329" s="1"/>
      <c r="C329" s="6"/>
      <c r="D329" s="6"/>
      <c r="F329" s="11">
        <v>16</v>
      </c>
      <c r="G329" s="32" t="e">
        <v>#N/A</v>
      </c>
      <c r="H329" s="13" t="e">
        <v>#N/A</v>
      </c>
      <c r="I329" s="32" t="e">
        <v>#N/A</v>
      </c>
      <c r="J329" s="33"/>
      <c r="L329" s="45"/>
    </row>
    <row r="330" spans="1:12" ht="16.5" thickBot="1" x14ac:dyDescent="0.3">
      <c r="A330" s="1"/>
      <c r="B330" s="1"/>
      <c r="C330" s="6"/>
      <c r="D330" s="6"/>
      <c r="F330" s="11">
        <v>17</v>
      </c>
      <c r="G330" s="32" t="e">
        <v>#N/A</v>
      </c>
      <c r="H330" s="13" t="e">
        <v>#N/A</v>
      </c>
      <c r="I330" s="32" t="e">
        <v>#N/A</v>
      </c>
      <c r="J330" s="33"/>
      <c r="L330" s="45"/>
    </row>
    <row r="331" spans="1:12" ht="16.5" thickBot="1" x14ac:dyDescent="0.3">
      <c r="A331" s="28">
        <v>25</v>
      </c>
      <c r="B331" s="28">
        <v>7</v>
      </c>
      <c r="C331" s="28" t="s">
        <v>11</v>
      </c>
      <c r="D331" s="28">
        <v>401</v>
      </c>
      <c r="E331" s="24" t="s">
        <v>27</v>
      </c>
      <c r="F331" s="29" t="s">
        <v>16</v>
      </c>
      <c r="G331" s="30"/>
      <c r="H331" s="30"/>
      <c r="I331" s="31">
        <v>1103</v>
      </c>
      <c r="J331" s="31">
        <v>112</v>
      </c>
      <c r="L331" s="45"/>
    </row>
    <row r="332" spans="1:12" ht="13.5" thickBot="1" x14ac:dyDescent="0.25">
      <c r="C332" s="6"/>
      <c r="D332" s="6"/>
      <c r="J332" s="48"/>
      <c r="L332" s="45"/>
    </row>
    <row r="333" spans="1:12" ht="16.5" thickBot="1" x14ac:dyDescent="0.3">
      <c r="A333" s="28">
        <v>31</v>
      </c>
      <c r="B333" s="28">
        <v>7</v>
      </c>
      <c r="C333" s="28" t="s">
        <v>11</v>
      </c>
      <c r="D333" s="28">
        <v>407</v>
      </c>
      <c r="E333" s="24" t="s">
        <v>28</v>
      </c>
      <c r="F333" s="12">
        <v>1</v>
      </c>
      <c r="G333" s="25">
        <v>106</v>
      </c>
      <c r="H333" s="26">
        <v>37727</v>
      </c>
      <c r="I333" s="25">
        <v>128</v>
      </c>
      <c r="J333" s="32"/>
      <c r="L333" s="45"/>
    </row>
    <row r="334" spans="1:12" ht="15.75" x14ac:dyDescent="0.25">
      <c r="A334" s="1"/>
      <c r="B334" s="1"/>
      <c r="C334" s="6"/>
      <c r="D334" s="6"/>
      <c r="F334" s="11">
        <v>2</v>
      </c>
      <c r="G334" s="32">
        <v>108</v>
      </c>
      <c r="H334" s="13">
        <v>37729</v>
      </c>
      <c r="I334" s="32">
        <v>55</v>
      </c>
      <c r="J334" s="49"/>
      <c r="L334" s="45"/>
    </row>
    <row r="335" spans="1:12" ht="15.75" x14ac:dyDescent="0.25">
      <c r="A335" s="1"/>
      <c r="B335" s="1"/>
      <c r="C335" s="6"/>
      <c r="D335" s="6"/>
      <c r="F335" s="11">
        <v>3</v>
      </c>
      <c r="G335" s="32">
        <v>112</v>
      </c>
      <c r="H335" s="13">
        <v>37733</v>
      </c>
      <c r="I335" s="32">
        <v>65</v>
      </c>
      <c r="J335" s="33"/>
      <c r="L335" s="45"/>
    </row>
    <row r="336" spans="1:12" ht="15.75" x14ac:dyDescent="0.25">
      <c r="A336" s="1"/>
      <c r="B336" s="1"/>
      <c r="C336" s="6"/>
      <c r="D336" s="6"/>
      <c r="F336" s="11">
        <v>4</v>
      </c>
      <c r="G336" s="32">
        <v>129</v>
      </c>
      <c r="H336" s="13">
        <v>37750</v>
      </c>
      <c r="I336" s="32">
        <v>82</v>
      </c>
      <c r="J336" s="33"/>
      <c r="L336" s="45"/>
    </row>
    <row r="337" spans="1:12" ht="15.75" x14ac:dyDescent="0.25">
      <c r="A337" s="1"/>
      <c r="B337" s="1"/>
      <c r="C337" s="6"/>
      <c r="D337" s="6"/>
      <c r="F337" s="11">
        <v>5</v>
      </c>
      <c r="G337" s="32">
        <v>149</v>
      </c>
      <c r="H337" s="13">
        <v>37770</v>
      </c>
      <c r="I337" s="32">
        <v>63</v>
      </c>
      <c r="J337" s="33">
        <v>56</v>
      </c>
      <c r="L337" s="45"/>
    </row>
    <row r="338" spans="1:12" ht="15.75" x14ac:dyDescent="0.25">
      <c r="A338" s="1"/>
      <c r="B338" s="1"/>
      <c r="C338" s="6"/>
      <c r="D338" s="6"/>
      <c r="F338" s="11">
        <v>6</v>
      </c>
      <c r="G338" s="32">
        <v>168</v>
      </c>
      <c r="H338" s="13">
        <v>37789</v>
      </c>
      <c r="I338" s="32">
        <v>86</v>
      </c>
      <c r="J338" s="33"/>
      <c r="L338" s="45"/>
    </row>
    <row r="339" spans="1:12" ht="15.75" x14ac:dyDescent="0.25">
      <c r="A339" s="1"/>
      <c r="B339" s="1"/>
      <c r="C339" s="6"/>
      <c r="D339" s="6"/>
      <c r="F339" s="11">
        <v>7</v>
      </c>
      <c r="G339" s="32">
        <v>185</v>
      </c>
      <c r="H339" s="13">
        <v>37806</v>
      </c>
      <c r="I339" s="32">
        <v>130</v>
      </c>
      <c r="J339" s="33"/>
      <c r="L339" s="45"/>
    </row>
    <row r="340" spans="1:12" ht="15.75" x14ac:dyDescent="0.25">
      <c r="A340" s="1"/>
      <c r="B340" s="1"/>
      <c r="C340" s="6"/>
      <c r="D340" s="6"/>
      <c r="F340" s="11">
        <v>8</v>
      </c>
      <c r="G340" s="32">
        <v>197</v>
      </c>
      <c r="H340" s="13">
        <v>37818</v>
      </c>
      <c r="I340" s="32">
        <v>126</v>
      </c>
      <c r="J340" s="33">
        <v>56</v>
      </c>
      <c r="L340" s="45"/>
    </row>
    <row r="341" spans="1:12" ht="15.75" x14ac:dyDescent="0.25">
      <c r="A341" s="1"/>
      <c r="B341" s="1"/>
      <c r="C341" s="6"/>
      <c r="D341" s="6"/>
      <c r="F341" s="11">
        <v>9</v>
      </c>
      <c r="G341" s="32">
        <v>207</v>
      </c>
      <c r="H341" s="13">
        <v>37828</v>
      </c>
      <c r="I341" s="32">
        <v>123</v>
      </c>
      <c r="J341" s="33"/>
      <c r="L341" s="45"/>
    </row>
    <row r="342" spans="1:12" ht="15.75" x14ac:dyDescent="0.25">
      <c r="A342" s="1"/>
      <c r="B342" s="1"/>
      <c r="C342" s="6"/>
      <c r="D342" s="6"/>
      <c r="F342" s="11">
        <v>10</v>
      </c>
      <c r="G342" s="32">
        <v>220</v>
      </c>
      <c r="H342" s="13">
        <v>37841</v>
      </c>
      <c r="I342" s="32">
        <v>125</v>
      </c>
      <c r="J342" s="33"/>
      <c r="L342" s="45"/>
    </row>
    <row r="343" spans="1:12" ht="15.75" x14ac:dyDescent="0.25">
      <c r="A343" s="1"/>
      <c r="B343" s="1"/>
      <c r="C343" s="6"/>
      <c r="D343" s="6"/>
      <c r="F343" s="11">
        <v>11</v>
      </c>
      <c r="G343" s="32">
        <v>235</v>
      </c>
      <c r="H343" s="13">
        <v>37856</v>
      </c>
      <c r="I343" s="32">
        <v>108</v>
      </c>
      <c r="J343" s="33"/>
      <c r="L343" s="45"/>
    </row>
    <row r="344" spans="1:12" ht="15.75" x14ac:dyDescent="0.25">
      <c r="A344" s="1"/>
      <c r="B344" s="1"/>
      <c r="C344" s="6"/>
      <c r="D344" s="6"/>
      <c r="F344" s="11">
        <v>12</v>
      </c>
      <c r="G344" s="32" t="e">
        <v>#N/A</v>
      </c>
      <c r="H344" s="13" t="e">
        <v>#N/A</v>
      </c>
      <c r="I344" s="32" t="e">
        <v>#N/A</v>
      </c>
      <c r="J344" s="33"/>
      <c r="L344" s="45"/>
    </row>
    <row r="345" spans="1:12" ht="15.75" x14ac:dyDescent="0.25">
      <c r="C345" s="6"/>
      <c r="D345" s="6"/>
      <c r="F345" s="11">
        <v>13</v>
      </c>
      <c r="G345" s="32" t="e">
        <v>#N/A</v>
      </c>
      <c r="H345" s="13" t="e">
        <v>#N/A</v>
      </c>
      <c r="I345" s="32" t="e">
        <v>#N/A</v>
      </c>
      <c r="J345" s="33"/>
      <c r="L345" s="45"/>
    </row>
    <row r="346" spans="1:12" ht="15.75" x14ac:dyDescent="0.25">
      <c r="A346" s="1"/>
      <c r="B346" s="1"/>
      <c r="C346" s="6"/>
      <c r="D346" s="6"/>
      <c r="F346" s="11">
        <v>14</v>
      </c>
      <c r="G346" s="32" t="e">
        <v>#N/A</v>
      </c>
      <c r="H346" s="13" t="e">
        <v>#N/A</v>
      </c>
      <c r="I346" s="32" t="e">
        <v>#N/A</v>
      </c>
      <c r="J346" s="33"/>
      <c r="L346" s="45"/>
    </row>
    <row r="347" spans="1:12" ht="15.75" x14ac:dyDescent="0.25">
      <c r="A347" s="1"/>
      <c r="B347" s="1"/>
      <c r="C347" s="6"/>
      <c r="D347" s="6"/>
      <c r="F347" s="11">
        <v>15</v>
      </c>
      <c r="G347" s="32" t="e">
        <v>#N/A</v>
      </c>
      <c r="H347" s="13" t="e">
        <v>#N/A</v>
      </c>
      <c r="I347" s="32" t="e">
        <v>#N/A</v>
      </c>
      <c r="J347" s="33"/>
      <c r="L347" s="45"/>
    </row>
    <row r="348" spans="1:12" ht="15.75" x14ac:dyDescent="0.25">
      <c r="A348" s="1"/>
      <c r="B348" s="1"/>
      <c r="C348" s="6"/>
      <c r="D348" s="6"/>
      <c r="F348" s="11">
        <v>16</v>
      </c>
      <c r="G348" s="32" t="e">
        <v>#N/A</v>
      </c>
      <c r="H348" s="13" t="e">
        <v>#N/A</v>
      </c>
      <c r="I348" s="32" t="e">
        <v>#N/A</v>
      </c>
      <c r="J348" s="33"/>
      <c r="L348" s="45"/>
    </row>
    <row r="349" spans="1:12" ht="16.5" thickBot="1" x14ac:dyDescent="0.3">
      <c r="A349" s="1"/>
      <c r="B349" s="1"/>
      <c r="C349" s="6"/>
      <c r="D349" s="6"/>
      <c r="F349" s="11">
        <v>17</v>
      </c>
      <c r="G349" s="32" t="e">
        <v>#N/A</v>
      </c>
      <c r="H349" s="13" t="e">
        <v>#N/A</v>
      </c>
      <c r="I349" s="32" t="e">
        <v>#N/A</v>
      </c>
      <c r="J349" s="33"/>
      <c r="L349" s="45"/>
    </row>
    <row r="350" spans="1:12" ht="16.5" thickBot="1" x14ac:dyDescent="0.3">
      <c r="A350" s="28">
        <v>31</v>
      </c>
      <c r="B350" s="28">
        <v>7</v>
      </c>
      <c r="C350" s="28" t="s">
        <v>11</v>
      </c>
      <c r="D350" s="28">
        <v>407</v>
      </c>
      <c r="E350" s="24" t="s">
        <v>28</v>
      </c>
      <c r="F350" s="29" t="s">
        <v>16</v>
      </c>
      <c r="G350" s="30"/>
      <c r="H350" s="30"/>
      <c r="I350" s="31">
        <v>1091</v>
      </c>
      <c r="J350" s="31">
        <v>112</v>
      </c>
      <c r="L350" s="45"/>
    </row>
    <row r="351" spans="1:12" ht="13.5" thickBot="1" x14ac:dyDescent="0.25">
      <c r="C351" s="6"/>
      <c r="D351" s="6"/>
      <c r="J351" s="48"/>
      <c r="L351" s="45"/>
    </row>
    <row r="352" spans="1:12" ht="16.5" thickBot="1" x14ac:dyDescent="0.3">
      <c r="A352" s="28">
        <v>14</v>
      </c>
      <c r="B352" s="28">
        <v>8</v>
      </c>
      <c r="C352" s="28" t="s">
        <v>12</v>
      </c>
      <c r="D352" s="28">
        <v>206</v>
      </c>
      <c r="E352" s="24" t="s">
        <v>26</v>
      </c>
      <c r="F352" s="12">
        <v>1</v>
      </c>
      <c r="G352" s="25">
        <v>106</v>
      </c>
      <c r="H352" s="26">
        <v>37727</v>
      </c>
      <c r="I352" s="25">
        <v>134</v>
      </c>
      <c r="J352" s="32"/>
      <c r="L352" s="45"/>
    </row>
    <row r="353" spans="1:12" ht="15.75" x14ac:dyDescent="0.25">
      <c r="A353" s="1"/>
      <c r="B353" s="1"/>
      <c r="C353" s="6"/>
      <c r="D353" s="6"/>
      <c r="F353" s="11">
        <v>2</v>
      </c>
      <c r="G353" s="32">
        <v>108</v>
      </c>
      <c r="H353" s="13">
        <v>37729</v>
      </c>
      <c r="I353" s="32">
        <v>73</v>
      </c>
      <c r="J353" s="49"/>
      <c r="L353" s="45"/>
    </row>
    <row r="354" spans="1:12" ht="15.75" x14ac:dyDescent="0.25">
      <c r="A354" s="1"/>
      <c r="B354" s="1"/>
      <c r="C354" s="6"/>
      <c r="D354" s="6"/>
      <c r="F354" s="11">
        <v>3</v>
      </c>
      <c r="G354" s="32">
        <v>112</v>
      </c>
      <c r="H354" s="13">
        <v>37733</v>
      </c>
      <c r="I354" s="32">
        <v>68</v>
      </c>
      <c r="J354" s="33"/>
      <c r="L354" s="45"/>
    </row>
    <row r="355" spans="1:12" ht="15.75" x14ac:dyDescent="0.25">
      <c r="A355" s="1"/>
      <c r="B355" s="1"/>
      <c r="C355" s="6"/>
      <c r="D355" s="6"/>
      <c r="F355" s="11">
        <v>4</v>
      </c>
      <c r="G355" s="32">
        <v>129</v>
      </c>
      <c r="H355" s="13">
        <v>37750</v>
      </c>
      <c r="I355" s="32">
        <v>82</v>
      </c>
      <c r="J355" s="33"/>
      <c r="L355" s="45"/>
    </row>
    <row r="356" spans="1:12" ht="15.75" x14ac:dyDescent="0.25">
      <c r="A356" s="1"/>
      <c r="B356" s="1"/>
      <c r="C356" s="6"/>
      <c r="D356" s="6"/>
      <c r="F356" s="11">
        <v>5</v>
      </c>
      <c r="G356" s="32">
        <v>149</v>
      </c>
      <c r="H356" s="13">
        <v>37770</v>
      </c>
      <c r="I356" s="32">
        <v>63</v>
      </c>
      <c r="J356" s="33"/>
      <c r="L356" s="45"/>
    </row>
    <row r="357" spans="1:12" ht="15.75" x14ac:dyDescent="0.25">
      <c r="A357" s="1"/>
      <c r="B357" s="1"/>
      <c r="C357" s="6"/>
      <c r="D357" s="6"/>
      <c r="F357" s="11">
        <v>6</v>
      </c>
      <c r="G357" s="32">
        <v>166</v>
      </c>
      <c r="H357" s="13">
        <v>37787</v>
      </c>
      <c r="I357" s="32">
        <v>85</v>
      </c>
      <c r="J357" s="33"/>
      <c r="L357" s="45"/>
    </row>
    <row r="358" spans="1:12" ht="15.75" x14ac:dyDescent="0.25">
      <c r="A358" s="1"/>
      <c r="B358" s="1"/>
      <c r="C358" s="6"/>
      <c r="D358" s="6"/>
      <c r="F358" s="11">
        <v>7</v>
      </c>
      <c r="G358" s="32">
        <v>182</v>
      </c>
      <c r="H358" s="13">
        <v>37803</v>
      </c>
      <c r="I358" s="32">
        <v>126</v>
      </c>
      <c r="J358" s="33"/>
      <c r="L358" s="45"/>
    </row>
    <row r="359" spans="1:12" ht="15.75" x14ac:dyDescent="0.25">
      <c r="A359" s="1"/>
      <c r="B359" s="1"/>
      <c r="C359" s="6"/>
      <c r="D359" s="6"/>
      <c r="F359" s="11">
        <v>8</v>
      </c>
      <c r="G359" s="32">
        <v>194</v>
      </c>
      <c r="H359" s="13">
        <v>37815</v>
      </c>
      <c r="I359" s="32">
        <v>133</v>
      </c>
      <c r="J359" s="33"/>
      <c r="L359" s="45"/>
    </row>
    <row r="360" spans="1:12" ht="15.75" x14ac:dyDescent="0.25">
      <c r="A360" s="1"/>
      <c r="B360" s="1"/>
      <c r="C360" s="6"/>
      <c r="D360" s="6"/>
      <c r="F360" s="11">
        <v>9</v>
      </c>
      <c r="G360" s="32">
        <v>204</v>
      </c>
      <c r="H360" s="13">
        <v>37825</v>
      </c>
      <c r="I360" s="32">
        <v>124</v>
      </c>
      <c r="J360" s="33"/>
      <c r="L360" s="45"/>
    </row>
    <row r="361" spans="1:12" ht="15.75" x14ac:dyDescent="0.25">
      <c r="A361" s="1"/>
      <c r="B361" s="1"/>
      <c r="C361" s="6"/>
      <c r="D361" s="6"/>
      <c r="F361" s="11">
        <v>10</v>
      </c>
      <c r="G361" s="32">
        <v>216</v>
      </c>
      <c r="H361" s="13">
        <v>37837</v>
      </c>
      <c r="I361" s="32">
        <v>118</v>
      </c>
      <c r="J361" s="33"/>
      <c r="L361" s="45"/>
    </row>
    <row r="362" spans="1:12" ht="15.75" x14ac:dyDescent="0.25">
      <c r="A362" s="1"/>
      <c r="B362" s="1"/>
      <c r="C362" s="6"/>
      <c r="D362" s="6"/>
      <c r="F362" s="11">
        <v>11</v>
      </c>
      <c r="G362" s="32">
        <v>227</v>
      </c>
      <c r="H362" s="13">
        <v>37848</v>
      </c>
      <c r="I362" s="32">
        <v>109</v>
      </c>
      <c r="J362" s="33"/>
      <c r="L362" s="45"/>
    </row>
    <row r="363" spans="1:12" ht="15.75" x14ac:dyDescent="0.25">
      <c r="A363" s="1"/>
      <c r="B363" s="1"/>
      <c r="C363" s="6"/>
      <c r="D363" s="6"/>
      <c r="F363" s="11">
        <v>12</v>
      </c>
      <c r="G363" s="32">
        <v>240</v>
      </c>
      <c r="H363" s="13">
        <v>37861</v>
      </c>
      <c r="I363" s="32">
        <v>60</v>
      </c>
      <c r="J363" s="33"/>
      <c r="L363" s="45"/>
    </row>
    <row r="364" spans="1:12" ht="15.75" x14ac:dyDescent="0.25">
      <c r="C364" s="6"/>
      <c r="D364" s="6"/>
      <c r="F364" s="11">
        <v>13</v>
      </c>
      <c r="G364" s="32" t="e">
        <v>#N/A</v>
      </c>
      <c r="H364" s="13" t="e">
        <v>#N/A</v>
      </c>
      <c r="I364" s="32" t="e">
        <v>#N/A</v>
      </c>
      <c r="J364" s="33"/>
      <c r="L364" s="45"/>
    </row>
    <row r="365" spans="1:12" ht="15.75" x14ac:dyDescent="0.25">
      <c r="A365" s="1"/>
      <c r="B365" s="1"/>
      <c r="C365" s="6"/>
      <c r="D365" s="6"/>
      <c r="F365" s="11">
        <v>14</v>
      </c>
      <c r="G365" s="32" t="e">
        <v>#N/A</v>
      </c>
      <c r="H365" s="13" t="e">
        <v>#N/A</v>
      </c>
      <c r="I365" s="32" t="e">
        <v>#N/A</v>
      </c>
      <c r="J365" s="33"/>
      <c r="L365" s="45"/>
    </row>
    <row r="366" spans="1:12" ht="15.75" x14ac:dyDescent="0.25">
      <c r="A366" s="1"/>
      <c r="B366" s="1"/>
      <c r="C366" s="6"/>
      <c r="D366" s="6"/>
      <c r="F366" s="11">
        <v>15</v>
      </c>
      <c r="G366" s="32" t="e">
        <v>#N/A</v>
      </c>
      <c r="H366" s="13" t="e">
        <v>#N/A</v>
      </c>
      <c r="I366" s="32" t="e">
        <v>#N/A</v>
      </c>
      <c r="J366" s="33"/>
      <c r="L366" s="45"/>
    </row>
    <row r="367" spans="1:12" ht="15.75" x14ac:dyDescent="0.25">
      <c r="A367" s="1"/>
      <c r="B367" s="1"/>
      <c r="C367" s="6"/>
      <c r="D367" s="6"/>
      <c r="F367" s="11">
        <v>16</v>
      </c>
      <c r="G367" s="32" t="e">
        <v>#N/A</v>
      </c>
      <c r="H367" s="13" t="e">
        <v>#N/A</v>
      </c>
      <c r="I367" s="32" t="e">
        <v>#N/A</v>
      </c>
      <c r="J367" s="33"/>
      <c r="L367" s="45"/>
    </row>
    <row r="368" spans="1:12" ht="16.5" thickBot="1" x14ac:dyDescent="0.3">
      <c r="A368" s="1"/>
      <c r="B368" s="1"/>
      <c r="C368" s="6"/>
      <c r="D368" s="6"/>
      <c r="F368" s="11">
        <v>17</v>
      </c>
      <c r="G368" s="32" t="e">
        <v>#N/A</v>
      </c>
      <c r="H368" s="13" t="e">
        <v>#N/A</v>
      </c>
      <c r="I368" s="32" t="e">
        <v>#N/A</v>
      </c>
      <c r="J368" s="33"/>
      <c r="L368" s="45"/>
    </row>
    <row r="369" spans="1:12" ht="16.5" thickBot="1" x14ac:dyDescent="0.3">
      <c r="A369" s="28">
        <v>14</v>
      </c>
      <c r="B369" s="28">
        <v>8</v>
      </c>
      <c r="C369" s="28" t="s">
        <v>12</v>
      </c>
      <c r="D369" s="28">
        <v>206</v>
      </c>
      <c r="E369" s="24" t="s">
        <v>26</v>
      </c>
      <c r="F369" s="29" t="s">
        <v>16</v>
      </c>
      <c r="G369" s="30"/>
      <c r="H369" s="30"/>
      <c r="I369" s="31">
        <v>1175</v>
      </c>
      <c r="J369" s="31">
        <v>0</v>
      </c>
      <c r="L369" s="45"/>
    </row>
    <row r="370" spans="1:12" ht="13.5" thickBot="1" x14ac:dyDescent="0.25">
      <c r="C370" s="6"/>
      <c r="D370" s="6"/>
      <c r="J370" s="48"/>
      <c r="L370" s="45"/>
    </row>
    <row r="371" spans="1:12" ht="16.5" thickBot="1" x14ac:dyDescent="0.3">
      <c r="A371" s="28">
        <v>19</v>
      </c>
      <c r="B371" s="28">
        <v>8</v>
      </c>
      <c r="C371" s="28" t="s">
        <v>12</v>
      </c>
      <c r="D371" s="28">
        <v>303</v>
      </c>
      <c r="E371" s="24" t="s">
        <v>27</v>
      </c>
      <c r="F371" s="12">
        <v>1</v>
      </c>
      <c r="G371" s="25">
        <v>106</v>
      </c>
      <c r="H371" s="26">
        <v>37727</v>
      </c>
      <c r="I371" s="25">
        <v>149</v>
      </c>
      <c r="J371" s="32"/>
      <c r="L371" s="45"/>
    </row>
    <row r="372" spans="1:12" ht="15.75" x14ac:dyDescent="0.25">
      <c r="A372" s="1"/>
      <c r="B372" s="1"/>
      <c r="C372" s="6"/>
      <c r="D372" s="6"/>
      <c r="F372" s="11">
        <v>2</v>
      </c>
      <c r="G372" s="32">
        <v>108</v>
      </c>
      <c r="H372" s="13">
        <v>37729</v>
      </c>
      <c r="I372" s="32">
        <v>71</v>
      </c>
      <c r="J372" s="49"/>
      <c r="L372" s="45"/>
    </row>
    <row r="373" spans="1:12" ht="15.75" x14ac:dyDescent="0.25">
      <c r="A373" s="1"/>
      <c r="B373" s="1"/>
      <c r="C373" s="6"/>
      <c r="D373" s="6"/>
      <c r="F373" s="11">
        <v>3</v>
      </c>
      <c r="G373" s="32">
        <v>112</v>
      </c>
      <c r="H373" s="13">
        <v>37733</v>
      </c>
      <c r="I373" s="32">
        <v>65</v>
      </c>
      <c r="J373" s="33"/>
      <c r="L373" s="45"/>
    </row>
    <row r="374" spans="1:12" ht="15.75" x14ac:dyDescent="0.25">
      <c r="A374" s="1"/>
      <c r="B374" s="1"/>
      <c r="C374" s="6"/>
      <c r="D374" s="6"/>
      <c r="F374" s="11">
        <v>4</v>
      </c>
      <c r="G374" s="32">
        <v>129</v>
      </c>
      <c r="H374" s="13">
        <v>37750</v>
      </c>
      <c r="I374" s="32">
        <v>82</v>
      </c>
      <c r="J374" s="33"/>
      <c r="L374" s="45"/>
    </row>
    <row r="375" spans="1:12" ht="15.75" x14ac:dyDescent="0.25">
      <c r="A375" s="1"/>
      <c r="B375" s="1"/>
      <c r="C375" s="6"/>
      <c r="D375" s="6"/>
      <c r="F375" s="11">
        <v>5</v>
      </c>
      <c r="G375" s="32">
        <v>149</v>
      </c>
      <c r="H375" s="13">
        <v>37770</v>
      </c>
      <c r="I375" s="32">
        <v>63</v>
      </c>
      <c r="J375" s="33"/>
      <c r="L375" s="45"/>
    </row>
    <row r="376" spans="1:12" ht="15.75" x14ac:dyDescent="0.25">
      <c r="A376" s="1"/>
      <c r="B376" s="1"/>
      <c r="C376" s="6"/>
      <c r="D376" s="6"/>
      <c r="F376" s="11">
        <v>6</v>
      </c>
      <c r="G376" s="32">
        <v>166</v>
      </c>
      <c r="H376" s="13">
        <v>37787</v>
      </c>
      <c r="I376" s="32">
        <v>85</v>
      </c>
      <c r="J376" s="33"/>
      <c r="L376" s="45"/>
    </row>
    <row r="377" spans="1:12" ht="15.75" x14ac:dyDescent="0.25">
      <c r="A377" s="1"/>
      <c r="B377" s="1"/>
      <c r="C377" s="6"/>
      <c r="D377" s="6"/>
      <c r="F377" s="11">
        <v>7</v>
      </c>
      <c r="G377" s="32">
        <v>182</v>
      </c>
      <c r="H377" s="13">
        <v>37803</v>
      </c>
      <c r="I377" s="32">
        <v>125</v>
      </c>
      <c r="J377" s="33"/>
      <c r="L377" s="45"/>
    </row>
    <row r="378" spans="1:12" ht="15.75" x14ac:dyDescent="0.25">
      <c r="A378" s="1"/>
      <c r="B378" s="1"/>
      <c r="C378" s="6"/>
      <c r="D378" s="6"/>
      <c r="F378" s="11">
        <v>8</v>
      </c>
      <c r="G378" s="32">
        <v>194</v>
      </c>
      <c r="H378" s="13">
        <v>37815</v>
      </c>
      <c r="I378" s="32">
        <v>138</v>
      </c>
      <c r="J378" s="33"/>
      <c r="L378" s="45"/>
    </row>
    <row r="379" spans="1:12" ht="15.75" x14ac:dyDescent="0.25">
      <c r="A379" s="1"/>
      <c r="B379" s="1"/>
      <c r="C379" s="6"/>
      <c r="D379" s="6"/>
      <c r="F379" s="11">
        <v>9</v>
      </c>
      <c r="G379" s="32">
        <v>204</v>
      </c>
      <c r="H379" s="13">
        <v>37825</v>
      </c>
      <c r="I379" s="32">
        <v>123</v>
      </c>
      <c r="J379" s="33"/>
      <c r="L379" s="45"/>
    </row>
    <row r="380" spans="1:12" ht="15.75" x14ac:dyDescent="0.25">
      <c r="A380" s="1"/>
      <c r="B380" s="1"/>
      <c r="C380" s="6"/>
      <c r="D380" s="6"/>
      <c r="F380" s="11">
        <v>10</v>
      </c>
      <c r="G380" s="32">
        <v>216</v>
      </c>
      <c r="H380" s="13">
        <v>37837</v>
      </c>
      <c r="I380" s="32">
        <v>119</v>
      </c>
      <c r="J380" s="33"/>
      <c r="L380" s="45"/>
    </row>
    <row r="381" spans="1:12" ht="15.75" x14ac:dyDescent="0.25">
      <c r="A381" s="1"/>
      <c r="B381" s="1"/>
      <c r="C381" s="6"/>
      <c r="D381" s="6"/>
      <c r="F381" s="11">
        <v>11</v>
      </c>
      <c r="G381" s="32">
        <v>227</v>
      </c>
      <c r="H381" s="13">
        <v>37848</v>
      </c>
      <c r="I381" s="32">
        <v>114</v>
      </c>
      <c r="J381" s="33"/>
      <c r="L381" s="45"/>
    </row>
    <row r="382" spans="1:12" ht="15.75" x14ac:dyDescent="0.25">
      <c r="A382" s="1"/>
      <c r="B382" s="1"/>
      <c r="C382" s="6"/>
      <c r="D382" s="6"/>
      <c r="F382" s="11">
        <v>12</v>
      </c>
      <c r="G382" s="32">
        <v>240</v>
      </c>
      <c r="H382" s="13">
        <v>37861</v>
      </c>
      <c r="I382" s="32">
        <v>60</v>
      </c>
      <c r="J382" s="33"/>
      <c r="L382" s="45"/>
    </row>
    <row r="383" spans="1:12" ht="15.75" x14ac:dyDescent="0.25">
      <c r="C383" s="6"/>
      <c r="D383" s="6"/>
      <c r="F383" s="11">
        <v>13</v>
      </c>
      <c r="G383" s="32" t="e">
        <v>#N/A</v>
      </c>
      <c r="H383" s="13" t="e">
        <v>#N/A</v>
      </c>
      <c r="I383" s="32" t="e">
        <v>#N/A</v>
      </c>
      <c r="J383" s="33"/>
      <c r="L383" s="45"/>
    </row>
    <row r="384" spans="1:12" ht="15.75" x14ac:dyDescent="0.25">
      <c r="A384" s="1"/>
      <c r="B384" s="1"/>
      <c r="C384" s="6"/>
      <c r="D384" s="6"/>
      <c r="F384" s="11">
        <v>14</v>
      </c>
      <c r="G384" s="32" t="e">
        <v>#N/A</v>
      </c>
      <c r="H384" s="13" t="e">
        <v>#N/A</v>
      </c>
      <c r="I384" s="32" t="e">
        <v>#N/A</v>
      </c>
      <c r="J384" s="33"/>
      <c r="L384" s="45"/>
    </row>
    <row r="385" spans="1:12" ht="15.75" x14ac:dyDescent="0.25">
      <c r="A385" s="1"/>
      <c r="B385" s="1"/>
      <c r="C385" s="6"/>
      <c r="D385" s="6"/>
      <c r="F385" s="11">
        <v>15</v>
      </c>
      <c r="G385" s="32" t="e">
        <v>#N/A</v>
      </c>
      <c r="H385" s="13" t="e">
        <v>#N/A</v>
      </c>
      <c r="I385" s="32" t="e">
        <v>#N/A</v>
      </c>
      <c r="J385" s="33"/>
      <c r="L385" s="45"/>
    </row>
    <row r="386" spans="1:12" ht="15.75" x14ac:dyDescent="0.25">
      <c r="A386" s="1"/>
      <c r="B386" s="1"/>
      <c r="C386" s="6"/>
      <c r="D386" s="6"/>
      <c r="F386" s="11">
        <v>16</v>
      </c>
      <c r="G386" s="32" t="e">
        <v>#N/A</v>
      </c>
      <c r="H386" s="13" t="e">
        <v>#N/A</v>
      </c>
      <c r="I386" s="32" t="e">
        <v>#N/A</v>
      </c>
      <c r="J386" s="33"/>
      <c r="L386" s="45"/>
    </row>
    <row r="387" spans="1:12" ht="16.5" thickBot="1" x14ac:dyDescent="0.3">
      <c r="A387" s="1"/>
      <c r="B387" s="1"/>
      <c r="C387" s="6"/>
      <c r="D387" s="6"/>
      <c r="F387" s="11">
        <v>17</v>
      </c>
      <c r="G387" s="32" t="e">
        <v>#N/A</v>
      </c>
      <c r="H387" s="13" t="e">
        <v>#N/A</v>
      </c>
      <c r="I387" s="32" t="e">
        <v>#N/A</v>
      </c>
      <c r="J387" s="33"/>
      <c r="L387" s="45"/>
    </row>
    <row r="388" spans="1:12" ht="16.5" thickBot="1" x14ac:dyDescent="0.3">
      <c r="A388" s="28">
        <v>19</v>
      </c>
      <c r="B388" s="28">
        <v>8</v>
      </c>
      <c r="C388" s="28" t="s">
        <v>12</v>
      </c>
      <c r="D388" s="28">
        <v>303</v>
      </c>
      <c r="E388" s="24" t="s">
        <v>27</v>
      </c>
      <c r="F388" s="29" t="s">
        <v>16</v>
      </c>
      <c r="G388" s="30"/>
      <c r="H388" s="30"/>
      <c r="I388" s="31">
        <v>1194</v>
      </c>
      <c r="J388" s="31">
        <v>0</v>
      </c>
      <c r="L388" s="45"/>
    </row>
    <row r="389" spans="1:12" ht="13.5" thickBot="1" x14ac:dyDescent="0.25">
      <c r="C389" s="6"/>
      <c r="D389" s="6"/>
      <c r="J389" s="48"/>
      <c r="L389" s="45"/>
    </row>
    <row r="390" spans="1:12" ht="16.5" thickBot="1" x14ac:dyDescent="0.3">
      <c r="A390" s="28">
        <v>10</v>
      </c>
      <c r="B390" s="28">
        <v>9</v>
      </c>
      <c r="C390" s="28" t="s">
        <v>13</v>
      </c>
      <c r="D390" s="28">
        <v>202</v>
      </c>
      <c r="E390" s="24" t="s">
        <v>24</v>
      </c>
      <c r="F390" s="12">
        <v>1</v>
      </c>
      <c r="G390" s="25">
        <v>106</v>
      </c>
      <c r="H390" s="26">
        <v>37727</v>
      </c>
      <c r="I390" s="25">
        <v>135</v>
      </c>
      <c r="J390" s="32"/>
      <c r="L390" s="45"/>
    </row>
    <row r="391" spans="1:12" ht="15.75" x14ac:dyDescent="0.25">
      <c r="A391" s="1"/>
      <c r="B391" s="1"/>
      <c r="C391" s="6"/>
      <c r="D391" s="6"/>
      <c r="F391" s="11">
        <v>2</v>
      </c>
      <c r="G391" s="32">
        <v>108</v>
      </c>
      <c r="H391" s="13">
        <v>37729</v>
      </c>
      <c r="I391" s="32">
        <v>85</v>
      </c>
      <c r="J391" s="49"/>
      <c r="L391" s="45"/>
    </row>
    <row r="392" spans="1:12" ht="15.75" x14ac:dyDescent="0.25">
      <c r="A392" s="1"/>
      <c r="B392" s="1"/>
      <c r="C392" s="6"/>
      <c r="D392" s="6"/>
      <c r="F392" s="11">
        <v>3</v>
      </c>
      <c r="G392" s="32">
        <v>112</v>
      </c>
      <c r="H392" s="13">
        <v>37733</v>
      </c>
      <c r="I392" s="32">
        <v>66</v>
      </c>
      <c r="J392" s="33"/>
      <c r="L392" s="45"/>
    </row>
    <row r="393" spans="1:12" ht="15.75" x14ac:dyDescent="0.25">
      <c r="A393" s="1"/>
      <c r="B393" s="1"/>
      <c r="C393" s="6"/>
      <c r="D393" s="6"/>
      <c r="F393" s="11">
        <v>4</v>
      </c>
      <c r="G393" s="32">
        <v>129</v>
      </c>
      <c r="H393" s="13">
        <v>37750</v>
      </c>
      <c r="I393" s="32">
        <v>88</v>
      </c>
      <c r="J393" s="33"/>
      <c r="L393" s="45"/>
    </row>
    <row r="394" spans="1:12" ht="15.75" x14ac:dyDescent="0.25">
      <c r="A394" s="1"/>
      <c r="B394" s="1"/>
      <c r="C394" s="6"/>
      <c r="D394" s="6"/>
      <c r="F394" s="11">
        <v>5</v>
      </c>
      <c r="G394" s="32">
        <v>148</v>
      </c>
      <c r="H394" s="13">
        <v>37769</v>
      </c>
      <c r="I394" s="32">
        <v>64</v>
      </c>
      <c r="J394" s="33">
        <v>56</v>
      </c>
      <c r="L394" s="45"/>
    </row>
    <row r="395" spans="1:12" ht="15.75" x14ac:dyDescent="0.25">
      <c r="A395" s="1"/>
      <c r="B395" s="1"/>
      <c r="C395" s="6"/>
      <c r="D395" s="6"/>
      <c r="F395" s="11">
        <v>6</v>
      </c>
      <c r="G395" s="32">
        <v>162</v>
      </c>
      <c r="H395" s="13">
        <v>37783</v>
      </c>
      <c r="I395" s="32">
        <v>84</v>
      </c>
      <c r="J395" s="33"/>
      <c r="L395" s="45"/>
    </row>
    <row r="396" spans="1:12" ht="15.75" x14ac:dyDescent="0.25">
      <c r="A396" s="1"/>
      <c r="B396" s="1"/>
      <c r="C396" s="6"/>
      <c r="D396" s="6"/>
      <c r="F396" s="11">
        <v>7</v>
      </c>
      <c r="G396" s="32">
        <v>176</v>
      </c>
      <c r="H396" s="13">
        <v>37797</v>
      </c>
      <c r="I396" s="32">
        <v>116</v>
      </c>
      <c r="J396" s="33"/>
      <c r="L396" s="45"/>
    </row>
    <row r="397" spans="1:12" ht="15.75" x14ac:dyDescent="0.25">
      <c r="A397" s="1"/>
      <c r="B397" s="1"/>
      <c r="C397" s="6"/>
      <c r="D397" s="6"/>
      <c r="F397" s="11">
        <v>8</v>
      </c>
      <c r="G397" s="32">
        <v>185</v>
      </c>
      <c r="H397" s="13">
        <v>37806</v>
      </c>
      <c r="I397" s="32">
        <v>102</v>
      </c>
      <c r="J397" s="33">
        <v>56</v>
      </c>
      <c r="L397" s="45"/>
    </row>
    <row r="398" spans="1:12" ht="15.75" x14ac:dyDescent="0.25">
      <c r="A398" s="1"/>
      <c r="B398" s="1"/>
      <c r="C398" s="6"/>
      <c r="D398" s="6"/>
      <c r="F398" s="11">
        <v>9</v>
      </c>
      <c r="G398" s="32">
        <v>195</v>
      </c>
      <c r="H398" s="13">
        <v>37816</v>
      </c>
      <c r="I398" s="32">
        <v>125</v>
      </c>
      <c r="J398" s="33"/>
      <c r="L398" s="45"/>
    </row>
    <row r="399" spans="1:12" ht="15.75" x14ac:dyDescent="0.25">
      <c r="A399" s="1"/>
      <c r="B399" s="1"/>
      <c r="C399" s="6"/>
      <c r="D399" s="6"/>
      <c r="F399" s="11">
        <v>10</v>
      </c>
      <c r="G399" s="32">
        <v>206</v>
      </c>
      <c r="H399" s="13">
        <v>37827</v>
      </c>
      <c r="I399" s="32">
        <v>129</v>
      </c>
      <c r="J399" s="33"/>
      <c r="L399" s="45"/>
    </row>
    <row r="400" spans="1:12" ht="15.75" x14ac:dyDescent="0.25">
      <c r="A400" s="1"/>
      <c r="B400" s="1"/>
      <c r="C400" s="6"/>
      <c r="D400" s="6"/>
      <c r="F400" s="11">
        <v>11</v>
      </c>
      <c r="G400" s="32">
        <v>219</v>
      </c>
      <c r="H400" s="13">
        <v>37840</v>
      </c>
      <c r="I400" s="32">
        <v>122</v>
      </c>
      <c r="J400" s="33"/>
      <c r="L400" s="45"/>
    </row>
    <row r="401" spans="1:15" ht="15.75" x14ac:dyDescent="0.25">
      <c r="A401" s="1"/>
      <c r="B401" s="1"/>
      <c r="C401" s="6"/>
      <c r="D401" s="6"/>
      <c r="F401" s="11">
        <v>12</v>
      </c>
      <c r="G401" s="32">
        <v>232</v>
      </c>
      <c r="H401" s="13">
        <v>37853</v>
      </c>
      <c r="I401" s="32">
        <v>107</v>
      </c>
      <c r="J401" s="33"/>
      <c r="L401" s="45"/>
    </row>
    <row r="402" spans="1:15" ht="15.75" x14ac:dyDescent="0.25">
      <c r="C402" s="6"/>
      <c r="D402" s="6"/>
      <c r="F402" s="11">
        <v>13</v>
      </c>
      <c r="G402" s="32" t="e">
        <v>#N/A</v>
      </c>
      <c r="H402" s="13" t="e">
        <v>#N/A</v>
      </c>
      <c r="I402" s="32" t="e">
        <v>#N/A</v>
      </c>
      <c r="J402" s="33"/>
      <c r="L402" s="45"/>
    </row>
    <row r="403" spans="1:15" ht="15.75" x14ac:dyDescent="0.25">
      <c r="A403" s="1"/>
      <c r="B403" s="1"/>
      <c r="C403" s="6"/>
      <c r="D403" s="6"/>
      <c r="F403" s="11">
        <v>14</v>
      </c>
      <c r="G403" s="32" t="e">
        <v>#N/A</v>
      </c>
      <c r="H403" s="13" t="e">
        <v>#N/A</v>
      </c>
      <c r="I403" s="32" t="e">
        <v>#N/A</v>
      </c>
      <c r="J403" s="33"/>
      <c r="L403" s="45"/>
    </row>
    <row r="404" spans="1:15" ht="15.75" x14ac:dyDescent="0.25">
      <c r="A404" s="1"/>
      <c r="B404" s="1"/>
      <c r="C404" s="6"/>
      <c r="D404" s="6"/>
      <c r="F404" s="11">
        <v>15</v>
      </c>
      <c r="G404" s="32" t="e">
        <v>#N/A</v>
      </c>
      <c r="H404" s="13" t="e">
        <v>#N/A</v>
      </c>
      <c r="I404" s="32" t="e">
        <v>#N/A</v>
      </c>
      <c r="J404" s="33"/>
      <c r="L404" s="45"/>
    </row>
    <row r="405" spans="1:15" ht="15.75" x14ac:dyDescent="0.25">
      <c r="A405" s="1"/>
      <c r="B405" s="1"/>
      <c r="C405" s="6"/>
      <c r="D405" s="6"/>
      <c r="F405" s="11">
        <v>16</v>
      </c>
      <c r="G405" s="32" t="e">
        <v>#N/A</v>
      </c>
      <c r="H405" s="13" t="e">
        <v>#N/A</v>
      </c>
      <c r="I405" s="32" t="e">
        <v>#N/A</v>
      </c>
      <c r="J405" s="33"/>
      <c r="L405" s="45"/>
    </row>
    <row r="406" spans="1:15" ht="16.5" thickBot="1" x14ac:dyDescent="0.3">
      <c r="A406" s="1"/>
      <c r="B406" s="1"/>
      <c r="C406" s="6"/>
      <c r="D406" s="6"/>
      <c r="F406" s="11">
        <v>17</v>
      </c>
      <c r="G406" s="32" t="e">
        <v>#N/A</v>
      </c>
      <c r="H406" s="13" t="e">
        <v>#N/A</v>
      </c>
      <c r="I406" s="32" t="e">
        <v>#N/A</v>
      </c>
      <c r="J406" s="33"/>
      <c r="L406" s="45"/>
    </row>
    <row r="407" spans="1:15" ht="16.5" thickBot="1" x14ac:dyDescent="0.3">
      <c r="A407" s="28">
        <v>10</v>
      </c>
      <c r="B407" s="28">
        <v>9</v>
      </c>
      <c r="C407" s="28" t="s">
        <v>13</v>
      </c>
      <c r="D407" s="28">
        <v>202</v>
      </c>
      <c r="E407" s="24" t="s">
        <v>24</v>
      </c>
      <c r="F407" s="29" t="s">
        <v>16</v>
      </c>
      <c r="G407" s="30"/>
      <c r="H407" s="30"/>
      <c r="I407" s="31">
        <v>1223</v>
      </c>
      <c r="J407" s="31">
        <v>112</v>
      </c>
      <c r="L407" s="45"/>
    </row>
    <row r="408" spans="1:15" ht="13.5" thickBot="1" x14ac:dyDescent="0.25">
      <c r="C408" s="6"/>
      <c r="D408" s="6"/>
      <c r="J408" s="48"/>
      <c r="L408" s="45"/>
    </row>
    <row r="409" spans="1:15" ht="16.5" thickBot="1" x14ac:dyDescent="0.3">
      <c r="A409" s="28">
        <v>6</v>
      </c>
      <c r="B409" s="28">
        <v>9</v>
      </c>
      <c r="C409" s="28" t="s">
        <v>13</v>
      </c>
      <c r="D409" s="28">
        <v>106</v>
      </c>
      <c r="E409" s="24" t="s">
        <v>26</v>
      </c>
      <c r="F409" s="12">
        <v>1</v>
      </c>
      <c r="G409" s="25">
        <v>106</v>
      </c>
      <c r="H409" s="26">
        <v>37727</v>
      </c>
      <c r="I409" s="25">
        <v>149</v>
      </c>
      <c r="J409" s="32"/>
      <c r="L409" s="44"/>
      <c r="M409" s="43"/>
      <c r="N409" s="43"/>
      <c r="O409" s="43"/>
    </row>
    <row r="410" spans="1:15" ht="15.75" x14ac:dyDescent="0.25">
      <c r="A410" s="1"/>
      <c r="B410" s="1"/>
      <c r="C410" s="6"/>
      <c r="D410" s="6"/>
      <c r="F410" s="11">
        <v>2</v>
      </c>
      <c r="G410" s="32">
        <v>108</v>
      </c>
      <c r="H410" s="13">
        <v>37729</v>
      </c>
      <c r="I410" s="32">
        <v>85</v>
      </c>
      <c r="J410" s="49"/>
      <c r="L410" s="44"/>
      <c r="M410" s="43"/>
      <c r="N410" s="43"/>
      <c r="O410" s="43"/>
    </row>
    <row r="411" spans="1:15" ht="15.75" x14ac:dyDescent="0.25">
      <c r="A411" s="1"/>
      <c r="B411" s="1"/>
      <c r="C411" s="6"/>
      <c r="D411" s="6"/>
      <c r="F411" s="11">
        <v>3</v>
      </c>
      <c r="G411" s="32">
        <v>112</v>
      </c>
      <c r="H411" s="13">
        <v>37733</v>
      </c>
      <c r="I411" s="32">
        <v>70</v>
      </c>
      <c r="J411" s="33"/>
      <c r="L411" s="44"/>
      <c r="M411" s="43"/>
      <c r="N411" s="43"/>
      <c r="O411" s="43"/>
    </row>
    <row r="412" spans="1:15" ht="15.75" x14ac:dyDescent="0.25">
      <c r="A412" s="1"/>
      <c r="B412" s="1"/>
      <c r="C412" s="6"/>
      <c r="D412" s="6"/>
      <c r="F412" s="11">
        <v>4</v>
      </c>
      <c r="G412" s="32">
        <v>129</v>
      </c>
      <c r="H412" s="13">
        <v>37750</v>
      </c>
      <c r="I412" s="32">
        <v>83</v>
      </c>
      <c r="J412" s="33"/>
      <c r="L412" s="44"/>
      <c r="M412" s="43"/>
      <c r="N412" s="43"/>
      <c r="O412" s="43"/>
    </row>
    <row r="413" spans="1:15" ht="15.75" x14ac:dyDescent="0.25">
      <c r="A413" s="1"/>
      <c r="B413" s="1"/>
      <c r="C413" s="6"/>
      <c r="D413" s="6"/>
      <c r="F413" s="11">
        <v>5</v>
      </c>
      <c r="G413" s="32">
        <v>148</v>
      </c>
      <c r="H413" s="13">
        <v>37769</v>
      </c>
      <c r="I413" s="32">
        <v>63</v>
      </c>
      <c r="J413" s="33">
        <v>56</v>
      </c>
      <c r="L413" s="44"/>
      <c r="M413" s="43"/>
      <c r="N413" s="43"/>
      <c r="O413" s="43"/>
    </row>
    <row r="414" spans="1:15" ht="15.75" x14ac:dyDescent="0.25">
      <c r="A414" s="1"/>
      <c r="B414" s="1"/>
      <c r="C414" s="6"/>
      <c r="D414" s="6"/>
      <c r="F414" s="11">
        <v>6</v>
      </c>
      <c r="G414" s="32">
        <v>162</v>
      </c>
      <c r="H414" s="13">
        <v>37783</v>
      </c>
      <c r="I414" s="32">
        <v>86</v>
      </c>
      <c r="J414" s="33"/>
      <c r="L414" s="45"/>
    </row>
    <row r="415" spans="1:15" ht="15.75" x14ac:dyDescent="0.25">
      <c r="A415" s="1"/>
      <c r="B415" s="1"/>
      <c r="C415" s="6"/>
      <c r="D415" s="6"/>
      <c r="F415" s="11">
        <v>7</v>
      </c>
      <c r="G415" s="32">
        <v>176</v>
      </c>
      <c r="H415" s="13">
        <v>37797</v>
      </c>
      <c r="I415" s="32">
        <v>109</v>
      </c>
      <c r="J415" s="33"/>
      <c r="L415" s="45"/>
    </row>
    <row r="416" spans="1:15" ht="15.75" x14ac:dyDescent="0.25">
      <c r="A416" s="1"/>
      <c r="B416" s="1"/>
      <c r="C416" s="6"/>
      <c r="D416" s="6"/>
      <c r="F416" s="11">
        <v>8</v>
      </c>
      <c r="G416" s="32">
        <v>185</v>
      </c>
      <c r="H416" s="13">
        <v>37806</v>
      </c>
      <c r="I416" s="32">
        <v>107</v>
      </c>
      <c r="J416" s="33">
        <v>56</v>
      </c>
      <c r="L416" s="45"/>
    </row>
    <row r="417" spans="1:12" ht="15.75" x14ac:dyDescent="0.25">
      <c r="A417" s="1"/>
      <c r="B417" s="1"/>
      <c r="C417" s="6"/>
      <c r="D417" s="6"/>
      <c r="F417" s="11">
        <v>9</v>
      </c>
      <c r="G417" s="32">
        <v>195</v>
      </c>
      <c r="H417" s="13">
        <v>37816</v>
      </c>
      <c r="I417" s="32">
        <v>124</v>
      </c>
      <c r="J417" s="33"/>
      <c r="L417" s="45"/>
    </row>
    <row r="418" spans="1:12" ht="15.75" x14ac:dyDescent="0.25">
      <c r="A418" s="1"/>
      <c r="B418" s="1"/>
      <c r="C418" s="6"/>
      <c r="D418" s="6"/>
      <c r="F418" s="11">
        <v>10</v>
      </c>
      <c r="G418" s="32">
        <v>206</v>
      </c>
      <c r="H418" s="13">
        <v>37827</v>
      </c>
      <c r="I418" s="32">
        <v>127</v>
      </c>
      <c r="J418" s="33"/>
      <c r="L418" s="45"/>
    </row>
    <row r="419" spans="1:12" ht="15.75" x14ac:dyDescent="0.25">
      <c r="A419" s="1"/>
      <c r="B419" s="1"/>
      <c r="C419" s="6"/>
      <c r="D419" s="6"/>
      <c r="F419" s="11">
        <v>11</v>
      </c>
      <c r="G419" s="32">
        <v>219</v>
      </c>
      <c r="H419" s="13">
        <v>37840</v>
      </c>
      <c r="I419" s="32">
        <v>122</v>
      </c>
      <c r="J419" s="33"/>
      <c r="L419" s="45"/>
    </row>
    <row r="420" spans="1:12" ht="15.75" x14ac:dyDescent="0.25">
      <c r="A420" s="1"/>
      <c r="B420" s="1"/>
      <c r="C420" s="6"/>
      <c r="D420" s="6"/>
      <c r="F420" s="11">
        <v>12</v>
      </c>
      <c r="G420" s="32">
        <v>232</v>
      </c>
      <c r="H420" s="13">
        <v>37853</v>
      </c>
      <c r="I420" s="32">
        <v>109</v>
      </c>
      <c r="J420" s="33"/>
      <c r="L420" s="45"/>
    </row>
    <row r="421" spans="1:12" ht="15.75" x14ac:dyDescent="0.25">
      <c r="C421" s="6"/>
      <c r="D421" s="6"/>
      <c r="F421" s="11">
        <v>13</v>
      </c>
      <c r="G421" s="32" t="e">
        <v>#N/A</v>
      </c>
      <c r="H421" s="13" t="e">
        <v>#N/A</v>
      </c>
      <c r="I421" s="32" t="e">
        <v>#N/A</v>
      </c>
      <c r="J421" s="33"/>
      <c r="L421" s="45"/>
    </row>
    <row r="422" spans="1:12" ht="15.75" x14ac:dyDescent="0.25">
      <c r="A422" s="1"/>
      <c r="B422" s="1"/>
      <c r="C422" s="6"/>
      <c r="D422" s="6"/>
      <c r="F422" s="11">
        <v>14</v>
      </c>
      <c r="G422" s="32" t="e">
        <v>#N/A</v>
      </c>
      <c r="H422" s="13" t="e">
        <v>#N/A</v>
      </c>
      <c r="I422" s="32" t="e">
        <v>#N/A</v>
      </c>
      <c r="J422" s="33"/>
      <c r="L422" s="45"/>
    </row>
    <row r="423" spans="1:12" ht="15.75" x14ac:dyDescent="0.25">
      <c r="A423" s="1"/>
      <c r="B423" s="1"/>
      <c r="C423" s="6"/>
      <c r="D423" s="6"/>
      <c r="F423" s="11">
        <v>15</v>
      </c>
      <c r="G423" s="32" t="e">
        <v>#N/A</v>
      </c>
      <c r="H423" s="13" t="e">
        <v>#N/A</v>
      </c>
      <c r="I423" s="32" t="e">
        <v>#N/A</v>
      </c>
      <c r="J423" s="33"/>
      <c r="L423" s="45"/>
    </row>
    <row r="424" spans="1:12" ht="15.75" x14ac:dyDescent="0.25">
      <c r="A424" s="1"/>
      <c r="B424" s="1"/>
      <c r="C424" s="6"/>
      <c r="D424" s="6"/>
      <c r="F424" s="11">
        <v>16</v>
      </c>
      <c r="G424" s="32" t="e">
        <v>#N/A</v>
      </c>
      <c r="H424" s="13" t="e">
        <v>#N/A</v>
      </c>
      <c r="I424" s="32" t="e">
        <v>#N/A</v>
      </c>
      <c r="J424" s="33"/>
      <c r="L424" s="45"/>
    </row>
    <row r="425" spans="1:12" ht="16.5" thickBot="1" x14ac:dyDescent="0.3">
      <c r="A425" s="1"/>
      <c r="B425" s="1"/>
      <c r="C425" s="6"/>
      <c r="D425" s="6"/>
      <c r="F425" s="11">
        <v>17</v>
      </c>
      <c r="G425" s="32" t="e">
        <v>#N/A</v>
      </c>
      <c r="H425" s="13" t="e">
        <v>#N/A</v>
      </c>
      <c r="I425" s="32" t="e">
        <v>#N/A</v>
      </c>
      <c r="J425" s="33"/>
      <c r="L425" s="45"/>
    </row>
    <row r="426" spans="1:12" ht="16.5" thickBot="1" x14ac:dyDescent="0.3">
      <c r="A426" s="28">
        <v>6</v>
      </c>
      <c r="B426" s="28">
        <v>9</v>
      </c>
      <c r="C426" s="28" t="s">
        <v>13</v>
      </c>
      <c r="D426" s="28">
        <v>106</v>
      </c>
      <c r="E426" s="24" t="s">
        <v>26</v>
      </c>
      <c r="F426" s="29" t="s">
        <v>16</v>
      </c>
      <c r="G426" s="30"/>
      <c r="H426" s="30"/>
      <c r="I426" s="31">
        <v>1234</v>
      </c>
      <c r="J426" s="31">
        <v>112</v>
      </c>
      <c r="L426" s="45"/>
    </row>
    <row r="427" spans="1:12" ht="13.5" thickBot="1" x14ac:dyDescent="0.25">
      <c r="C427" s="6"/>
      <c r="D427" s="6"/>
      <c r="J427" s="48"/>
      <c r="L427" s="45"/>
    </row>
    <row r="428" spans="1:12" ht="16.5" thickBot="1" x14ac:dyDescent="0.3">
      <c r="A428" s="28">
        <v>26</v>
      </c>
      <c r="B428" s="28">
        <v>9</v>
      </c>
      <c r="C428" s="28" t="s">
        <v>13</v>
      </c>
      <c r="D428" s="28">
        <v>402</v>
      </c>
      <c r="E428" s="24" t="s">
        <v>27</v>
      </c>
      <c r="F428" s="12">
        <v>1</v>
      </c>
      <c r="G428" s="25">
        <v>106</v>
      </c>
      <c r="H428" s="26">
        <v>37727</v>
      </c>
      <c r="I428" s="25">
        <v>136.6</v>
      </c>
      <c r="J428" s="32"/>
      <c r="L428" s="45"/>
    </row>
    <row r="429" spans="1:12" ht="15.75" x14ac:dyDescent="0.25">
      <c r="A429" s="1"/>
      <c r="B429" s="1"/>
      <c r="C429" s="6"/>
      <c r="D429" s="6"/>
      <c r="F429" s="11">
        <v>2</v>
      </c>
      <c r="G429" s="32">
        <v>108</v>
      </c>
      <c r="H429" s="13">
        <v>37729</v>
      </c>
      <c r="I429" s="32">
        <v>72.2</v>
      </c>
      <c r="J429" s="49"/>
      <c r="L429" s="45"/>
    </row>
    <row r="430" spans="1:12" ht="15.75" x14ac:dyDescent="0.25">
      <c r="A430" s="1"/>
      <c r="B430" s="1"/>
      <c r="C430" s="6"/>
      <c r="D430" s="6"/>
      <c r="F430" s="11">
        <v>3</v>
      </c>
      <c r="G430" s="32">
        <v>112</v>
      </c>
      <c r="H430" s="13">
        <v>37733</v>
      </c>
      <c r="I430" s="32">
        <v>67.3</v>
      </c>
      <c r="J430" s="33"/>
      <c r="L430" s="45"/>
    </row>
    <row r="431" spans="1:12" ht="15.75" x14ac:dyDescent="0.25">
      <c r="A431" s="1"/>
      <c r="B431" s="1"/>
      <c r="C431" s="6"/>
      <c r="D431" s="6"/>
      <c r="F431" s="11">
        <v>4</v>
      </c>
      <c r="G431" s="32">
        <v>129</v>
      </c>
      <c r="H431" s="13">
        <v>37750</v>
      </c>
      <c r="I431" s="32">
        <v>82</v>
      </c>
      <c r="J431" s="33"/>
      <c r="L431" s="45"/>
    </row>
    <row r="432" spans="1:12" ht="15.75" x14ac:dyDescent="0.25">
      <c r="A432" s="1"/>
      <c r="B432" s="1"/>
      <c r="C432" s="6"/>
      <c r="D432" s="6"/>
      <c r="F432" s="11">
        <v>5</v>
      </c>
      <c r="G432" s="32">
        <v>148</v>
      </c>
      <c r="H432" s="13">
        <v>37769</v>
      </c>
      <c r="I432" s="32">
        <v>63</v>
      </c>
      <c r="J432" s="33">
        <v>56</v>
      </c>
      <c r="L432" s="45"/>
    </row>
    <row r="433" spans="1:12" ht="15.75" x14ac:dyDescent="0.25">
      <c r="A433" s="1"/>
      <c r="B433" s="1"/>
      <c r="C433" s="6"/>
      <c r="D433" s="6"/>
      <c r="F433" s="11">
        <v>6</v>
      </c>
      <c r="G433" s="32">
        <v>164</v>
      </c>
      <c r="H433" s="13">
        <v>37785</v>
      </c>
      <c r="I433" s="32">
        <v>85</v>
      </c>
      <c r="J433" s="33"/>
      <c r="L433" s="45"/>
    </row>
    <row r="434" spans="1:12" ht="15.75" x14ac:dyDescent="0.25">
      <c r="A434" s="1"/>
      <c r="B434" s="1"/>
      <c r="C434" s="6"/>
      <c r="D434" s="6"/>
      <c r="F434" s="11">
        <v>7</v>
      </c>
      <c r="G434" s="32">
        <v>178</v>
      </c>
      <c r="H434" s="13">
        <v>37799</v>
      </c>
      <c r="I434" s="32">
        <v>111</v>
      </c>
      <c r="J434" s="33"/>
      <c r="L434" s="45"/>
    </row>
    <row r="435" spans="1:12" ht="15.75" x14ac:dyDescent="0.25">
      <c r="A435" s="1"/>
      <c r="B435" s="1"/>
      <c r="C435" s="6"/>
      <c r="D435" s="6"/>
      <c r="F435" s="11">
        <v>8</v>
      </c>
      <c r="G435" s="32">
        <v>188</v>
      </c>
      <c r="H435" s="13">
        <v>37809</v>
      </c>
      <c r="I435" s="32">
        <v>113</v>
      </c>
      <c r="J435" s="33">
        <v>56</v>
      </c>
      <c r="L435" s="45"/>
    </row>
    <row r="436" spans="1:12" ht="15.75" x14ac:dyDescent="0.25">
      <c r="A436" s="1"/>
      <c r="B436" s="1"/>
      <c r="C436" s="6"/>
      <c r="D436" s="6"/>
      <c r="F436" s="11">
        <v>9</v>
      </c>
      <c r="G436" s="32">
        <v>199</v>
      </c>
      <c r="H436" s="13">
        <v>37820</v>
      </c>
      <c r="I436" s="32">
        <v>123</v>
      </c>
      <c r="J436" s="33"/>
      <c r="L436" s="45"/>
    </row>
    <row r="437" spans="1:12" ht="15.75" x14ac:dyDescent="0.25">
      <c r="A437" s="1"/>
      <c r="B437" s="1"/>
      <c r="C437" s="6"/>
      <c r="D437" s="6"/>
      <c r="F437" s="11">
        <v>10</v>
      </c>
      <c r="G437" s="32">
        <v>210</v>
      </c>
      <c r="H437" s="13">
        <v>37831</v>
      </c>
      <c r="I437" s="32">
        <v>123</v>
      </c>
      <c r="J437" s="33"/>
      <c r="L437" s="45"/>
    </row>
    <row r="438" spans="1:12" ht="15.75" x14ac:dyDescent="0.25">
      <c r="A438" s="1"/>
      <c r="B438" s="1"/>
      <c r="C438" s="6"/>
      <c r="D438" s="6"/>
      <c r="F438" s="11">
        <v>11</v>
      </c>
      <c r="G438" s="32">
        <v>223</v>
      </c>
      <c r="H438" s="13">
        <v>37844</v>
      </c>
      <c r="I438" s="32">
        <v>126</v>
      </c>
      <c r="J438" s="33"/>
      <c r="L438" s="45"/>
    </row>
    <row r="439" spans="1:12" ht="15.75" x14ac:dyDescent="0.25">
      <c r="A439" s="1"/>
      <c r="B439" s="1"/>
      <c r="C439" s="6"/>
      <c r="D439" s="6"/>
      <c r="F439" s="11">
        <v>12</v>
      </c>
      <c r="G439" s="32">
        <v>237</v>
      </c>
      <c r="H439" s="13">
        <v>37858</v>
      </c>
      <c r="I439" s="32">
        <v>85</v>
      </c>
      <c r="J439" s="33"/>
      <c r="L439" s="45"/>
    </row>
    <row r="440" spans="1:12" ht="15.75" x14ac:dyDescent="0.25">
      <c r="C440" s="6"/>
      <c r="D440" s="6"/>
      <c r="F440" s="11">
        <v>13</v>
      </c>
      <c r="G440" s="32" t="e">
        <v>#N/A</v>
      </c>
      <c r="H440" s="13" t="e">
        <v>#N/A</v>
      </c>
      <c r="I440" s="32" t="e">
        <v>#N/A</v>
      </c>
      <c r="J440" s="33"/>
      <c r="L440" s="45"/>
    </row>
    <row r="441" spans="1:12" ht="15.75" x14ac:dyDescent="0.25">
      <c r="A441" s="1"/>
      <c r="B441" s="1"/>
      <c r="C441" s="6"/>
      <c r="D441" s="6"/>
      <c r="F441" s="11">
        <v>14</v>
      </c>
      <c r="G441" s="32" t="e">
        <v>#N/A</v>
      </c>
      <c r="H441" s="13" t="e">
        <v>#N/A</v>
      </c>
      <c r="I441" s="32" t="e">
        <v>#N/A</v>
      </c>
      <c r="J441" s="33"/>
      <c r="L441" s="45"/>
    </row>
    <row r="442" spans="1:12" ht="15.75" x14ac:dyDescent="0.25">
      <c r="A442" s="1"/>
      <c r="B442" s="1"/>
      <c r="C442" s="6"/>
      <c r="D442" s="6"/>
      <c r="F442" s="11">
        <v>15</v>
      </c>
      <c r="G442" s="32" t="e">
        <v>#N/A</v>
      </c>
      <c r="H442" s="13" t="e">
        <v>#N/A</v>
      </c>
      <c r="I442" s="32" t="e">
        <v>#N/A</v>
      </c>
      <c r="J442" s="33"/>
      <c r="L442" s="45"/>
    </row>
    <row r="443" spans="1:12" ht="15.75" x14ac:dyDescent="0.25">
      <c r="A443" s="1"/>
      <c r="B443" s="1"/>
      <c r="C443" s="6"/>
      <c r="D443" s="6"/>
      <c r="F443" s="11">
        <v>16</v>
      </c>
      <c r="G443" s="32" t="e">
        <v>#N/A</v>
      </c>
      <c r="H443" s="13" t="e">
        <v>#N/A</v>
      </c>
      <c r="I443" s="32" t="e">
        <v>#N/A</v>
      </c>
      <c r="J443" s="33"/>
      <c r="L443" s="45"/>
    </row>
    <row r="444" spans="1:12" ht="16.5" thickBot="1" x14ac:dyDescent="0.3">
      <c r="A444" s="1"/>
      <c r="B444" s="1"/>
      <c r="C444" s="6"/>
      <c r="D444" s="6"/>
      <c r="F444" s="11">
        <v>17</v>
      </c>
      <c r="G444" s="32" t="e">
        <v>#N/A</v>
      </c>
      <c r="H444" s="13" t="e">
        <v>#N/A</v>
      </c>
      <c r="I444" s="32" t="e">
        <v>#N/A</v>
      </c>
      <c r="J444" s="33"/>
      <c r="L444" s="45"/>
    </row>
    <row r="445" spans="1:12" ht="16.5" thickBot="1" x14ac:dyDescent="0.3">
      <c r="A445" s="28">
        <v>26</v>
      </c>
      <c r="B445" s="28">
        <v>9</v>
      </c>
      <c r="C445" s="28" t="s">
        <v>13</v>
      </c>
      <c r="D445" s="28">
        <v>402</v>
      </c>
      <c r="E445" s="24" t="s">
        <v>27</v>
      </c>
      <c r="F445" s="29" t="s">
        <v>16</v>
      </c>
      <c r="G445" s="30"/>
      <c r="H445" s="30"/>
      <c r="I445" s="31">
        <v>1187.0999999999999</v>
      </c>
      <c r="J445" s="31">
        <v>112</v>
      </c>
      <c r="L445" s="45"/>
    </row>
    <row r="446" spans="1:12" ht="13.5" thickBot="1" x14ac:dyDescent="0.25">
      <c r="C446" s="6"/>
      <c r="D446" s="6"/>
      <c r="J446" s="48"/>
      <c r="L446" s="45"/>
    </row>
    <row r="447" spans="1:12" ht="16.5" thickBot="1" x14ac:dyDescent="0.3">
      <c r="A447" s="28">
        <v>23</v>
      </c>
      <c r="B447" s="28">
        <v>9</v>
      </c>
      <c r="C447" s="28" t="s">
        <v>13</v>
      </c>
      <c r="D447" s="28">
        <v>307</v>
      </c>
      <c r="E447" s="24" t="s">
        <v>28</v>
      </c>
      <c r="F447" s="12">
        <v>1</v>
      </c>
      <c r="G447" s="25">
        <v>106</v>
      </c>
      <c r="H447" s="26">
        <v>37727</v>
      </c>
      <c r="I447" s="25">
        <v>129</v>
      </c>
      <c r="J447" s="32"/>
      <c r="L447" s="45"/>
    </row>
    <row r="448" spans="1:12" ht="15.75" x14ac:dyDescent="0.25">
      <c r="A448" s="1"/>
      <c r="B448" s="1"/>
      <c r="C448" s="6"/>
      <c r="D448" s="6"/>
      <c r="F448" s="11">
        <v>2</v>
      </c>
      <c r="G448" s="32">
        <v>108</v>
      </c>
      <c r="H448" s="13">
        <v>37729</v>
      </c>
      <c r="I448" s="32">
        <v>69.3</v>
      </c>
      <c r="J448" s="49"/>
      <c r="L448" s="45"/>
    </row>
    <row r="449" spans="1:12" ht="15.75" x14ac:dyDescent="0.25">
      <c r="A449" s="1"/>
      <c r="B449" s="1"/>
      <c r="C449" s="6"/>
      <c r="D449" s="6"/>
      <c r="F449" s="11">
        <v>3</v>
      </c>
      <c r="G449" s="32">
        <v>112</v>
      </c>
      <c r="H449" s="13">
        <v>37733</v>
      </c>
      <c r="I449" s="32">
        <v>59.5</v>
      </c>
      <c r="J449" s="33"/>
      <c r="L449" s="45"/>
    </row>
    <row r="450" spans="1:12" ht="15.75" x14ac:dyDescent="0.25">
      <c r="A450" s="1"/>
      <c r="B450" s="1"/>
      <c r="C450" s="6"/>
      <c r="D450" s="6"/>
      <c r="F450" s="11">
        <v>4</v>
      </c>
      <c r="G450" s="32">
        <v>129</v>
      </c>
      <c r="H450" s="13">
        <v>37750</v>
      </c>
      <c r="I450" s="32">
        <v>80</v>
      </c>
      <c r="J450" s="33"/>
      <c r="L450" s="45"/>
    </row>
    <row r="451" spans="1:12" ht="15.75" x14ac:dyDescent="0.25">
      <c r="A451" s="1"/>
      <c r="B451" s="1"/>
      <c r="C451" s="6"/>
      <c r="D451" s="6"/>
      <c r="F451" s="11">
        <v>5</v>
      </c>
      <c r="G451" s="32">
        <v>148</v>
      </c>
      <c r="H451" s="13">
        <v>37769</v>
      </c>
      <c r="I451" s="32">
        <v>64</v>
      </c>
      <c r="J451" s="33">
        <v>56</v>
      </c>
      <c r="L451" s="45"/>
    </row>
    <row r="452" spans="1:12" ht="15.75" x14ac:dyDescent="0.25">
      <c r="A452" s="1"/>
      <c r="B452" s="1"/>
      <c r="C452" s="6"/>
      <c r="D452" s="6"/>
      <c r="F452" s="11">
        <v>6</v>
      </c>
      <c r="G452" s="32">
        <v>162</v>
      </c>
      <c r="H452" s="13">
        <v>37783</v>
      </c>
      <c r="I452" s="32">
        <v>85</v>
      </c>
      <c r="J452" s="33"/>
      <c r="L452" s="45"/>
    </row>
    <row r="453" spans="1:12" ht="15.75" x14ac:dyDescent="0.25">
      <c r="A453" s="1"/>
      <c r="B453" s="1"/>
      <c r="C453" s="6"/>
      <c r="D453" s="6"/>
      <c r="F453" s="11">
        <v>7</v>
      </c>
      <c r="G453" s="32">
        <v>176</v>
      </c>
      <c r="H453" s="13">
        <v>37797</v>
      </c>
      <c r="I453" s="32">
        <v>111</v>
      </c>
      <c r="J453" s="33"/>
      <c r="L453" s="45"/>
    </row>
    <row r="454" spans="1:12" ht="15.75" x14ac:dyDescent="0.25">
      <c r="A454" s="1"/>
      <c r="B454" s="1"/>
      <c r="C454" s="6"/>
      <c r="D454" s="6"/>
      <c r="F454" s="11">
        <v>8</v>
      </c>
      <c r="G454" s="32">
        <v>185</v>
      </c>
      <c r="H454" s="13">
        <v>37806</v>
      </c>
      <c r="I454" s="32">
        <v>102</v>
      </c>
      <c r="J454" s="33">
        <v>56</v>
      </c>
      <c r="L454" s="45"/>
    </row>
    <row r="455" spans="1:12" ht="15.75" x14ac:dyDescent="0.25">
      <c r="A455" s="1"/>
      <c r="B455" s="1"/>
      <c r="C455" s="6"/>
      <c r="D455" s="6"/>
      <c r="F455" s="11">
        <v>9</v>
      </c>
      <c r="G455" s="32">
        <v>195</v>
      </c>
      <c r="H455" s="13">
        <v>37816</v>
      </c>
      <c r="I455" s="32">
        <v>123</v>
      </c>
      <c r="J455" s="33"/>
      <c r="L455" s="45"/>
    </row>
    <row r="456" spans="1:12" ht="15.75" x14ac:dyDescent="0.25">
      <c r="A456" s="1"/>
      <c r="B456" s="1"/>
      <c r="C456" s="6"/>
      <c r="D456" s="6"/>
      <c r="F456" s="11">
        <v>10</v>
      </c>
      <c r="G456" s="32">
        <v>206</v>
      </c>
      <c r="H456" s="13">
        <v>37827</v>
      </c>
      <c r="I456" s="32">
        <v>128</v>
      </c>
      <c r="J456" s="33"/>
      <c r="L456" s="45"/>
    </row>
    <row r="457" spans="1:12" ht="15.75" x14ac:dyDescent="0.25">
      <c r="A457" s="1"/>
      <c r="B457" s="1"/>
      <c r="C457" s="6"/>
      <c r="D457" s="6"/>
      <c r="F457" s="11">
        <v>11</v>
      </c>
      <c r="G457" s="32">
        <v>219</v>
      </c>
      <c r="H457" s="13">
        <v>37840</v>
      </c>
      <c r="I457" s="32">
        <v>125</v>
      </c>
      <c r="J457" s="33"/>
      <c r="L457" s="45"/>
    </row>
    <row r="458" spans="1:12" ht="15.75" x14ac:dyDescent="0.25">
      <c r="A458" s="1"/>
      <c r="B458" s="1"/>
      <c r="C458" s="6"/>
      <c r="D458" s="6"/>
      <c r="F458" s="11">
        <v>12</v>
      </c>
      <c r="G458" s="32">
        <v>232</v>
      </c>
      <c r="H458" s="13">
        <v>37853</v>
      </c>
      <c r="I458" s="32">
        <v>108</v>
      </c>
      <c r="J458" s="33"/>
      <c r="L458" s="45"/>
    </row>
    <row r="459" spans="1:12" ht="15.75" x14ac:dyDescent="0.25">
      <c r="C459" s="6"/>
      <c r="D459" s="6"/>
      <c r="F459" s="11">
        <v>13</v>
      </c>
      <c r="G459" s="32" t="e">
        <v>#N/A</v>
      </c>
      <c r="H459" s="13" t="e">
        <v>#N/A</v>
      </c>
      <c r="I459" s="32" t="e">
        <v>#N/A</v>
      </c>
      <c r="J459" s="33"/>
      <c r="L459" s="45"/>
    </row>
    <row r="460" spans="1:12" ht="15.75" x14ac:dyDescent="0.25">
      <c r="A460" s="1"/>
      <c r="B460" s="1"/>
      <c r="C460" s="6"/>
      <c r="D460" s="6"/>
      <c r="F460" s="11">
        <v>14</v>
      </c>
      <c r="G460" s="32" t="e">
        <v>#N/A</v>
      </c>
      <c r="H460" s="13" t="e">
        <v>#N/A</v>
      </c>
      <c r="I460" s="32" t="e">
        <v>#N/A</v>
      </c>
      <c r="J460" s="33"/>
      <c r="L460" s="45"/>
    </row>
    <row r="461" spans="1:12" ht="15.75" x14ac:dyDescent="0.25">
      <c r="A461" s="1"/>
      <c r="B461" s="1"/>
      <c r="C461" s="6"/>
      <c r="D461" s="6"/>
      <c r="F461" s="11">
        <v>15</v>
      </c>
      <c r="G461" s="32" t="e">
        <v>#N/A</v>
      </c>
      <c r="H461" s="13" t="e">
        <v>#N/A</v>
      </c>
      <c r="I461" s="32" t="e">
        <v>#N/A</v>
      </c>
      <c r="J461" s="33"/>
      <c r="L461" s="45"/>
    </row>
    <row r="462" spans="1:12" ht="15.75" x14ac:dyDescent="0.25">
      <c r="A462" s="1"/>
      <c r="B462" s="1"/>
      <c r="C462" s="6"/>
      <c r="D462" s="6"/>
      <c r="F462" s="11">
        <v>16</v>
      </c>
      <c r="G462" s="32" t="e">
        <v>#N/A</v>
      </c>
      <c r="H462" s="13" t="e">
        <v>#N/A</v>
      </c>
      <c r="I462" s="32" t="e">
        <v>#N/A</v>
      </c>
      <c r="J462" s="33"/>
      <c r="L462" s="45"/>
    </row>
    <row r="463" spans="1:12" ht="16.5" thickBot="1" x14ac:dyDescent="0.3">
      <c r="A463" s="1"/>
      <c r="B463" s="1"/>
      <c r="C463" s="6"/>
      <c r="D463" s="6"/>
      <c r="F463" s="11">
        <v>17</v>
      </c>
      <c r="G463" s="32" t="e">
        <v>#N/A</v>
      </c>
      <c r="H463" s="13" t="e">
        <v>#N/A</v>
      </c>
      <c r="I463" s="32" t="e">
        <v>#N/A</v>
      </c>
      <c r="J463" s="33"/>
      <c r="L463" s="45"/>
    </row>
    <row r="464" spans="1:12" ht="16.5" thickBot="1" x14ac:dyDescent="0.3">
      <c r="A464" s="28">
        <v>23</v>
      </c>
      <c r="B464" s="28">
        <v>9</v>
      </c>
      <c r="C464" s="28" t="s">
        <v>13</v>
      </c>
      <c r="D464" s="28">
        <v>307</v>
      </c>
      <c r="E464" s="24" t="s">
        <v>28</v>
      </c>
      <c r="F464" s="29" t="s">
        <v>16</v>
      </c>
      <c r="G464" s="30"/>
      <c r="H464" s="30"/>
      <c r="I464" s="31">
        <v>1183.8</v>
      </c>
      <c r="J464" s="31">
        <v>112</v>
      </c>
      <c r="L464" s="45"/>
    </row>
    <row r="465" spans="1:15" ht="13.5" thickBot="1" x14ac:dyDescent="0.25">
      <c r="C465" s="6"/>
      <c r="D465" s="6"/>
      <c r="J465" s="48"/>
      <c r="L465" s="45"/>
    </row>
    <row r="466" spans="1:15" ht="16.5" thickBot="1" x14ac:dyDescent="0.3">
      <c r="A466" s="28">
        <v>4</v>
      </c>
      <c r="B466" s="28">
        <v>10</v>
      </c>
      <c r="C466" s="28" t="s">
        <v>14</v>
      </c>
      <c r="D466" s="28">
        <v>104</v>
      </c>
      <c r="E466" s="24" t="s">
        <v>24</v>
      </c>
      <c r="F466" s="12">
        <v>1</v>
      </c>
      <c r="G466" s="25">
        <v>106</v>
      </c>
      <c r="H466" s="26">
        <v>37727</v>
      </c>
      <c r="I466" s="25">
        <v>141</v>
      </c>
      <c r="J466" s="32"/>
      <c r="L466" s="44"/>
      <c r="M466" s="43"/>
      <c r="N466" s="43"/>
      <c r="O466" s="43"/>
    </row>
    <row r="467" spans="1:15" ht="15.75" x14ac:dyDescent="0.25">
      <c r="A467" s="1"/>
      <c r="B467" s="1"/>
      <c r="C467" s="6"/>
      <c r="D467" s="6"/>
      <c r="F467" s="11">
        <v>2</v>
      </c>
      <c r="G467" s="32">
        <v>108</v>
      </c>
      <c r="H467" s="13">
        <v>37729</v>
      </c>
      <c r="I467" s="32">
        <v>80</v>
      </c>
      <c r="J467" s="49"/>
      <c r="L467" s="44"/>
      <c r="M467" s="43"/>
      <c r="N467" s="43"/>
      <c r="O467" s="43"/>
    </row>
    <row r="468" spans="1:15" ht="15.75" x14ac:dyDescent="0.25">
      <c r="A468" s="1"/>
      <c r="B468" s="1"/>
      <c r="C468" s="6"/>
      <c r="D468" s="6"/>
      <c r="F468" s="11">
        <v>3</v>
      </c>
      <c r="G468" s="32">
        <v>112</v>
      </c>
      <c r="H468" s="13">
        <v>37733</v>
      </c>
      <c r="I468" s="32">
        <v>71</v>
      </c>
      <c r="J468" s="33"/>
      <c r="L468" s="44"/>
      <c r="M468" s="43"/>
      <c r="N468" s="43"/>
      <c r="O468" s="43"/>
    </row>
    <row r="469" spans="1:15" ht="15.75" x14ac:dyDescent="0.25">
      <c r="A469" s="1"/>
      <c r="B469" s="1"/>
      <c r="C469" s="6"/>
      <c r="D469" s="6"/>
      <c r="F469" s="11">
        <v>4</v>
      </c>
      <c r="G469" s="32">
        <v>129</v>
      </c>
      <c r="H469" s="13">
        <v>37750</v>
      </c>
      <c r="I469" s="32">
        <v>82</v>
      </c>
      <c r="J469" s="33"/>
      <c r="L469" s="44"/>
      <c r="M469" s="43"/>
      <c r="N469" s="43"/>
      <c r="O469" s="43"/>
    </row>
    <row r="470" spans="1:15" ht="15.75" x14ac:dyDescent="0.25">
      <c r="A470" s="1"/>
      <c r="B470" s="1"/>
      <c r="C470" s="6"/>
      <c r="D470" s="6"/>
      <c r="F470" s="11">
        <v>5</v>
      </c>
      <c r="G470" s="32">
        <v>148</v>
      </c>
      <c r="H470" s="13">
        <v>37769</v>
      </c>
      <c r="I470" s="32">
        <v>63</v>
      </c>
      <c r="J470" s="33"/>
      <c r="L470" s="44"/>
      <c r="M470" s="43"/>
      <c r="N470" s="43"/>
      <c r="O470" s="43"/>
    </row>
    <row r="471" spans="1:15" ht="15.75" x14ac:dyDescent="0.25">
      <c r="A471" s="1"/>
      <c r="B471" s="1"/>
      <c r="C471" s="6"/>
      <c r="D471" s="6"/>
      <c r="F471" s="11">
        <v>6</v>
      </c>
      <c r="G471" s="32">
        <v>162</v>
      </c>
      <c r="H471" s="13">
        <v>37783</v>
      </c>
      <c r="I471" s="32">
        <v>83</v>
      </c>
      <c r="J471" s="33"/>
      <c r="L471" s="45"/>
    </row>
    <row r="472" spans="1:15" ht="15.75" x14ac:dyDescent="0.25">
      <c r="A472" s="1"/>
      <c r="B472" s="1"/>
      <c r="C472" s="6"/>
      <c r="D472" s="6"/>
      <c r="F472" s="11">
        <v>7</v>
      </c>
      <c r="G472" s="32">
        <v>176</v>
      </c>
      <c r="H472" s="13">
        <v>37797</v>
      </c>
      <c r="I472" s="32">
        <v>116</v>
      </c>
      <c r="J472" s="33"/>
      <c r="L472" s="45"/>
    </row>
    <row r="473" spans="1:15" ht="15.75" x14ac:dyDescent="0.25">
      <c r="A473" s="1"/>
      <c r="B473" s="1"/>
      <c r="C473" s="6"/>
      <c r="D473" s="6"/>
      <c r="F473" s="11">
        <v>8</v>
      </c>
      <c r="G473" s="32">
        <v>185</v>
      </c>
      <c r="H473" s="13">
        <v>37806</v>
      </c>
      <c r="I473" s="32">
        <v>109</v>
      </c>
      <c r="J473" s="33"/>
      <c r="L473" s="45"/>
    </row>
    <row r="474" spans="1:15" ht="15.75" x14ac:dyDescent="0.25">
      <c r="A474" s="1"/>
      <c r="B474" s="1"/>
      <c r="C474" s="6"/>
      <c r="D474" s="6"/>
      <c r="F474" s="11">
        <v>9</v>
      </c>
      <c r="G474" s="32">
        <v>195</v>
      </c>
      <c r="H474" s="13">
        <v>37816</v>
      </c>
      <c r="I474" s="32">
        <v>125</v>
      </c>
      <c r="J474" s="33"/>
      <c r="L474" s="45"/>
    </row>
    <row r="475" spans="1:15" ht="15.75" x14ac:dyDescent="0.25">
      <c r="A475" s="1"/>
      <c r="B475" s="1"/>
      <c r="C475" s="6"/>
      <c r="D475" s="6"/>
      <c r="F475" s="11">
        <v>10</v>
      </c>
      <c r="G475" s="32">
        <v>206</v>
      </c>
      <c r="H475" s="13">
        <v>37827</v>
      </c>
      <c r="I475" s="32">
        <v>128</v>
      </c>
      <c r="J475" s="33"/>
      <c r="L475" s="45"/>
    </row>
    <row r="476" spans="1:15" ht="15.75" x14ac:dyDescent="0.25">
      <c r="A476" s="1"/>
      <c r="B476" s="1"/>
      <c r="C476" s="6"/>
      <c r="D476" s="6"/>
      <c r="F476" s="11">
        <v>11</v>
      </c>
      <c r="G476" s="32">
        <v>219</v>
      </c>
      <c r="H476" s="13">
        <v>37840</v>
      </c>
      <c r="I476" s="32">
        <v>122</v>
      </c>
      <c r="J476" s="33"/>
      <c r="L476" s="45"/>
    </row>
    <row r="477" spans="1:15" ht="15.75" x14ac:dyDescent="0.25">
      <c r="A477" s="1"/>
      <c r="B477" s="1"/>
      <c r="C477" s="6"/>
      <c r="D477" s="6"/>
      <c r="F477" s="11">
        <v>12</v>
      </c>
      <c r="G477" s="32">
        <v>232</v>
      </c>
      <c r="H477" s="13">
        <v>37853</v>
      </c>
      <c r="I477" s="32">
        <v>106</v>
      </c>
      <c r="J477" s="33"/>
      <c r="L477" s="45"/>
    </row>
    <row r="478" spans="1:15" ht="15.75" x14ac:dyDescent="0.25">
      <c r="C478" s="6"/>
      <c r="D478" s="6"/>
      <c r="F478" s="11">
        <v>13</v>
      </c>
      <c r="G478" s="32" t="e">
        <v>#N/A</v>
      </c>
      <c r="H478" s="13" t="e">
        <v>#N/A</v>
      </c>
      <c r="I478" s="32" t="e">
        <v>#N/A</v>
      </c>
      <c r="J478" s="33"/>
      <c r="L478" s="45"/>
    </row>
    <row r="479" spans="1:15" ht="15.75" x14ac:dyDescent="0.25">
      <c r="A479" s="1"/>
      <c r="B479" s="1"/>
      <c r="C479" s="6"/>
      <c r="D479" s="6"/>
      <c r="F479" s="11">
        <v>14</v>
      </c>
      <c r="G479" s="32" t="e">
        <v>#N/A</v>
      </c>
      <c r="H479" s="13" t="e">
        <v>#N/A</v>
      </c>
      <c r="I479" s="32" t="e">
        <v>#N/A</v>
      </c>
      <c r="J479" s="33"/>
      <c r="L479" s="45"/>
    </row>
    <row r="480" spans="1:15" ht="15.75" x14ac:dyDescent="0.25">
      <c r="A480" s="1"/>
      <c r="B480" s="1"/>
      <c r="C480" s="6"/>
      <c r="D480" s="6"/>
      <c r="F480" s="11">
        <v>15</v>
      </c>
      <c r="G480" s="32" t="e">
        <v>#N/A</v>
      </c>
      <c r="H480" s="13" t="e">
        <v>#N/A</v>
      </c>
      <c r="I480" s="32" t="e">
        <v>#N/A</v>
      </c>
      <c r="J480" s="33"/>
      <c r="L480" s="45"/>
    </row>
    <row r="481" spans="1:15" ht="15.75" x14ac:dyDescent="0.25">
      <c r="A481" s="1"/>
      <c r="B481" s="1"/>
      <c r="C481" s="6"/>
      <c r="D481" s="6"/>
      <c r="F481" s="11">
        <v>16</v>
      </c>
      <c r="G481" s="32" t="e">
        <v>#N/A</v>
      </c>
      <c r="H481" s="13" t="e">
        <v>#N/A</v>
      </c>
      <c r="I481" s="32" t="e">
        <v>#N/A</v>
      </c>
      <c r="J481" s="33"/>
      <c r="L481" s="45"/>
    </row>
    <row r="482" spans="1:15" ht="16.5" thickBot="1" x14ac:dyDescent="0.3">
      <c r="A482" s="1"/>
      <c r="B482" s="1"/>
      <c r="C482" s="6"/>
      <c r="D482" s="6"/>
      <c r="F482" s="11">
        <v>17</v>
      </c>
      <c r="G482" s="32" t="e">
        <v>#N/A</v>
      </c>
      <c r="H482" s="13" t="e">
        <v>#N/A</v>
      </c>
      <c r="I482" s="32" t="e">
        <v>#N/A</v>
      </c>
      <c r="J482" s="33"/>
      <c r="L482" s="45"/>
    </row>
    <row r="483" spans="1:15" ht="16.5" thickBot="1" x14ac:dyDescent="0.3">
      <c r="A483" s="28">
        <v>4</v>
      </c>
      <c r="B483" s="28">
        <v>10</v>
      </c>
      <c r="C483" s="28" t="s">
        <v>14</v>
      </c>
      <c r="D483" s="28">
        <v>104</v>
      </c>
      <c r="E483" s="24" t="s">
        <v>24</v>
      </c>
      <c r="F483" s="29" t="s">
        <v>16</v>
      </c>
      <c r="G483" s="30"/>
      <c r="H483" s="30"/>
      <c r="I483" s="31">
        <v>1226</v>
      </c>
      <c r="J483" s="31">
        <v>0</v>
      </c>
      <c r="L483" s="45"/>
    </row>
    <row r="484" spans="1:15" ht="13.5" thickBot="1" x14ac:dyDescent="0.25">
      <c r="C484" s="6"/>
      <c r="D484" s="6"/>
      <c r="J484" s="48"/>
      <c r="L484" s="45"/>
    </row>
    <row r="485" spans="1:15" ht="16.5" thickBot="1" x14ac:dyDescent="0.3">
      <c r="A485" s="28">
        <v>7</v>
      </c>
      <c r="B485" s="28">
        <v>10</v>
      </c>
      <c r="C485" s="28" t="s">
        <v>14</v>
      </c>
      <c r="D485" s="28">
        <v>107</v>
      </c>
      <c r="E485" s="24" t="s">
        <v>26</v>
      </c>
      <c r="F485" s="12">
        <v>1</v>
      </c>
      <c r="G485" s="25">
        <v>106</v>
      </c>
      <c r="H485" s="26">
        <v>37727</v>
      </c>
      <c r="I485" s="25">
        <v>143</v>
      </c>
      <c r="J485" s="32"/>
      <c r="L485" s="44"/>
      <c r="M485" s="43"/>
      <c r="N485" s="43"/>
      <c r="O485" s="43"/>
    </row>
    <row r="486" spans="1:15" ht="15.75" x14ac:dyDescent="0.25">
      <c r="A486" s="1"/>
      <c r="B486" s="1"/>
      <c r="C486" s="6"/>
      <c r="D486" s="6"/>
      <c r="F486" s="11">
        <v>2</v>
      </c>
      <c r="G486" s="32">
        <v>108</v>
      </c>
      <c r="H486" s="13">
        <v>37729</v>
      </c>
      <c r="I486" s="32">
        <v>51</v>
      </c>
      <c r="J486" s="49"/>
      <c r="L486" s="44"/>
      <c r="M486" s="43"/>
      <c r="N486" s="43"/>
      <c r="O486" s="43"/>
    </row>
    <row r="487" spans="1:15" ht="15.75" x14ac:dyDescent="0.25">
      <c r="A487" s="1"/>
      <c r="B487" s="1"/>
      <c r="C487" s="6"/>
      <c r="D487" s="6"/>
      <c r="F487" s="11">
        <v>3</v>
      </c>
      <c r="G487" s="32">
        <v>112</v>
      </c>
      <c r="H487" s="13">
        <v>37733</v>
      </c>
      <c r="I487" s="32">
        <v>76</v>
      </c>
      <c r="J487" s="33"/>
      <c r="L487" s="44"/>
      <c r="M487" s="43"/>
      <c r="N487" s="43"/>
      <c r="O487" s="43"/>
    </row>
    <row r="488" spans="1:15" ht="15.75" x14ac:dyDescent="0.25">
      <c r="A488" s="1"/>
      <c r="B488" s="1"/>
      <c r="C488" s="6"/>
      <c r="D488" s="6"/>
      <c r="F488" s="11">
        <v>4</v>
      </c>
      <c r="G488" s="32">
        <v>129</v>
      </c>
      <c r="H488" s="13">
        <v>37750</v>
      </c>
      <c r="I488" s="32">
        <v>90</v>
      </c>
      <c r="J488" s="33"/>
      <c r="L488" s="44"/>
      <c r="M488" s="43"/>
      <c r="N488" s="43"/>
      <c r="O488" s="43"/>
    </row>
    <row r="489" spans="1:15" ht="15.75" x14ac:dyDescent="0.25">
      <c r="A489" s="1"/>
      <c r="B489" s="1"/>
      <c r="C489" s="6"/>
      <c r="D489" s="6"/>
      <c r="F489" s="11">
        <v>5</v>
      </c>
      <c r="G489" s="32">
        <v>148</v>
      </c>
      <c r="H489" s="13">
        <v>37769</v>
      </c>
      <c r="I489" s="32">
        <v>63</v>
      </c>
      <c r="J489" s="33"/>
      <c r="L489" s="44"/>
      <c r="M489" s="43"/>
      <c r="N489" s="43"/>
      <c r="O489" s="43"/>
    </row>
    <row r="490" spans="1:15" ht="15.75" x14ac:dyDescent="0.25">
      <c r="A490" s="1"/>
      <c r="B490" s="1"/>
      <c r="C490" s="6"/>
      <c r="D490" s="6"/>
      <c r="F490" s="11">
        <v>6</v>
      </c>
      <c r="G490" s="32">
        <v>162</v>
      </c>
      <c r="H490" s="13">
        <v>37783</v>
      </c>
      <c r="I490" s="32">
        <v>83</v>
      </c>
      <c r="J490" s="33"/>
      <c r="L490" s="45"/>
    </row>
    <row r="491" spans="1:15" ht="15.75" x14ac:dyDescent="0.25">
      <c r="A491" s="1"/>
      <c r="B491" s="1"/>
      <c r="C491" s="6"/>
      <c r="D491" s="6"/>
      <c r="F491" s="11">
        <v>7</v>
      </c>
      <c r="G491" s="32">
        <v>176</v>
      </c>
      <c r="H491" s="13">
        <v>37797</v>
      </c>
      <c r="I491" s="32">
        <v>114</v>
      </c>
      <c r="J491" s="33"/>
      <c r="L491" s="45"/>
    </row>
    <row r="492" spans="1:15" ht="15.75" x14ac:dyDescent="0.25">
      <c r="A492" s="1"/>
      <c r="B492" s="1"/>
      <c r="C492" s="6"/>
      <c r="D492" s="6"/>
      <c r="F492" s="11">
        <v>8</v>
      </c>
      <c r="G492" s="32">
        <v>185</v>
      </c>
      <c r="H492" s="13">
        <v>37806</v>
      </c>
      <c r="I492" s="32">
        <v>113</v>
      </c>
      <c r="J492" s="33"/>
      <c r="L492" s="45"/>
    </row>
    <row r="493" spans="1:15" ht="15.75" x14ac:dyDescent="0.25">
      <c r="A493" s="1"/>
      <c r="B493" s="1"/>
      <c r="C493" s="6"/>
      <c r="D493" s="6"/>
      <c r="F493" s="11">
        <v>9</v>
      </c>
      <c r="G493" s="32">
        <v>195</v>
      </c>
      <c r="H493" s="13">
        <v>37816</v>
      </c>
      <c r="I493" s="32">
        <v>124</v>
      </c>
      <c r="J493" s="33"/>
      <c r="L493" s="45"/>
    </row>
    <row r="494" spans="1:15" ht="15.75" x14ac:dyDescent="0.25">
      <c r="A494" s="1"/>
      <c r="B494" s="1"/>
      <c r="C494" s="6"/>
      <c r="D494" s="6"/>
      <c r="F494" s="11">
        <v>10</v>
      </c>
      <c r="G494" s="32">
        <v>206</v>
      </c>
      <c r="H494" s="13">
        <v>37827</v>
      </c>
      <c r="I494" s="32">
        <v>129</v>
      </c>
      <c r="J494" s="33"/>
      <c r="L494" s="45"/>
    </row>
    <row r="495" spans="1:15" ht="15.75" x14ac:dyDescent="0.25">
      <c r="A495" s="1"/>
      <c r="B495" s="1"/>
      <c r="C495" s="6"/>
      <c r="D495" s="6"/>
      <c r="F495" s="11">
        <v>11</v>
      </c>
      <c r="G495" s="32">
        <v>219</v>
      </c>
      <c r="H495" s="13">
        <v>37840</v>
      </c>
      <c r="I495" s="32">
        <v>122</v>
      </c>
      <c r="J495" s="33"/>
      <c r="L495" s="45"/>
    </row>
    <row r="496" spans="1:15" ht="15.75" x14ac:dyDescent="0.25">
      <c r="A496" s="1"/>
      <c r="B496" s="1"/>
      <c r="C496" s="6"/>
      <c r="D496" s="6"/>
      <c r="F496" s="11">
        <v>12</v>
      </c>
      <c r="G496" s="32">
        <v>232</v>
      </c>
      <c r="H496" s="13">
        <v>37853</v>
      </c>
      <c r="I496" s="32">
        <v>110</v>
      </c>
      <c r="J496" s="33"/>
      <c r="L496" s="45"/>
    </row>
    <row r="497" spans="1:12" ht="15.75" x14ac:dyDescent="0.25">
      <c r="C497" s="6"/>
      <c r="D497" s="6"/>
      <c r="F497" s="11">
        <v>13</v>
      </c>
      <c r="G497" s="32" t="e">
        <v>#N/A</v>
      </c>
      <c r="H497" s="13" t="e">
        <v>#N/A</v>
      </c>
      <c r="I497" s="32" t="e">
        <v>#N/A</v>
      </c>
      <c r="J497" s="33"/>
      <c r="L497" s="45"/>
    </row>
    <row r="498" spans="1:12" ht="15.75" x14ac:dyDescent="0.25">
      <c r="A498" s="1"/>
      <c r="B498" s="1"/>
      <c r="C498" s="6"/>
      <c r="D498" s="6"/>
      <c r="F498" s="11">
        <v>14</v>
      </c>
      <c r="G498" s="32" t="e">
        <v>#N/A</v>
      </c>
      <c r="H498" s="13" t="e">
        <v>#N/A</v>
      </c>
      <c r="I498" s="32" t="e">
        <v>#N/A</v>
      </c>
      <c r="J498" s="33"/>
      <c r="L498" s="45"/>
    </row>
    <row r="499" spans="1:12" ht="15.75" x14ac:dyDescent="0.25">
      <c r="A499" s="1"/>
      <c r="B499" s="1"/>
      <c r="C499" s="6"/>
      <c r="D499" s="6"/>
      <c r="F499" s="11">
        <v>15</v>
      </c>
      <c r="G499" s="32" t="e">
        <v>#N/A</v>
      </c>
      <c r="H499" s="13" t="e">
        <v>#N/A</v>
      </c>
      <c r="I499" s="32" t="e">
        <v>#N/A</v>
      </c>
      <c r="J499" s="33"/>
      <c r="L499" s="45"/>
    </row>
    <row r="500" spans="1:12" ht="15.75" x14ac:dyDescent="0.25">
      <c r="A500" s="1"/>
      <c r="B500" s="1"/>
      <c r="C500" s="6"/>
      <c r="D500" s="6"/>
      <c r="F500" s="11">
        <v>16</v>
      </c>
      <c r="G500" s="32" t="e">
        <v>#N/A</v>
      </c>
      <c r="H500" s="13" t="e">
        <v>#N/A</v>
      </c>
      <c r="I500" s="32" t="e">
        <v>#N/A</v>
      </c>
      <c r="J500" s="33"/>
      <c r="L500" s="45"/>
    </row>
    <row r="501" spans="1:12" ht="16.5" thickBot="1" x14ac:dyDescent="0.3">
      <c r="A501" s="1"/>
      <c r="B501" s="1"/>
      <c r="C501" s="6"/>
      <c r="D501" s="6"/>
      <c r="F501" s="11">
        <v>17</v>
      </c>
      <c r="G501" s="32" t="e">
        <v>#N/A</v>
      </c>
      <c r="H501" s="13" t="e">
        <v>#N/A</v>
      </c>
      <c r="I501" s="32" t="e">
        <v>#N/A</v>
      </c>
      <c r="J501" s="33"/>
      <c r="L501" s="45"/>
    </row>
    <row r="502" spans="1:12" ht="16.5" thickBot="1" x14ac:dyDescent="0.3">
      <c r="A502" s="28">
        <v>7</v>
      </c>
      <c r="B502" s="28">
        <v>10</v>
      </c>
      <c r="C502" s="28" t="s">
        <v>14</v>
      </c>
      <c r="D502" s="28">
        <v>107</v>
      </c>
      <c r="E502" s="24" t="s">
        <v>26</v>
      </c>
      <c r="F502" s="29" t="s">
        <v>16</v>
      </c>
      <c r="G502" s="30"/>
      <c r="H502" s="30"/>
      <c r="I502" s="31">
        <v>1218</v>
      </c>
      <c r="J502" s="31">
        <v>0</v>
      </c>
      <c r="L502" s="45"/>
    </row>
    <row r="503" spans="1:12" ht="13.5" thickBot="1" x14ac:dyDescent="0.25">
      <c r="C503" s="6"/>
      <c r="D503" s="6"/>
      <c r="J503" s="48"/>
      <c r="L503" s="45"/>
    </row>
    <row r="504" spans="1:12" ht="16.5" thickBot="1" x14ac:dyDescent="0.3">
      <c r="A504" s="28">
        <v>17</v>
      </c>
      <c r="B504" s="28">
        <v>10</v>
      </c>
      <c r="C504" s="28" t="s">
        <v>14</v>
      </c>
      <c r="D504" s="28">
        <v>301</v>
      </c>
      <c r="E504" s="24" t="s">
        <v>27</v>
      </c>
      <c r="F504" s="12">
        <v>1</v>
      </c>
      <c r="G504" s="25">
        <v>106</v>
      </c>
      <c r="H504" s="26">
        <v>37727</v>
      </c>
      <c r="I504" s="25">
        <v>148</v>
      </c>
      <c r="J504" s="32"/>
      <c r="L504" s="45"/>
    </row>
    <row r="505" spans="1:12" ht="15.75" x14ac:dyDescent="0.25">
      <c r="A505" s="1"/>
      <c r="B505" s="1"/>
      <c r="C505" s="6"/>
      <c r="D505" s="6"/>
      <c r="F505" s="11">
        <v>2</v>
      </c>
      <c r="G505" s="32">
        <v>108</v>
      </c>
      <c r="H505" s="13">
        <v>37729</v>
      </c>
      <c r="I505" s="32">
        <v>82</v>
      </c>
      <c r="J505" s="49"/>
      <c r="L505" s="45"/>
    </row>
    <row r="506" spans="1:12" ht="15.75" x14ac:dyDescent="0.25">
      <c r="A506" s="1"/>
      <c r="B506" s="1"/>
      <c r="C506" s="6"/>
      <c r="D506" s="6"/>
      <c r="F506" s="11">
        <v>3</v>
      </c>
      <c r="G506" s="32">
        <v>112</v>
      </c>
      <c r="H506" s="13">
        <v>37733</v>
      </c>
      <c r="I506" s="32">
        <v>64</v>
      </c>
      <c r="J506" s="33"/>
      <c r="L506" s="45"/>
    </row>
    <row r="507" spans="1:12" ht="15.75" x14ac:dyDescent="0.25">
      <c r="A507" s="1"/>
      <c r="B507" s="1"/>
      <c r="C507" s="6"/>
      <c r="D507" s="6"/>
      <c r="F507" s="11">
        <v>4</v>
      </c>
      <c r="G507" s="32">
        <v>129</v>
      </c>
      <c r="H507" s="13">
        <v>37750</v>
      </c>
      <c r="I507" s="32">
        <v>84</v>
      </c>
      <c r="J507" s="33"/>
      <c r="L507" s="45"/>
    </row>
    <row r="508" spans="1:12" ht="15.75" x14ac:dyDescent="0.25">
      <c r="A508" s="1"/>
      <c r="B508" s="1"/>
      <c r="C508" s="6"/>
      <c r="D508" s="6"/>
      <c r="F508" s="11">
        <v>5</v>
      </c>
      <c r="G508" s="32">
        <v>148</v>
      </c>
      <c r="H508" s="13">
        <v>37769</v>
      </c>
      <c r="I508" s="32">
        <v>63</v>
      </c>
      <c r="J508" s="33"/>
      <c r="L508" s="45"/>
    </row>
    <row r="509" spans="1:12" ht="15.75" x14ac:dyDescent="0.25">
      <c r="A509" s="1"/>
      <c r="B509" s="1"/>
      <c r="C509" s="6"/>
      <c r="D509" s="6"/>
      <c r="F509" s="11">
        <v>6</v>
      </c>
      <c r="G509" s="32">
        <v>163</v>
      </c>
      <c r="H509" s="13">
        <v>37784</v>
      </c>
      <c r="I509" s="32">
        <v>86</v>
      </c>
      <c r="J509" s="33"/>
      <c r="L509" s="45"/>
    </row>
    <row r="510" spans="1:12" ht="15.75" x14ac:dyDescent="0.25">
      <c r="A510" s="1"/>
      <c r="B510" s="1"/>
      <c r="C510" s="6"/>
      <c r="D510" s="6"/>
      <c r="F510" s="11">
        <v>7</v>
      </c>
      <c r="G510" s="32">
        <v>177</v>
      </c>
      <c r="H510" s="13">
        <v>37798</v>
      </c>
      <c r="I510" s="32">
        <v>105</v>
      </c>
      <c r="J510" s="33"/>
      <c r="L510" s="45"/>
    </row>
    <row r="511" spans="1:12" ht="15.75" x14ac:dyDescent="0.25">
      <c r="A511" s="1"/>
      <c r="B511" s="1"/>
      <c r="C511" s="6"/>
      <c r="D511" s="6"/>
      <c r="F511" s="11">
        <v>8</v>
      </c>
      <c r="G511" s="32">
        <v>185</v>
      </c>
      <c r="H511" s="13">
        <v>37806</v>
      </c>
      <c r="I511" s="32">
        <v>102</v>
      </c>
      <c r="J511" s="33"/>
      <c r="L511" s="45"/>
    </row>
    <row r="512" spans="1:12" ht="15.75" x14ac:dyDescent="0.25">
      <c r="A512" s="1"/>
      <c r="B512" s="1"/>
      <c r="C512" s="6"/>
      <c r="D512" s="6"/>
      <c r="F512" s="11">
        <v>9</v>
      </c>
      <c r="G512" s="32">
        <v>195</v>
      </c>
      <c r="H512" s="13">
        <v>37816</v>
      </c>
      <c r="I512" s="32">
        <v>124</v>
      </c>
      <c r="J512" s="33"/>
      <c r="L512" s="45"/>
    </row>
    <row r="513" spans="1:12" ht="15.75" x14ac:dyDescent="0.25">
      <c r="A513" s="1"/>
      <c r="B513" s="1"/>
      <c r="C513" s="6"/>
      <c r="D513" s="6"/>
      <c r="F513" s="11">
        <v>10</v>
      </c>
      <c r="G513" s="32">
        <v>206</v>
      </c>
      <c r="H513" s="13">
        <v>37827</v>
      </c>
      <c r="I513" s="32">
        <v>126</v>
      </c>
      <c r="J513" s="33"/>
      <c r="L513" s="45"/>
    </row>
    <row r="514" spans="1:12" ht="15.75" x14ac:dyDescent="0.25">
      <c r="A514" s="1"/>
      <c r="B514" s="1"/>
      <c r="C514" s="6"/>
      <c r="D514" s="6"/>
      <c r="F514" s="11">
        <v>11</v>
      </c>
      <c r="G514" s="32">
        <v>219</v>
      </c>
      <c r="H514" s="13">
        <v>37840</v>
      </c>
      <c r="I514" s="32">
        <v>124</v>
      </c>
      <c r="J514" s="33"/>
      <c r="L514" s="45"/>
    </row>
    <row r="515" spans="1:12" ht="15.75" x14ac:dyDescent="0.25">
      <c r="A515" s="1"/>
      <c r="B515" s="1"/>
      <c r="C515" s="6"/>
      <c r="D515" s="6"/>
      <c r="F515" s="11">
        <v>12</v>
      </c>
      <c r="G515" s="32">
        <v>232</v>
      </c>
      <c r="H515" s="13">
        <v>37853</v>
      </c>
      <c r="I515" s="32">
        <v>107</v>
      </c>
      <c r="J515" s="33"/>
      <c r="L515" s="45"/>
    </row>
    <row r="516" spans="1:12" ht="15.75" x14ac:dyDescent="0.25">
      <c r="C516" s="6"/>
      <c r="D516" s="6"/>
      <c r="F516" s="11">
        <v>13</v>
      </c>
      <c r="G516" s="32" t="e">
        <v>#N/A</v>
      </c>
      <c r="H516" s="13" t="e">
        <v>#N/A</v>
      </c>
      <c r="I516" s="32" t="e">
        <v>#N/A</v>
      </c>
      <c r="J516" s="33"/>
      <c r="L516" s="45"/>
    </row>
    <row r="517" spans="1:12" ht="15.75" x14ac:dyDescent="0.25">
      <c r="A517" s="1"/>
      <c r="B517" s="1"/>
      <c r="C517" s="6"/>
      <c r="D517" s="6"/>
      <c r="F517" s="11">
        <v>14</v>
      </c>
      <c r="G517" s="32" t="e">
        <v>#N/A</v>
      </c>
      <c r="H517" s="13" t="e">
        <v>#N/A</v>
      </c>
      <c r="I517" s="32" t="e">
        <v>#N/A</v>
      </c>
      <c r="J517" s="33"/>
      <c r="L517" s="45"/>
    </row>
    <row r="518" spans="1:12" ht="15.75" x14ac:dyDescent="0.25">
      <c r="A518" s="1"/>
      <c r="B518" s="1"/>
      <c r="C518" s="6"/>
      <c r="D518" s="6"/>
      <c r="F518" s="11">
        <v>15</v>
      </c>
      <c r="G518" s="32" t="e">
        <v>#N/A</v>
      </c>
      <c r="H518" s="13" t="e">
        <v>#N/A</v>
      </c>
      <c r="I518" s="32" t="e">
        <v>#N/A</v>
      </c>
      <c r="J518" s="33"/>
      <c r="L518" s="45"/>
    </row>
    <row r="519" spans="1:12" ht="15.75" x14ac:dyDescent="0.25">
      <c r="A519" s="1"/>
      <c r="B519" s="1"/>
      <c r="C519" s="6"/>
      <c r="D519" s="6"/>
      <c r="F519" s="11">
        <v>16</v>
      </c>
      <c r="G519" s="32" t="e">
        <v>#N/A</v>
      </c>
      <c r="H519" s="13" t="e">
        <v>#N/A</v>
      </c>
      <c r="I519" s="32" t="e">
        <v>#N/A</v>
      </c>
      <c r="J519" s="33"/>
      <c r="L519" s="45"/>
    </row>
    <row r="520" spans="1:12" ht="16.5" thickBot="1" x14ac:dyDescent="0.3">
      <c r="A520" s="1"/>
      <c r="B520" s="1"/>
      <c r="C520" s="6"/>
      <c r="D520" s="6"/>
      <c r="F520" s="11">
        <v>17</v>
      </c>
      <c r="G520" s="32" t="e">
        <v>#N/A</v>
      </c>
      <c r="H520" s="13" t="e">
        <v>#N/A</v>
      </c>
      <c r="I520" s="32" t="e">
        <v>#N/A</v>
      </c>
      <c r="J520" s="33"/>
      <c r="L520" s="45"/>
    </row>
    <row r="521" spans="1:12" ht="16.5" thickBot="1" x14ac:dyDescent="0.3">
      <c r="A521" s="28">
        <v>17</v>
      </c>
      <c r="B521" s="28">
        <v>10</v>
      </c>
      <c r="C521" s="28" t="s">
        <v>14</v>
      </c>
      <c r="D521" s="28">
        <v>301</v>
      </c>
      <c r="E521" s="24" t="s">
        <v>27</v>
      </c>
      <c r="F521" s="29" t="s">
        <v>16</v>
      </c>
      <c r="G521" s="30"/>
      <c r="H521" s="30"/>
      <c r="I521" s="31">
        <v>1215</v>
      </c>
      <c r="J521" s="31">
        <v>0</v>
      </c>
      <c r="L521" s="45"/>
    </row>
    <row r="522" spans="1:12" ht="13.5" thickBot="1" x14ac:dyDescent="0.25">
      <c r="C522" s="6"/>
      <c r="D522" s="6"/>
      <c r="J522" s="48"/>
      <c r="L522" s="45"/>
    </row>
    <row r="523" spans="1:12" ht="16.5" thickBot="1" x14ac:dyDescent="0.3">
      <c r="A523" s="28">
        <v>32</v>
      </c>
      <c r="B523" s="28">
        <v>10</v>
      </c>
      <c r="C523" s="28" t="s">
        <v>14</v>
      </c>
      <c r="D523" s="28">
        <v>408</v>
      </c>
      <c r="E523" s="24" t="s">
        <v>28</v>
      </c>
      <c r="F523" s="12">
        <v>1</v>
      </c>
      <c r="G523" s="25">
        <v>106</v>
      </c>
      <c r="H523" s="26">
        <v>37727</v>
      </c>
      <c r="I523" s="25">
        <v>145</v>
      </c>
      <c r="J523" s="32"/>
      <c r="L523" s="45"/>
    </row>
    <row r="524" spans="1:12" ht="15.75" x14ac:dyDescent="0.25">
      <c r="A524" s="1"/>
      <c r="B524" s="1"/>
      <c r="C524" s="6"/>
      <c r="D524" s="6"/>
      <c r="F524" s="11">
        <v>2</v>
      </c>
      <c r="G524" s="32">
        <v>108</v>
      </c>
      <c r="H524" s="13">
        <v>37729</v>
      </c>
      <c r="I524" s="32">
        <v>61</v>
      </c>
      <c r="J524" s="49"/>
      <c r="L524" s="45"/>
    </row>
    <row r="525" spans="1:12" ht="15.75" x14ac:dyDescent="0.25">
      <c r="A525" s="1"/>
      <c r="B525" s="1"/>
      <c r="C525" s="6"/>
      <c r="D525" s="6"/>
      <c r="F525" s="11">
        <v>3</v>
      </c>
      <c r="G525" s="32">
        <v>112</v>
      </c>
      <c r="H525" s="13">
        <v>37733</v>
      </c>
      <c r="I525" s="32">
        <v>54</v>
      </c>
      <c r="J525" s="33"/>
      <c r="L525" s="45"/>
    </row>
    <row r="526" spans="1:12" ht="15.75" x14ac:dyDescent="0.25">
      <c r="A526" s="1"/>
      <c r="B526" s="1"/>
      <c r="C526" s="6"/>
      <c r="D526" s="6"/>
      <c r="F526" s="11">
        <v>4</v>
      </c>
      <c r="G526" s="32">
        <v>129</v>
      </c>
      <c r="H526" s="13">
        <v>37750</v>
      </c>
      <c r="I526" s="32">
        <v>82</v>
      </c>
      <c r="J526" s="33"/>
      <c r="L526" s="45"/>
    </row>
    <row r="527" spans="1:12" ht="15.75" x14ac:dyDescent="0.25">
      <c r="A527" s="1"/>
      <c r="B527" s="1"/>
      <c r="C527" s="6"/>
      <c r="D527" s="6"/>
      <c r="F527" s="11">
        <v>5</v>
      </c>
      <c r="G527" s="32">
        <v>148</v>
      </c>
      <c r="H527" s="13">
        <v>37769</v>
      </c>
      <c r="I527" s="32">
        <v>61</v>
      </c>
      <c r="J527" s="33"/>
      <c r="L527" s="45"/>
    </row>
    <row r="528" spans="1:12" ht="15.75" x14ac:dyDescent="0.25">
      <c r="A528" s="1"/>
      <c r="B528" s="1"/>
      <c r="C528" s="6"/>
      <c r="D528" s="6"/>
      <c r="F528" s="11">
        <v>6</v>
      </c>
      <c r="G528" s="32">
        <v>164</v>
      </c>
      <c r="H528" s="13">
        <v>37785</v>
      </c>
      <c r="I528" s="32">
        <v>85</v>
      </c>
      <c r="J528" s="33"/>
      <c r="L528" s="45"/>
    </row>
    <row r="529" spans="1:12" ht="15.75" x14ac:dyDescent="0.25">
      <c r="A529" s="1"/>
      <c r="B529" s="1"/>
      <c r="C529" s="6"/>
      <c r="D529" s="6"/>
      <c r="F529" s="11">
        <v>7</v>
      </c>
      <c r="G529" s="32">
        <v>178</v>
      </c>
      <c r="H529" s="13">
        <v>37799</v>
      </c>
      <c r="I529" s="32">
        <v>111</v>
      </c>
      <c r="J529" s="33"/>
      <c r="L529" s="45"/>
    </row>
    <row r="530" spans="1:12" ht="15.75" x14ac:dyDescent="0.25">
      <c r="A530" s="1"/>
      <c r="B530" s="1"/>
      <c r="C530" s="6"/>
      <c r="D530" s="6"/>
      <c r="F530" s="11">
        <v>8</v>
      </c>
      <c r="G530" s="32">
        <v>188</v>
      </c>
      <c r="H530" s="13">
        <v>37809</v>
      </c>
      <c r="I530" s="32">
        <v>111</v>
      </c>
      <c r="J530" s="33"/>
      <c r="L530" s="45"/>
    </row>
    <row r="531" spans="1:12" ht="15.75" x14ac:dyDescent="0.25">
      <c r="A531" s="1"/>
      <c r="B531" s="1"/>
      <c r="C531" s="6"/>
      <c r="D531" s="6"/>
      <c r="F531" s="11">
        <v>9</v>
      </c>
      <c r="G531" s="32">
        <v>199</v>
      </c>
      <c r="H531" s="13">
        <v>37820</v>
      </c>
      <c r="I531" s="32">
        <v>125</v>
      </c>
      <c r="J531" s="33"/>
      <c r="L531" s="45"/>
    </row>
    <row r="532" spans="1:12" ht="15.75" x14ac:dyDescent="0.25">
      <c r="A532" s="1"/>
      <c r="B532" s="1"/>
      <c r="C532" s="6"/>
      <c r="D532" s="6"/>
      <c r="F532" s="11">
        <v>10</v>
      </c>
      <c r="G532" s="32">
        <v>210</v>
      </c>
      <c r="H532" s="13">
        <v>37831</v>
      </c>
      <c r="I532" s="32">
        <v>125</v>
      </c>
      <c r="J532" s="33"/>
      <c r="L532" s="45"/>
    </row>
    <row r="533" spans="1:12" ht="15.75" x14ac:dyDescent="0.25">
      <c r="A533" s="1"/>
      <c r="B533" s="1"/>
      <c r="C533" s="6"/>
      <c r="D533" s="6"/>
      <c r="F533" s="11">
        <v>11</v>
      </c>
      <c r="G533" s="32">
        <v>223</v>
      </c>
      <c r="H533" s="13">
        <v>37844</v>
      </c>
      <c r="I533" s="32">
        <v>129</v>
      </c>
      <c r="J533" s="33"/>
      <c r="L533" s="45"/>
    </row>
    <row r="534" spans="1:12" ht="15.75" x14ac:dyDescent="0.25">
      <c r="A534" s="1"/>
      <c r="B534" s="1"/>
      <c r="C534" s="6"/>
      <c r="D534" s="6"/>
      <c r="F534" s="11">
        <v>12</v>
      </c>
      <c r="G534" s="32">
        <v>237</v>
      </c>
      <c r="H534" s="13">
        <v>37858</v>
      </c>
      <c r="I534" s="32">
        <v>85</v>
      </c>
      <c r="J534" s="33"/>
      <c r="L534" s="45"/>
    </row>
    <row r="535" spans="1:12" ht="15.75" x14ac:dyDescent="0.25">
      <c r="C535" s="6"/>
      <c r="D535" s="6"/>
      <c r="F535" s="11">
        <v>13</v>
      </c>
      <c r="G535" s="32" t="e">
        <v>#N/A</v>
      </c>
      <c r="H535" s="13" t="e">
        <v>#N/A</v>
      </c>
      <c r="I535" s="32" t="e">
        <v>#N/A</v>
      </c>
      <c r="J535" s="33"/>
      <c r="L535" s="45"/>
    </row>
    <row r="536" spans="1:12" ht="15.75" x14ac:dyDescent="0.25">
      <c r="A536" s="1"/>
      <c r="B536" s="1"/>
      <c r="C536" s="6"/>
      <c r="D536" s="6"/>
      <c r="F536" s="11">
        <v>14</v>
      </c>
      <c r="G536" s="32" t="e">
        <v>#N/A</v>
      </c>
      <c r="H536" s="13" t="e">
        <v>#N/A</v>
      </c>
      <c r="I536" s="32" t="e">
        <v>#N/A</v>
      </c>
      <c r="J536" s="33"/>
      <c r="L536" s="45"/>
    </row>
    <row r="537" spans="1:12" ht="15.75" x14ac:dyDescent="0.25">
      <c r="A537" s="1"/>
      <c r="B537" s="1"/>
      <c r="C537" s="6"/>
      <c r="D537" s="6"/>
      <c r="F537" s="11">
        <v>15</v>
      </c>
      <c r="G537" s="32" t="e">
        <v>#N/A</v>
      </c>
      <c r="H537" s="13" t="e">
        <v>#N/A</v>
      </c>
      <c r="I537" s="32" t="e">
        <v>#N/A</v>
      </c>
      <c r="J537" s="33"/>
      <c r="L537" s="45"/>
    </row>
    <row r="538" spans="1:12" ht="15.75" x14ac:dyDescent="0.25">
      <c r="A538" s="1"/>
      <c r="B538" s="1"/>
      <c r="C538" s="6"/>
      <c r="D538" s="6"/>
      <c r="F538" s="11">
        <v>16</v>
      </c>
      <c r="G538" s="32" t="e">
        <v>#N/A</v>
      </c>
      <c r="H538" s="13" t="e">
        <v>#N/A</v>
      </c>
      <c r="I538" s="32" t="e">
        <v>#N/A</v>
      </c>
      <c r="J538" s="33"/>
      <c r="L538" s="45"/>
    </row>
    <row r="539" spans="1:12" ht="16.5" thickBot="1" x14ac:dyDescent="0.3">
      <c r="A539" s="1"/>
      <c r="B539" s="1"/>
      <c r="C539" s="6"/>
      <c r="D539" s="6"/>
      <c r="F539" s="11">
        <v>17</v>
      </c>
      <c r="G539" s="32" t="e">
        <v>#N/A</v>
      </c>
      <c r="H539" s="13" t="e">
        <v>#N/A</v>
      </c>
      <c r="I539" s="32" t="e">
        <v>#N/A</v>
      </c>
      <c r="J539" s="33"/>
      <c r="L539" s="45"/>
    </row>
    <row r="540" spans="1:12" ht="16.5" thickBot="1" x14ac:dyDescent="0.3">
      <c r="A540" s="28">
        <v>32</v>
      </c>
      <c r="B540" s="28">
        <v>10</v>
      </c>
      <c r="C540" s="28" t="s">
        <v>14</v>
      </c>
      <c r="D540" s="28">
        <v>408</v>
      </c>
      <c r="E540" s="24" t="s">
        <v>28</v>
      </c>
      <c r="F540" s="29" t="s">
        <v>16</v>
      </c>
      <c r="G540" s="30"/>
      <c r="H540" s="30"/>
      <c r="I540" s="31">
        <v>1174</v>
      </c>
      <c r="J540" s="31">
        <v>0</v>
      </c>
      <c r="L540" s="45"/>
    </row>
    <row r="541" spans="1:12" ht="13.5" thickBot="1" x14ac:dyDescent="0.25">
      <c r="C541" s="6"/>
      <c r="D541" s="6"/>
      <c r="J541" s="48"/>
      <c r="L541" s="45"/>
    </row>
    <row r="542" spans="1:12" ht="16.5" thickBot="1" x14ac:dyDescent="0.3">
      <c r="A542" s="28">
        <v>12</v>
      </c>
      <c r="B542" s="28">
        <v>11</v>
      </c>
      <c r="C542" s="28" t="s">
        <v>18</v>
      </c>
      <c r="D542" s="28">
        <v>204</v>
      </c>
      <c r="E542" s="24" t="s">
        <v>24</v>
      </c>
      <c r="F542" s="12">
        <v>1</v>
      </c>
      <c r="G542" s="25">
        <v>106</v>
      </c>
      <c r="H542" s="26">
        <v>37727</v>
      </c>
      <c r="I542" s="25">
        <v>145</v>
      </c>
      <c r="J542" s="32"/>
      <c r="L542" s="45"/>
    </row>
    <row r="543" spans="1:12" ht="15.75" x14ac:dyDescent="0.25">
      <c r="A543" s="1"/>
      <c r="B543" s="1"/>
      <c r="C543" s="6"/>
      <c r="D543" s="6"/>
      <c r="F543" s="11">
        <v>2</v>
      </c>
      <c r="G543" s="32">
        <v>108</v>
      </c>
      <c r="H543" s="13">
        <v>37729</v>
      </c>
      <c r="I543" s="32">
        <v>73</v>
      </c>
      <c r="J543" s="49"/>
      <c r="L543" s="45"/>
    </row>
    <row r="544" spans="1:12" ht="15.75" x14ac:dyDescent="0.25">
      <c r="A544" s="1"/>
      <c r="B544" s="1"/>
      <c r="C544" s="6"/>
      <c r="D544" s="6"/>
      <c r="F544" s="11">
        <v>3</v>
      </c>
      <c r="G544" s="32">
        <v>112</v>
      </c>
      <c r="H544" s="13">
        <v>37733</v>
      </c>
      <c r="I544" s="32">
        <v>66</v>
      </c>
      <c r="J544" s="33"/>
      <c r="L544" s="45"/>
    </row>
    <row r="545" spans="1:12" ht="15.75" x14ac:dyDescent="0.25">
      <c r="A545" s="1"/>
      <c r="B545" s="1"/>
      <c r="C545" s="6"/>
      <c r="D545" s="6"/>
      <c r="F545" s="11">
        <v>4</v>
      </c>
      <c r="G545" s="32">
        <v>129</v>
      </c>
      <c r="H545" s="13">
        <v>37750</v>
      </c>
      <c r="I545" s="32">
        <v>82</v>
      </c>
      <c r="J545" s="33"/>
      <c r="L545" s="45"/>
    </row>
    <row r="546" spans="1:12" ht="15.75" x14ac:dyDescent="0.25">
      <c r="A546" s="1"/>
      <c r="B546" s="1"/>
      <c r="C546" s="6"/>
      <c r="D546" s="6"/>
      <c r="F546" s="11">
        <v>5</v>
      </c>
      <c r="G546" s="32">
        <v>143</v>
      </c>
      <c r="H546" s="13">
        <v>37764</v>
      </c>
      <c r="I546" s="32">
        <v>55</v>
      </c>
      <c r="J546" s="33">
        <v>56</v>
      </c>
      <c r="L546" s="45"/>
    </row>
    <row r="547" spans="1:12" ht="15.75" x14ac:dyDescent="0.25">
      <c r="A547" s="1"/>
      <c r="B547" s="1"/>
      <c r="C547" s="6"/>
      <c r="D547" s="6"/>
      <c r="F547" s="11">
        <v>6</v>
      </c>
      <c r="G547" s="32">
        <v>155</v>
      </c>
      <c r="H547" s="13">
        <v>37776</v>
      </c>
      <c r="I547" s="32">
        <v>68</v>
      </c>
      <c r="J547" s="33"/>
      <c r="L547" s="45"/>
    </row>
    <row r="548" spans="1:12" ht="15.75" x14ac:dyDescent="0.25">
      <c r="A548" s="1"/>
      <c r="B548" s="1"/>
      <c r="C548" s="6"/>
      <c r="D548" s="6"/>
      <c r="F548" s="11">
        <v>7</v>
      </c>
      <c r="G548" s="32">
        <v>166</v>
      </c>
      <c r="H548" s="13">
        <v>37787</v>
      </c>
      <c r="I548" s="32">
        <v>88</v>
      </c>
      <c r="J548" s="33"/>
      <c r="L548" s="45"/>
    </row>
    <row r="549" spans="1:12" ht="15.75" x14ac:dyDescent="0.25">
      <c r="A549" s="1"/>
      <c r="B549" s="1"/>
      <c r="C549" s="6"/>
      <c r="D549" s="6"/>
      <c r="F549" s="11">
        <v>8</v>
      </c>
      <c r="G549" s="32">
        <v>176</v>
      </c>
      <c r="H549" s="13">
        <v>37797</v>
      </c>
      <c r="I549" s="32">
        <v>116</v>
      </c>
      <c r="J549" s="33"/>
      <c r="L549" s="45"/>
    </row>
    <row r="550" spans="1:12" ht="15.75" x14ac:dyDescent="0.25">
      <c r="A550" s="1"/>
      <c r="B550" s="1"/>
      <c r="C550" s="6"/>
      <c r="D550" s="6"/>
      <c r="F550" s="11">
        <v>9</v>
      </c>
      <c r="G550" s="32">
        <v>185</v>
      </c>
      <c r="H550" s="13">
        <v>37806</v>
      </c>
      <c r="I550" s="32">
        <v>116</v>
      </c>
      <c r="J550" s="33">
        <v>56</v>
      </c>
      <c r="L550" s="45"/>
    </row>
    <row r="551" spans="1:12" ht="15.75" x14ac:dyDescent="0.25">
      <c r="A551" s="1"/>
      <c r="B551" s="1"/>
      <c r="C551" s="6"/>
      <c r="D551" s="6"/>
      <c r="F551" s="11">
        <v>10</v>
      </c>
      <c r="G551" s="32">
        <v>195</v>
      </c>
      <c r="H551" s="13">
        <v>37816</v>
      </c>
      <c r="I551" s="32">
        <v>123</v>
      </c>
      <c r="J551" s="33"/>
      <c r="L551" s="45"/>
    </row>
    <row r="552" spans="1:12" ht="15.75" x14ac:dyDescent="0.25">
      <c r="A552" s="1"/>
      <c r="B552" s="1"/>
      <c r="C552" s="6"/>
      <c r="D552" s="6"/>
      <c r="F552" s="11">
        <v>11</v>
      </c>
      <c r="G552" s="32">
        <v>206</v>
      </c>
      <c r="H552" s="13">
        <v>37827</v>
      </c>
      <c r="I552" s="32">
        <v>127</v>
      </c>
      <c r="J552" s="33"/>
      <c r="L552" s="45"/>
    </row>
    <row r="553" spans="1:12" ht="15.75" x14ac:dyDescent="0.25">
      <c r="A553" s="1"/>
      <c r="B553" s="1"/>
      <c r="C553" s="6"/>
      <c r="D553" s="6"/>
      <c r="F553" s="11">
        <v>12</v>
      </c>
      <c r="G553" s="32">
        <v>219</v>
      </c>
      <c r="H553" s="13">
        <v>37840</v>
      </c>
      <c r="I553" s="32">
        <v>124</v>
      </c>
      <c r="J553" s="33"/>
      <c r="L553" s="45"/>
    </row>
    <row r="554" spans="1:12" ht="15.75" x14ac:dyDescent="0.25">
      <c r="C554" s="6"/>
      <c r="D554" s="6"/>
      <c r="F554" s="11">
        <v>13</v>
      </c>
      <c r="G554" s="32">
        <v>232</v>
      </c>
      <c r="H554" s="13">
        <v>37853</v>
      </c>
      <c r="I554" s="32">
        <v>109</v>
      </c>
      <c r="J554" s="33"/>
      <c r="L554" s="45"/>
    </row>
    <row r="555" spans="1:12" ht="15.75" x14ac:dyDescent="0.25">
      <c r="A555" s="1"/>
      <c r="B555" s="1"/>
      <c r="C555" s="6"/>
      <c r="D555" s="6"/>
      <c r="F555" s="11">
        <v>14</v>
      </c>
      <c r="G555" s="32" t="e">
        <v>#N/A</v>
      </c>
      <c r="H555" s="13" t="e">
        <v>#N/A</v>
      </c>
      <c r="I555" s="32" t="e">
        <v>#N/A</v>
      </c>
      <c r="J555" s="33"/>
      <c r="L555" s="45"/>
    </row>
    <row r="556" spans="1:12" ht="15.75" x14ac:dyDescent="0.25">
      <c r="A556" s="1"/>
      <c r="B556" s="1"/>
      <c r="C556" s="6"/>
      <c r="D556" s="6"/>
      <c r="F556" s="11">
        <v>15</v>
      </c>
      <c r="G556" s="32" t="e">
        <v>#N/A</v>
      </c>
      <c r="H556" s="13" t="e">
        <v>#N/A</v>
      </c>
      <c r="I556" s="32" t="e">
        <v>#N/A</v>
      </c>
      <c r="J556" s="33"/>
      <c r="L556" s="45"/>
    </row>
    <row r="557" spans="1:12" ht="15.75" x14ac:dyDescent="0.25">
      <c r="A557" s="1"/>
      <c r="B557" s="1"/>
      <c r="C557" s="6"/>
      <c r="D557" s="6"/>
      <c r="F557" s="11">
        <v>16</v>
      </c>
      <c r="G557" s="32" t="e">
        <v>#N/A</v>
      </c>
      <c r="H557" s="13" t="e">
        <v>#N/A</v>
      </c>
      <c r="I557" s="32" t="e">
        <v>#N/A</v>
      </c>
      <c r="J557" s="33"/>
      <c r="L557" s="45"/>
    </row>
    <row r="558" spans="1:12" ht="16.5" thickBot="1" x14ac:dyDescent="0.3">
      <c r="A558" s="1"/>
      <c r="B558" s="1"/>
      <c r="C558" s="6"/>
      <c r="D558" s="6"/>
      <c r="F558" s="11">
        <v>17</v>
      </c>
      <c r="G558" s="32" t="e">
        <v>#N/A</v>
      </c>
      <c r="H558" s="13" t="e">
        <v>#N/A</v>
      </c>
      <c r="I558" s="32" t="e">
        <v>#N/A</v>
      </c>
      <c r="J558" s="33"/>
      <c r="L558" s="45"/>
    </row>
    <row r="559" spans="1:12" ht="16.5" thickBot="1" x14ac:dyDescent="0.3">
      <c r="A559" s="28">
        <v>12</v>
      </c>
      <c r="B559" s="28">
        <v>11</v>
      </c>
      <c r="C559" s="28" t="s">
        <v>18</v>
      </c>
      <c r="D559" s="28">
        <v>204</v>
      </c>
      <c r="E559" s="24" t="s">
        <v>24</v>
      </c>
      <c r="F559" s="29" t="s">
        <v>16</v>
      </c>
      <c r="G559" s="30"/>
      <c r="H559" s="30"/>
      <c r="I559" s="31">
        <v>1292</v>
      </c>
      <c r="J559" s="31">
        <v>112</v>
      </c>
      <c r="L559" s="45"/>
    </row>
    <row r="560" spans="1:12" ht="13.5" thickBot="1" x14ac:dyDescent="0.25">
      <c r="C560" s="6"/>
      <c r="D560" s="6"/>
      <c r="J560" s="48"/>
      <c r="L560" s="45"/>
    </row>
    <row r="561" spans="1:12" ht="16.5" thickBot="1" x14ac:dyDescent="0.3">
      <c r="A561" s="28">
        <v>21</v>
      </c>
      <c r="B561" s="28">
        <v>11</v>
      </c>
      <c r="C561" s="28" t="s">
        <v>18</v>
      </c>
      <c r="D561" s="28">
        <v>305</v>
      </c>
      <c r="E561" s="24" t="s">
        <v>28</v>
      </c>
      <c r="F561" s="12">
        <v>1</v>
      </c>
      <c r="G561" s="25">
        <v>106</v>
      </c>
      <c r="H561" s="26">
        <v>37727</v>
      </c>
      <c r="I561" s="25">
        <v>134</v>
      </c>
      <c r="J561" s="32"/>
      <c r="L561" s="45"/>
    </row>
    <row r="562" spans="1:12" ht="15.75" x14ac:dyDescent="0.25">
      <c r="A562" s="1"/>
      <c r="B562" s="1"/>
      <c r="C562" s="6"/>
      <c r="D562" s="6"/>
      <c r="F562" s="11">
        <v>2</v>
      </c>
      <c r="G562" s="32">
        <v>108</v>
      </c>
      <c r="H562" s="13">
        <v>37729</v>
      </c>
      <c r="I562" s="32">
        <v>57</v>
      </c>
      <c r="J562" s="49"/>
      <c r="L562" s="45"/>
    </row>
    <row r="563" spans="1:12" ht="15.75" x14ac:dyDescent="0.25">
      <c r="A563" s="1"/>
      <c r="B563" s="1"/>
      <c r="C563" s="6"/>
      <c r="D563" s="6"/>
      <c r="F563" s="11">
        <v>3</v>
      </c>
      <c r="G563" s="32">
        <v>112</v>
      </c>
      <c r="H563" s="13">
        <v>37733</v>
      </c>
      <c r="I563" s="32">
        <v>64</v>
      </c>
      <c r="J563" s="33"/>
      <c r="L563" s="45"/>
    </row>
    <row r="564" spans="1:12" ht="15.75" x14ac:dyDescent="0.25">
      <c r="A564" s="1"/>
      <c r="B564" s="1"/>
      <c r="C564" s="6"/>
      <c r="D564" s="6"/>
      <c r="F564" s="11">
        <v>4</v>
      </c>
      <c r="G564" s="32">
        <v>129</v>
      </c>
      <c r="H564" s="13">
        <v>37750</v>
      </c>
      <c r="I564" s="32">
        <v>82</v>
      </c>
      <c r="J564" s="33"/>
      <c r="L564" s="45"/>
    </row>
    <row r="565" spans="1:12" ht="15.75" x14ac:dyDescent="0.25">
      <c r="A565" s="1"/>
      <c r="B565" s="1"/>
      <c r="C565" s="6"/>
      <c r="D565" s="6"/>
      <c r="F565" s="11">
        <v>5</v>
      </c>
      <c r="G565" s="32">
        <v>143</v>
      </c>
      <c r="H565" s="13">
        <v>37764</v>
      </c>
      <c r="I565" s="32">
        <v>55</v>
      </c>
      <c r="J565" s="33">
        <v>56</v>
      </c>
      <c r="L565" s="45"/>
    </row>
    <row r="566" spans="1:12" ht="15.75" x14ac:dyDescent="0.25">
      <c r="A566" s="1"/>
      <c r="B566" s="1"/>
      <c r="C566" s="6"/>
      <c r="D566" s="6"/>
      <c r="F566" s="11">
        <v>6</v>
      </c>
      <c r="G566" s="32">
        <v>155</v>
      </c>
      <c r="H566" s="13">
        <v>37776</v>
      </c>
      <c r="I566" s="32">
        <v>71</v>
      </c>
      <c r="J566" s="33"/>
      <c r="L566" s="45"/>
    </row>
    <row r="567" spans="1:12" ht="15.75" x14ac:dyDescent="0.25">
      <c r="A567" s="1"/>
      <c r="B567" s="1"/>
      <c r="C567" s="6"/>
      <c r="D567" s="6"/>
      <c r="F567" s="11">
        <v>7</v>
      </c>
      <c r="G567" s="32">
        <v>165</v>
      </c>
      <c r="H567" s="13">
        <v>37786</v>
      </c>
      <c r="I567" s="32">
        <v>90</v>
      </c>
      <c r="J567" s="33"/>
      <c r="L567" s="45"/>
    </row>
    <row r="568" spans="1:12" ht="15.75" x14ac:dyDescent="0.25">
      <c r="A568" s="1"/>
      <c r="B568" s="1"/>
      <c r="C568" s="6"/>
      <c r="D568" s="6"/>
      <c r="F568" s="11">
        <v>8</v>
      </c>
      <c r="G568" s="32">
        <v>176</v>
      </c>
      <c r="H568" s="13">
        <v>37797</v>
      </c>
      <c r="I568" s="32">
        <v>113</v>
      </c>
      <c r="J568" s="33"/>
      <c r="L568" s="45"/>
    </row>
    <row r="569" spans="1:12" ht="15.75" x14ac:dyDescent="0.25">
      <c r="A569" s="1"/>
      <c r="B569" s="1"/>
      <c r="C569" s="6"/>
      <c r="D569" s="6"/>
      <c r="F569" s="11">
        <v>9</v>
      </c>
      <c r="G569" s="32">
        <v>185</v>
      </c>
      <c r="H569" s="13">
        <v>37806</v>
      </c>
      <c r="I569" s="32">
        <v>116</v>
      </c>
      <c r="J569" s="33">
        <v>56</v>
      </c>
      <c r="L569" s="45"/>
    </row>
    <row r="570" spans="1:12" ht="15.75" x14ac:dyDescent="0.25">
      <c r="A570" s="1"/>
      <c r="B570" s="1"/>
      <c r="C570" s="6"/>
      <c r="D570" s="6"/>
      <c r="F570" s="11">
        <v>10</v>
      </c>
      <c r="G570" s="32">
        <v>195</v>
      </c>
      <c r="H570" s="13">
        <v>37816</v>
      </c>
      <c r="I570" s="32">
        <v>123</v>
      </c>
      <c r="J570" s="33"/>
      <c r="L570" s="45"/>
    </row>
    <row r="571" spans="1:12" ht="15.75" x14ac:dyDescent="0.25">
      <c r="A571" s="1"/>
      <c r="B571" s="1"/>
      <c r="C571" s="6"/>
      <c r="D571" s="6"/>
      <c r="F571" s="11">
        <v>11</v>
      </c>
      <c r="G571" s="32">
        <v>206</v>
      </c>
      <c r="H571" s="13">
        <v>37827</v>
      </c>
      <c r="I571" s="32">
        <v>127</v>
      </c>
      <c r="J571" s="33"/>
      <c r="L571" s="45"/>
    </row>
    <row r="572" spans="1:12" ht="15.75" x14ac:dyDescent="0.25">
      <c r="A572" s="1"/>
      <c r="B572" s="1"/>
      <c r="C572" s="6"/>
      <c r="D572" s="6"/>
      <c r="F572" s="11">
        <v>12</v>
      </c>
      <c r="G572" s="32">
        <v>219</v>
      </c>
      <c r="H572" s="13">
        <v>37840</v>
      </c>
      <c r="I572" s="32">
        <v>124</v>
      </c>
      <c r="J572" s="33"/>
      <c r="L572" s="45"/>
    </row>
    <row r="573" spans="1:12" ht="15.75" x14ac:dyDescent="0.25">
      <c r="C573" s="6"/>
      <c r="D573" s="6"/>
      <c r="F573" s="11">
        <v>13</v>
      </c>
      <c r="G573" s="32">
        <v>232</v>
      </c>
      <c r="H573" s="13">
        <v>37853</v>
      </c>
      <c r="I573" s="32">
        <v>109</v>
      </c>
      <c r="J573" s="33"/>
      <c r="L573" s="45"/>
    </row>
    <row r="574" spans="1:12" ht="15.75" x14ac:dyDescent="0.25">
      <c r="A574" s="1"/>
      <c r="B574" s="1"/>
      <c r="C574" s="6"/>
      <c r="D574" s="6"/>
      <c r="F574" s="11">
        <v>14</v>
      </c>
      <c r="G574" s="32" t="e">
        <v>#N/A</v>
      </c>
      <c r="H574" s="13" t="e">
        <v>#N/A</v>
      </c>
      <c r="I574" s="32" t="e">
        <v>#N/A</v>
      </c>
      <c r="J574" s="33"/>
      <c r="L574" s="45"/>
    </row>
    <row r="575" spans="1:12" ht="15.75" x14ac:dyDescent="0.25">
      <c r="A575" s="1"/>
      <c r="B575" s="1"/>
      <c r="C575" s="6"/>
      <c r="D575" s="6"/>
      <c r="F575" s="11">
        <v>15</v>
      </c>
      <c r="G575" s="32" t="e">
        <v>#N/A</v>
      </c>
      <c r="H575" s="13" t="e">
        <v>#N/A</v>
      </c>
      <c r="I575" s="32" t="e">
        <v>#N/A</v>
      </c>
      <c r="J575" s="33"/>
      <c r="L575" s="45"/>
    </row>
    <row r="576" spans="1:12" ht="15.75" x14ac:dyDescent="0.25">
      <c r="A576" s="1"/>
      <c r="B576" s="1"/>
      <c r="C576" s="6"/>
      <c r="D576" s="6"/>
      <c r="F576" s="11">
        <v>16</v>
      </c>
      <c r="G576" s="32" t="e">
        <v>#N/A</v>
      </c>
      <c r="H576" s="13" t="e">
        <v>#N/A</v>
      </c>
      <c r="I576" s="32" t="e">
        <v>#N/A</v>
      </c>
      <c r="J576" s="33"/>
      <c r="L576" s="45"/>
    </row>
    <row r="577" spans="1:15" ht="16.5" thickBot="1" x14ac:dyDescent="0.3">
      <c r="A577" s="1"/>
      <c r="B577" s="1"/>
      <c r="C577" s="6"/>
      <c r="D577" s="6"/>
      <c r="F577" s="11">
        <v>17</v>
      </c>
      <c r="G577" s="32" t="e">
        <v>#N/A</v>
      </c>
      <c r="H577" s="13" t="e">
        <v>#N/A</v>
      </c>
      <c r="I577" s="32" t="e">
        <v>#N/A</v>
      </c>
      <c r="J577" s="33"/>
      <c r="L577" s="45"/>
    </row>
    <row r="578" spans="1:15" ht="16.5" thickBot="1" x14ac:dyDescent="0.3">
      <c r="A578" s="28">
        <v>21</v>
      </c>
      <c r="B578" s="28">
        <v>11</v>
      </c>
      <c r="C578" s="28" t="s">
        <v>18</v>
      </c>
      <c r="D578" s="28">
        <v>305</v>
      </c>
      <c r="E578" s="24" t="s">
        <v>28</v>
      </c>
      <c r="F578" s="29" t="s">
        <v>16</v>
      </c>
      <c r="G578" s="30"/>
      <c r="H578" s="30"/>
      <c r="I578" s="31">
        <v>1265</v>
      </c>
      <c r="J578" s="31">
        <v>112</v>
      </c>
      <c r="L578" s="45"/>
    </row>
    <row r="579" spans="1:15" ht="13.5" thickBot="1" x14ac:dyDescent="0.25">
      <c r="C579" s="6"/>
      <c r="D579" s="6"/>
      <c r="J579" s="48"/>
      <c r="L579" s="45"/>
    </row>
    <row r="580" spans="1:15" ht="16.5" thickBot="1" x14ac:dyDescent="0.3">
      <c r="A580" s="28">
        <v>9</v>
      </c>
      <c r="B580" s="28">
        <v>12</v>
      </c>
      <c r="C580" s="28" t="s">
        <v>19</v>
      </c>
      <c r="D580" s="28">
        <v>201</v>
      </c>
      <c r="E580" s="24" t="s">
        <v>24</v>
      </c>
      <c r="F580" s="12">
        <v>1</v>
      </c>
      <c r="G580" s="25">
        <v>106</v>
      </c>
      <c r="H580" s="26">
        <v>37727</v>
      </c>
      <c r="I580" s="25">
        <v>137</v>
      </c>
      <c r="J580" s="32"/>
      <c r="L580" s="44"/>
      <c r="M580" s="43"/>
      <c r="N580" s="43"/>
      <c r="O580" s="43"/>
    </row>
    <row r="581" spans="1:15" ht="15.75" x14ac:dyDescent="0.25">
      <c r="A581" s="1"/>
      <c r="B581" s="1"/>
      <c r="C581" s="6"/>
      <c r="D581" s="6"/>
      <c r="F581" s="11">
        <v>2</v>
      </c>
      <c r="G581" s="32">
        <v>108</v>
      </c>
      <c r="H581" s="13">
        <v>37729</v>
      </c>
      <c r="I581" s="32">
        <v>81</v>
      </c>
      <c r="J581" s="49"/>
      <c r="L581" s="44"/>
      <c r="M581" s="43"/>
      <c r="N581" s="43"/>
      <c r="O581" s="43"/>
    </row>
    <row r="582" spans="1:15" ht="15.75" x14ac:dyDescent="0.25">
      <c r="A582" s="1"/>
      <c r="B582" s="1"/>
      <c r="C582" s="6"/>
      <c r="D582" s="6"/>
      <c r="F582" s="11">
        <v>3</v>
      </c>
      <c r="G582" s="32">
        <v>112</v>
      </c>
      <c r="H582" s="13">
        <v>37733</v>
      </c>
      <c r="I582" s="32">
        <v>59</v>
      </c>
      <c r="J582" s="33"/>
      <c r="L582" s="44"/>
      <c r="M582" s="43"/>
      <c r="N582" s="43"/>
      <c r="O582" s="43"/>
    </row>
    <row r="583" spans="1:15" ht="15.75" x14ac:dyDescent="0.25">
      <c r="A583" s="1"/>
      <c r="B583" s="1"/>
      <c r="C583" s="6"/>
      <c r="D583" s="6"/>
      <c r="F583" s="11">
        <v>4</v>
      </c>
      <c r="G583" s="32">
        <v>129</v>
      </c>
      <c r="H583" s="13">
        <v>37750</v>
      </c>
      <c r="I583" s="32">
        <v>82</v>
      </c>
      <c r="J583" s="33"/>
      <c r="L583" s="44"/>
      <c r="M583" s="43"/>
      <c r="N583" s="43"/>
      <c r="O583" s="43"/>
    </row>
    <row r="584" spans="1:15" ht="15.75" x14ac:dyDescent="0.25">
      <c r="A584" s="1"/>
      <c r="B584" s="1"/>
      <c r="C584" s="6"/>
      <c r="D584" s="6"/>
      <c r="F584" s="11">
        <v>5</v>
      </c>
      <c r="G584" s="32">
        <v>143</v>
      </c>
      <c r="H584" s="13">
        <v>37764</v>
      </c>
      <c r="I584" s="32">
        <v>55</v>
      </c>
      <c r="J584" s="33"/>
      <c r="L584" s="44"/>
      <c r="M584" s="43"/>
      <c r="N584" s="43"/>
      <c r="O584" s="43"/>
    </row>
    <row r="585" spans="1:15" ht="15.75" x14ac:dyDescent="0.25">
      <c r="A585" s="1"/>
      <c r="B585" s="1"/>
      <c r="C585" s="6"/>
      <c r="D585" s="6"/>
      <c r="F585" s="11">
        <v>6</v>
      </c>
      <c r="G585" s="32">
        <v>155</v>
      </c>
      <c r="H585" s="13">
        <v>37776</v>
      </c>
      <c r="I585" s="32">
        <v>68</v>
      </c>
      <c r="J585" s="33"/>
      <c r="L585" s="45"/>
    </row>
    <row r="586" spans="1:15" ht="15.75" x14ac:dyDescent="0.25">
      <c r="A586" s="1"/>
      <c r="B586" s="1"/>
      <c r="C586" s="6"/>
      <c r="D586" s="6"/>
      <c r="F586" s="11">
        <v>7</v>
      </c>
      <c r="G586" s="32">
        <v>166</v>
      </c>
      <c r="H586" s="13">
        <v>37787</v>
      </c>
      <c r="I586" s="32">
        <v>84</v>
      </c>
      <c r="J586" s="33"/>
      <c r="L586" s="45"/>
    </row>
    <row r="587" spans="1:15" ht="15.75" x14ac:dyDescent="0.25">
      <c r="A587" s="1"/>
      <c r="B587" s="1"/>
      <c r="C587" s="6"/>
      <c r="D587" s="6"/>
      <c r="F587" s="11">
        <v>8</v>
      </c>
      <c r="G587" s="32">
        <v>176</v>
      </c>
      <c r="H587" s="13">
        <v>37797</v>
      </c>
      <c r="I587" s="32">
        <v>113</v>
      </c>
      <c r="J587" s="33"/>
      <c r="L587" s="45"/>
    </row>
    <row r="588" spans="1:15" ht="15.75" x14ac:dyDescent="0.25">
      <c r="A588" s="1"/>
      <c r="B588" s="1"/>
      <c r="C588" s="6"/>
      <c r="D588" s="6"/>
      <c r="F588" s="11">
        <v>9</v>
      </c>
      <c r="G588" s="32">
        <v>185</v>
      </c>
      <c r="H588" s="13">
        <v>37806</v>
      </c>
      <c r="I588" s="32">
        <v>116</v>
      </c>
      <c r="J588" s="33"/>
      <c r="L588" s="45"/>
    </row>
    <row r="589" spans="1:15" ht="15.75" x14ac:dyDescent="0.25">
      <c r="A589" s="1"/>
      <c r="B589" s="1"/>
      <c r="C589" s="6"/>
      <c r="D589" s="6"/>
      <c r="F589" s="11">
        <v>10</v>
      </c>
      <c r="G589" s="32">
        <v>195</v>
      </c>
      <c r="H589" s="13">
        <v>37816</v>
      </c>
      <c r="I589" s="32">
        <v>127</v>
      </c>
      <c r="J589" s="33"/>
      <c r="L589" s="45"/>
    </row>
    <row r="590" spans="1:15" ht="15.75" x14ac:dyDescent="0.25">
      <c r="A590" s="1"/>
      <c r="B590" s="1"/>
      <c r="C590" s="6"/>
      <c r="D590" s="6"/>
      <c r="F590" s="11">
        <v>11</v>
      </c>
      <c r="G590" s="32">
        <v>206</v>
      </c>
      <c r="H590" s="13">
        <v>37827</v>
      </c>
      <c r="I590" s="32">
        <v>127</v>
      </c>
      <c r="J590" s="33"/>
      <c r="L590" s="45"/>
    </row>
    <row r="591" spans="1:15" ht="15.75" x14ac:dyDescent="0.25">
      <c r="A591" s="1"/>
      <c r="B591" s="1"/>
      <c r="C591" s="6"/>
      <c r="D591" s="6"/>
      <c r="F591" s="11">
        <v>12</v>
      </c>
      <c r="G591" s="32">
        <v>219</v>
      </c>
      <c r="H591" s="13">
        <v>37840</v>
      </c>
      <c r="I591" s="32">
        <v>124</v>
      </c>
      <c r="J591" s="33"/>
      <c r="L591" s="45"/>
    </row>
    <row r="592" spans="1:15" ht="15.75" x14ac:dyDescent="0.25">
      <c r="C592" s="6"/>
      <c r="D592" s="6"/>
      <c r="F592" s="11">
        <v>13</v>
      </c>
      <c r="G592" s="32">
        <v>232</v>
      </c>
      <c r="H592" s="13">
        <v>37853</v>
      </c>
      <c r="I592" s="32">
        <v>109</v>
      </c>
      <c r="J592" s="33"/>
      <c r="L592" s="45"/>
    </row>
    <row r="593" spans="1:15" ht="15.75" x14ac:dyDescent="0.25">
      <c r="A593" s="1"/>
      <c r="B593" s="1"/>
      <c r="C593" s="6"/>
      <c r="D593" s="6"/>
      <c r="F593" s="11">
        <v>14</v>
      </c>
      <c r="G593" s="32" t="e">
        <v>#N/A</v>
      </c>
      <c r="H593" s="13" t="e">
        <v>#N/A</v>
      </c>
      <c r="I593" s="32" t="e">
        <v>#N/A</v>
      </c>
      <c r="J593" s="33"/>
      <c r="L593" s="45"/>
    </row>
    <row r="594" spans="1:15" ht="15.75" x14ac:dyDescent="0.25">
      <c r="A594" s="1"/>
      <c r="B594" s="1"/>
      <c r="C594" s="6"/>
      <c r="D594" s="6"/>
      <c r="F594" s="11">
        <v>15</v>
      </c>
      <c r="G594" s="32" t="e">
        <v>#N/A</v>
      </c>
      <c r="H594" s="13" t="e">
        <v>#N/A</v>
      </c>
      <c r="I594" s="32" t="e">
        <v>#N/A</v>
      </c>
      <c r="J594" s="33"/>
      <c r="L594" s="45"/>
    </row>
    <row r="595" spans="1:15" ht="15.75" x14ac:dyDescent="0.25">
      <c r="A595" s="1"/>
      <c r="B595" s="1"/>
      <c r="C595" s="6"/>
      <c r="D595" s="6"/>
      <c r="F595" s="11">
        <v>16</v>
      </c>
      <c r="G595" s="32" t="e">
        <v>#N/A</v>
      </c>
      <c r="H595" s="13" t="e">
        <v>#N/A</v>
      </c>
      <c r="I595" s="32" t="e">
        <v>#N/A</v>
      </c>
      <c r="J595" s="33"/>
      <c r="L595" s="45"/>
    </row>
    <row r="596" spans="1:15" ht="16.5" thickBot="1" x14ac:dyDescent="0.3">
      <c r="A596" s="1"/>
      <c r="B596" s="1"/>
      <c r="C596" s="6"/>
      <c r="D596" s="6"/>
      <c r="F596" s="11">
        <v>17</v>
      </c>
      <c r="G596" s="32" t="e">
        <v>#N/A</v>
      </c>
      <c r="H596" s="13" t="e">
        <v>#N/A</v>
      </c>
      <c r="I596" s="32" t="e">
        <v>#N/A</v>
      </c>
      <c r="J596" s="33"/>
      <c r="L596" s="45"/>
    </row>
    <row r="597" spans="1:15" ht="16.5" thickBot="1" x14ac:dyDescent="0.3">
      <c r="A597" s="28">
        <v>9</v>
      </c>
      <c r="B597" s="28">
        <v>12</v>
      </c>
      <c r="C597" s="28" t="s">
        <v>19</v>
      </c>
      <c r="D597" s="28">
        <v>201</v>
      </c>
      <c r="E597" s="24" t="s">
        <v>24</v>
      </c>
      <c r="F597" s="29" t="s">
        <v>16</v>
      </c>
      <c r="G597" s="30"/>
      <c r="H597" s="30"/>
      <c r="I597" s="31">
        <v>1282</v>
      </c>
      <c r="J597" s="31">
        <v>0</v>
      </c>
      <c r="L597" s="45"/>
    </row>
    <row r="598" spans="1:15" ht="13.5" thickBot="1" x14ac:dyDescent="0.25">
      <c r="C598" s="6"/>
      <c r="D598" s="6"/>
      <c r="J598" s="48"/>
      <c r="L598" s="45"/>
    </row>
    <row r="599" spans="1:15" ht="16.5" thickBot="1" x14ac:dyDescent="0.3">
      <c r="A599" s="28">
        <v>5</v>
      </c>
      <c r="B599" s="28">
        <v>12</v>
      </c>
      <c r="C599" s="28" t="s">
        <v>19</v>
      </c>
      <c r="D599" s="28">
        <v>105</v>
      </c>
      <c r="E599" s="24" t="s">
        <v>26</v>
      </c>
      <c r="F599" s="12">
        <v>1</v>
      </c>
      <c r="G599" s="25">
        <v>106</v>
      </c>
      <c r="H599" s="26">
        <v>37727</v>
      </c>
      <c r="I599" s="25">
        <v>130</v>
      </c>
      <c r="J599" s="32"/>
      <c r="L599" s="44"/>
      <c r="M599" s="43"/>
      <c r="N599" s="43"/>
      <c r="O599" s="43"/>
    </row>
    <row r="600" spans="1:15" ht="15.75" x14ac:dyDescent="0.25">
      <c r="A600" s="1"/>
      <c r="B600" s="1"/>
      <c r="C600" s="6"/>
      <c r="D600" s="6"/>
      <c r="F600" s="11">
        <v>2</v>
      </c>
      <c r="G600" s="32">
        <v>108</v>
      </c>
      <c r="H600" s="13">
        <v>37729</v>
      </c>
      <c r="I600" s="32">
        <v>74</v>
      </c>
      <c r="J600" s="49"/>
      <c r="L600" s="44"/>
      <c r="M600" s="43"/>
      <c r="N600" s="43"/>
      <c r="O600" s="43"/>
    </row>
    <row r="601" spans="1:15" ht="15.75" x14ac:dyDescent="0.25">
      <c r="A601" s="1"/>
      <c r="B601" s="1"/>
      <c r="C601" s="6"/>
      <c r="D601" s="6"/>
      <c r="F601" s="11">
        <v>3</v>
      </c>
      <c r="G601" s="32">
        <v>112</v>
      </c>
      <c r="H601" s="13">
        <v>37733</v>
      </c>
      <c r="I601" s="32">
        <v>57</v>
      </c>
      <c r="J601" s="33"/>
      <c r="L601" s="44"/>
      <c r="M601" s="43"/>
      <c r="N601" s="43"/>
      <c r="O601" s="43"/>
    </row>
    <row r="602" spans="1:15" ht="15.75" x14ac:dyDescent="0.25">
      <c r="A602" s="1"/>
      <c r="B602" s="1"/>
      <c r="C602" s="6"/>
      <c r="D602" s="6"/>
      <c r="F602" s="11">
        <v>4</v>
      </c>
      <c r="G602" s="32">
        <v>129</v>
      </c>
      <c r="H602" s="13">
        <v>37750</v>
      </c>
      <c r="I602" s="32">
        <v>82</v>
      </c>
      <c r="J602" s="33"/>
      <c r="L602" s="44"/>
      <c r="M602" s="43"/>
      <c r="N602" s="43"/>
      <c r="O602" s="43"/>
    </row>
    <row r="603" spans="1:15" ht="15.75" x14ac:dyDescent="0.25">
      <c r="A603" s="1"/>
      <c r="B603" s="1"/>
      <c r="C603" s="6"/>
      <c r="D603" s="6"/>
      <c r="F603" s="11">
        <v>5</v>
      </c>
      <c r="G603" s="32">
        <v>143</v>
      </c>
      <c r="H603" s="13">
        <v>37764</v>
      </c>
      <c r="I603" s="32">
        <v>55</v>
      </c>
      <c r="J603" s="33"/>
      <c r="L603" s="44"/>
      <c r="M603" s="43"/>
      <c r="N603" s="43"/>
      <c r="O603" s="43"/>
    </row>
    <row r="604" spans="1:15" ht="15.75" x14ac:dyDescent="0.25">
      <c r="A604" s="1"/>
      <c r="B604" s="1"/>
      <c r="C604" s="6"/>
      <c r="D604" s="6"/>
      <c r="F604" s="11">
        <v>6</v>
      </c>
      <c r="G604" s="32">
        <v>155</v>
      </c>
      <c r="H604" s="13">
        <v>37776</v>
      </c>
      <c r="I604" s="32">
        <v>68</v>
      </c>
      <c r="J604" s="33"/>
      <c r="L604" s="45"/>
    </row>
    <row r="605" spans="1:15" ht="15.75" x14ac:dyDescent="0.25">
      <c r="A605" s="1"/>
      <c r="B605" s="1"/>
      <c r="C605" s="6"/>
      <c r="D605" s="6"/>
      <c r="F605" s="11">
        <v>7</v>
      </c>
      <c r="G605" s="32">
        <v>166</v>
      </c>
      <c r="H605" s="13">
        <v>37787</v>
      </c>
      <c r="I605" s="32">
        <v>87</v>
      </c>
      <c r="J605" s="33"/>
      <c r="L605" s="45"/>
    </row>
    <row r="606" spans="1:15" ht="15.75" x14ac:dyDescent="0.25">
      <c r="A606" s="1"/>
      <c r="B606" s="1"/>
      <c r="C606" s="6"/>
      <c r="D606" s="6"/>
      <c r="F606" s="11">
        <v>8</v>
      </c>
      <c r="G606" s="32">
        <v>176</v>
      </c>
      <c r="H606" s="13">
        <v>37797</v>
      </c>
      <c r="I606" s="32">
        <v>111</v>
      </c>
      <c r="J606" s="33"/>
      <c r="L606" s="45"/>
    </row>
    <row r="607" spans="1:15" ht="15.75" x14ac:dyDescent="0.25">
      <c r="A607" s="1"/>
      <c r="B607" s="1"/>
      <c r="C607" s="6"/>
      <c r="D607" s="6"/>
      <c r="F607" s="11">
        <v>9</v>
      </c>
      <c r="G607" s="32">
        <v>185</v>
      </c>
      <c r="H607" s="13">
        <v>37806</v>
      </c>
      <c r="I607" s="32">
        <v>116</v>
      </c>
      <c r="J607" s="33"/>
      <c r="L607" s="45"/>
    </row>
    <row r="608" spans="1:15" ht="15.75" x14ac:dyDescent="0.25">
      <c r="A608" s="1"/>
      <c r="B608" s="1"/>
      <c r="C608" s="6"/>
      <c r="D608" s="6"/>
      <c r="F608" s="11">
        <v>10</v>
      </c>
      <c r="G608" s="32">
        <v>195</v>
      </c>
      <c r="H608" s="13">
        <v>37816</v>
      </c>
      <c r="I608" s="32">
        <v>123</v>
      </c>
      <c r="J608" s="33"/>
      <c r="L608" s="45"/>
    </row>
    <row r="609" spans="1:12" ht="15.75" x14ac:dyDescent="0.25">
      <c r="A609" s="1"/>
      <c r="B609" s="1"/>
      <c r="C609" s="6"/>
      <c r="D609" s="6"/>
      <c r="F609" s="11">
        <v>11</v>
      </c>
      <c r="G609" s="32">
        <v>206</v>
      </c>
      <c r="H609" s="13">
        <v>37827</v>
      </c>
      <c r="I609" s="32">
        <v>127</v>
      </c>
      <c r="J609" s="33"/>
      <c r="L609" s="45"/>
    </row>
    <row r="610" spans="1:12" ht="15.75" x14ac:dyDescent="0.25">
      <c r="A610" s="1"/>
      <c r="B610" s="1"/>
      <c r="C610" s="6"/>
      <c r="D610" s="6"/>
      <c r="F610" s="11">
        <v>12</v>
      </c>
      <c r="G610" s="32">
        <v>219</v>
      </c>
      <c r="H610" s="13">
        <v>37840</v>
      </c>
      <c r="I610" s="32">
        <v>138</v>
      </c>
      <c r="J610" s="33"/>
      <c r="L610" s="45"/>
    </row>
    <row r="611" spans="1:12" ht="15.75" x14ac:dyDescent="0.25">
      <c r="C611" s="6"/>
      <c r="D611" s="6"/>
      <c r="F611" s="11">
        <v>13</v>
      </c>
      <c r="G611" s="32">
        <v>232</v>
      </c>
      <c r="H611" s="13">
        <v>37853</v>
      </c>
      <c r="I611" s="32">
        <v>109</v>
      </c>
      <c r="J611" s="33"/>
      <c r="L611" s="45"/>
    </row>
    <row r="612" spans="1:12" ht="15.75" x14ac:dyDescent="0.25">
      <c r="A612" s="1"/>
      <c r="B612" s="1"/>
      <c r="C612" s="6"/>
      <c r="D612" s="6"/>
      <c r="F612" s="11">
        <v>14</v>
      </c>
      <c r="G612" s="32" t="e">
        <v>#N/A</v>
      </c>
      <c r="H612" s="13" t="e">
        <v>#N/A</v>
      </c>
      <c r="I612" s="32" t="e">
        <v>#N/A</v>
      </c>
      <c r="J612" s="33"/>
      <c r="L612" s="45"/>
    </row>
    <row r="613" spans="1:12" ht="15.75" x14ac:dyDescent="0.25">
      <c r="A613" s="1"/>
      <c r="B613" s="1"/>
      <c r="C613" s="6"/>
      <c r="D613" s="6"/>
      <c r="F613" s="11">
        <v>15</v>
      </c>
      <c r="G613" s="32" t="e">
        <v>#N/A</v>
      </c>
      <c r="H613" s="13" t="e">
        <v>#N/A</v>
      </c>
      <c r="I613" s="32" t="e">
        <v>#N/A</v>
      </c>
      <c r="J613" s="33"/>
      <c r="L613" s="45"/>
    </row>
    <row r="614" spans="1:12" ht="15.75" x14ac:dyDescent="0.25">
      <c r="A614" s="1"/>
      <c r="B614" s="1"/>
      <c r="C614" s="6"/>
      <c r="D614" s="6"/>
      <c r="F614" s="11">
        <v>16</v>
      </c>
      <c r="G614" s="32" t="e">
        <v>#N/A</v>
      </c>
      <c r="H614" s="13" t="e">
        <v>#N/A</v>
      </c>
      <c r="I614" s="32" t="e">
        <v>#N/A</v>
      </c>
      <c r="J614" s="33"/>
      <c r="L614" s="45"/>
    </row>
    <row r="615" spans="1:12" ht="16.5" thickBot="1" x14ac:dyDescent="0.3">
      <c r="A615" s="1"/>
      <c r="B615" s="1"/>
      <c r="C615" s="6"/>
      <c r="D615" s="6"/>
      <c r="F615" s="11">
        <v>17</v>
      </c>
      <c r="G615" s="32" t="e">
        <v>#N/A</v>
      </c>
      <c r="H615" s="13" t="e">
        <v>#N/A</v>
      </c>
      <c r="I615" s="32" t="e">
        <v>#N/A</v>
      </c>
      <c r="J615" s="33"/>
      <c r="L615" s="45"/>
    </row>
    <row r="616" spans="1:12" ht="16.5" thickBot="1" x14ac:dyDescent="0.3">
      <c r="A616" s="28">
        <v>5</v>
      </c>
      <c r="B616" s="28">
        <v>12</v>
      </c>
      <c r="C616" s="28" t="s">
        <v>19</v>
      </c>
      <c r="D616" s="28">
        <v>105</v>
      </c>
      <c r="E616" s="24" t="s">
        <v>26</v>
      </c>
      <c r="F616" s="29" t="s">
        <v>16</v>
      </c>
      <c r="G616" s="30"/>
      <c r="H616" s="30"/>
      <c r="I616" s="31">
        <v>1277</v>
      </c>
      <c r="J616" s="31">
        <v>0</v>
      </c>
    </row>
    <row r="617" spans="1:12" x14ac:dyDescent="0.2">
      <c r="C617" s="6"/>
      <c r="D617" s="6"/>
    </row>
    <row r="618" spans="1:12" x14ac:dyDescent="0.2">
      <c r="C618" s="6"/>
      <c r="D618" s="6"/>
    </row>
    <row r="619" spans="1:12" x14ac:dyDescent="0.2">
      <c r="C619" s="6"/>
      <c r="D619" s="6"/>
    </row>
    <row r="620" spans="1:12" x14ac:dyDescent="0.2">
      <c r="C620" s="6"/>
      <c r="D620" s="6"/>
    </row>
    <row r="621" spans="1:12" x14ac:dyDescent="0.2">
      <c r="C621" s="6"/>
      <c r="D621" s="6"/>
    </row>
    <row r="622" spans="1:12" x14ac:dyDescent="0.2">
      <c r="C622" s="6"/>
      <c r="D622" s="6"/>
    </row>
    <row r="623" spans="1:12" x14ac:dyDescent="0.2">
      <c r="C623" s="6"/>
      <c r="D623" s="6"/>
    </row>
    <row r="624" spans="1:12" x14ac:dyDescent="0.2">
      <c r="C624" s="6"/>
      <c r="D624" s="6"/>
    </row>
    <row r="625" spans="3:4" x14ac:dyDescent="0.2">
      <c r="C625" s="6"/>
      <c r="D625" s="6"/>
    </row>
    <row r="626" spans="3:4" x14ac:dyDescent="0.2">
      <c r="C626" s="6"/>
      <c r="D626" s="6"/>
    </row>
    <row r="627" spans="3:4" x14ac:dyDescent="0.2">
      <c r="C627" s="6"/>
      <c r="D627" s="6"/>
    </row>
    <row r="628" spans="3:4" x14ac:dyDescent="0.2">
      <c r="C628" s="6"/>
      <c r="D628" s="6"/>
    </row>
    <row r="629" spans="3:4" x14ac:dyDescent="0.2">
      <c r="C629" s="6"/>
      <c r="D629" s="6"/>
    </row>
    <row r="630" spans="3:4" x14ac:dyDescent="0.2">
      <c r="C630" s="6"/>
      <c r="D630" s="6"/>
    </row>
    <row r="631" spans="3:4" x14ac:dyDescent="0.2">
      <c r="C631" s="6"/>
      <c r="D631" s="6"/>
    </row>
    <row r="632" spans="3:4" x14ac:dyDescent="0.2">
      <c r="C632" s="6"/>
      <c r="D632" s="6"/>
    </row>
    <row r="633" spans="3:4" x14ac:dyDescent="0.2">
      <c r="C633" s="6"/>
      <c r="D633" s="6"/>
    </row>
    <row r="634" spans="3:4" x14ac:dyDescent="0.2">
      <c r="C634" s="6"/>
      <c r="D634" s="6"/>
    </row>
    <row r="635" spans="3:4" x14ac:dyDescent="0.2">
      <c r="D635" s="6"/>
    </row>
    <row r="636" spans="3:4" x14ac:dyDescent="0.2">
      <c r="D636" s="6"/>
    </row>
    <row r="637" spans="3:4" x14ac:dyDescent="0.2">
      <c r="D637" s="6"/>
    </row>
    <row r="638" spans="3:4" x14ac:dyDescent="0.2">
      <c r="D638" s="6"/>
    </row>
    <row r="639" spans="3:4" x14ac:dyDescent="0.2">
      <c r="D639" s="6"/>
    </row>
    <row r="640" spans="3:4" x14ac:dyDescent="0.2">
      <c r="D640" s="6"/>
    </row>
    <row r="641" spans="4:4" x14ac:dyDescent="0.2">
      <c r="D641" s="6"/>
    </row>
  </sheetData>
  <phoneticPr fontId="0" type="noConversion"/>
  <conditionalFormatting sqref="G580:J596 G238:J254 G447:J463 G257:J273 G10:J26 G561:J577 G219:J235 G276:J292 G314:J330 G295:J311 G352:J368 G333:J349 G390:J406 G409:J425 G428:J444 G371:J387 G466:J482 G485:J501 G504:J520 G542:J558 G523:J539 G48:J64 G29:J45 G86:J102 G105:J121 G124:J140 G67:J83 G162:J178 G181:J197 G200:J216 G143:J159 G599:J615">
    <cfRule type="cellIs" dxfId="33" priority="33" stopIfTrue="1" operator="greaterThan">
      <formula>0</formula>
    </cfRule>
  </conditionalFormatting>
  <conditionalFormatting sqref="F10:F26 F29:F121 F314:F330 F333:F349 F352:F368 F371:F387 F390:F406 F409:F425 F428:F444 F447:F463 F466:F482 F485:F501 F504:F520 F523:F539 F542:F558 F561:F577 F580:F596 F599:F615 F124:F140 F143:F159 F162:F179 F181:F198 F200:F217 F219:F236 F238:F255 F257:F274 F276:F293 F295:F312">
    <cfRule type="expression" dxfId="32" priority="34" stopIfTrue="1">
      <formula>G10&gt;0</formula>
    </cfRule>
  </conditionalFormatting>
  <conditionalFormatting sqref="M20:M31">
    <cfRule type="cellIs" dxfId="31" priority="32" stopIfTrue="1" operator="greaterThan">
      <formula>0</formula>
    </cfRule>
  </conditionalFormatting>
  <conditionalFormatting sqref="M5:M16">
    <cfRule type="cellIs" dxfId="30" priority="31" stopIfTrue="1" operator="greaterThan">
      <formula>0</formula>
    </cfRule>
  </conditionalFormatting>
  <conditionalFormatting sqref="N5:N16">
    <cfRule type="cellIs" dxfId="29" priority="30" stopIfTrue="1" operator="greaterThan">
      <formula>0</formula>
    </cfRule>
  </conditionalFormatting>
  <conditionalFormatting sqref="N20:N31">
    <cfRule type="cellIs" dxfId="28" priority="29" stopIfTrue="1" operator="greaterThan">
      <formula>0</formula>
    </cfRule>
  </conditionalFormatting>
  <conditionalFormatting sqref="O5:O16">
    <cfRule type="cellIs" dxfId="27" priority="28" stopIfTrue="1" operator="greaterThan">
      <formula>0</formula>
    </cfRule>
  </conditionalFormatting>
  <conditionalFormatting sqref="O20:O31">
    <cfRule type="cellIs" dxfId="26" priority="27" stopIfTrue="1" operator="greaterThan">
      <formula>0</formula>
    </cfRule>
  </conditionalFormatting>
  <conditionalFormatting sqref="P5:P16">
    <cfRule type="cellIs" dxfId="25" priority="26" stopIfTrue="1" operator="greaterThan">
      <formula>0</formula>
    </cfRule>
  </conditionalFormatting>
  <conditionalFormatting sqref="P20:P31">
    <cfRule type="cellIs" dxfId="24" priority="25" stopIfTrue="1" operator="greaterThan">
      <formula>0</formula>
    </cfRule>
  </conditionalFormatting>
  <conditionalFormatting sqref="Q5:Q16">
    <cfRule type="cellIs" dxfId="23" priority="24" stopIfTrue="1" operator="greaterThan">
      <formula>0</formula>
    </cfRule>
  </conditionalFormatting>
  <conditionalFormatting sqref="Q20:Q31">
    <cfRule type="cellIs" dxfId="22" priority="23" stopIfTrue="1" operator="greaterThan">
      <formula>0</formula>
    </cfRule>
  </conditionalFormatting>
  <conditionalFormatting sqref="R5:R16">
    <cfRule type="cellIs" dxfId="21" priority="22" stopIfTrue="1" operator="greaterThan">
      <formula>0</formula>
    </cfRule>
  </conditionalFormatting>
  <conditionalFormatting sqref="R20:R31">
    <cfRule type="cellIs" dxfId="20" priority="21" stopIfTrue="1" operator="greaterThan">
      <formula>0</formula>
    </cfRule>
  </conditionalFormatting>
  <conditionalFormatting sqref="S5:S16">
    <cfRule type="cellIs" dxfId="19" priority="20" stopIfTrue="1" operator="greaterThan">
      <formula>0</formula>
    </cfRule>
  </conditionalFormatting>
  <conditionalFormatting sqref="S20:S31">
    <cfRule type="cellIs" dxfId="18" priority="19" stopIfTrue="1" operator="greaterThan">
      <formula>0</formula>
    </cfRule>
  </conditionalFormatting>
  <conditionalFormatting sqref="T5:T16">
    <cfRule type="cellIs" dxfId="17" priority="18" stopIfTrue="1" operator="greaterThan">
      <formula>0</formula>
    </cfRule>
  </conditionalFormatting>
  <conditionalFormatting sqref="T20:T31">
    <cfRule type="cellIs" dxfId="16" priority="17" stopIfTrue="1" operator="greaterThan">
      <formula>0</formula>
    </cfRule>
  </conditionalFormatting>
  <conditionalFormatting sqref="U5:U16">
    <cfRule type="cellIs" dxfId="15" priority="16" stopIfTrue="1" operator="greaterThan">
      <formula>0</formula>
    </cfRule>
  </conditionalFormatting>
  <conditionalFormatting sqref="U20:U31">
    <cfRule type="cellIs" dxfId="14" priority="15" stopIfTrue="1" operator="greaterThan">
      <formula>0</formula>
    </cfRule>
  </conditionalFormatting>
  <conditionalFormatting sqref="V5:V16">
    <cfRule type="cellIs" dxfId="13" priority="14" stopIfTrue="1" operator="greaterThan">
      <formula>0</formula>
    </cfRule>
  </conditionalFormatting>
  <conditionalFormatting sqref="V20:V31">
    <cfRule type="cellIs" dxfId="12" priority="13" stopIfTrue="1" operator="greaterThan">
      <formula>0</formula>
    </cfRule>
  </conditionalFormatting>
  <conditionalFormatting sqref="W5:W16">
    <cfRule type="cellIs" dxfId="11" priority="12" stopIfTrue="1" operator="greaterThan">
      <formula>0</formula>
    </cfRule>
  </conditionalFormatting>
  <conditionalFormatting sqref="W20:W31">
    <cfRule type="cellIs" dxfId="10" priority="11" stopIfTrue="1" operator="greaterThan">
      <formula>0</formula>
    </cfRule>
  </conditionalFormatting>
  <conditionalFormatting sqref="X5:X16">
    <cfRule type="cellIs" dxfId="9" priority="10" stopIfTrue="1" operator="greaterThan">
      <formula>0</formula>
    </cfRule>
  </conditionalFormatting>
  <conditionalFormatting sqref="X20:X31">
    <cfRule type="cellIs" dxfId="8" priority="9" stopIfTrue="1" operator="greaterThan">
      <formula>0</formula>
    </cfRule>
  </conditionalFormatting>
  <conditionalFormatting sqref="Y5:Y16">
    <cfRule type="cellIs" dxfId="7" priority="8" stopIfTrue="1" operator="greaterThan">
      <formula>0</formula>
    </cfRule>
  </conditionalFormatting>
  <conditionalFormatting sqref="Y20:Y31">
    <cfRule type="cellIs" dxfId="6" priority="7" stopIfTrue="1" operator="greaterThan">
      <formula>0</formula>
    </cfRule>
  </conditionalFormatting>
  <conditionalFormatting sqref="Z5:Z16">
    <cfRule type="cellIs" dxfId="5" priority="6" stopIfTrue="1" operator="greaterThan">
      <formula>0</formula>
    </cfRule>
  </conditionalFormatting>
  <conditionalFormatting sqref="Z20:Z31">
    <cfRule type="cellIs" dxfId="4" priority="5" stopIfTrue="1" operator="greaterThan">
      <formula>0</formula>
    </cfRule>
  </conditionalFormatting>
  <conditionalFormatting sqref="AA5:AA16">
    <cfRule type="cellIs" dxfId="3" priority="4" stopIfTrue="1" operator="greaterThan">
      <formula>0</formula>
    </cfRule>
  </conditionalFormatting>
  <conditionalFormatting sqref="AA20:AA31">
    <cfRule type="cellIs" dxfId="2" priority="3" stopIfTrue="1" operator="greaterThan">
      <formula>0</formula>
    </cfRule>
  </conditionalFormatting>
  <conditionalFormatting sqref="AB5:AB16">
    <cfRule type="cellIs" dxfId="1" priority="2" stopIfTrue="1" operator="greaterThan">
      <formula>0</formula>
    </cfRule>
  </conditionalFormatting>
  <conditionalFormatting sqref="AB20:AB31">
    <cfRule type="cellIs" dxfId="0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7143-847D-4ED1-ACA1-51BC637E738C}">
  <dimension ref="A1"/>
  <sheetViews>
    <sheetView workbookViewId="0">
      <selection activeCell="D39" sqref="D39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19CA-EBF6-43E1-B420-B88F7A33EA03}">
  <dimension ref="A1:AP40"/>
  <sheetViews>
    <sheetView tabSelected="1" workbookViewId="0">
      <selection activeCell="AP2" sqref="AP2"/>
    </sheetView>
  </sheetViews>
  <sheetFormatPr defaultRowHeight="12.75" x14ac:dyDescent="0.2"/>
  <sheetData>
    <row r="1" spans="1:42" x14ac:dyDescent="0.2">
      <c r="A1" t="s">
        <v>37</v>
      </c>
      <c r="B1" t="s">
        <v>8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s="52" t="s">
        <v>70</v>
      </c>
      <c r="AJ1" s="52" t="s">
        <v>71</v>
      </c>
      <c r="AK1" s="52" t="s">
        <v>72</v>
      </c>
      <c r="AL1" s="52" t="s">
        <v>73</v>
      </c>
      <c r="AM1" s="52" t="s">
        <v>74</v>
      </c>
      <c r="AN1" s="52" t="s">
        <v>75</v>
      </c>
      <c r="AO1" s="52" t="s">
        <v>76</v>
      </c>
      <c r="AP1" s="52" t="s">
        <v>77</v>
      </c>
    </row>
    <row r="2" spans="1:42" x14ac:dyDescent="0.2">
      <c r="A2">
        <v>2003</v>
      </c>
      <c r="B2">
        <v>106</v>
      </c>
      <c r="C2" s="53">
        <v>141</v>
      </c>
      <c r="D2" s="53">
        <v>123</v>
      </c>
      <c r="E2" s="53">
        <v>125</v>
      </c>
      <c r="F2" s="53">
        <v>141</v>
      </c>
      <c r="G2" s="53">
        <v>130</v>
      </c>
      <c r="H2" s="53">
        <v>149</v>
      </c>
      <c r="I2" s="53">
        <v>143</v>
      </c>
      <c r="J2" s="53">
        <v>129</v>
      </c>
      <c r="K2" s="53">
        <v>137</v>
      </c>
      <c r="L2" s="53">
        <v>135</v>
      </c>
      <c r="M2" s="53">
        <v>133</v>
      </c>
      <c r="N2" s="53">
        <v>145</v>
      </c>
      <c r="O2" s="53">
        <v>143</v>
      </c>
      <c r="P2" s="53">
        <v>134</v>
      </c>
      <c r="Q2" s="53">
        <v>145</v>
      </c>
      <c r="R2" s="53">
        <v>144</v>
      </c>
      <c r="S2" s="53">
        <v>148</v>
      </c>
      <c r="T2" s="53">
        <v>151.5</v>
      </c>
      <c r="U2" s="53">
        <v>149</v>
      </c>
      <c r="V2" s="53">
        <v>160</v>
      </c>
      <c r="W2" s="53">
        <v>134</v>
      </c>
      <c r="X2" s="53">
        <v>133</v>
      </c>
      <c r="Y2" s="53">
        <v>129</v>
      </c>
      <c r="Z2" s="53">
        <v>153</v>
      </c>
      <c r="AA2" s="53">
        <v>136</v>
      </c>
      <c r="AB2" s="53">
        <v>137</v>
      </c>
      <c r="AC2" s="53">
        <v>134</v>
      </c>
      <c r="AD2" s="53">
        <v>137</v>
      </c>
      <c r="AE2" s="53">
        <v>136</v>
      </c>
      <c r="AF2" s="53">
        <v>134</v>
      </c>
      <c r="AG2" s="53">
        <v>128</v>
      </c>
      <c r="AH2" s="53">
        <v>145</v>
      </c>
    </row>
    <row r="3" spans="1:42" x14ac:dyDescent="0.2">
      <c r="A3">
        <v>2003</v>
      </c>
      <c r="B3">
        <v>108</v>
      </c>
      <c r="C3" s="53">
        <v>76</v>
      </c>
      <c r="D3" s="53">
        <v>83</v>
      </c>
      <c r="E3" s="53">
        <v>92</v>
      </c>
      <c r="F3" s="53">
        <v>80</v>
      </c>
      <c r="G3" s="53">
        <v>74</v>
      </c>
      <c r="H3" s="53">
        <v>85</v>
      </c>
      <c r="I3" s="53">
        <v>51</v>
      </c>
      <c r="J3" s="53">
        <v>62</v>
      </c>
      <c r="K3" s="53">
        <v>81</v>
      </c>
      <c r="L3" s="53">
        <v>85</v>
      </c>
      <c r="M3" s="53">
        <v>84</v>
      </c>
      <c r="N3" s="53">
        <v>73</v>
      </c>
      <c r="O3" s="53">
        <v>79</v>
      </c>
      <c r="P3" s="53">
        <v>73</v>
      </c>
      <c r="Q3" s="53">
        <v>68</v>
      </c>
      <c r="R3" s="53">
        <v>62</v>
      </c>
      <c r="S3" s="53">
        <v>82</v>
      </c>
      <c r="T3" s="53">
        <v>64.5</v>
      </c>
      <c r="U3" s="53">
        <v>71</v>
      </c>
      <c r="V3" s="53">
        <v>71</v>
      </c>
      <c r="W3" s="53">
        <v>57</v>
      </c>
      <c r="X3" s="53">
        <v>69</v>
      </c>
      <c r="Y3" s="53">
        <v>69</v>
      </c>
      <c r="Z3" s="53">
        <v>55</v>
      </c>
      <c r="AA3" s="53">
        <v>71</v>
      </c>
      <c r="AB3" s="53">
        <v>72</v>
      </c>
      <c r="AC3" s="53">
        <v>69</v>
      </c>
      <c r="AD3" s="53">
        <v>72.599999999999994</v>
      </c>
      <c r="AE3" s="53">
        <v>69</v>
      </c>
      <c r="AF3" s="53">
        <v>75.8</v>
      </c>
      <c r="AG3" s="53">
        <v>55</v>
      </c>
      <c r="AH3" s="53">
        <v>61</v>
      </c>
    </row>
    <row r="4" spans="1:42" x14ac:dyDescent="0.2">
      <c r="A4">
        <v>2003</v>
      </c>
      <c r="B4">
        <v>112</v>
      </c>
      <c r="C4" s="53">
        <v>66</v>
      </c>
      <c r="D4" s="53">
        <v>85.5</v>
      </c>
      <c r="E4" s="53">
        <v>59.7</v>
      </c>
      <c r="F4" s="53">
        <v>71</v>
      </c>
      <c r="G4" s="53">
        <v>57</v>
      </c>
      <c r="H4" s="53">
        <v>70</v>
      </c>
      <c r="I4" s="53">
        <v>76</v>
      </c>
      <c r="J4" s="53">
        <v>67</v>
      </c>
      <c r="K4" s="53">
        <v>59</v>
      </c>
      <c r="L4" s="53">
        <v>66</v>
      </c>
      <c r="M4" s="53">
        <v>65</v>
      </c>
      <c r="N4" s="53">
        <v>66</v>
      </c>
      <c r="O4" s="53">
        <v>70</v>
      </c>
      <c r="P4" s="53">
        <v>68</v>
      </c>
      <c r="Q4" s="53">
        <v>64.5</v>
      </c>
      <c r="R4" s="53">
        <v>66.3</v>
      </c>
      <c r="S4" s="53">
        <v>64</v>
      </c>
      <c r="T4" s="53">
        <v>67</v>
      </c>
      <c r="U4" s="53">
        <v>65</v>
      </c>
      <c r="V4" s="53">
        <v>62</v>
      </c>
      <c r="W4" s="53">
        <v>64</v>
      </c>
      <c r="X4" s="53">
        <v>59</v>
      </c>
      <c r="Y4" s="53">
        <v>60</v>
      </c>
      <c r="Z4" s="53">
        <v>54</v>
      </c>
      <c r="AA4" s="53">
        <v>66</v>
      </c>
      <c r="AB4" s="53">
        <v>67</v>
      </c>
      <c r="AC4" s="53">
        <v>61.3</v>
      </c>
      <c r="AD4" s="53">
        <v>64.599999999999994</v>
      </c>
      <c r="AE4" s="53">
        <v>64.5</v>
      </c>
      <c r="AF4" s="53">
        <v>85.5</v>
      </c>
      <c r="AG4" s="53">
        <v>65</v>
      </c>
      <c r="AH4" s="53">
        <v>54</v>
      </c>
    </row>
    <row r="5" spans="1:42" x14ac:dyDescent="0.2">
      <c r="A5">
        <v>2003</v>
      </c>
      <c r="B5">
        <v>129</v>
      </c>
      <c r="C5" s="53">
        <v>82</v>
      </c>
      <c r="D5" s="53">
        <v>82</v>
      </c>
      <c r="E5" s="53">
        <v>84</v>
      </c>
      <c r="F5" s="53">
        <v>82</v>
      </c>
      <c r="G5" s="53">
        <v>82</v>
      </c>
      <c r="H5" s="53">
        <v>83</v>
      </c>
      <c r="I5" s="53">
        <v>90</v>
      </c>
      <c r="J5" s="53">
        <v>94</v>
      </c>
      <c r="K5" s="53">
        <v>82</v>
      </c>
      <c r="L5" s="53">
        <v>88</v>
      </c>
      <c r="M5" s="53">
        <v>82</v>
      </c>
      <c r="N5" s="53">
        <v>82</v>
      </c>
      <c r="O5" s="53">
        <v>82</v>
      </c>
      <c r="P5" s="53">
        <v>82</v>
      </c>
      <c r="Q5" s="53">
        <v>82</v>
      </c>
      <c r="R5" s="53">
        <v>82</v>
      </c>
      <c r="S5" s="53">
        <v>84</v>
      </c>
      <c r="T5" s="53">
        <v>82</v>
      </c>
      <c r="U5" s="53">
        <v>82</v>
      </c>
      <c r="V5" s="53">
        <v>82</v>
      </c>
      <c r="W5" s="53">
        <v>82</v>
      </c>
      <c r="X5" s="53">
        <v>82</v>
      </c>
      <c r="Y5" s="53">
        <v>80</v>
      </c>
      <c r="Z5" s="53">
        <v>82</v>
      </c>
      <c r="AA5" s="53">
        <v>82</v>
      </c>
      <c r="AB5" s="53">
        <v>82</v>
      </c>
      <c r="AC5" s="53">
        <v>82</v>
      </c>
      <c r="AD5" s="53">
        <v>82</v>
      </c>
      <c r="AE5" s="53">
        <v>82</v>
      </c>
      <c r="AF5" s="53">
        <v>82</v>
      </c>
      <c r="AG5" s="53">
        <v>82</v>
      </c>
      <c r="AH5" s="53">
        <v>82</v>
      </c>
    </row>
    <row r="6" spans="1:42" x14ac:dyDescent="0.2">
      <c r="A6">
        <v>2003</v>
      </c>
      <c r="B6">
        <v>143</v>
      </c>
      <c r="C6" s="53"/>
      <c r="D6" s="53"/>
      <c r="E6" s="53"/>
      <c r="F6" s="53"/>
      <c r="G6" s="53">
        <v>55</v>
      </c>
      <c r="H6" s="53"/>
      <c r="I6" s="53"/>
      <c r="J6" s="53"/>
      <c r="K6" s="53">
        <v>55</v>
      </c>
      <c r="L6" s="53"/>
      <c r="M6" s="53"/>
      <c r="N6" s="53">
        <v>55</v>
      </c>
      <c r="O6" s="53"/>
      <c r="P6" s="53"/>
      <c r="Q6" s="53"/>
      <c r="R6" s="53"/>
      <c r="S6" s="53"/>
      <c r="T6" s="53"/>
      <c r="U6" s="53"/>
      <c r="V6" s="53"/>
      <c r="W6" s="53">
        <v>55</v>
      </c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</row>
    <row r="7" spans="1:42" x14ac:dyDescent="0.2">
      <c r="A7">
        <v>2003</v>
      </c>
      <c r="B7">
        <v>148</v>
      </c>
      <c r="C7" s="53">
        <v>63</v>
      </c>
      <c r="D7" s="53">
        <v>63</v>
      </c>
      <c r="E7" s="53">
        <v>63</v>
      </c>
      <c r="F7" s="53">
        <v>63</v>
      </c>
      <c r="G7" s="53"/>
      <c r="H7" s="53">
        <v>63</v>
      </c>
      <c r="I7" s="53">
        <v>63</v>
      </c>
      <c r="J7" s="53">
        <v>63</v>
      </c>
      <c r="K7" s="53"/>
      <c r="L7" s="53">
        <v>64</v>
      </c>
      <c r="M7" s="53">
        <v>63</v>
      </c>
      <c r="N7" s="53"/>
      <c r="O7" s="53">
        <v>63</v>
      </c>
      <c r="P7" s="53"/>
      <c r="Q7" s="53">
        <v>63</v>
      </c>
      <c r="R7" s="53">
        <v>63</v>
      </c>
      <c r="S7" s="53">
        <v>63</v>
      </c>
      <c r="T7" s="53">
        <v>63</v>
      </c>
      <c r="U7" s="53"/>
      <c r="V7" s="53">
        <v>63</v>
      </c>
      <c r="W7" s="53"/>
      <c r="X7" s="53">
        <v>63</v>
      </c>
      <c r="Y7" s="53">
        <v>64</v>
      </c>
      <c r="Z7" s="53">
        <v>63</v>
      </c>
      <c r="AA7" s="53"/>
      <c r="AB7" s="53">
        <v>63</v>
      </c>
      <c r="AC7" s="53">
        <v>63</v>
      </c>
      <c r="AD7" s="53">
        <v>63</v>
      </c>
      <c r="AE7" s="53">
        <v>63</v>
      </c>
      <c r="AF7" s="53">
        <v>63</v>
      </c>
      <c r="AG7" s="53"/>
      <c r="AH7" s="53">
        <v>61</v>
      </c>
    </row>
    <row r="8" spans="1:42" x14ac:dyDescent="0.2">
      <c r="A8">
        <v>2003</v>
      </c>
      <c r="B8">
        <v>149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>
        <v>63</v>
      </c>
      <c r="Q8" s="53"/>
      <c r="R8" s="53"/>
      <c r="S8" s="53"/>
      <c r="T8" s="53"/>
      <c r="U8" s="53">
        <v>63</v>
      </c>
      <c r="V8" s="53"/>
      <c r="W8" s="53"/>
      <c r="X8" s="53"/>
      <c r="Y8" s="53"/>
      <c r="Z8" s="53"/>
      <c r="AA8" s="53">
        <v>63</v>
      </c>
      <c r="AB8" s="53"/>
      <c r="AC8" s="53"/>
      <c r="AD8" s="53"/>
      <c r="AE8" s="53"/>
      <c r="AF8" s="53"/>
      <c r="AG8" s="53">
        <v>63</v>
      </c>
      <c r="AH8" s="53"/>
    </row>
    <row r="9" spans="1:42" x14ac:dyDescent="0.2">
      <c r="A9">
        <v>2003</v>
      </c>
      <c r="B9">
        <v>155</v>
      </c>
      <c r="C9" s="53"/>
      <c r="D9" s="53"/>
      <c r="E9" s="53"/>
      <c r="F9" s="53"/>
      <c r="G9" s="53">
        <v>68</v>
      </c>
      <c r="H9" s="53"/>
      <c r="I9" s="53"/>
      <c r="J9" s="53"/>
      <c r="K9" s="53">
        <v>68</v>
      </c>
      <c r="L9" s="53"/>
      <c r="M9" s="53"/>
      <c r="N9" s="53">
        <v>68</v>
      </c>
      <c r="O9" s="53"/>
      <c r="P9" s="53"/>
      <c r="Q9" s="53"/>
      <c r="R9" s="53"/>
      <c r="S9" s="53"/>
      <c r="T9" s="53"/>
      <c r="U9" s="53"/>
      <c r="V9" s="53"/>
      <c r="W9" s="53">
        <v>71</v>
      </c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</row>
    <row r="10" spans="1:42" x14ac:dyDescent="0.2">
      <c r="A10">
        <v>2003</v>
      </c>
      <c r="B10">
        <v>161</v>
      </c>
      <c r="C10" s="53">
        <v>85</v>
      </c>
      <c r="D10" s="53">
        <v>85</v>
      </c>
      <c r="E10" s="53">
        <v>85</v>
      </c>
      <c r="F10" s="53"/>
      <c r="G10" s="53"/>
      <c r="H10" s="53"/>
      <c r="I10" s="53"/>
      <c r="J10" s="53">
        <v>85</v>
      </c>
      <c r="K10" s="53"/>
      <c r="L10" s="53"/>
      <c r="M10" s="53">
        <v>85</v>
      </c>
      <c r="N10" s="53"/>
      <c r="O10" s="53">
        <v>85</v>
      </c>
      <c r="P10" s="53"/>
      <c r="Q10" s="53">
        <v>85</v>
      </c>
      <c r="R10" s="53">
        <v>85</v>
      </c>
      <c r="S10" s="53"/>
      <c r="T10" s="53">
        <v>85</v>
      </c>
      <c r="U10" s="53"/>
      <c r="V10" s="53">
        <v>85</v>
      </c>
      <c r="W10" s="53"/>
      <c r="X10" s="53">
        <v>85</v>
      </c>
      <c r="Y10" s="53"/>
      <c r="Z10" s="53">
        <v>85</v>
      </c>
      <c r="AA10" s="53"/>
      <c r="AB10" s="53"/>
      <c r="AC10" s="53">
        <v>85</v>
      </c>
      <c r="AD10" s="53">
        <v>85</v>
      </c>
      <c r="AE10" s="53">
        <v>85</v>
      </c>
      <c r="AF10" s="53">
        <v>85</v>
      </c>
      <c r="AG10" s="53"/>
      <c r="AH10" s="53"/>
    </row>
    <row r="11" spans="1:42" x14ac:dyDescent="0.2">
      <c r="A11">
        <v>2003</v>
      </c>
      <c r="B11">
        <v>162</v>
      </c>
      <c r="C11" s="53"/>
      <c r="D11" s="53"/>
      <c r="E11" s="53"/>
      <c r="F11" s="53">
        <v>83</v>
      </c>
      <c r="G11" s="53"/>
      <c r="H11" s="53">
        <v>86</v>
      </c>
      <c r="I11" s="53">
        <v>83</v>
      </c>
      <c r="J11" s="53"/>
      <c r="K11" s="53"/>
      <c r="L11" s="53">
        <v>84</v>
      </c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>
        <v>85</v>
      </c>
      <c r="Z11" s="53"/>
      <c r="AA11" s="53"/>
      <c r="AB11" s="53"/>
      <c r="AC11" s="53"/>
      <c r="AD11" s="53"/>
      <c r="AE11" s="53"/>
      <c r="AF11" s="53"/>
      <c r="AG11" s="53"/>
      <c r="AH11" s="53"/>
    </row>
    <row r="12" spans="1:42" x14ac:dyDescent="0.2">
      <c r="A12">
        <v>2003</v>
      </c>
      <c r="B12">
        <v>163</v>
      </c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>
        <v>86</v>
      </c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</row>
    <row r="13" spans="1:42" x14ac:dyDescent="0.2">
      <c r="A13">
        <v>2003</v>
      </c>
      <c r="B13">
        <v>164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>
        <v>85</v>
      </c>
      <c r="AC13" s="53"/>
      <c r="AD13" s="53"/>
      <c r="AE13" s="53"/>
      <c r="AF13" s="53"/>
      <c r="AG13" s="53"/>
      <c r="AH13" s="53">
        <v>85</v>
      </c>
    </row>
    <row r="14" spans="1:42" x14ac:dyDescent="0.2">
      <c r="A14">
        <v>2003</v>
      </c>
      <c r="B14">
        <v>165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>
        <v>90</v>
      </c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</row>
    <row r="15" spans="1:42" x14ac:dyDescent="0.2">
      <c r="A15">
        <v>2003</v>
      </c>
      <c r="B15">
        <v>166</v>
      </c>
      <c r="C15" s="53"/>
      <c r="D15" s="53"/>
      <c r="E15" s="53"/>
      <c r="F15" s="53"/>
      <c r="G15" s="53">
        <v>87</v>
      </c>
      <c r="H15" s="53"/>
      <c r="I15" s="53"/>
      <c r="J15" s="53"/>
      <c r="K15" s="53">
        <v>84</v>
      </c>
      <c r="L15" s="53"/>
      <c r="M15" s="53"/>
      <c r="N15" s="53">
        <v>88</v>
      </c>
      <c r="O15" s="53"/>
      <c r="P15" s="53">
        <v>85</v>
      </c>
      <c r="Q15" s="53"/>
      <c r="R15" s="53"/>
      <c r="S15" s="53"/>
      <c r="T15" s="53"/>
      <c r="U15" s="53">
        <v>85</v>
      </c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</row>
    <row r="16" spans="1:42" x14ac:dyDescent="0.2">
      <c r="A16">
        <v>2003</v>
      </c>
      <c r="B16">
        <v>168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>
        <v>89</v>
      </c>
      <c r="AB16" s="53"/>
      <c r="AC16" s="53"/>
      <c r="AD16" s="53"/>
      <c r="AE16" s="53"/>
      <c r="AF16" s="53"/>
      <c r="AG16" s="53">
        <v>86</v>
      </c>
      <c r="AH16" s="53"/>
    </row>
    <row r="17" spans="1:34" x14ac:dyDescent="0.2">
      <c r="A17">
        <v>2003</v>
      </c>
      <c r="B17">
        <v>174</v>
      </c>
      <c r="C17" s="53">
        <v>113</v>
      </c>
      <c r="D17" s="53">
        <v>113</v>
      </c>
      <c r="E17" s="53">
        <v>113</v>
      </c>
      <c r="F17" s="53"/>
      <c r="G17" s="53"/>
      <c r="H17" s="53"/>
      <c r="I17" s="53"/>
      <c r="J17" s="53">
        <v>113</v>
      </c>
      <c r="K17" s="53"/>
      <c r="L17" s="53"/>
      <c r="M17" s="53">
        <v>113</v>
      </c>
      <c r="N17" s="53"/>
      <c r="O17" s="53">
        <v>113</v>
      </c>
      <c r="P17" s="53"/>
      <c r="Q17" s="53">
        <v>113</v>
      </c>
      <c r="R17" s="53">
        <v>113</v>
      </c>
      <c r="S17" s="53"/>
      <c r="T17" s="53">
        <v>113</v>
      </c>
      <c r="U17" s="53"/>
      <c r="V17" s="53">
        <v>113</v>
      </c>
      <c r="W17" s="53"/>
      <c r="X17" s="53">
        <v>113</v>
      </c>
      <c r="Y17" s="53"/>
      <c r="Z17" s="53">
        <v>113</v>
      </c>
      <c r="AA17" s="53"/>
      <c r="AB17" s="53"/>
      <c r="AC17" s="53">
        <v>113</v>
      </c>
      <c r="AD17" s="53">
        <v>113</v>
      </c>
      <c r="AE17" s="53">
        <v>113</v>
      </c>
      <c r="AF17" s="53">
        <v>113</v>
      </c>
      <c r="AG17" s="53"/>
      <c r="AH17" s="53"/>
    </row>
    <row r="18" spans="1:34" x14ac:dyDescent="0.2">
      <c r="A18">
        <v>2003</v>
      </c>
      <c r="B18">
        <v>176</v>
      </c>
      <c r="C18" s="53"/>
      <c r="D18" s="53"/>
      <c r="E18" s="53"/>
      <c r="F18" s="53">
        <v>116</v>
      </c>
      <c r="G18" s="53">
        <v>111</v>
      </c>
      <c r="H18" s="53">
        <v>109</v>
      </c>
      <c r="I18" s="53">
        <v>114</v>
      </c>
      <c r="J18" s="53"/>
      <c r="K18" s="53">
        <v>113</v>
      </c>
      <c r="L18" s="53">
        <v>116</v>
      </c>
      <c r="M18" s="53"/>
      <c r="N18" s="53">
        <v>116</v>
      </c>
      <c r="O18" s="53"/>
      <c r="P18" s="53"/>
      <c r="Q18" s="53"/>
      <c r="R18" s="53"/>
      <c r="S18" s="53"/>
      <c r="T18" s="53"/>
      <c r="U18" s="53"/>
      <c r="V18" s="53"/>
      <c r="W18" s="53">
        <v>113</v>
      </c>
      <c r="X18" s="53"/>
      <c r="Y18" s="53">
        <v>111</v>
      </c>
      <c r="Z18" s="53"/>
      <c r="AA18" s="53"/>
      <c r="AB18" s="53"/>
      <c r="AC18" s="53"/>
      <c r="AD18" s="53"/>
      <c r="AE18" s="53"/>
      <c r="AF18" s="53"/>
      <c r="AG18" s="53"/>
      <c r="AH18" s="53"/>
    </row>
    <row r="19" spans="1:34" x14ac:dyDescent="0.2">
      <c r="A19">
        <v>2003</v>
      </c>
      <c r="B19">
        <v>177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>
        <v>105</v>
      </c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</row>
    <row r="20" spans="1:34" x14ac:dyDescent="0.2">
      <c r="A20">
        <v>2003</v>
      </c>
      <c r="B20">
        <v>178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>
        <v>111</v>
      </c>
      <c r="AC20" s="53"/>
      <c r="AD20" s="53"/>
      <c r="AE20" s="53"/>
      <c r="AF20" s="53"/>
      <c r="AG20" s="53"/>
      <c r="AH20" s="53">
        <v>111</v>
      </c>
    </row>
    <row r="21" spans="1:34" x14ac:dyDescent="0.2">
      <c r="A21">
        <v>2003</v>
      </c>
      <c r="B21">
        <v>182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>
        <v>126</v>
      </c>
      <c r="Q21" s="53"/>
      <c r="R21" s="53"/>
      <c r="S21" s="53"/>
      <c r="T21" s="53"/>
      <c r="U21" s="53">
        <v>125</v>
      </c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</row>
    <row r="22" spans="1:34" x14ac:dyDescent="0.2">
      <c r="A22">
        <v>2003</v>
      </c>
      <c r="B22">
        <v>185</v>
      </c>
      <c r="C22" s="53">
        <v>123</v>
      </c>
      <c r="D22" s="53">
        <v>123</v>
      </c>
      <c r="E22" s="53">
        <v>123</v>
      </c>
      <c r="F22" s="53">
        <v>109</v>
      </c>
      <c r="G22" s="53">
        <v>116</v>
      </c>
      <c r="H22" s="53">
        <v>107</v>
      </c>
      <c r="I22" s="53">
        <v>113</v>
      </c>
      <c r="J22" s="53">
        <v>123</v>
      </c>
      <c r="K22" s="53">
        <v>116</v>
      </c>
      <c r="L22" s="53">
        <v>102</v>
      </c>
      <c r="M22" s="53">
        <v>123</v>
      </c>
      <c r="N22" s="53">
        <v>116</v>
      </c>
      <c r="O22" s="53">
        <v>123</v>
      </c>
      <c r="P22" s="53"/>
      <c r="Q22" s="53">
        <v>123</v>
      </c>
      <c r="R22" s="53">
        <v>123</v>
      </c>
      <c r="S22" s="53">
        <v>102</v>
      </c>
      <c r="T22" s="53">
        <v>123</v>
      </c>
      <c r="U22" s="53"/>
      <c r="V22" s="53">
        <v>123</v>
      </c>
      <c r="W22" s="53">
        <v>116</v>
      </c>
      <c r="X22" s="53">
        <v>123</v>
      </c>
      <c r="Y22" s="53">
        <v>102</v>
      </c>
      <c r="Z22" s="53">
        <v>123</v>
      </c>
      <c r="AA22" s="53">
        <v>130</v>
      </c>
      <c r="AB22" s="53"/>
      <c r="AC22" s="53">
        <v>123</v>
      </c>
      <c r="AD22" s="53">
        <v>123</v>
      </c>
      <c r="AE22" s="53">
        <v>123</v>
      </c>
      <c r="AF22" s="53">
        <v>123</v>
      </c>
      <c r="AG22" s="53">
        <v>130</v>
      </c>
      <c r="AH22" s="53"/>
    </row>
    <row r="23" spans="1:34" x14ac:dyDescent="0.2">
      <c r="A23">
        <v>2003</v>
      </c>
      <c r="B23">
        <v>188</v>
      </c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>
        <v>113</v>
      </c>
      <c r="AC23" s="53"/>
      <c r="AD23" s="53"/>
      <c r="AE23" s="53"/>
      <c r="AF23" s="53"/>
      <c r="AG23" s="53"/>
      <c r="AH23" s="53">
        <v>111</v>
      </c>
    </row>
    <row r="24" spans="1:34" x14ac:dyDescent="0.2">
      <c r="A24">
        <v>2003</v>
      </c>
      <c r="B24">
        <v>194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>
        <v>133</v>
      </c>
      <c r="Q24" s="53"/>
      <c r="R24" s="53"/>
      <c r="S24" s="53"/>
      <c r="T24" s="53"/>
      <c r="U24" s="53">
        <v>138</v>
      </c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</row>
    <row r="25" spans="1:34" x14ac:dyDescent="0.2">
      <c r="A25">
        <v>2003</v>
      </c>
      <c r="B25">
        <v>195</v>
      </c>
      <c r="C25" s="53">
        <v>122</v>
      </c>
      <c r="D25" s="53">
        <v>122</v>
      </c>
      <c r="E25" s="53">
        <v>122</v>
      </c>
      <c r="F25" s="53">
        <v>125</v>
      </c>
      <c r="G25" s="53">
        <v>123</v>
      </c>
      <c r="H25" s="53">
        <v>124</v>
      </c>
      <c r="I25" s="53">
        <v>124</v>
      </c>
      <c r="J25" s="53">
        <v>123</v>
      </c>
      <c r="K25" s="53">
        <v>127</v>
      </c>
      <c r="L25" s="53">
        <v>125</v>
      </c>
      <c r="M25" s="53">
        <v>122</v>
      </c>
      <c r="N25" s="53">
        <v>123</v>
      </c>
      <c r="O25" s="53">
        <v>122</v>
      </c>
      <c r="P25" s="53"/>
      <c r="Q25" s="53">
        <v>122</v>
      </c>
      <c r="R25" s="53">
        <v>121</v>
      </c>
      <c r="S25" s="53">
        <v>124</v>
      </c>
      <c r="T25" s="53">
        <v>122</v>
      </c>
      <c r="U25" s="53"/>
      <c r="V25" s="53">
        <v>122</v>
      </c>
      <c r="W25" s="53">
        <v>123</v>
      </c>
      <c r="X25" s="53">
        <v>122</v>
      </c>
      <c r="Y25" s="53">
        <v>123</v>
      </c>
      <c r="Z25" s="53">
        <v>122</v>
      </c>
      <c r="AA25" s="53"/>
      <c r="AB25" s="53"/>
      <c r="AC25" s="53">
        <v>122</v>
      </c>
      <c r="AD25" s="53">
        <v>122</v>
      </c>
      <c r="AE25" s="53">
        <v>122</v>
      </c>
      <c r="AF25" s="53">
        <v>122</v>
      </c>
      <c r="AG25" s="53"/>
      <c r="AH25" s="53"/>
    </row>
    <row r="26" spans="1:34" x14ac:dyDescent="0.2">
      <c r="A26">
        <v>2003</v>
      </c>
      <c r="B26">
        <v>197</v>
      </c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>
        <v>126</v>
      </c>
      <c r="AH26" s="53"/>
    </row>
    <row r="27" spans="1:34" x14ac:dyDescent="0.2">
      <c r="A27">
        <v>2003</v>
      </c>
      <c r="B27">
        <v>199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>
        <v>132</v>
      </c>
      <c r="AB27" s="53">
        <v>123</v>
      </c>
      <c r="AC27" s="53"/>
      <c r="AD27" s="53"/>
      <c r="AE27" s="53"/>
      <c r="AF27" s="53"/>
      <c r="AG27" s="53"/>
      <c r="AH27" s="53">
        <v>125</v>
      </c>
    </row>
    <row r="28" spans="1:34" x14ac:dyDescent="0.2">
      <c r="A28">
        <v>2003</v>
      </c>
      <c r="B28">
        <v>204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>
        <v>124</v>
      </c>
      <c r="Q28" s="53"/>
      <c r="R28" s="53"/>
      <c r="S28" s="53"/>
      <c r="T28" s="53"/>
      <c r="U28" s="53">
        <v>123</v>
      </c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</row>
    <row r="29" spans="1:34" x14ac:dyDescent="0.2">
      <c r="A29">
        <v>2003</v>
      </c>
      <c r="B29">
        <v>206</v>
      </c>
      <c r="C29" s="53">
        <v>125</v>
      </c>
      <c r="D29" s="53">
        <v>125</v>
      </c>
      <c r="E29" s="53">
        <v>125</v>
      </c>
      <c r="F29" s="53">
        <v>128</v>
      </c>
      <c r="G29" s="53">
        <v>127</v>
      </c>
      <c r="H29" s="53">
        <v>127</v>
      </c>
      <c r="I29" s="53">
        <v>129</v>
      </c>
      <c r="J29" s="53">
        <v>125</v>
      </c>
      <c r="K29" s="53">
        <v>127</v>
      </c>
      <c r="L29" s="53">
        <v>129</v>
      </c>
      <c r="M29" s="53">
        <v>125</v>
      </c>
      <c r="N29" s="53">
        <v>127</v>
      </c>
      <c r="O29" s="53">
        <v>125</v>
      </c>
      <c r="P29" s="53"/>
      <c r="Q29" s="53">
        <v>128</v>
      </c>
      <c r="R29" s="53">
        <v>125</v>
      </c>
      <c r="S29" s="53">
        <v>126</v>
      </c>
      <c r="T29" s="53">
        <v>125</v>
      </c>
      <c r="U29" s="53"/>
      <c r="V29" s="53">
        <v>125</v>
      </c>
      <c r="W29" s="53">
        <v>127</v>
      </c>
      <c r="X29" s="53">
        <v>125</v>
      </c>
      <c r="Y29" s="53">
        <v>128</v>
      </c>
      <c r="Z29" s="53">
        <v>125</v>
      </c>
      <c r="AA29" s="53"/>
      <c r="AB29" s="53"/>
      <c r="AC29" s="53">
        <v>125</v>
      </c>
      <c r="AD29" s="53">
        <v>125</v>
      </c>
      <c r="AE29" s="53">
        <v>125</v>
      </c>
      <c r="AF29" s="53">
        <v>125</v>
      </c>
      <c r="AG29" s="53"/>
      <c r="AH29" s="53"/>
    </row>
    <row r="30" spans="1:34" x14ac:dyDescent="0.2">
      <c r="A30">
        <v>2003</v>
      </c>
      <c r="B30">
        <v>207</v>
      </c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>
        <v>123</v>
      </c>
      <c r="AH30" s="53"/>
    </row>
    <row r="31" spans="1:34" x14ac:dyDescent="0.2">
      <c r="A31">
        <v>2003</v>
      </c>
      <c r="B31">
        <v>210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>
        <v>124</v>
      </c>
      <c r="AB31" s="53">
        <v>123</v>
      </c>
      <c r="AC31" s="53"/>
      <c r="AD31" s="53"/>
      <c r="AE31" s="53"/>
      <c r="AF31" s="53"/>
      <c r="AG31" s="53"/>
      <c r="AH31" s="53">
        <v>125</v>
      </c>
    </row>
    <row r="32" spans="1:34" x14ac:dyDescent="0.2">
      <c r="A32">
        <v>2003</v>
      </c>
      <c r="B32">
        <v>216</v>
      </c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>
        <v>118</v>
      </c>
      <c r="Q32" s="53"/>
      <c r="R32" s="53"/>
      <c r="S32" s="53"/>
      <c r="T32" s="53"/>
      <c r="U32" s="53">
        <v>119</v>
      </c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</row>
    <row r="33" spans="1:34" x14ac:dyDescent="0.2">
      <c r="A33">
        <v>2003</v>
      </c>
      <c r="B33">
        <v>219</v>
      </c>
      <c r="C33" s="53">
        <v>120</v>
      </c>
      <c r="D33" s="53">
        <v>120</v>
      </c>
      <c r="E33" s="53">
        <v>120</v>
      </c>
      <c r="F33" s="53">
        <v>122</v>
      </c>
      <c r="G33" s="53">
        <v>138</v>
      </c>
      <c r="H33" s="53">
        <v>122</v>
      </c>
      <c r="I33" s="53">
        <v>122</v>
      </c>
      <c r="J33" s="53">
        <v>120</v>
      </c>
      <c r="K33" s="53">
        <v>124</v>
      </c>
      <c r="L33" s="53">
        <v>122</v>
      </c>
      <c r="M33" s="53">
        <v>120</v>
      </c>
      <c r="N33" s="53">
        <v>124</v>
      </c>
      <c r="O33" s="53">
        <v>120</v>
      </c>
      <c r="P33" s="53"/>
      <c r="Q33" s="53">
        <v>120</v>
      </c>
      <c r="R33" s="53">
        <v>120</v>
      </c>
      <c r="S33" s="53">
        <v>124</v>
      </c>
      <c r="T33" s="53">
        <v>120</v>
      </c>
      <c r="U33" s="53"/>
      <c r="V33" s="53">
        <v>120</v>
      </c>
      <c r="W33" s="53">
        <v>124</v>
      </c>
      <c r="X33" s="53">
        <v>120</v>
      </c>
      <c r="Y33" s="53">
        <v>125</v>
      </c>
      <c r="Z33" s="53">
        <v>120</v>
      </c>
      <c r="AA33" s="53"/>
      <c r="AB33" s="53"/>
      <c r="AC33" s="53">
        <v>120</v>
      </c>
      <c r="AD33" s="53">
        <v>120</v>
      </c>
      <c r="AE33" s="53">
        <v>120</v>
      </c>
      <c r="AF33" s="53">
        <v>120</v>
      </c>
      <c r="AG33" s="53"/>
      <c r="AH33" s="53"/>
    </row>
    <row r="34" spans="1:34" x14ac:dyDescent="0.2">
      <c r="A34">
        <v>2003</v>
      </c>
      <c r="B34">
        <v>220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>
        <v>125</v>
      </c>
      <c r="AH34" s="53"/>
    </row>
    <row r="35" spans="1:34" x14ac:dyDescent="0.2">
      <c r="A35">
        <v>2003</v>
      </c>
      <c r="B35">
        <v>223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>
        <v>130</v>
      </c>
      <c r="AB35" s="53">
        <v>126</v>
      </c>
      <c r="AC35" s="53"/>
      <c r="AD35" s="53"/>
      <c r="AE35" s="53"/>
      <c r="AF35" s="53"/>
      <c r="AG35" s="53"/>
      <c r="AH35" s="53">
        <v>129</v>
      </c>
    </row>
    <row r="36" spans="1:34" x14ac:dyDescent="0.2">
      <c r="A36">
        <v>2003</v>
      </c>
      <c r="B36">
        <v>227</v>
      </c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>
        <v>109</v>
      </c>
      <c r="Q36" s="53"/>
      <c r="R36" s="53"/>
      <c r="S36" s="53"/>
      <c r="T36" s="53"/>
      <c r="U36" s="53">
        <v>114</v>
      </c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</row>
    <row r="37" spans="1:34" x14ac:dyDescent="0.2">
      <c r="A37">
        <v>2003</v>
      </c>
      <c r="B37">
        <v>232</v>
      </c>
      <c r="C37" s="53">
        <v>107</v>
      </c>
      <c r="D37" s="53">
        <v>107</v>
      </c>
      <c r="E37" s="53">
        <v>107</v>
      </c>
      <c r="F37" s="53">
        <v>106</v>
      </c>
      <c r="G37" s="53">
        <v>109</v>
      </c>
      <c r="H37" s="53">
        <v>109</v>
      </c>
      <c r="I37" s="53">
        <v>110</v>
      </c>
      <c r="J37" s="53">
        <v>107</v>
      </c>
      <c r="K37" s="53">
        <v>109</v>
      </c>
      <c r="L37" s="53">
        <v>107</v>
      </c>
      <c r="M37" s="53">
        <v>107</v>
      </c>
      <c r="N37" s="53">
        <v>109</v>
      </c>
      <c r="O37" s="53">
        <v>107</v>
      </c>
      <c r="P37" s="53"/>
      <c r="Q37" s="53">
        <v>107</v>
      </c>
      <c r="R37" s="53">
        <v>107</v>
      </c>
      <c r="S37" s="53">
        <v>107</v>
      </c>
      <c r="T37" s="53">
        <v>107</v>
      </c>
      <c r="U37" s="53"/>
      <c r="V37" s="53">
        <v>107</v>
      </c>
      <c r="W37" s="53">
        <v>109</v>
      </c>
      <c r="X37" s="53">
        <v>107</v>
      </c>
      <c r="Y37" s="53">
        <v>108</v>
      </c>
      <c r="Z37" s="53">
        <v>107</v>
      </c>
      <c r="AA37" s="53"/>
      <c r="AB37" s="53"/>
      <c r="AC37" s="53">
        <v>107</v>
      </c>
      <c r="AD37" s="53">
        <v>107</v>
      </c>
      <c r="AE37" s="53">
        <v>107</v>
      </c>
      <c r="AF37" s="53">
        <v>107</v>
      </c>
      <c r="AG37" s="53"/>
      <c r="AH37" s="53"/>
    </row>
    <row r="38" spans="1:34" x14ac:dyDescent="0.2">
      <c r="A38">
        <v>2003</v>
      </c>
      <c r="B38">
        <v>235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>
        <v>108</v>
      </c>
      <c r="AH38" s="53"/>
    </row>
    <row r="39" spans="1:34" x14ac:dyDescent="0.2">
      <c r="A39">
        <v>2003</v>
      </c>
      <c r="B39">
        <v>237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>
        <v>80</v>
      </c>
      <c r="AB39" s="53">
        <v>85</v>
      </c>
      <c r="AC39" s="53"/>
      <c r="AD39" s="53"/>
      <c r="AE39" s="53"/>
      <c r="AF39" s="53"/>
      <c r="AG39" s="53"/>
      <c r="AH39" s="53">
        <v>85</v>
      </c>
    </row>
    <row r="40" spans="1:34" x14ac:dyDescent="0.2">
      <c r="A40">
        <v>2003</v>
      </c>
      <c r="B40">
        <v>240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>
        <v>60</v>
      </c>
      <c r="Q40" s="53"/>
      <c r="R40" s="53"/>
      <c r="S40" s="53"/>
      <c r="T40" s="53"/>
      <c r="U40" s="53">
        <v>60</v>
      </c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Irrigation</vt:lpstr>
      <vt:lpstr>Timeline</vt:lpstr>
      <vt:lpstr>IrrigationDF</vt:lpstr>
    </vt:vector>
  </TitlesOfParts>
  <Company>USDA-ARS-USWCL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Hunsaker</dc:creator>
  <cp:lastModifiedBy>Reviewer</cp:lastModifiedBy>
  <cp:lastPrinted>2003-07-18T13:57:04Z</cp:lastPrinted>
  <dcterms:created xsi:type="dcterms:W3CDTF">2002-03-22T17:35:23Z</dcterms:created>
  <dcterms:modified xsi:type="dcterms:W3CDTF">2024-12-21T00:03:35Z</dcterms:modified>
</cp:coreProperties>
</file>