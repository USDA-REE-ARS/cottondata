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defaultThemeVersion="202300"/>
  <mc:AlternateContent xmlns:mc="http://schemas.openxmlformats.org/markup-compatibility/2006">
    <mc:Choice Requires="x15">
      <x15ac:absPath xmlns:x15ac="http://schemas.microsoft.com/office/spreadsheetml/2010/11/ac" url="E:\mnt\Data1\USDA-ALARC\GIS\PDI project\cottondata\Data\2003_F105_CO_FISE\"/>
    </mc:Choice>
  </mc:AlternateContent>
  <xr:revisionPtr revIDLastSave="0" documentId="13_ncr:1_{915CB89A-F610-4279-BF86-3E6EA8CE4F25}" xr6:coauthVersionLast="47" xr6:coauthVersionMax="47" xr10:uidLastSave="{00000000-0000-0000-0000-000000000000}"/>
  <bookViews>
    <workbookView xWindow="-1485" yWindow="-26805" windowWidth="17820" windowHeight="26805" xr2:uid="{7A2D3CCE-9A94-4BB2-97AF-8C5C9F598322}"/>
  </bookViews>
  <sheets>
    <sheet name="Height" sheetId="1" r:id="rId1"/>
    <sheet name="Width" sheetId="3" r:id="rId2"/>
    <sheet name="DOY168" sheetId="2" r:id="rId3"/>
    <sheet name="DOY176" sheetId="5" r:id="rId4"/>
    <sheet name="DOY189" sheetId="6" r:id="rId5"/>
    <sheet name="DOY209" sheetId="7" r:id="rId6"/>
    <sheet name="DOY217" sheetId="8" r:id="rId7"/>
    <sheet name="DOY233" sheetId="9" r:id="rId8"/>
    <sheet name="DOY259" sheetId="10" r:id="rId9"/>
    <sheet name="DOY287" sheetId="11" r:id="rId10"/>
  </sheets>
  <definedNames>
    <definedName name="_xlnm.Print_Area" localSheetId="2">'DOY168'!$B$2:$Z$80</definedName>
    <definedName name="_xlnm.Print_Area" localSheetId="3">'DOY176'!$B$2:$Z$80</definedName>
    <definedName name="_xlnm.Print_Area" localSheetId="4">'DOY189'!$B$2:$Z$80</definedName>
    <definedName name="_xlnm.Print_Area" localSheetId="5">'DOY209'!$B$2:$Z$80</definedName>
    <definedName name="_xlnm.Print_Area" localSheetId="6">'DOY217'!$B$2:$Z$80</definedName>
    <definedName name="_xlnm.Print_Area" localSheetId="7">'DOY233'!$B$2:$Z$80</definedName>
    <definedName name="_xlnm.Print_Area" localSheetId="8">'DOY259'!$B$2:$Z$80</definedName>
    <definedName name="_xlnm.Print_Area" localSheetId="9">'DOY287'!$B$2:$Z$80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9" i="11" l="1"/>
  <c r="AB9" i="11"/>
  <c r="AC9" i="11"/>
  <c r="AA10" i="11"/>
  <c r="AB10" i="11"/>
  <c r="AC10" i="11"/>
  <c r="B11" i="11"/>
  <c r="AA11" i="11"/>
  <c r="AB11" i="11"/>
  <c r="AC11" i="11"/>
  <c r="B12" i="11"/>
  <c r="AA12" i="11"/>
  <c r="AB12" i="11"/>
  <c r="AC12" i="11"/>
  <c r="B13" i="11"/>
  <c r="B15" i="11" s="1"/>
  <c r="AA13" i="11"/>
  <c r="AB13" i="11"/>
  <c r="AC13" i="11"/>
  <c r="AA14" i="11"/>
  <c r="AB14" i="11"/>
  <c r="AC14" i="11"/>
  <c r="AA15" i="11"/>
  <c r="AB15" i="11"/>
  <c r="AC15" i="11"/>
  <c r="AA16" i="11"/>
  <c r="AB16" i="11"/>
  <c r="AC16" i="11"/>
  <c r="AA17" i="11"/>
  <c r="AB17" i="11"/>
  <c r="AC17" i="11"/>
  <c r="AA18" i="11"/>
  <c r="AB18" i="11"/>
  <c r="AC18" i="11"/>
  <c r="AA19" i="11"/>
  <c r="AB19" i="11"/>
  <c r="AC19" i="11"/>
  <c r="AA20" i="11"/>
  <c r="AB20" i="11"/>
  <c r="AC20" i="11"/>
  <c r="AA21" i="11"/>
  <c r="AB21" i="11"/>
  <c r="AC21" i="11"/>
  <c r="AA22" i="11"/>
  <c r="AB22" i="11"/>
  <c r="AC22" i="11"/>
  <c r="AA23" i="11"/>
  <c r="AB23" i="11"/>
  <c r="AC23" i="11"/>
  <c r="AA24" i="11"/>
  <c r="AB24" i="11"/>
  <c r="AC24" i="11"/>
  <c r="AA25" i="11"/>
  <c r="AB25" i="11"/>
  <c r="AC25" i="11"/>
  <c r="AA26" i="11"/>
  <c r="AB26" i="11"/>
  <c r="AC26" i="11"/>
  <c r="AA27" i="11"/>
  <c r="AB27" i="11"/>
  <c r="AC27" i="11"/>
  <c r="AA28" i="11"/>
  <c r="AB28" i="11"/>
  <c r="AC28" i="11"/>
  <c r="AA29" i="11"/>
  <c r="AB29" i="11"/>
  <c r="AC29" i="11"/>
  <c r="AA30" i="11"/>
  <c r="AB30" i="11"/>
  <c r="AC30" i="11"/>
  <c r="AA31" i="11"/>
  <c r="AB31" i="11"/>
  <c r="AC31" i="11"/>
  <c r="AA32" i="11"/>
  <c r="AB32" i="11"/>
  <c r="AC32" i="11"/>
  <c r="AA33" i="11"/>
  <c r="AB33" i="11"/>
  <c r="AC33" i="11"/>
  <c r="AA34" i="11"/>
  <c r="AB34" i="11"/>
  <c r="AC34" i="11"/>
  <c r="AA35" i="11"/>
  <c r="AB35" i="11"/>
  <c r="AC35" i="11"/>
  <c r="AA36" i="11"/>
  <c r="AB36" i="11"/>
  <c r="AC36" i="11"/>
  <c r="AA37" i="11"/>
  <c r="AB37" i="11"/>
  <c r="AC37" i="11"/>
  <c r="AA38" i="11"/>
  <c r="AB38" i="11"/>
  <c r="AC38" i="11"/>
  <c r="AA39" i="11"/>
  <c r="AB39" i="11"/>
  <c r="AC39" i="11"/>
  <c r="AA40" i="11"/>
  <c r="AB40" i="11"/>
  <c r="AC40" i="11"/>
  <c r="AA41" i="11"/>
  <c r="AB41" i="11"/>
  <c r="AC41" i="11"/>
  <c r="AA42" i="11"/>
  <c r="AB42" i="11"/>
  <c r="AC42" i="11"/>
  <c r="AA43" i="11"/>
  <c r="AB43" i="11"/>
  <c r="AC43" i="11"/>
  <c r="AA44" i="11"/>
  <c r="AB44" i="11"/>
  <c r="AC44" i="11"/>
  <c r="AA45" i="11"/>
  <c r="AB45" i="11"/>
  <c r="AC45" i="11"/>
  <c r="AA46" i="11"/>
  <c r="AB46" i="11"/>
  <c r="AC46" i="11"/>
  <c r="AA47" i="11"/>
  <c r="AB47" i="11"/>
  <c r="AC47" i="11"/>
  <c r="AA48" i="11"/>
  <c r="AB48" i="11"/>
  <c r="AC48" i="11"/>
  <c r="B49" i="11"/>
  <c r="AA49" i="11"/>
  <c r="AB49" i="11"/>
  <c r="AC49" i="11"/>
  <c r="B50" i="11"/>
  <c r="AA50" i="11"/>
  <c r="AB50" i="11"/>
  <c r="AC50" i="11"/>
  <c r="AA51" i="11"/>
  <c r="AB51" i="11"/>
  <c r="AC51" i="11"/>
  <c r="B52" i="11"/>
  <c r="AA52" i="11"/>
  <c r="AB52" i="11"/>
  <c r="AC52" i="11"/>
  <c r="AA53" i="11"/>
  <c r="AB53" i="11"/>
  <c r="AC53" i="11"/>
  <c r="AA54" i="11"/>
  <c r="AB54" i="11"/>
  <c r="AC54" i="11"/>
  <c r="AA55" i="11"/>
  <c r="AB55" i="11"/>
  <c r="AC55" i="11"/>
  <c r="AA56" i="11"/>
  <c r="AB56" i="11"/>
  <c r="AC56" i="11"/>
  <c r="AA57" i="11"/>
  <c r="AB57" i="11"/>
  <c r="AC57" i="11"/>
  <c r="AA58" i="11"/>
  <c r="AB58" i="11"/>
  <c r="AC58" i="11"/>
  <c r="AA59" i="11"/>
  <c r="AB59" i="11"/>
  <c r="AC59" i="11"/>
  <c r="AA60" i="11"/>
  <c r="AB60" i="11"/>
  <c r="AC60" i="11"/>
  <c r="AA61" i="11"/>
  <c r="AB61" i="11"/>
  <c r="AC61" i="11"/>
  <c r="AA62" i="11"/>
  <c r="AB62" i="11"/>
  <c r="AC62" i="11"/>
  <c r="AA63" i="11"/>
  <c r="AB63" i="11"/>
  <c r="AC63" i="11"/>
  <c r="AA64" i="11"/>
  <c r="AB64" i="11"/>
  <c r="AC64" i="11"/>
  <c r="AA65" i="11"/>
  <c r="AB65" i="11"/>
  <c r="AC65" i="11"/>
  <c r="AA66" i="11"/>
  <c r="AB66" i="11"/>
  <c r="AC66" i="11"/>
  <c r="AA67" i="11"/>
  <c r="AB67" i="11"/>
  <c r="AC67" i="11"/>
  <c r="AA68" i="11"/>
  <c r="AB68" i="11"/>
  <c r="AC68" i="11"/>
  <c r="AA69" i="11"/>
  <c r="AB69" i="11"/>
  <c r="AC69" i="11"/>
  <c r="AA70" i="11"/>
  <c r="AB70" i="11"/>
  <c r="AC70" i="11"/>
  <c r="AA71" i="11"/>
  <c r="AB71" i="11"/>
  <c r="AC71" i="11"/>
  <c r="AA72" i="11"/>
  <c r="AB72" i="11"/>
  <c r="AC72" i="11"/>
  <c r="AA73" i="11"/>
  <c r="AB73" i="11"/>
  <c r="AC73" i="11"/>
  <c r="AA74" i="11"/>
  <c r="AB74" i="11"/>
  <c r="AC74" i="11"/>
  <c r="AA75" i="11"/>
  <c r="AB75" i="11"/>
  <c r="AC75" i="11"/>
  <c r="AA76" i="11"/>
  <c r="AB76" i="11"/>
  <c r="AC76" i="11"/>
  <c r="AA77" i="11"/>
  <c r="AB77" i="11"/>
  <c r="AC77" i="11"/>
  <c r="AA78" i="11"/>
  <c r="AB78" i="11"/>
  <c r="AC78" i="11"/>
  <c r="AA79" i="11"/>
  <c r="AB79" i="11"/>
  <c r="AC79" i="11"/>
  <c r="AA80" i="11"/>
  <c r="AB80" i="11"/>
  <c r="AC80" i="11"/>
  <c r="AA9" i="10"/>
  <c r="AB9" i="10"/>
  <c r="AC9" i="10"/>
  <c r="AA10" i="10"/>
  <c r="AB10" i="10"/>
  <c r="AC10" i="10"/>
  <c r="B11" i="10"/>
  <c r="B13" i="10" s="1"/>
  <c r="AA11" i="10"/>
  <c r="AB11" i="10"/>
  <c r="AC11" i="10"/>
  <c r="B12" i="10"/>
  <c r="AA12" i="10"/>
  <c r="AB12" i="10"/>
  <c r="AC12" i="10"/>
  <c r="AA13" i="10"/>
  <c r="AB13" i="10"/>
  <c r="AC13" i="10"/>
  <c r="AA14" i="10"/>
  <c r="AB14" i="10"/>
  <c r="AC14" i="10"/>
  <c r="AA15" i="10"/>
  <c r="AB15" i="10"/>
  <c r="AC15" i="10"/>
  <c r="AA16" i="10"/>
  <c r="AB16" i="10"/>
  <c r="AC16" i="10"/>
  <c r="AA17" i="10"/>
  <c r="AB17" i="10"/>
  <c r="AC17" i="10"/>
  <c r="AA18" i="10"/>
  <c r="AB18" i="10"/>
  <c r="AC18" i="10"/>
  <c r="AA19" i="10"/>
  <c r="AB19" i="10"/>
  <c r="AC19" i="10"/>
  <c r="AA20" i="10"/>
  <c r="AB20" i="10"/>
  <c r="AC20" i="10"/>
  <c r="AA21" i="10"/>
  <c r="AB21" i="10"/>
  <c r="AC21" i="10"/>
  <c r="AA22" i="10"/>
  <c r="AB22" i="10"/>
  <c r="AC22" i="10"/>
  <c r="AA23" i="10"/>
  <c r="AB23" i="10"/>
  <c r="AC23" i="10"/>
  <c r="AA24" i="10"/>
  <c r="AB24" i="10"/>
  <c r="AC24" i="10"/>
  <c r="AA25" i="10"/>
  <c r="AB25" i="10"/>
  <c r="AC25" i="10"/>
  <c r="AA26" i="10"/>
  <c r="AB26" i="10"/>
  <c r="AC26" i="10"/>
  <c r="AA27" i="10"/>
  <c r="AB27" i="10"/>
  <c r="AC27" i="10"/>
  <c r="AA28" i="10"/>
  <c r="AB28" i="10"/>
  <c r="AC28" i="10"/>
  <c r="AA29" i="10"/>
  <c r="AB29" i="10"/>
  <c r="AC29" i="10"/>
  <c r="AA30" i="10"/>
  <c r="AB30" i="10"/>
  <c r="AC30" i="10"/>
  <c r="AA31" i="10"/>
  <c r="AB31" i="10"/>
  <c r="AC31" i="10"/>
  <c r="AA32" i="10"/>
  <c r="AB32" i="10"/>
  <c r="AC32" i="10"/>
  <c r="AA33" i="10"/>
  <c r="AB33" i="10"/>
  <c r="AC33" i="10"/>
  <c r="AA34" i="10"/>
  <c r="AB34" i="10"/>
  <c r="AC34" i="10"/>
  <c r="AA35" i="10"/>
  <c r="AB35" i="10"/>
  <c r="AC35" i="10"/>
  <c r="AA36" i="10"/>
  <c r="AB36" i="10"/>
  <c r="AC36" i="10"/>
  <c r="AA37" i="10"/>
  <c r="AB37" i="10"/>
  <c r="AC37" i="10"/>
  <c r="AA38" i="10"/>
  <c r="AB38" i="10"/>
  <c r="AC38" i="10"/>
  <c r="AA39" i="10"/>
  <c r="AB39" i="10"/>
  <c r="AC39" i="10"/>
  <c r="AA40" i="10"/>
  <c r="AB40" i="10"/>
  <c r="AC40" i="10"/>
  <c r="AA41" i="10"/>
  <c r="AB41" i="10"/>
  <c r="AC41" i="10"/>
  <c r="AA42" i="10"/>
  <c r="AB42" i="10"/>
  <c r="AC42" i="10"/>
  <c r="AA43" i="10"/>
  <c r="AB43" i="10"/>
  <c r="AC43" i="10"/>
  <c r="AA44" i="10"/>
  <c r="AB44" i="10"/>
  <c r="AC44" i="10"/>
  <c r="AA45" i="10"/>
  <c r="AB45" i="10"/>
  <c r="AC45" i="10"/>
  <c r="AA46" i="10"/>
  <c r="AB46" i="10"/>
  <c r="AC46" i="10"/>
  <c r="AA47" i="10"/>
  <c r="AB47" i="10"/>
  <c r="AC47" i="10"/>
  <c r="AA48" i="10"/>
  <c r="AB48" i="10"/>
  <c r="AC48" i="10"/>
  <c r="B49" i="10"/>
  <c r="AA49" i="10"/>
  <c r="AB49" i="10"/>
  <c r="AC49" i="10"/>
  <c r="B50" i="10"/>
  <c r="AA50" i="10"/>
  <c r="AB50" i="10"/>
  <c r="AC50" i="10"/>
  <c r="AA51" i="10"/>
  <c r="AB51" i="10"/>
  <c r="AC51" i="10"/>
  <c r="B52" i="10"/>
  <c r="B54" i="10" s="1"/>
  <c r="AA52" i="10"/>
  <c r="AB52" i="10"/>
  <c r="AC52" i="10"/>
  <c r="AA53" i="10"/>
  <c r="AB53" i="10"/>
  <c r="AC53" i="10"/>
  <c r="AA54" i="10"/>
  <c r="AB54" i="10"/>
  <c r="AC54" i="10"/>
  <c r="AA55" i="10"/>
  <c r="AB55" i="10"/>
  <c r="AC55" i="10"/>
  <c r="AA56" i="10"/>
  <c r="AB56" i="10"/>
  <c r="AC56" i="10"/>
  <c r="AA57" i="10"/>
  <c r="AB57" i="10"/>
  <c r="AC57" i="10"/>
  <c r="AA58" i="10"/>
  <c r="AB58" i="10"/>
  <c r="AC58" i="10"/>
  <c r="AA59" i="10"/>
  <c r="AB59" i="10"/>
  <c r="AC59" i="10"/>
  <c r="AA60" i="10"/>
  <c r="AB60" i="10"/>
  <c r="AC60" i="10"/>
  <c r="AA61" i="10"/>
  <c r="AB61" i="10"/>
  <c r="AC61" i="10"/>
  <c r="AA62" i="10"/>
  <c r="AB62" i="10"/>
  <c r="AC62" i="10"/>
  <c r="AA63" i="10"/>
  <c r="AB63" i="10"/>
  <c r="AC63" i="10"/>
  <c r="AA64" i="10"/>
  <c r="AB64" i="10"/>
  <c r="AC64" i="10"/>
  <c r="AA65" i="10"/>
  <c r="AB65" i="10"/>
  <c r="AC65" i="10"/>
  <c r="AA66" i="10"/>
  <c r="AB66" i="10"/>
  <c r="AC66" i="10"/>
  <c r="AA67" i="10"/>
  <c r="AB67" i="10"/>
  <c r="AC67" i="10"/>
  <c r="AA68" i="10"/>
  <c r="AB68" i="10"/>
  <c r="AC68" i="10"/>
  <c r="AA69" i="10"/>
  <c r="AB69" i="10"/>
  <c r="AC69" i="10"/>
  <c r="AA70" i="10"/>
  <c r="AB70" i="10"/>
  <c r="AC70" i="10"/>
  <c r="AA71" i="10"/>
  <c r="AB71" i="10"/>
  <c r="AC71" i="10"/>
  <c r="AA72" i="10"/>
  <c r="AB72" i="10"/>
  <c r="AC72" i="10"/>
  <c r="AA73" i="10"/>
  <c r="AB73" i="10"/>
  <c r="AC73" i="10"/>
  <c r="AA74" i="10"/>
  <c r="AB74" i="10"/>
  <c r="AC74" i="10"/>
  <c r="AA75" i="10"/>
  <c r="AB75" i="10"/>
  <c r="AC75" i="10"/>
  <c r="AA76" i="10"/>
  <c r="AB76" i="10"/>
  <c r="AC76" i="10"/>
  <c r="AA77" i="10"/>
  <c r="AB77" i="10"/>
  <c r="AC77" i="10"/>
  <c r="AA78" i="10"/>
  <c r="AB78" i="10"/>
  <c r="AC78" i="10"/>
  <c r="AA79" i="10"/>
  <c r="AB79" i="10"/>
  <c r="AC79" i="10"/>
  <c r="AA80" i="10"/>
  <c r="AB80" i="10"/>
  <c r="AC80" i="10"/>
  <c r="AA9" i="9"/>
  <c r="AB9" i="9"/>
  <c r="AC9" i="9"/>
  <c r="AA10" i="9"/>
  <c r="AB10" i="9"/>
  <c r="AC10" i="9"/>
  <c r="B11" i="9"/>
  <c r="B13" i="9" s="1"/>
  <c r="AA11" i="9"/>
  <c r="AB11" i="9"/>
  <c r="AC11" i="9"/>
  <c r="B12" i="9"/>
  <c r="AA12" i="9"/>
  <c r="AB12" i="9"/>
  <c r="AC12" i="9"/>
  <c r="AA13" i="9"/>
  <c r="AB13" i="9"/>
  <c r="AC13" i="9"/>
  <c r="AA14" i="9"/>
  <c r="AB14" i="9"/>
  <c r="AC14" i="9"/>
  <c r="AA15" i="9"/>
  <c r="AB15" i="9"/>
  <c r="AC15" i="9"/>
  <c r="AA16" i="9"/>
  <c r="AB16" i="9"/>
  <c r="AC16" i="9"/>
  <c r="AA17" i="9"/>
  <c r="AB17" i="9"/>
  <c r="AC17" i="9"/>
  <c r="AA18" i="9"/>
  <c r="AB18" i="9"/>
  <c r="AC18" i="9"/>
  <c r="AA19" i="9"/>
  <c r="AB19" i="9"/>
  <c r="AC19" i="9"/>
  <c r="AA20" i="9"/>
  <c r="AB20" i="9"/>
  <c r="AC20" i="9"/>
  <c r="AA21" i="9"/>
  <c r="AB21" i="9"/>
  <c r="AC21" i="9"/>
  <c r="AA22" i="9"/>
  <c r="AB22" i="9"/>
  <c r="AC22" i="9"/>
  <c r="AA23" i="9"/>
  <c r="AB23" i="9"/>
  <c r="AC23" i="9"/>
  <c r="AA24" i="9"/>
  <c r="AB24" i="9"/>
  <c r="AC24" i="9"/>
  <c r="AA25" i="9"/>
  <c r="AB25" i="9"/>
  <c r="AC25" i="9"/>
  <c r="AA26" i="9"/>
  <c r="AB26" i="9"/>
  <c r="AC26" i="9"/>
  <c r="AA27" i="9"/>
  <c r="AB27" i="9"/>
  <c r="AC27" i="9"/>
  <c r="AA28" i="9"/>
  <c r="AB28" i="9"/>
  <c r="AC28" i="9"/>
  <c r="AA29" i="9"/>
  <c r="AB29" i="9"/>
  <c r="AC29" i="9"/>
  <c r="AA30" i="9"/>
  <c r="AB30" i="9"/>
  <c r="AC30" i="9"/>
  <c r="AA31" i="9"/>
  <c r="AB31" i="9"/>
  <c r="AC31" i="9"/>
  <c r="AA32" i="9"/>
  <c r="AB32" i="9"/>
  <c r="AC32" i="9"/>
  <c r="AA33" i="9"/>
  <c r="AB33" i="9"/>
  <c r="AC33" i="9"/>
  <c r="AA34" i="9"/>
  <c r="AB34" i="9"/>
  <c r="AC34" i="9"/>
  <c r="AA35" i="9"/>
  <c r="AB35" i="9"/>
  <c r="AC35" i="9"/>
  <c r="AA36" i="9"/>
  <c r="AB36" i="9"/>
  <c r="AC36" i="9"/>
  <c r="AA37" i="9"/>
  <c r="AB37" i="9"/>
  <c r="AC37" i="9"/>
  <c r="AA38" i="9"/>
  <c r="AB38" i="9"/>
  <c r="AC38" i="9"/>
  <c r="AA39" i="9"/>
  <c r="AB39" i="9"/>
  <c r="AC39" i="9"/>
  <c r="AA40" i="9"/>
  <c r="AB40" i="9"/>
  <c r="AC40" i="9"/>
  <c r="AA41" i="9"/>
  <c r="AB41" i="9"/>
  <c r="AC41" i="9"/>
  <c r="AA42" i="9"/>
  <c r="AB42" i="9"/>
  <c r="AC42" i="9"/>
  <c r="AA43" i="9"/>
  <c r="AB43" i="9"/>
  <c r="AC43" i="9"/>
  <c r="AA44" i="9"/>
  <c r="AB44" i="9"/>
  <c r="AC44" i="9"/>
  <c r="AA45" i="9"/>
  <c r="AB45" i="9"/>
  <c r="AC45" i="9"/>
  <c r="AA46" i="9"/>
  <c r="AB46" i="9"/>
  <c r="AC46" i="9"/>
  <c r="AA47" i="9"/>
  <c r="AB47" i="9"/>
  <c r="AC47" i="9"/>
  <c r="AA48" i="9"/>
  <c r="AB48" i="9"/>
  <c r="AC48" i="9"/>
  <c r="B49" i="9"/>
  <c r="AA49" i="9"/>
  <c r="AB49" i="9"/>
  <c r="AC49" i="9"/>
  <c r="B50" i="9"/>
  <c r="AA50" i="9"/>
  <c r="AB50" i="9"/>
  <c r="AC50" i="9"/>
  <c r="B51" i="9"/>
  <c r="AA51" i="9"/>
  <c r="AB51" i="9"/>
  <c r="AC51" i="9"/>
  <c r="AA52" i="9"/>
  <c r="AB52" i="9"/>
  <c r="AC52" i="9"/>
  <c r="AA53" i="9"/>
  <c r="AB53" i="9"/>
  <c r="AC53" i="9"/>
  <c r="AA54" i="9"/>
  <c r="AB54" i="9"/>
  <c r="AC54" i="9"/>
  <c r="AA55" i="9"/>
  <c r="AB55" i="9"/>
  <c r="AC55" i="9"/>
  <c r="AA56" i="9"/>
  <c r="AB56" i="9"/>
  <c r="AC56" i="9"/>
  <c r="AA57" i="9"/>
  <c r="AB57" i="9"/>
  <c r="AC57" i="9"/>
  <c r="AA58" i="9"/>
  <c r="AB58" i="9"/>
  <c r="AC58" i="9"/>
  <c r="AA59" i="9"/>
  <c r="AB59" i="9"/>
  <c r="AC59" i="9"/>
  <c r="AA60" i="9"/>
  <c r="AB60" i="9"/>
  <c r="AC60" i="9"/>
  <c r="AA61" i="9"/>
  <c r="AB61" i="9"/>
  <c r="AC61" i="9"/>
  <c r="AA62" i="9"/>
  <c r="AB62" i="9"/>
  <c r="AC62" i="9"/>
  <c r="AA63" i="9"/>
  <c r="AB63" i="9"/>
  <c r="AC63" i="9"/>
  <c r="AA64" i="9"/>
  <c r="AB64" i="9"/>
  <c r="AC64" i="9"/>
  <c r="AA65" i="9"/>
  <c r="AB65" i="9"/>
  <c r="AC65" i="9"/>
  <c r="AA66" i="9"/>
  <c r="AB66" i="9"/>
  <c r="AC66" i="9"/>
  <c r="AA67" i="9"/>
  <c r="AB67" i="9"/>
  <c r="AC67" i="9"/>
  <c r="AA68" i="9"/>
  <c r="AB68" i="9"/>
  <c r="AC68" i="9"/>
  <c r="AA69" i="9"/>
  <c r="AB69" i="9"/>
  <c r="AC69" i="9"/>
  <c r="AA70" i="9"/>
  <c r="AB70" i="9"/>
  <c r="AC70" i="9"/>
  <c r="AA71" i="9"/>
  <c r="AB71" i="9"/>
  <c r="AC71" i="9"/>
  <c r="AA72" i="9"/>
  <c r="AB72" i="9"/>
  <c r="AC72" i="9"/>
  <c r="AA73" i="9"/>
  <c r="AB73" i="9"/>
  <c r="AC73" i="9"/>
  <c r="AA74" i="9"/>
  <c r="AB74" i="9"/>
  <c r="AC74" i="9"/>
  <c r="AA75" i="9"/>
  <c r="AB75" i="9"/>
  <c r="AC75" i="9"/>
  <c r="AA76" i="9"/>
  <c r="AB76" i="9"/>
  <c r="AC76" i="9"/>
  <c r="AA77" i="9"/>
  <c r="AB77" i="9"/>
  <c r="AC77" i="9"/>
  <c r="AA78" i="9"/>
  <c r="AB78" i="9"/>
  <c r="AC78" i="9"/>
  <c r="AA79" i="9"/>
  <c r="AB79" i="9"/>
  <c r="AC79" i="9"/>
  <c r="AA80" i="9"/>
  <c r="AB80" i="9"/>
  <c r="AC80" i="9"/>
  <c r="AA9" i="8"/>
  <c r="AB9" i="8"/>
  <c r="AC9" i="8"/>
  <c r="AA10" i="8"/>
  <c r="AB10" i="8"/>
  <c r="AC10" i="8"/>
  <c r="B11" i="8"/>
  <c r="AA11" i="8"/>
  <c r="AB11" i="8"/>
  <c r="AC11" i="8"/>
  <c r="B12" i="8"/>
  <c r="AA12" i="8"/>
  <c r="AB12" i="8"/>
  <c r="AC12" i="8"/>
  <c r="B13" i="8"/>
  <c r="AA13" i="8"/>
  <c r="AB13" i="8"/>
  <c r="AC13" i="8"/>
  <c r="AA14" i="8"/>
  <c r="AB14" i="8"/>
  <c r="AC14" i="8"/>
  <c r="B15" i="8"/>
  <c r="B17" i="8" s="1"/>
  <c r="AA15" i="8"/>
  <c r="AB15" i="8"/>
  <c r="AC15" i="8"/>
  <c r="AA16" i="8"/>
  <c r="AB16" i="8"/>
  <c r="AC16" i="8"/>
  <c r="AA17" i="8"/>
  <c r="AB17" i="8"/>
  <c r="AC17" i="8"/>
  <c r="AA18" i="8"/>
  <c r="AB18" i="8"/>
  <c r="AC18" i="8"/>
  <c r="AA19" i="8"/>
  <c r="AB19" i="8"/>
  <c r="AC19" i="8"/>
  <c r="AA20" i="8"/>
  <c r="AB20" i="8"/>
  <c r="AC20" i="8"/>
  <c r="AA21" i="8"/>
  <c r="AB21" i="8"/>
  <c r="AC21" i="8"/>
  <c r="AA22" i="8"/>
  <c r="AB22" i="8"/>
  <c r="AC22" i="8"/>
  <c r="AA23" i="8"/>
  <c r="AB23" i="8"/>
  <c r="AC23" i="8"/>
  <c r="AA24" i="8"/>
  <c r="AB24" i="8"/>
  <c r="AC24" i="8"/>
  <c r="AA25" i="8"/>
  <c r="AB25" i="8"/>
  <c r="AC25" i="8"/>
  <c r="AA26" i="8"/>
  <c r="AB26" i="8"/>
  <c r="AC26" i="8"/>
  <c r="AA27" i="8"/>
  <c r="AB27" i="8"/>
  <c r="AC27" i="8"/>
  <c r="AA28" i="8"/>
  <c r="AB28" i="8"/>
  <c r="AC28" i="8"/>
  <c r="AA29" i="8"/>
  <c r="AB29" i="8"/>
  <c r="AC29" i="8"/>
  <c r="AA30" i="8"/>
  <c r="AB30" i="8"/>
  <c r="AC30" i="8"/>
  <c r="AA31" i="8"/>
  <c r="AB31" i="8"/>
  <c r="AC31" i="8"/>
  <c r="AA32" i="8"/>
  <c r="AB32" i="8"/>
  <c r="AC32" i="8"/>
  <c r="AA33" i="8"/>
  <c r="AB33" i="8"/>
  <c r="AC33" i="8"/>
  <c r="AA34" i="8"/>
  <c r="AB34" i="8"/>
  <c r="AC34" i="8"/>
  <c r="AA35" i="8"/>
  <c r="AB35" i="8"/>
  <c r="AC35" i="8"/>
  <c r="AA36" i="8"/>
  <c r="AB36" i="8"/>
  <c r="AC36" i="8"/>
  <c r="AA37" i="8"/>
  <c r="AB37" i="8"/>
  <c r="AC37" i="8"/>
  <c r="AA38" i="8"/>
  <c r="AB38" i="8"/>
  <c r="AC38" i="8"/>
  <c r="AA39" i="8"/>
  <c r="AB39" i="8"/>
  <c r="AC39" i="8"/>
  <c r="AA40" i="8"/>
  <c r="AB40" i="8"/>
  <c r="AC40" i="8"/>
  <c r="AA41" i="8"/>
  <c r="AB41" i="8"/>
  <c r="AC41" i="8"/>
  <c r="AA42" i="8"/>
  <c r="AB42" i="8"/>
  <c r="AC42" i="8"/>
  <c r="AA43" i="8"/>
  <c r="AB43" i="8"/>
  <c r="AC43" i="8"/>
  <c r="AA44" i="8"/>
  <c r="AB44" i="8"/>
  <c r="AC44" i="8"/>
  <c r="AA45" i="8"/>
  <c r="AB45" i="8"/>
  <c r="AC45" i="8"/>
  <c r="AA46" i="8"/>
  <c r="AB46" i="8"/>
  <c r="AC46" i="8"/>
  <c r="AA47" i="8"/>
  <c r="AB47" i="8"/>
  <c r="AC47" i="8"/>
  <c r="AA48" i="8"/>
  <c r="AB48" i="8"/>
  <c r="AC48" i="8"/>
  <c r="B49" i="8"/>
  <c r="B51" i="8" s="1"/>
  <c r="AA49" i="8"/>
  <c r="AB49" i="8"/>
  <c r="AC49" i="8"/>
  <c r="B50" i="8"/>
  <c r="AA50" i="8"/>
  <c r="AB50" i="8"/>
  <c r="AC50" i="8"/>
  <c r="AA51" i="8"/>
  <c r="AB51" i="8"/>
  <c r="AC51" i="8"/>
  <c r="B52" i="8"/>
  <c r="B54" i="8" s="1"/>
  <c r="AA52" i="8"/>
  <c r="AB52" i="8"/>
  <c r="AC52" i="8"/>
  <c r="AA53" i="8"/>
  <c r="AB53" i="8"/>
  <c r="AC53" i="8"/>
  <c r="AA54" i="8"/>
  <c r="AB54" i="8"/>
  <c r="AC54" i="8"/>
  <c r="AA55" i="8"/>
  <c r="AB55" i="8"/>
  <c r="AC55" i="8"/>
  <c r="AA56" i="8"/>
  <c r="AB56" i="8"/>
  <c r="AC56" i="8"/>
  <c r="AA57" i="8"/>
  <c r="AB57" i="8"/>
  <c r="AC57" i="8"/>
  <c r="AA58" i="8"/>
  <c r="AB58" i="8"/>
  <c r="AC58" i="8"/>
  <c r="AA59" i="8"/>
  <c r="AB59" i="8"/>
  <c r="AC59" i="8"/>
  <c r="AA60" i="8"/>
  <c r="AB60" i="8"/>
  <c r="AC60" i="8"/>
  <c r="AA61" i="8"/>
  <c r="AB61" i="8"/>
  <c r="AC61" i="8"/>
  <c r="AA62" i="8"/>
  <c r="AB62" i="8"/>
  <c r="AC62" i="8"/>
  <c r="AA63" i="8"/>
  <c r="AB63" i="8"/>
  <c r="AC63" i="8"/>
  <c r="AA64" i="8"/>
  <c r="AB64" i="8"/>
  <c r="AC64" i="8"/>
  <c r="AA65" i="8"/>
  <c r="AB65" i="8"/>
  <c r="AC65" i="8"/>
  <c r="AA66" i="8"/>
  <c r="AB66" i="8"/>
  <c r="AC66" i="8"/>
  <c r="AA67" i="8"/>
  <c r="AB67" i="8"/>
  <c r="AC67" i="8"/>
  <c r="AA68" i="8"/>
  <c r="AB68" i="8"/>
  <c r="AC68" i="8"/>
  <c r="AA69" i="8"/>
  <c r="AB69" i="8"/>
  <c r="AC69" i="8"/>
  <c r="AA70" i="8"/>
  <c r="AB70" i="8"/>
  <c r="AC70" i="8"/>
  <c r="AA71" i="8"/>
  <c r="AB71" i="8"/>
  <c r="AC71" i="8"/>
  <c r="AA72" i="8"/>
  <c r="AB72" i="8"/>
  <c r="AC72" i="8"/>
  <c r="AA73" i="8"/>
  <c r="AB73" i="8"/>
  <c r="AC73" i="8"/>
  <c r="AA74" i="8"/>
  <c r="AB74" i="8"/>
  <c r="AC74" i="8"/>
  <c r="AA75" i="8"/>
  <c r="AB75" i="8"/>
  <c r="AC75" i="8"/>
  <c r="AA76" i="8"/>
  <c r="AB76" i="8"/>
  <c r="AC76" i="8"/>
  <c r="AA77" i="8"/>
  <c r="AB77" i="8"/>
  <c r="AC77" i="8"/>
  <c r="AA78" i="8"/>
  <c r="AB78" i="8"/>
  <c r="AC78" i="8"/>
  <c r="AA79" i="8"/>
  <c r="AB79" i="8"/>
  <c r="AC79" i="8"/>
  <c r="AA80" i="8"/>
  <c r="AB80" i="8"/>
  <c r="AC80" i="8"/>
  <c r="AA9" i="7"/>
  <c r="AB9" i="7"/>
  <c r="AC9" i="7"/>
  <c r="AA10" i="7"/>
  <c r="AB10" i="7"/>
  <c r="AC10" i="7"/>
  <c r="B11" i="7"/>
  <c r="B13" i="7" s="1"/>
  <c r="AA11" i="7"/>
  <c r="AB11" i="7"/>
  <c r="AC11" i="7"/>
  <c r="B12" i="7"/>
  <c r="AA12" i="7"/>
  <c r="AB12" i="7"/>
  <c r="AC12" i="7"/>
  <c r="AA13" i="7"/>
  <c r="AB13" i="7"/>
  <c r="AC13" i="7"/>
  <c r="AA14" i="7"/>
  <c r="AB14" i="7"/>
  <c r="AC14" i="7"/>
  <c r="AA15" i="7"/>
  <c r="AB15" i="7"/>
  <c r="AC15" i="7"/>
  <c r="AA16" i="7"/>
  <c r="AB16" i="7"/>
  <c r="AC16" i="7"/>
  <c r="AA17" i="7"/>
  <c r="AB17" i="7"/>
  <c r="AC17" i="7"/>
  <c r="AA18" i="7"/>
  <c r="AB18" i="7"/>
  <c r="AC18" i="7"/>
  <c r="AA19" i="7"/>
  <c r="AB19" i="7"/>
  <c r="AC19" i="7"/>
  <c r="AA20" i="7"/>
  <c r="AB20" i="7"/>
  <c r="AC20" i="7"/>
  <c r="AA21" i="7"/>
  <c r="AB21" i="7"/>
  <c r="AC21" i="7"/>
  <c r="AA22" i="7"/>
  <c r="AB22" i="7"/>
  <c r="AC22" i="7"/>
  <c r="AA23" i="7"/>
  <c r="AB23" i="7"/>
  <c r="AC23" i="7"/>
  <c r="AA24" i="7"/>
  <c r="AB24" i="7"/>
  <c r="AC24" i="7"/>
  <c r="AA25" i="7"/>
  <c r="AB25" i="7"/>
  <c r="AC25" i="7"/>
  <c r="AA26" i="7"/>
  <c r="AB26" i="7"/>
  <c r="AC26" i="7"/>
  <c r="AA27" i="7"/>
  <c r="AB27" i="7"/>
  <c r="AC27" i="7"/>
  <c r="AA28" i="7"/>
  <c r="AB28" i="7"/>
  <c r="AC28" i="7"/>
  <c r="AA29" i="7"/>
  <c r="AB29" i="7"/>
  <c r="AC29" i="7"/>
  <c r="AA30" i="7"/>
  <c r="AB30" i="7"/>
  <c r="AC30" i="7"/>
  <c r="AA31" i="7"/>
  <c r="AB31" i="7"/>
  <c r="AC31" i="7"/>
  <c r="AA32" i="7"/>
  <c r="AB32" i="7"/>
  <c r="AC32" i="7"/>
  <c r="AA33" i="7"/>
  <c r="AB33" i="7"/>
  <c r="AC33" i="7"/>
  <c r="AA34" i="7"/>
  <c r="AB34" i="7"/>
  <c r="AC34" i="7"/>
  <c r="AA35" i="7"/>
  <c r="AB35" i="7"/>
  <c r="AC35" i="7"/>
  <c r="AA36" i="7"/>
  <c r="AB36" i="7"/>
  <c r="AC36" i="7"/>
  <c r="AA37" i="7"/>
  <c r="AB37" i="7"/>
  <c r="AC37" i="7"/>
  <c r="AA38" i="7"/>
  <c r="AB38" i="7"/>
  <c r="AC38" i="7"/>
  <c r="AA39" i="7"/>
  <c r="AB39" i="7"/>
  <c r="AC39" i="7"/>
  <c r="AA40" i="7"/>
  <c r="AB40" i="7"/>
  <c r="AC40" i="7"/>
  <c r="AA41" i="7"/>
  <c r="AB41" i="7"/>
  <c r="AC41" i="7"/>
  <c r="AA42" i="7"/>
  <c r="AB42" i="7"/>
  <c r="AC42" i="7"/>
  <c r="AA43" i="7"/>
  <c r="AB43" i="7"/>
  <c r="AC43" i="7"/>
  <c r="AA44" i="7"/>
  <c r="AB44" i="7"/>
  <c r="AC44" i="7"/>
  <c r="AA45" i="7"/>
  <c r="AB45" i="7"/>
  <c r="AC45" i="7"/>
  <c r="AA46" i="7"/>
  <c r="AB46" i="7"/>
  <c r="AC46" i="7"/>
  <c r="AA47" i="7"/>
  <c r="AB47" i="7"/>
  <c r="AC47" i="7"/>
  <c r="AA48" i="7"/>
  <c r="AB48" i="7"/>
  <c r="AC48" i="7"/>
  <c r="B49" i="7"/>
  <c r="AA49" i="7"/>
  <c r="AB49" i="7"/>
  <c r="AC49" i="7"/>
  <c r="B50" i="7"/>
  <c r="AA50" i="7"/>
  <c r="AB50" i="7"/>
  <c r="AC50" i="7"/>
  <c r="AA51" i="7"/>
  <c r="AB51" i="7"/>
  <c r="AC51" i="7"/>
  <c r="B52" i="7"/>
  <c r="B54" i="7" s="1"/>
  <c r="AA52" i="7"/>
  <c r="AB52" i="7"/>
  <c r="AC52" i="7"/>
  <c r="AA53" i="7"/>
  <c r="AB53" i="7"/>
  <c r="AC53" i="7"/>
  <c r="AA54" i="7"/>
  <c r="AB54" i="7"/>
  <c r="AC54" i="7"/>
  <c r="AA55" i="7"/>
  <c r="AB55" i="7"/>
  <c r="AC55" i="7"/>
  <c r="AA56" i="7"/>
  <c r="AB56" i="7"/>
  <c r="AC56" i="7"/>
  <c r="AA57" i="7"/>
  <c r="AB57" i="7"/>
  <c r="AC57" i="7"/>
  <c r="AA58" i="7"/>
  <c r="AB58" i="7"/>
  <c r="AC58" i="7"/>
  <c r="AA59" i="7"/>
  <c r="AB59" i="7"/>
  <c r="AC59" i="7"/>
  <c r="AA60" i="7"/>
  <c r="AB60" i="7"/>
  <c r="AC60" i="7"/>
  <c r="AA61" i="7"/>
  <c r="AB61" i="7"/>
  <c r="AC61" i="7"/>
  <c r="AA62" i="7"/>
  <c r="AB62" i="7"/>
  <c r="AC62" i="7"/>
  <c r="AA63" i="7"/>
  <c r="AB63" i="7"/>
  <c r="AC63" i="7"/>
  <c r="AA64" i="7"/>
  <c r="AB64" i="7"/>
  <c r="AC64" i="7"/>
  <c r="AA65" i="7"/>
  <c r="AB65" i="7"/>
  <c r="AC65" i="7"/>
  <c r="AA66" i="7"/>
  <c r="AB66" i="7"/>
  <c r="AC66" i="7"/>
  <c r="AA67" i="7"/>
  <c r="AB67" i="7"/>
  <c r="AC67" i="7"/>
  <c r="AA68" i="7"/>
  <c r="AB68" i="7"/>
  <c r="AC68" i="7"/>
  <c r="AA69" i="7"/>
  <c r="AB69" i="7"/>
  <c r="AC69" i="7"/>
  <c r="AA70" i="7"/>
  <c r="AB70" i="7"/>
  <c r="AC70" i="7"/>
  <c r="AA71" i="7"/>
  <c r="AB71" i="7"/>
  <c r="AC71" i="7"/>
  <c r="AA72" i="7"/>
  <c r="AB72" i="7"/>
  <c r="AC72" i="7"/>
  <c r="AA73" i="7"/>
  <c r="AB73" i="7"/>
  <c r="AC73" i="7"/>
  <c r="AA74" i="7"/>
  <c r="AB74" i="7"/>
  <c r="AC74" i="7"/>
  <c r="AA75" i="7"/>
  <c r="AB75" i="7"/>
  <c r="AC75" i="7"/>
  <c r="AA76" i="7"/>
  <c r="AB76" i="7"/>
  <c r="AC76" i="7"/>
  <c r="AA77" i="7"/>
  <c r="AB77" i="7"/>
  <c r="AC77" i="7"/>
  <c r="AA78" i="7"/>
  <c r="AB78" i="7"/>
  <c r="AC78" i="7"/>
  <c r="AA79" i="7"/>
  <c r="AB79" i="7"/>
  <c r="AC79" i="7"/>
  <c r="AA80" i="7"/>
  <c r="AB80" i="7"/>
  <c r="AC80" i="7"/>
  <c r="AA9" i="6"/>
  <c r="AB9" i="6"/>
  <c r="AC9" i="6"/>
  <c r="AA10" i="6"/>
  <c r="AB10" i="6"/>
  <c r="AC10" i="6"/>
  <c r="B11" i="6"/>
  <c r="B13" i="6" s="1"/>
  <c r="AA11" i="6"/>
  <c r="AB11" i="6"/>
  <c r="AC11" i="6"/>
  <c r="B12" i="6"/>
  <c r="AA12" i="6"/>
  <c r="AB12" i="6"/>
  <c r="AC12" i="6"/>
  <c r="AA13" i="6"/>
  <c r="AB13" i="6"/>
  <c r="AC13" i="6"/>
  <c r="AA14" i="6"/>
  <c r="AB14" i="6"/>
  <c r="AC14" i="6"/>
  <c r="AA15" i="6"/>
  <c r="AB15" i="6"/>
  <c r="AC15" i="6"/>
  <c r="AA16" i="6"/>
  <c r="AB16" i="6"/>
  <c r="AC16" i="6"/>
  <c r="AA17" i="6"/>
  <c r="AB17" i="6"/>
  <c r="AC17" i="6"/>
  <c r="AA18" i="6"/>
  <c r="AB18" i="6"/>
  <c r="AC18" i="6"/>
  <c r="AA19" i="6"/>
  <c r="AB19" i="6"/>
  <c r="AC19" i="6"/>
  <c r="AA20" i="6"/>
  <c r="AB20" i="6"/>
  <c r="AC20" i="6"/>
  <c r="AA21" i="6"/>
  <c r="AB21" i="6"/>
  <c r="AC21" i="6"/>
  <c r="AA22" i="6"/>
  <c r="AB22" i="6"/>
  <c r="AC22" i="6"/>
  <c r="AA23" i="6"/>
  <c r="AB23" i="6"/>
  <c r="AC23" i="6"/>
  <c r="AA24" i="6"/>
  <c r="AB24" i="6"/>
  <c r="AC24" i="6"/>
  <c r="AA25" i="6"/>
  <c r="AB25" i="6"/>
  <c r="AC25" i="6"/>
  <c r="AA26" i="6"/>
  <c r="AB26" i="6"/>
  <c r="AC26" i="6"/>
  <c r="AA27" i="6"/>
  <c r="AB27" i="6"/>
  <c r="AC27" i="6"/>
  <c r="AA28" i="6"/>
  <c r="AB28" i="6"/>
  <c r="AC28" i="6"/>
  <c r="AA29" i="6"/>
  <c r="AB29" i="6"/>
  <c r="AC29" i="6"/>
  <c r="AA30" i="6"/>
  <c r="AB30" i="6"/>
  <c r="AC30" i="6"/>
  <c r="AA31" i="6"/>
  <c r="AB31" i="6"/>
  <c r="AC31" i="6"/>
  <c r="AA32" i="6"/>
  <c r="AB32" i="6"/>
  <c r="AC32" i="6"/>
  <c r="AA33" i="6"/>
  <c r="AB33" i="6"/>
  <c r="AC33" i="6"/>
  <c r="AA34" i="6"/>
  <c r="AB34" i="6"/>
  <c r="AC34" i="6"/>
  <c r="AA35" i="6"/>
  <c r="AB35" i="6"/>
  <c r="AC35" i="6"/>
  <c r="AA36" i="6"/>
  <c r="AB36" i="6"/>
  <c r="AC36" i="6"/>
  <c r="AA37" i="6"/>
  <c r="AB37" i="6"/>
  <c r="AC37" i="6"/>
  <c r="AA38" i="6"/>
  <c r="AB38" i="6"/>
  <c r="AC38" i="6"/>
  <c r="AA39" i="6"/>
  <c r="AB39" i="6"/>
  <c r="AC39" i="6"/>
  <c r="AA40" i="6"/>
  <c r="AB40" i="6"/>
  <c r="AC40" i="6"/>
  <c r="AA41" i="6"/>
  <c r="AB41" i="6"/>
  <c r="AC41" i="6"/>
  <c r="AA42" i="6"/>
  <c r="AB42" i="6"/>
  <c r="AC42" i="6"/>
  <c r="AA43" i="6"/>
  <c r="AB43" i="6"/>
  <c r="AC43" i="6"/>
  <c r="AA44" i="6"/>
  <c r="AB44" i="6"/>
  <c r="AC44" i="6"/>
  <c r="AA45" i="6"/>
  <c r="AB45" i="6"/>
  <c r="AC45" i="6"/>
  <c r="AA46" i="6"/>
  <c r="AB46" i="6"/>
  <c r="AC46" i="6"/>
  <c r="AA47" i="6"/>
  <c r="AB47" i="6"/>
  <c r="AC47" i="6"/>
  <c r="AA48" i="6"/>
  <c r="AB48" i="6"/>
  <c r="AC48" i="6"/>
  <c r="B49" i="6"/>
  <c r="B51" i="6" s="1"/>
  <c r="AA49" i="6"/>
  <c r="AB49" i="6"/>
  <c r="AC49" i="6"/>
  <c r="B50" i="6"/>
  <c r="AA50" i="6"/>
  <c r="AB50" i="6"/>
  <c r="AC50" i="6"/>
  <c r="AA51" i="6"/>
  <c r="AB51" i="6"/>
  <c r="AC51" i="6"/>
  <c r="B52" i="6"/>
  <c r="AA52" i="6"/>
  <c r="AB52" i="6"/>
  <c r="AC52" i="6"/>
  <c r="B53" i="6"/>
  <c r="AA53" i="6"/>
  <c r="AB53" i="6"/>
  <c r="AC53" i="6"/>
  <c r="AA54" i="6"/>
  <c r="AB54" i="6"/>
  <c r="AC54" i="6"/>
  <c r="B55" i="6"/>
  <c r="B57" i="6" s="1"/>
  <c r="AA55" i="6"/>
  <c r="AB55" i="6"/>
  <c r="AC55" i="6"/>
  <c r="AA56" i="6"/>
  <c r="AB56" i="6"/>
  <c r="AC56" i="6"/>
  <c r="AA57" i="6"/>
  <c r="AB57" i="6"/>
  <c r="AC57" i="6"/>
  <c r="AA58" i="6"/>
  <c r="AB58" i="6"/>
  <c r="AC58" i="6"/>
  <c r="B59" i="6"/>
  <c r="AA59" i="6"/>
  <c r="AB59" i="6"/>
  <c r="AC59" i="6"/>
  <c r="AA60" i="6"/>
  <c r="AB60" i="6"/>
  <c r="AC60" i="6"/>
  <c r="AA61" i="6"/>
  <c r="AB61" i="6"/>
  <c r="AC61" i="6"/>
  <c r="AA62" i="6"/>
  <c r="AB62" i="6"/>
  <c r="AC62" i="6"/>
  <c r="AA63" i="6"/>
  <c r="AB63" i="6"/>
  <c r="AC63" i="6"/>
  <c r="AA64" i="6"/>
  <c r="AB64" i="6"/>
  <c r="AC64" i="6"/>
  <c r="AA65" i="6"/>
  <c r="AB65" i="6"/>
  <c r="AC65" i="6"/>
  <c r="AA66" i="6"/>
  <c r="AB66" i="6"/>
  <c r="AC66" i="6"/>
  <c r="AA67" i="6"/>
  <c r="AB67" i="6"/>
  <c r="AC67" i="6"/>
  <c r="AA68" i="6"/>
  <c r="AB68" i="6"/>
  <c r="AC68" i="6"/>
  <c r="AA69" i="6"/>
  <c r="AB69" i="6"/>
  <c r="AC69" i="6"/>
  <c r="AA70" i="6"/>
  <c r="AB70" i="6"/>
  <c r="AC70" i="6"/>
  <c r="AA71" i="6"/>
  <c r="AB71" i="6"/>
  <c r="AC71" i="6"/>
  <c r="AA72" i="6"/>
  <c r="AB72" i="6"/>
  <c r="AC72" i="6"/>
  <c r="AA73" i="6"/>
  <c r="AB73" i="6"/>
  <c r="AC73" i="6"/>
  <c r="AA74" i="6"/>
  <c r="AB74" i="6"/>
  <c r="AC74" i="6"/>
  <c r="AA75" i="6"/>
  <c r="AB75" i="6"/>
  <c r="AC75" i="6"/>
  <c r="AA76" i="6"/>
  <c r="AB76" i="6"/>
  <c r="AC76" i="6"/>
  <c r="AA77" i="6"/>
  <c r="AB77" i="6"/>
  <c r="AC77" i="6"/>
  <c r="AA78" i="6"/>
  <c r="AB78" i="6"/>
  <c r="AC78" i="6"/>
  <c r="AA79" i="6"/>
  <c r="AB79" i="6"/>
  <c r="AC79" i="6"/>
  <c r="AA80" i="6"/>
  <c r="AB80" i="6"/>
  <c r="AC80" i="6"/>
  <c r="AA9" i="5"/>
  <c r="AB9" i="5"/>
  <c r="AC9" i="5"/>
  <c r="AA10" i="5"/>
  <c r="AB10" i="5"/>
  <c r="AC10" i="5"/>
  <c r="B11" i="5"/>
  <c r="AA11" i="5"/>
  <c r="AB11" i="5"/>
  <c r="AC11" i="5"/>
  <c r="B12" i="5"/>
  <c r="AA12" i="5"/>
  <c r="AB12" i="5"/>
  <c r="AC12" i="5"/>
  <c r="B13" i="5"/>
  <c r="B15" i="5" s="1"/>
  <c r="AA13" i="5"/>
  <c r="AB13" i="5"/>
  <c r="AC13" i="5"/>
  <c r="AA14" i="5"/>
  <c r="AB14" i="5"/>
  <c r="AC14" i="5"/>
  <c r="AA15" i="5"/>
  <c r="AB15" i="5"/>
  <c r="AC15" i="5"/>
  <c r="AA16" i="5"/>
  <c r="AB16" i="5"/>
  <c r="AC16" i="5"/>
  <c r="AA17" i="5"/>
  <c r="AB17" i="5"/>
  <c r="AC17" i="5"/>
  <c r="AA18" i="5"/>
  <c r="AB18" i="5"/>
  <c r="AC18" i="5"/>
  <c r="AA19" i="5"/>
  <c r="AB19" i="5"/>
  <c r="AC19" i="5"/>
  <c r="AA20" i="5"/>
  <c r="AB20" i="5"/>
  <c r="AC20" i="5"/>
  <c r="AA21" i="5"/>
  <c r="AB21" i="5"/>
  <c r="AC21" i="5"/>
  <c r="AA22" i="5"/>
  <c r="AB22" i="5"/>
  <c r="AC22" i="5"/>
  <c r="AA23" i="5"/>
  <c r="AB23" i="5"/>
  <c r="AC23" i="5"/>
  <c r="AA24" i="5"/>
  <c r="AB24" i="5"/>
  <c r="AC24" i="5"/>
  <c r="AA25" i="5"/>
  <c r="AB25" i="5"/>
  <c r="AC25" i="5"/>
  <c r="AA26" i="5"/>
  <c r="AB26" i="5"/>
  <c r="AC26" i="5"/>
  <c r="AA27" i="5"/>
  <c r="AB27" i="5"/>
  <c r="AC27" i="5"/>
  <c r="AA28" i="5"/>
  <c r="AB28" i="5"/>
  <c r="AC28" i="5"/>
  <c r="AA29" i="5"/>
  <c r="AB29" i="5"/>
  <c r="AC29" i="5"/>
  <c r="AA30" i="5"/>
  <c r="AB30" i="5"/>
  <c r="AC30" i="5"/>
  <c r="AA31" i="5"/>
  <c r="AB31" i="5"/>
  <c r="AC31" i="5"/>
  <c r="AA32" i="5"/>
  <c r="AB32" i="5"/>
  <c r="AC32" i="5"/>
  <c r="AA33" i="5"/>
  <c r="AB33" i="5"/>
  <c r="AC33" i="5"/>
  <c r="AA34" i="5"/>
  <c r="AB34" i="5"/>
  <c r="AC34" i="5"/>
  <c r="AA35" i="5"/>
  <c r="AB35" i="5"/>
  <c r="AC35" i="5"/>
  <c r="AA36" i="5"/>
  <c r="AB36" i="5"/>
  <c r="AC36" i="5"/>
  <c r="AA37" i="5"/>
  <c r="AB37" i="5"/>
  <c r="AC37" i="5"/>
  <c r="AA38" i="5"/>
  <c r="AB38" i="5"/>
  <c r="AC38" i="5"/>
  <c r="AA39" i="5"/>
  <c r="AB39" i="5"/>
  <c r="AC39" i="5"/>
  <c r="AA40" i="5"/>
  <c r="AB40" i="5"/>
  <c r="AC40" i="5"/>
  <c r="AA41" i="5"/>
  <c r="AB41" i="5"/>
  <c r="AC41" i="5"/>
  <c r="AA42" i="5"/>
  <c r="AB42" i="5"/>
  <c r="AC42" i="5"/>
  <c r="AA43" i="5"/>
  <c r="AB43" i="5"/>
  <c r="AC43" i="5"/>
  <c r="AA44" i="5"/>
  <c r="AB44" i="5"/>
  <c r="AC44" i="5"/>
  <c r="AA45" i="5"/>
  <c r="AB45" i="5"/>
  <c r="AC45" i="5"/>
  <c r="AA46" i="5"/>
  <c r="AB46" i="5"/>
  <c r="AC46" i="5"/>
  <c r="AA47" i="5"/>
  <c r="AB47" i="5"/>
  <c r="AC47" i="5"/>
  <c r="AA48" i="5"/>
  <c r="AB48" i="5"/>
  <c r="AC48" i="5"/>
  <c r="B49" i="5"/>
  <c r="B51" i="5" s="1"/>
  <c r="AA49" i="5"/>
  <c r="AB49" i="5"/>
  <c r="AC49" i="5"/>
  <c r="B50" i="5"/>
  <c r="AA50" i="5"/>
  <c r="AB50" i="5"/>
  <c r="AC50" i="5"/>
  <c r="AA51" i="5"/>
  <c r="AB51" i="5"/>
  <c r="AC51" i="5"/>
  <c r="AA52" i="5"/>
  <c r="AB52" i="5"/>
  <c r="AC52" i="5"/>
  <c r="B53" i="5"/>
  <c r="AA53" i="5"/>
  <c r="AB53" i="5"/>
  <c r="AC53" i="5"/>
  <c r="AA54" i="5"/>
  <c r="AB54" i="5"/>
  <c r="AC54" i="5"/>
  <c r="B55" i="5"/>
  <c r="AA55" i="5"/>
  <c r="AB55" i="5"/>
  <c r="AC55" i="5"/>
  <c r="AA56" i="5"/>
  <c r="AB56" i="5"/>
  <c r="AC56" i="5"/>
  <c r="AA57" i="5"/>
  <c r="AB57" i="5"/>
  <c r="AC57" i="5"/>
  <c r="AA58" i="5"/>
  <c r="AB58" i="5"/>
  <c r="AC58" i="5"/>
  <c r="AA59" i="5"/>
  <c r="AB59" i="5"/>
  <c r="AC59" i="5"/>
  <c r="AA60" i="5"/>
  <c r="AB60" i="5"/>
  <c r="AC60" i="5"/>
  <c r="AA61" i="5"/>
  <c r="AB61" i="5"/>
  <c r="AC61" i="5"/>
  <c r="AA62" i="5"/>
  <c r="AB62" i="5"/>
  <c r="AC62" i="5"/>
  <c r="AA63" i="5"/>
  <c r="AB63" i="5"/>
  <c r="AC63" i="5"/>
  <c r="AA64" i="5"/>
  <c r="AB64" i="5"/>
  <c r="AC64" i="5"/>
  <c r="AA65" i="5"/>
  <c r="AB65" i="5"/>
  <c r="AC65" i="5"/>
  <c r="AA66" i="5"/>
  <c r="AB66" i="5"/>
  <c r="AC66" i="5"/>
  <c r="AA67" i="5"/>
  <c r="AB67" i="5"/>
  <c r="AC67" i="5"/>
  <c r="AA68" i="5"/>
  <c r="AB68" i="5"/>
  <c r="AC68" i="5"/>
  <c r="AA69" i="5"/>
  <c r="AB69" i="5"/>
  <c r="AC69" i="5"/>
  <c r="AA70" i="5"/>
  <c r="AB70" i="5"/>
  <c r="AC70" i="5"/>
  <c r="AA71" i="5"/>
  <c r="AB71" i="5"/>
  <c r="AC71" i="5"/>
  <c r="AA72" i="5"/>
  <c r="AB72" i="5"/>
  <c r="AC72" i="5"/>
  <c r="AA73" i="5"/>
  <c r="AB73" i="5"/>
  <c r="AC73" i="5"/>
  <c r="AA74" i="5"/>
  <c r="AB74" i="5"/>
  <c r="AC74" i="5"/>
  <c r="AA75" i="5"/>
  <c r="AB75" i="5"/>
  <c r="AC75" i="5"/>
  <c r="AA76" i="5"/>
  <c r="AB76" i="5"/>
  <c r="AC76" i="5"/>
  <c r="AA77" i="5"/>
  <c r="AB77" i="5"/>
  <c r="AC77" i="5"/>
  <c r="AA78" i="5"/>
  <c r="AB78" i="5"/>
  <c r="AC78" i="5"/>
  <c r="AA79" i="5"/>
  <c r="AB79" i="5"/>
  <c r="AC79" i="5"/>
  <c r="AA80" i="5"/>
  <c r="AB80" i="5"/>
  <c r="AC80" i="5"/>
  <c r="AA9" i="2"/>
  <c r="AB9" i="2"/>
  <c r="AC9" i="2"/>
  <c r="AA10" i="2"/>
  <c r="AB10" i="2"/>
  <c r="AC10" i="2"/>
  <c r="B11" i="2"/>
  <c r="B13" i="2" s="1"/>
  <c r="AA11" i="2"/>
  <c r="AB11" i="2"/>
  <c r="AC11" i="2"/>
  <c r="B12" i="2"/>
  <c r="AA12" i="2"/>
  <c r="AB12" i="2"/>
  <c r="AC12" i="2"/>
  <c r="AA13" i="2"/>
  <c r="AB13" i="2"/>
  <c r="AC13" i="2"/>
  <c r="AA14" i="2"/>
  <c r="AB14" i="2"/>
  <c r="AC14" i="2"/>
  <c r="AA15" i="2"/>
  <c r="AB15" i="2"/>
  <c r="AC15" i="2"/>
  <c r="AA16" i="2"/>
  <c r="AB16" i="2"/>
  <c r="AC16" i="2"/>
  <c r="AA17" i="2"/>
  <c r="AB17" i="2"/>
  <c r="AC17" i="2"/>
  <c r="AA18" i="2"/>
  <c r="AB18" i="2"/>
  <c r="AC18" i="2"/>
  <c r="AA19" i="2"/>
  <c r="AB19" i="2"/>
  <c r="AC19" i="2"/>
  <c r="AA20" i="2"/>
  <c r="AB20" i="2"/>
  <c r="AC20" i="2"/>
  <c r="AA21" i="2"/>
  <c r="AB21" i="2"/>
  <c r="AC21" i="2"/>
  <c r="AA22" i="2"/>
  <c r="AB22" i="2"/>
  <c r="AC22" i="2"/>
  <c r="AA23" i="2"/>
  <c r="AB23" i="2"/>
  <c r="AC23" i="2"/>
  <c r="AA24" i="2"/>
  <c r="AB24" i="2"/>
  <c r="AC24" i="2"/>
  <c r="AA25" i="2"/>
  <c r="AB25" i="2"/>
  <c r="AC25" i="2"/>
  <c r="AA26" i="2"/>
  <c r="AB26" i="2"/>
  <c r="AC26" i="2"/>
  <c r="AA27" i="2"/>
  <c r="AB27" i="2"/>
  <c r="AC27" i="2"/>
  <c r="AA28" i="2"/>
  <c r="AB28" i="2"/>
  <c r="AC28" i="2"/>
  <c r="AA29" i="2"/>
  <c r="AB29" i="2"/>
  <c r="AC29" i="2"/>
  <c r="AA30" i="2"/>
  <c r="AB30" i="2"/>
  <c r="AC30" i="2"/>
  <c r="AA31" i="2"/>
  <c r="AB31" i="2"/>
  <c r="AC31" i="2"/>
  <c r="AA32" i="2"/>
  <c r="AB32" i="2"/>
  <c r="AC32" i="2"/>
  <c r="AA33" i="2"/>
  <c r="AB33" i="2"/>
  <c r="AC33" i="2"/>
  <c r="AA34" i="2"/>
  <c r="AB34" i="2"/>
  <c r="AC34" i="2"/>
  <c r="AA35" i="2"/>
  <c r="AB35" i="2"/>
  <c r="AC35" i="2"/>
  <c r="AA36" i="2"/>
  <c r="AB36" i="2"/>
  <c r="AC36" i="2"/>
  <c r="AA37" i="2"/>
  <c r="AB37" i="2"/>
  <c r="AC37" i="2"/>
  <c r="AA38" i="2"/>
  <c r="AB38" i="2"/>
  <c r="AC38" i="2"/>
  <c r="AA39" i="2"/>
  <c r="AB39" i="2"/>
  <c r="AC39" i="2"/>
  <c r="AA40" i="2"/>
  <c r="AB40" i="2"/>
  <c r="AC40" i="2"/>
  <c r="AA41" i="2"/>
  <c r="AB41" i="2"/>
  <c r="AC41" i="2"/>
  <c r="AA42" i="2"/>
  <c r="AB42" i="2"/>
  <c r="AC42" i="2"/>
  <c r="AA43" i="2"/>
  <c r="AB43" i="2"/>
  <c r="AC43" i="2"/>
  <c r="AA44" i="2"/>
  <c r="AB44" i="2"/>
  <c r="AC44" i="2"/>
  <c r="AA45" i="2"/>
  <c r="AB45" i="2"/>
  <c r="AC45" i="2"/>
  <c r="AA46" i="2"/>
  <c r="AB46" i="2"/>
  <c r="AC46" i="2"/>
  <c r="AA47" i="2"/>
  <c r="AB47" i="2"/>
  <c r="AC47" i="2"/>
  <c r="AA48" i="2"/>
  <c r="AB48" i="2"/>
  <c r="AC48" i="2"/>
  <c r="B49" i="2"/>
  <c r="B51" i="2" s="1"/>
  <c r="AA49" i="2"/>
  <c r="AB49" i="2"/>
  <c r="AC49" i="2"/>
  <c r="B50" i="2"/>
  <c r="AA50" i="2"/>
  <c r="AB50" i="2"/>
  <c r="AC50" i="2"/>
  <c r="AA51" i="2"/>
  <c r="AB51" i="2"/>
  <c r="AC51" i="2"/>
  <c r="AA52" i="2"/>
  <c r="AB52" i="2"/>
  <c r="AC52" i="2"/>
  <c r="B53" i="2"/>
  <c r="AA53" i="2"/>
  <c r="AB53" i="2"/>
  <c r="AC53" i="2"/>
  <c r="AA54" i="2"/>
  <c r="AB54" i="2"/>
  <c r="AC54" i="2"/>
  <c r="AA55" i="2"/>
  <c r="AB55" i="2"/>
  <c r="AC55" i="2"/>
  <c r="AA56" i="2"/>
  <c r="AB56" i="2"/>
  <c r="AC56" i="2"/>
  <c r="AA57" i="2"/>
  <c r="AB57" i="2"/>
  <c r="AC57" i="2"/>
  <c r="AA58" i="2"/>
  <c r="AB58" i="2"/>
  <c r="AC58" i="2"/>
  <c r="AA59" i="2"/>
  <c r="AB59" i="2"/>
  <c r="AC59" i="2"/>
  <c r="AA60" i="2"/>
  <c r="AB60" i="2"/>
  <c r="AC60" i="2"/>
  <c r="AA61" i="2"/>
  <c r="AB61" i="2"/>
  <c r="AC61" i="2"/>
  <c r="AA62" i="2"/>
  <c r="AB62" i="2"/>
  <c r="AC62" i="2"/>
  <c r="AA63" i="2"/>
  <c r="AB63" i="2"/>
  <c r="AC63" i="2"/>
  <c r="AA64" i="2"/>
  <c r="AB64" i="2"/>
  <c r="AC64" i="2"/>
  <c r="AA65" i="2"/>
  <c r="AB65" i="2"/>
  <c r="AC65" i="2"/>
  <c r="AA66" i="2"/>
  <c r="AB66" i="2"/>
  <c r="AC66" i="2"/>
  <c r="AA67" i="2"/>
  <c r="AB67" i="2"/>
  <c r="AC67" i="2"/>
  <c r="AA68" i="2"/>
  <c r="AB68" i="2"/>
  <c r="AC68" i="2"/>
  <c r="AA69" i="2"/>
  <c r="AB69" i="2"/>
  <c r="AC69" i="2"/>
  <c r="AA70" i="2"/>
  <c r="AB70" i="2"/>
  <c r="AC70" i="2"/>
  <c r="AA71" i="2"/>
  <c r="AB71" i="2"/>
  <c r="AC71" i="2"/>
  <c r="AA72" i="2"/>
  <c r="AB72" i="2"/>
  <c r="AC72" i="2"/>
  <c r="AA73" i="2"/>
  <c r="AB73" i="2"/>
  <c r="AC73" i="2"/>
  <c r="AA74" i="2"/>
  <c r="AB74" i="2"/>
  <c r="AC74" i="2"/>
  <c r="AA75" i="2"/>
  <c r="AB75" i="2"/>
  <c r="AC75" i="2"/>
  <c r="AA76" i="2"/>
  <c r="AB76" i="2"/>
  <c r="AC76" i="2"/>
  <c r="AA77" i="2"/>
  <c r="AB77" i="2"/>
  <c r="AC77" i="2"/>
  <c r="AA78" i="2"/>
  <c r="AB78" i="2"/>
  <c r="AC78" i="2"/>
  <c r="AA79" i="2"/>
  <c r="AB79" i="2"/>
  <c r="AC79" i="2"/>
  <c r="AA80" i="2"/>
  <c r="AB80" i="2"/>
  <c r="AC80" i="2"/>
  <c r="B54" i="11" l="1"/>
  <c r="B17" i="11"/>
  <c r="B14" i="11"/>
  <c r="B51" i="11"/>
  <c r="B14" i="10"/>
  <c r="B15" i="10"/>
  <c r="B56" i="10"/>
  <c r="B51" i="10"/>
  <c r="B53" i="9"/>
  <c r="B52" i="9"/>
  <c r="B14" i="9"/>
  <c r="B15" i="9"/>
  <c r="B56" i="8"/>
  <c r="B19" i="8"/>
  <c r="B53" i="8"/>
  <c r="B14" i="8"/>
  <c r="B14" i="7"/>
  <c r="B15" i="7"/>
  <c r="B56" i="7"/>
  <c r="B51" i="7"/>
  <c r="B14" i="6"/>
  <c r="B54" i="6"/>
  <c r="B61" i="6"/>
  <c r="B15" i="6"/>
  <c r="B14" i="5"/>
  <c r="B17" i="5"/>
  <c r="B52" i="5"/>
  <c r="B57" i="5"/>
  <c r="B52" i="2"/>
  <c r="B15" i="2"/>
  <c r="B14" i="2"/>
  <c r="B55" i="2"/>
  <c r="B53" i="11" l="1"/>
  <c r="B16" i="11"/>
  <c r="B19" i="11"/>
  <c r="B56" i="11"/>
  <c r="B53" i="10"/>
  <c r="B17" i="10"/>
  <c r="B16" i="10"/>
  <c r="B58" i="10"/>
  <c r="B54" i="9"/>
  <c r="B17" i="9"/>
  <c r="B16" i="9"/>
  <c r="B55" i="9"/>
  <c r="B55" i="8"/>
  <c r="B21" i="8"/>
  <c r="B58" i="8"/>
  <c r="B16" i="8"/>
  <c r="B53" i="7"/>
  <c r="B58" i="7"/>
  <c r="B17" i="7"/>
  <c r="B16" i="7"/>
  <c r="B63" i="6"/>
  <c r="B56" i="6"/>
  <c r="B17" i="6"/>
  <c r="B16" i="6"/>
  <c r="B19" i="5"/>
  <c r="B59" i="5"/>
  <c r="B54" i="5"/>
  <c r="B16" i="5"/>
  <c r="B57" i="2"/>
  <c r="B16" i="2"/>
  <c r="B17" i="2"/>
  <c r="B54" i="2"/>
  <c r="B21" i="11" l="1"/>
  <c r="B18" i="11"/>
  <c r="B55" i="11"/>
  <c r="B58" i="11"/>
  <c r="B60" i="10"/>
  <c r="B18" i="10"/>
  <c r="B19" i="10"/>
  <c r="B55" i="10"/>
  <c r="B57" i="9"/>
  <c r="B18" i="9"/>
  <c r="B19" i="9"/>
  <c r="B56" i="9"/>
  <c r="B18" i="8"/>
  <c r="B60" i="8"/>
  <c r="B23" i="8"/>
  <c r="B57" i="8"/>
  <c r="B18" i="7"/>
  <c r="B19" i="7"/>
  <c r="B60" i="7"/>
  <c r="B55" i="7"/>
  <c r="B18" i="6"/>
  <c r="B19" i="6"/>
  <c r="B58" i="6"/>
  <c r="B65" i="6"/>
  <c r="B61" i="5"/>
  <c r="B18" i="5"/>
  <c r="B56" i="5"/>
  <c r="B21" i="5"/>
  <c r="B56" i="2"/>
  <c r="B19" i="2"/>
  <c r="B18" i="2"/>
  <c r="B59" i="2"/>
  <c r="B60" i="11" l="1"/>
  <c r="B20" i="11"/>
  <c r="B57" i="11"/>
  <c r="B23" i="11"/>
  <c r="B57" i="10"/>
  <c r="B21" i="10"/>
  <c r="B20" i="10"/>
  <c r="B62" i="10"/>
  <c r="B58" i="9"/>
  <c r="B20" i="9"/>
  <c r="B59" i="9"/>
  <c r="B21" i="9"/>
  <c r="B59" i="8"/>
  <c r="B20" i="8"/>
  <c r="B25" i="8"/>
  <c r="B62" i="8"/>
  <c r="B20" i="7"/>
  <c r="B57" i="7"/>
  <c r="B62" i="7"/>
  <c r="B21" i="7"/>
  <c r="B67" i="6"/>
  <c r="B60" i="6"/>
  <c r="B21" i="6"/>
  <c r="B20" i="6"/>
  <c r="B58" i="5"/>
  <c r="B20" i="5"/>
  <c r="B63" i="5"/>
  <c r="B23" i="5"/>
  <c r="B61" i="2"/>
  <c r="B20" i="2"/>
  <c r="B21" i="2"/>
  <c r="B58" i="2"/>
  <c r="B25" i="11" l="1"/>
  <c r="B22" i="11"/>
  <c r="B59" i="11"/>
  <c r="B62" i="11"/>
  <c r="B64" i="10"/>
  <c r="B22" i="10"/>
  <c r="B23" i="10"/>
  <c r="B59" i="10"/>
  <c r="B23" i="9"/>
  <c r="B22" i="9"/>
  <c r="B61" i="9"/>
  <c r="B60" i="9"/>
  <c r="B27" i="8"/>
  <c r="B22" i="8"/>
  <c r="B64" i="8"/>
  <c r="B61" i="8"/>
  <c r="B23" i="7"/>
  <c r="B64" i="7"/>
  <c r="B59" i="7"/>
  <c r="B22" i="7"/>
  <c r="B22" i="6"/>
  <c r="B23" i="6"/>
  <c r="B62" i="6"/>
  <c r="B69" i="6"/>
  <c r="B25" i="5"/>
  <c r="B65" i="5"/>
  <c r="B22" i="5"/>
  <c r="B60" i="5"/>
  <c r="B60" i="2"/>
  <c r="B23" i="2"/>
  <c r="B22" i="2"/>
  <c r="B63" i="2"/>
  <c r="B27" i="11" l="1"/>
  <c r="B64" i="11"/>
  <c r="B61" i="11"/>
  <c r="B24" i="11"/>
  <c r="B61" i="10"/>
  <c r="B25" i="10"/>
  <c r="B24" i="10"/>
  <c r="B66" i="10"/>
  <c r="B62" i="9"/>
  <c r="B63" i="9"/>
  <c r="B24" i="9"/>
  <c r="B25" i="9"/>
  <c r="B66" i="8"/>
  <c r="B63" i="8"/>
  <c r="B24" i="8"/>
  <c r="B29" i="8"/>
  <c r="B24" i="7"/>
  <c r="B61" i="7"/>
  <c r="B66" i="7"/>
  <c r="B25" i="7"/>
  <c r="B71" i="6"/>
  <c r="B64" i="6"/>
  <c r="B25" i="6"/>
  <c r="B24" i="6"/>
  <c r="B24" i="5"/>
  <c r="B62" i="5"/>
  <c r="B67" i="5"/>
  <c r="B27" i="5"/>
  <c r="B65" i="2"/>
  <c r="B24" i="2"/>
  <c r="B25" i="2"/>
  <c r="B62" i="2"/>
  <c r="B26" i="11" l="1"/>
  <c r="B63" i="11"/>
  <c r="B66" i="11"/>
  <c r="B29" i="11"/>
  <c r="B68" i="10"/>
  <c r="B26" i="10"/>
  <c r="B27" i="10"/>
  <c r="B63" i="10"/>
  <c r="B27" i="9"/>
  <c r="B26" i="9"/>
  <c r="B65" i="9"/>
  <c r="B64" i="9"/>
  <c r="B31" i="8"/>
  <c r="B26" i="8"/>
  <c r="B65" i="8"/>
  <c r="B68" i="8"/>
  <c r="B26" i="7"/>
  <c r="B27" i="7"/>
  <c r="B68" i="7"/>
  <c r="B63" i="7"/>
  <c r="B73" i="6"/>
  <c r="B26" i="6"/>
  <c r="B27" i="6"/>
  <c r="B66" i="6"/>
  <c r="B29" i="5"/>
  <c r="B69" i="5"/>
  <c r="B64" i="5"/>
  <c r="B26" i="5"/>
  <c r="B64" i="2"/>
  <c r="B27" i="2"/>
  <c r="B26" i="2"/>
  <c r="B67" i="2"/>
  <c r="B31" i="11" l="1"/>
  <c r="B68" i="11"/>
  <c r="B65" i="11"/>
  <c r="B28" i="11"/>
  <c r="B65" i="10"/>
  <c r="B29" i="10"/>
  <c r="B28" i="10"/>
  <c r="B70" i="10"/>
  <c r="B29" i="9"/>
  <c r="B67" i="9"/>
  <c r="B66" i="9"/>
  <c r="B28" i="9"/>
  <c r="B70" i="8"/>
  <c r="B67" i="8"/>
  <c r="B28" i="8"/>
  <c r="B33" i="8"/>
  <c r="B65" i="7"/>
  <c r="B70" i="7"/>
  <c r="B29" i="7"/>
  <c r="B28" i="7"/>
  <c r="B68" i="6"/>
  <c r="B29" i="6"/>
  <c r="B28" i="6"/>
  <c r="B75" i="6"/>
  <c r="B66" i="5"/>
  <c r="B28" i="5"/>
  <c r="B71" i="5"/>
  <c r="B31" i="5"/>
  <c r="B69" i="2"/>
  <c r="B28" i="2"/>
  <c r="B29" i="2"/>
  <c r="B66" i="2"/>
  <c r="B30" i="11" l="1"/>
  <c r="B67" i="11"/>
  <c r="B70" i="11"/>
  <c r="B33" i="11"/>
  <c r="B31" i="10"/>
  <c r="B72" i="10"/>
  <c r="B30" i="10"/>
  <c r="B67" i="10"/>
  <c r="B30" i="9"/>
  <c r="B68" i="9"/>
  <c r="B69" i="9"/>
  <c r="B31" i="9"/>
  <c r="B35" i="8"/>
  <c r="B30" i="8"/>
  <c r="B69" i="8"/>
  <c r="B72" i="8"/>
  <c r="B67" i="7"/>
  <c r="B30" i="7"/>
  <c r="B31" i="7"/>
  <c r="B72" i="7"/>
  <c r="B70" i="6"/>
  <c r="B77" i="6"/>
  <c r="B30" i="6"/>
  <c r="B31" i="6"/>
  <c r="B33" i="5"/>
  <c r="B73" i="5"/>
  <c r="B30" i="5"/>
  <c r="B68" i="5"/>
  <c r="B68" i="2"/>
  <c r="B30" i="2"/>
  <c r="B31" i="2"/>
  <c r="B71" i="2"/>
  <c r="B32" i="11" l="1"/>
  <c r="B35" i="11"/>
  <c r="B72" i="11"/>
  <c r="B69" i="11"/>
  <c r="B69" i="10"/>
  <c r="B32" i="10"/>
  <c r="B74" i="10"/>
  <c r="B33" i="10"/>
  <c r="B33" i="9"/>
  <c r="B71" i="9"/>
  <c r="B70" i="9"/>
  <c r="B32" i="9"/>
  <c r="B74" i="8"/>
  <c r="B71" i="8"/>
  <c r="B32" i="8"/>
  <c r="B37" i="8"/>
  <c r="B74" i="7"/>
  <c r="B33" i="7"/>
  <c r="B32" i="7"/>
  <c r="B69" i="7"/>
  <c r="B33" i="6"/>
  <c r="B32" i="6"/>
  <c r="B79" i="6"/>
  <c r="B72" i="6"/>
  <c r="B32" i="5"/>
  <c r="B70" i="5"/>
  <c r="B75" i="5"/>
  <c r="B35" i="5"/>
  <c r="B70" i="2"/>
  <c r="B73" i="2"/>
  <c r="B33" i="2"/>
  <c r="B32" i="2"/>
  <c r="B71" i="11" l="1"/>
  <c r="B74" i="11"/>
  <c r="B37" i="11"/>
  <c r="B34" i="11"/>
  <c r="B76" i="10"/>
  <c r="B35" i="10"/>
  <c r="B34" i="10"/>
  <c r="B71" i="10"/>
  <c r="B34" i="9"/>
  <c r="B72" i="9"/>
  <c r="B73" i="9"/>
  <c r="B35" i="9"/>
  <c r="B76" i="8"/>
  <c r="B34" i="8"/>
  <c r="B39" i="8"/>
  <c r="B73" i="8"/>
  <c r="B76" i="7"/>
  <c r="B71" i="7"/>
  <c r="B34" i="7"/>
  <c r="B35" i="7"/>
  <c r="B35" i="6"/>
  <c r="B74" i="6"/>
  <c r="B34" i="6"/>
  <c r="B37" i="5"/>
  <c r="B72" i="5"/>
  <c r="B34" i="5"/>
  <c r="B77" i="5"/>
  <c r="B34" i="2"/>
  <c r="B35" i="2"/>
  <c r="B75" i="2"/>
  <c r="B72" i="2"/>
  <c r="B73" i="11" l="1"/>
  <c r="B36" i="11"/>
  <c r="B39" i="11"/>
  <c r="B76" i="11"/>
  <c r="B73" i="10"/>
  <c r="B36" i="10"/>
  <c r="B37" i="10"/>
  <c r="B78" i="10"/>
  <c r="B37" i="9"/>
  <c r="B75" i="9"/>
  <c r="B74" i="9"/>
  <c r="B36" i="9"/>
  <c r="B75" i="8"/>
  <c r="B36" i="8"/>
  <c r="B41" i="8"/>
  <c r="B78" i="8"/>
  <c r="B37" i="7"/>
  <c r="B36" i="7"/>
  <c r="B73" i="7"/>
  <c r="B78" i="7"/>
  <c r="B36" i="6"/>
  <c r="B37" i="6"/>
  <c r="B76" i="6"/>
  <c r="B79" i="5"/>
  <c r="B74" i="5"/>
  <c r="B36" i="5"/>
  <c r="B39" i="5"/>
  <c r="B74" i="2"/>
  <c r="B77" i="2"/>
  <c r="B37" i="2"/>
  <c r="B36" i="2"/>
  <c r="B78" i="11" l="1"/>
  <c r="B41" i="11"/>
  <c r="B38" i="11"/>
  <c r="B75" i="11"/>
  <c r="B80" i="10"/>
  <c r="B39" i="10"/>
  <c r="B38" i="10"/>
  <c r="B75" i="10"/>
  <c r="B38" i="9"/>
  <c r="B76" i="9"/>
  <c r="B77" i="9"/>
  <c r="B39" i="9"/>
  <c r="B77" i="8"/>
  <c r="B38" i="8"/>
  <c r="B80" i="8"/>
  <c r="B80" i="7"/>
  <c r="B75" i="7"/>
  <c r="B38" i="7"/>
  <c r="B39" i="7"/>
  <c r="B38" i="6"/>
  <c r="B78" i="6"/>
  <c r="B39" i="6"/>
  <c r="B76" i="5"/>
  <c r="B41" i="5"/>
  <c r="B38" i="5"/>
  <c r="B76" i="2"/>
  <c r="B38" i="2"/>
  <c r="B39" i="2"/>
  <c r="B79" i="2"/>
  <c r="B77" i="11" l="1"/>
  <c r="B40" i="11"/>
  <c r="B80" i="11"/>
  <c r="B77" i="10"/>
  <c r="B40" i="10"/>
  <c r="B41" i="10"/>
  <c r="B41" i="9"/>
  <c r="B79" i="9"/>
  <c r="B78" i="9"/>
  <c r="B40" i="9"/>
  <c r="B40" i="8"/>
  <c r="B79" i="8"/>
  <c r="B41" i="7"/>
  <c r="B40" i="7"/>
  <c r="B77" i="7"/>
  <c r="B41" i="6"/>
  <c r="B80" i="6"/>
  <c r="B40" i="6"/>
  <c r="B40" i="5"/>
  <c r="B78" i="5"/>
  <c r="B41" i="2"/>
  <c r="B40" i="2"/>
  <c r="B78" i="2"/>
  <c r="B42" i="11" l="1"/>
  <c r="B79" i="11"/>
  <c r="B42" i="10"/>
  <c r="B79" i="10"/>
  <c r="B42" i="9"/>
  <c r="B80" i="9"/>
  <c r="B42" i="8"/>
  <c r="B79" i="7"/>
  <c r="B42" i="7"/>
  <c r="B42" i="6"/>
  <c r="B80" i="5"/>
  <c r="B42" i="5"/>
  <c r="B80" i="2"/>
  <c r="B42" i="2"/>
</calcChain>
</file>

<file path=xl/sharedStrings.xml><?xml version="1.0" encoding="utf-8"?>
<sst xmlns="http://schemas.openxmlformats.org/spreadsheetml/2006/main" count="2632" uniqueCount="197">
  <si>
    <t>Height</t>
  </si>
  <si>
    <t>wet</t>
  </si>
  <si>
    <t>Cover</t>
  </si>
  <si>
    <t>High</t>
  </si>
  <si>
    <t>Low</t>
  </si>
  <si>
    <t>kg N/ha</t>
  </si>
  <si>
    <t>Descript</t>
  </si>
  <si>
    <t>Code</t>
  </si>
  <si>
    <t>Nitrogen</t>
  </si>
  <si>
    <t>Double</t>
  </si>
  <si>
    <t>Single</t>
  </si>
  <si>
    <t>na</t>
  </si>
  <si>
    <t>lines/bed</t>
  </si>
  <si>
    <t>no./meter</t>
  </si>
  <si>
    <t>Population</t>
  </si>
  <si>
    <t>often</t>
  </si>
  <si>
    <t>Wet Soil</t>
  </si>
  <si>
    <t>never</t>
  </si>
  <si>
    <t>Dry Soil</t>
  </si>
  <si>
    <t>ad hoc</t>
  </si>
  <si>
    <t>None&gt;15Jul</t>
  </si>
  <si>
    <t>None&gt;1Jun</t>
  </si>
  <si>
    <t>NDVI</t>
  </si>
  <si>
    <t>FAO</t>
  </si>
  <si>
    <t>PlotSE</t>
  </si>
  <si>
    <t>PlotMean</t>
  </si>
  <si>
    <t>PicRowMean</t>
  </si>
  <si>
    <t>8.75</t>
  </si>
  <si>
    <t>8.25</t>
  </si>
  <si>
    <t>7.75</t>
  </si>
  <si>
    <t>7.25</t>
  </si>
  <si>
    <t>6.75</t>
  </si>
  <si>
    <t>6.25</t>
  </si>
  <si>
    <t>5.100</t>
  </si>
  <si>
    <t>5.75</t>
  </si>
  <si>
    <t>5.50</t>
  </si>
  <si>
    <t>5.25</t>
  </si>
  <si>
    <t>5.00</t>
  </si>
  <si>
    <t>4.75</t>
  </si>
  <si>
    <t>4.25</t>
  </si>
  <si>
    <t>3.75</t>
  </si>
  <si>
    <t>3.25</t>
  </si>
  <si>
    <t>Meas</t>
  </si>
  <si>
    <t>Time</t>
  </si>
  <si>
    <t>ExotechCode</t>
  </si>
  <si>
    <t>Block</t>
  </si>
  <si>
    <t>Nit</t>
  </si>
  <si>
    <t>Pop</t>
  </si>
  <si>
    <t>Irr</t>
  </si>
  <si>
    <t>Trt</t>
  </si>
  <si>
    <t>Acron</t>
  </si>
  <si>
    <t>Plot</t>
  </si>
  <si>
    <t>notes</t>
  </si>
  <si>
    <t>Schedule</t>
  </si>
  <si>
    <t>75 cm</t>
  </si>
  <si>
    <t>25 cm</t>
  </si>
  <si>
    <t>100 cm</t>
  </si>
  <si>
    <t>50 cm</t>
  </si>
  <si>
    <t>0 cm</t>
  </si>
  <si>
    <t>Position ⇒</t>
  </si>
  <si>
    <t>Irrigation</t>
  </si>
  <si>
    <t>Plot SE</t>
  </si>
  <si>
    <t>Plot Mean</t>
  </si>
  <si>
    <t>PictureRow Mean</t>
  </si>
  <si>
    <t>Row 8</t>
  </si>
  <si>
    <t>Row 7</t>
  </si>
  <si>
    <t>Row 6</t>
  </si>
  <si>
    <t>Row 5 (Picture Row)</t>
  </si>
  <si>
    <t>Row 4</t>
  </si>
  <si>
    <t>Row 3</t>
  </si>
  <si>
    <t>Meas.</t>
  </si>
  <si>
    <t>Exotech Code</t>
  </si>
  <si>
    <t>N</t>
  </si>
  <si>
    <t>Pop.</t>
  </si>
  <si>
    <t>Irrig.</t>
  </si>
  <si>
    <t>Trt.</t>
  </si>
  <si>
    <t>Legend</t>
  </si>
  <si>
    <t>sr,cob,sm</t>
  </si>
  <si>
    <t>By:</t>
  </si>
  <si>
    <t>stacy measured,carrie wrote,suzette carried stick</t>
  </si>
  <si>
    <t>Comments:</t>
  </si>
  <si>
    <t>Date:</t>
  </si>
  <si>
    <t>FISE2003 Plant Cover and Heights</t>
  </si>
  <si>
    <t>p101</t>
  </si>
  <si>
    <t>p102</t>
  </si>
  <si>
    <t>p103</t>
  </si>
  <si>
    <t>p104</t>
  </si>
  <si>
    <t>p105</t>
  </si>
  <si>
    <t>p106</t>
  </si>
  <si>
    <t>p107</t>
  </si>
  <si>
    <t>p108</t>
  </si>
  <si>
    <t>p201</t>
  </si>
  <si>
    <t>p202</t>
  </si>
  <si>
    <t>p203</t>
  </si>
  <si>
    <t>p204</t>
  </si>
  <si>
    <t>p205</t>
  </si>
  <si>
    <t>p206</t>
  </si>
  <si>
    <t>p207</t>
  </si>
  <si>
    <t>p208</t>
  </si>
  <si>
    <t>p301</t>
  </si>
  <si>
    <t>p302</t>
  </si>
  <si>
    <t>p303</t>
  </si>
  <si>
    <t>p304</t>
  </si>
  <si>
    <t>p305</t>
  </si>
  <si>
    <t>p306</t>
  </si>
  <si>
    <t>p307</t>
  </si>
  <si>
    <t>p308</t>
  </si>
  <si>
    <t>p401</t>
  </si>
  <si>
    <t>p402</t>
  </si>
  <si>
    <t>p403</t>
  </si>
  <si>
    <t>p404</t>
  </si>
  <si>
    <t>p405</t>
  </si>
  <si>
    <t>p406</t>
  </si>
  <si>
    <t>p407</t>
  </si>
  <si>
    <t>p408</t>
  </si>
  <si>
    <t>p902</t>
  </si>
  <si>
    <t>p904</t>
  </si>
  <si>
    <t>p906</t>
  </si>
  <si>
    <t>p908</t>
  </si>
  <si>
    <t>DOY168</t>
  </si>
  <si>
    <t>plots that have 3 measurements for row 5 did not have standing water in them, but they were too damp to walk in -50 cm was all I could reach from the board walk.</t>
  </si>
  <si>
    <t>all NDVI plots were full of water .only one position in row 5 was collected because of the instability of the boards in the water.</t>
  </si>
  <si>
    <t>DOY176</t>
  </si>
  <si>
    <t>SR , COB</t>
  </si>
  <si>
    <t>some muddy plots</t>
  </si>
  <si>
    <t>Extremely hot and stifeling</t>
  </si>
  <si>
    <t>DOY 189</t>
  </si>
  <si>
    <t>DOY189</t>
  </si>
  <si>
    <t>looked through data sheets, did not see 900's and told him no.  OOPS, I see them now!</t>
  </si>
  <si>
    <t>Suzette &amp; Ryan (recording)</t>
  </si>
  <si>
    <t xml:space="preserve">NOTE:  Did not measure 900's.  Before start, as we were discussing what was to be done, Ryan asked me if 900's were to be measured also, I </t>
  </si>
  <si>
    <t>Cloudy.  Moderate haze.  Lots of plots irrigated Friday and Saturday.</t>
  </si>
  <si>
    <t>DOY209</t>
  </si>
  <si>
    <t>SR and COB</t>
  </si>
  <si>
    <t>DOY217</t>
  </si>
  <si>
    <t>SR, CO'B</t>
  </si>
  <si>
    <t>unfilled cells indicate wet soil and no measurements</t>
  </si>
  <si>
    <t>Hot,and sticky. It looks like the plants haven't grown much since the last time we measured.</t>
  </si>
  <si>
    <t>DOY233</t>
  </si>
  <si>
    <t>SR, CO'B,RT</t>
  </si>
  <si>
    <t>Also to minimize plant damage because of intertwining branches we only measured the zero cm and 25 cm location in row 5</t>
  </si>
  <si>
    <t>Since some of the plants were starting to lodge there was "hole" in the centain of some rows.To account for the gap we measured the width of the hole and substracted it from 100 cm.Therefore, we have the actual cover left.</t>
  </si>
  <si>
    <t>DOY259</t>
  </si>
  <si>
    <t>SER</t>
  </si>
  <si>
    <t>The canopy width was measured across the row of mostly bare stems.Major holes in the canopy where measured and substracted from the overall with to indicate actual cover.</t>
  </si>
  <si>
    <t>Last overflight.Final Harvest is tomorrow.There are still a lot of leaves on the plants even after defoliation.</t>
  </si>
  <si>
    <t>DOY287</t>
  </si>
  <si>
    <t>FTH</t>
  </si>
  <si>
    <t>122.2</t>
  </si>
  <si>
    <t>NTL</t>
  </si>
  <si>
    <t>221.2</t>
  </si>
  <si>
    <t>NTH</t>
  </si>
  <si>
    <t>222.2</t>
  </si>
  <si>
    <t>NDL</t>
  </si>
  <si>
    <t>231.2</t>
  </si>
  <si>
    <t>221.1</t>
  </si>
  <si>
    <t>FDH</t>
  </si>
  <si>
    <t>132.1</t>
  </si>
  <si>
    <t>FTL</t>
  </si>
  <si>
    <t>121.1</t>
  </si>
  <si>
    <t>FSH</t>
  </si>
  <si>
    <t>112.1</t>
  </si>
  <si>
    <t>231.1</t>
  </si>
  <si>
    <t>222.1</t>
  </si>
  <si>
    <t>122.1</t>
  </si>
  <si>
    <t>NDH</t>
  </si>
  <si>
    <t>232.1</t>
  </si>
  <si>
    <t>112.2</t>
  </si>
  <si>
    <t>NSL</t>
  </si>
  <si>
    <t>211.2</t>
  </si>
  <si>
    <t>121.2</t>
  </si>
  <si>
    <t>FSL</t>
  </si>
  <si>
    <t>111.2</t>
  </si>
  <si>
    <t>Early</t>
  </si>
  <si>
    <t>322.2</t>
  </si>
  <si>
    <t>Late</t>
  </si>
  <si>
    <t>422.2</t>
  </si>
  <si>
    <t>322.1</t>
  </si>
  <si>
    <t>422.1</t>
  </si>
  <si>
    <t>221.3</t>
  </si>
  <si>
    <t>121.3</t>
  </si>
  <si>
    <t>211.3</t>
  </si>
  <si>
    <t>111.3</t>
  </si>
  <si>
    <t>232.4</t>
  </si>
  <si>
    <t>121.4</t>
  </si>
  <si>
    <t>222.4</t>
  </si>
  <si>
    <t>132.4</t>
  </si>
  <si>
    <t>221.4</t>
  </si>
  <si>
    <t>NSH</t>
  </si>
  <si>
    <t>212.4</t>
  </si>
  <si>
    <t>122.4</t>
  </si>
  <si>
    <t>FDL</t>
  </si>
  <si>
    <t>131.4</t>
  </si>
  <si>
    <t>122.3</t>
  </si>
  <si>
    <t>131.3</t>
  </si>
  <si>
    <t>222.3</t>
  </si>
  <si>
    <t>212.3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</si>
</sst>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7" x14ac:knownFonts="1">
    <font>
      <sz val="11"/>
      <color theme="1"/>
      <name val="Aptos Narrow"/>
      <family val="2"/>
      <scheme val="minor"/>
    </font>
    <font>
      <sz val="10"/>
      <name val="Arial"/>
      <family val="2"/>
    </font>
    <font>
      <b/>
      <sz val="10"/>
      <name val="Arial"/>
      <family val="2"/>
    </font>
    <font>
      <sz val="8"/>
      <name val="Arial"/>
      <family val="2"/>
    </font>
    <font>
      <b/>
      <sz val="8"/>
      <name val="Arial"/>
      <family val="2"/>
    </font>
    <font>
      <b/>
      <sz val="14"/>
      <name val="Arial"/>
      <family val="2"/>
    </font>
    <font>
      <u/>
      <sz val="10"/>
      <color indexed="12"/>
      <name val="Arial"/>
      <family val="2"/>
    </font>
  </fonts>
  <fills count="3">
    <fill>
      <patternFill patternType="none"/>
    </fill>
    <fill>
      <patternFill patternType="gray125"/>
    </fill>
    <fill>
      <patternFill patternType="solid">
        <fgColor indexed="55"/>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style="medium">
        <color indexed="64"/>
      </bottom>
      <diagonal/>
    </border>
    <border>
      <left/>
      <right/>
      <top style="medium">
        <color indexed="64"/>
      </top>
      <bottom style="medium">
        <color indexed="64"/>
      </bottom>
      <diagonal/>
    </border>
  </borders>
  <cellStyleXfs count="3">
    <xf numFmtId="0" fontId="0" fillId="0" borderId="0"/>
    <xf numFmtId="0" fontId="1" fillId="0" borderId="0"/>
    <xf numFmtId="0" fontId="6" fillId="0" borderId="0" applyNumberFormat="0" applyFill="0" applyBorder="0" applyAlignment="0" applyProtection="0">
      <alignment vertical="top"/>
      <protection locked="0"/>
    </xf>
  </cellStyleXfs>
  <cellXfs count="68">
    <xf numFmtId="0" fontId="0" fillId="0" borderId="0" xfId="0"/>
    <xf numFmtId="0" fontId="1" fillId="0" borderId="0" xfId="1"/>
    <xf numFmtId="0" fontId="2" fillId="0" borderId="0" xfId="1" applyFont="1" applyAlignment="1">
      <alignment horizontal="center"/>
    </xf>
    <xf numFmtId="0" fontId="1" fillId="0" borderId="0" xfId="1" applyAlignment="1">
      <alignment horizontal="center"/>
    </xf>
    <xf numFmtId="164" fontId="2" fillId="0" borderId="1" xfId="1" applyNumberFormat="1" applyFont="1" applyBorder="1"/>
    <xf numFmtId="0" fontId="2" fillId="0" borderId="1" xfId="1" applyFont="1" applyBorder="1" applyAlignment="1">
      <alignment horizontal="center"/>
    </xf>
    <xf numFmtId="0" fontId="2" fillId="0" borderId="1" xfId="1" applyFont="1" applyBorder="1"/>
    <xf numFmtId="0" fontId="2" fillId="0" borderId="1" xfId="1" applyFont="1" applyBorder="1" applyAlignment="1">
      <alignment horizontal="center" vertical="center"/>
    </xf>
    <xf numFmtId="20" fontId="2" fillId="0" borderId="1" xfId="1" applyNumberFormat="1" applyFont="1" applyBorder="1" applyAlignment="1">
      <alignment horizontal="center" vertical="center"/>
    </xf>
    <xf numFmtId="0" fontId="2" fillId="2" borderId="1" xfId="1" applyFont="1" applyFill="1" applyBorder="1" applyAlignment="1">
      <alignment horizontal="center" vertical="center"/>
    </xf>
    <xf numFmtId="0" fontId="1" fillId="0" borderId="0" xfId="1" applyAlignment="1">
      <alignment horizontal="right"/>
    </xf>
    <xf numFmtId="0" fontId="3" fillId="0" borderId="0" xfId="1" applyFont="1"/>
    <xf numFmtId="0" fontId="4" fillId="0" borderId="0" xfId="1" applyFont="1" applyAlignment="1">
      <alignment horizontal="center"/>
    </xf>
    <xf numFmtId="0" fontId="2" fillId="0" borderId="2" xfId="1" applyFont="1" applyBorder="1" applyAlignment="1">
      <alignment horizontal="center"/>
    </xf>
    <xf numFmtId="0" fontId="2" fillId="0" borderId="2" xfId="1" applyFont="1" applyBorder="1"/>
    <xf numFmtId="0" fontId="2" fillId="0" borderId="2" xfId="1" applyFont="1" applyBorder="1" applyAlignment="1">
      <alignment horizontal="center" vertical="center"/>
    </xf>
    <xf numFmtId="0" fontId="2" fillId="2" borderId="2" xfId="1" applyFont="1" applyFill="1" applyBorder="1" applyAlignment="1">
      <alignment horizontal="center" vertical="center"/>
    </xf>
    <xf numFmtId="20" fontId="2" fillId="0" borderId="2" xfId="1" applyNumberFormat="1" applyFont="1" applyBorder="1" applyAlignment="1">
      <alignment horizontal="center"/>
    </xf>
    <xf numFmtId="0" fontId="2" fillId="0" borderId="1" xfId="1" applyFont="1" applyBorder="1" applyAlignment="1">
      <alignment horizontal="center" vertical="center" wrapText="1"/>
    </xf>
    <xf numFmtId="0" fontId="2" fillId="0" borderId="1" xfId="1" applyFont="1" applyBorder="1" applyAlignment="1">
      <alignment horizontal="right" vertical="center" wrapText="1"/>
    </xf>
    <xf numFmtId="0" fontId="2" fillId="0" borderId="0" xfId="1" applyFont="1" applyAlignment="1">
      <alignment horizontal="right"/>
    </xf>
    <xf numFmtId="49" fontId="1" fillId="0" borderId="0" xfId="1" applyNumberFormat="1" applyAlignment="1">
      <alignment horizontal="center"/>
    </xf>
    <xf numFmtId="0" fontId="1" fillId="0" borderId="0" xfId="1" quotePrefix="1" applyAlignment="1">
      <alignment horizontal="center"/>
    </xf>
    <xf numFmtId="0" fontId="2" fillId="0" borderId="3" xfId="1" applyFont="1" applyBorder="1" applyAlignment="1">
      <alignment horizontal="center"/>
    </xf>
    <xf numFmtId="0" fontId="2" fillId="0" borderId="3" xfId="1" applyFont="1" applyBorder="1"/>
    <xf numFmtId="0" fontId="2" fillId="0" borderId="3" xfId="1" applyFont="1" applyBorder="1" applyAlignment="1">
      <alignment horizontal="center" vertical="center"/>
    </xf>
    <xf numFmtId="0" fontId="2" fillId="2" borderId="3" xfId="1" applyFont="1" applyFill="1" applyBorder="1" applyAlignment="1">
      <alignment horizontal="center" vertical="center"/>
    </xf>
    <xf numFmtId="49" fontId="2" fillId="0" borderId="1" xfId="1" applyNumberFormat="1" applyFont="1" applyBorder="1" applyAlignment="1">
      <alignment horizontal="center"/>
    </xf>
    <xf numFmtId="49" fontId="4" fillId="0" borderId="1" xfId="1" applyNumberFormat="1" applyFont="1" applyBorder="1" applyAlignment="1">
      <alignment horizontal="center" vertical="center" wrapText="1"/>
    </xf>
    <xf numFmtId="49" fontId="2" fillId="0" borderId="1" xfId="1" applyNumberFormat="1" applyFont="1" applyBorder="1" applyAlignment="1">
      <alignment horizontal="center" vertical="center"/>
    </xf>
    <xf numFmtId="49" fontId="4" fillId="0" borderId="1" xfId="1" applyNumberFormat="1" applyFont="1" applyBorder="1" applyAlignment="1">
      <alignment horizontal="center" vertical="center"/>
    </xf>
    <xf numFmtId="0" fontId="2" fillId="0" borderId="5" xfId="1" applyFont="1" applyBorder="1" applyAlignment="1">
      <alignment horizontal="center" vertical="center"/>
    </xf>
    <xf numFmtId="0" fontId="2" fillId="0" borderId="4" xfId="1" applyFont="1" applyBorder="1" applyAlignment="1">
      <alignment horizontal="center" vertical="center"/>
    </xf>
    <xf numFmtId="0" fontId="4" fillId="0" borderId="5" xfId="1" applyFont="1" applyBorder="1" applyAlignment="1">
      <alignment horizontal="center" vertical="center" wrapText="1"/>
    </xf>
    <xf numFmtId="0" fontId="2" fillId="0" borderId="0" xfId="1" applyFont="1" applyAlignment="1">
      <alignment horizontal="center" vertical="center" wrapText="1"/>
    </xf>
    <xf numFmtId="0" fontId="4" fillId="0" borderId="11" xfId="1" applyFont="1" applyBorder="1" applyAlignment="1">
      <alignment horizontal="center" vertical="center" wrapText="1"/>
    </xf>
    <xf numFmtId="0" fontId="4" fillId="0" borderId="1" xfId="1" applyFont="1" applyBorder="1" applyAlignment="1">
      <alignment horizontal="center" vertical="center" wrapText="1"/>
    </xf>
    <xf numFmtId="0" fontId="4" fillId="0" borderId="1" xfId="1" applyFont="1" applyBorder="1" applyAlignment="1">
      <alignment horizontal="center" vertical="center"/>
    </xf>
    <xf numFmtId="0" fontId="1" fillId="0" borderId="0" xfId="1" applyAlignment="1">
      <alignment horizontal="center" vertical="center"/>
    </xf>
    <xf numFmtId="0" fontId="2" fillId="0" borderId="13" xfId="1" applyFont="1" applyBorder="1"/>
    <xf numFmtId="0" fontId="1" fillId="0" borderId="14" xfId="1" applyBorder="1"/>
    <xf numFmtId="0" fontId="1" fillId="0" borderId="13" xfId="1" applyBorder="1"/>
    <xf numFmtId="14" fontId="2" fillId="0" borderId="13" xfId="1" applyNumberFormat="1" applyFont="1" applyBorder="1"/>
    <xf numFmtId="0" fontId="6" fillId="0" borderId="0" xfId="2" applyAlignment="1" applyProtection="1"/>
    <xf numFmtId="0" fontId="5" fillId="0" borderId="0" xfId="1" applyFont="1"/>
    <xf numFmtId="0" fontId="2" fillId="0" borderId="1" xfId="1" applyFont="1" applyBorder="1" applyAlignment="1">
      <alignment horizontal="right"/>
    </xf>
    <xf numFmtId="0" fontId="2" fillId="0" borderId="2" xfId="1" applyFont="1" applyBorder="1" applyAlignment="1">
      <alignment horizontal="right"/>
    </xf>
    <xf numFmtId="0" fontId="2" fillId="0" borderId="3" xfId="1" applyFont="1" applyBorder="1" applyAlignment="1">
      <alignment horizontal="right"/>
    </xf>
    <xf numFmtId="15" fontId="2" fillId="0" borderId="13" xfId="1" applyNumberFormat="1" applyFont="1" applyBorder="1"/>
    <xf numFmtId="0" fontId="2" fillId="0" borderId="4" xfId="1" applyFont="1" applyBorder="1"/>
    <xf numFmtId="0" fontId="1" fillId="0" borderId="1" xfId="1" applyBorder="1"/>
    <xf numFmtId="0" fontId="1" fillId="0" borderId="1" xfId="1" applyBorder="1" applyAlignment="1">
      <alignment horizontal="center" vertical="center" wrapText="1"/>
    </xf>
    <xf numFmtId="0" fontId="1" fillId="0" borderId="2" xfId="1" applyBorder="1"/>
    <xf numFmtId="0" fontId="1" fillId="0" borderId="3" xfId="1" applyBorder="1"/>
    <xf numFmtId="0" fontId="2" fillId="0" borderId="14" xfId="1" applyFont="1" applyBorder="1"/>
    <xf numFmtId="1" fontId="0" fillId="0" borderId="0" xfId="0" applyNumberFormat="1"/>
    <xf numFmtId="0" fontId="5" fillId="0" borderId="0" xfId="1" applyFont="1" applyAlignment="1">
      <alignment horizontal="center" vertical="center"/>
    </xf>
    <xf numFmtId="0" fontId="2" fillId="0" borderId="6" xfId="1" applyFont="1" applyBorder="1" applyAlignment="1">
      <alignment horizontal="center"/>
    </xf>
    <xf numFmtId="0" fontId="2" fillId="0" borderId="5" xfId="1" applyFont="1" applyBorder="1" applyAlignment="1">
      <alignment horizontal="center"/>
    </xf>
    <xf numFmtId="0" fontId="2" fillId="0" borderId="8" xfId="1" applyFont="1" applyBorder="1" applyAlignment="1">
      <alignment horizontal="center"/>
    </xf>
    <xf numFmtId="0" fontId="2" fillId="0" borderId="7" xfId="1" applyFont="1" applyBorder="1" applyAlignment="1">
      <alignment horizontal="center"/>
    </xf>
    <xf numFmtId="0" fontId="4" fillId="0" borderId="9" xfId="1" applyFont="1" applyBorder="1" applyAlignment="1">
      <alignment horizontal="center" vertical="center" wrapText="1"/>
    </xf>
    <xf numFmtId="0" fontId="4" fillId="0" borderId="4" xfId="1" applyFont="1" applyBorder="1" applyAlignment="1">
      <alignment horizontal="center" vertical="center" wrapText="1"/>
    </xf>
    <xf numFmtId="0" fontId="2" fillId="0" borderId="9" xfId="1" applyFont="1" applyBorder="1" applyAlignment="1">
      <alignment horizontal="center"/>
    </xf>
    <xf numFmtId="0" fontId="2" fillId="0" borderId="4" xfId="1" applyFont="1" applyBorder="1" applyAlignment="1">
      <alignment horizontal="center"/>
    </xf>
    <xf numFmtId="0" fontId="2" fillId="0" borderId="11" xfId="1" applyFont="1" applyBorder="1" applyAlignment="1">
      <alignment horizontal="center" vertical="center"/>
    </xf>
    <xf numFmtId="0" fontId="2" fillId="0" borderId="10" xfId="1" applyFont="1" applyBorder="1" applyAlignment="1">
      <alignment horizontal="center" vertical="center"/>
    </xf>
    <xf numFmtId="0" fontId="2" fillId="0" borderId="12" xfId="1" applyFont="1" applyBorder="1" applyAlignment="1">
      <alignment horizontal="center" vertical="center"/>
    </xf>
  </cellXfs>
  <cellStyles count="3">
    <cellStyle name="Hyperlink" xfId="2" builtinId="8"/>
    <cellStyle name="Normal" xfId="0" builtinId="0"/>
    <cellStyle name="Normal 2" xfId="1" xr:uid="{CD68FEB1-224C-40CE-AF74-0FE8619881A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sp macro="" textlink="">
      <xdr:nvSpPr>
        <xdr:cNvPr id="2" name="Line 1">
          <a:extLst>
            <a:ext uri="{FF2B5EF4-FFF2-40B4-BE49-F238E27FC236}">
              <a16:creationId xmlns:a16="http://schemas.microsoft.com/office/drawing/2014/main" id="{D773A7CF-B08F-4F8E-ADC7-B762079AC87A}"/>
            </a:ext>
          </a:extLst>
        </xdr:cNvPr>
        <xdr:cNvSpPr>
          <a:spLocks noChangeShapeType="1"/>
        </xdr:cNvSpPr>
      </xdr:nvSpPr>
      <xdr:spPr bwMode="auto">
        <a:xfrm flipV="1">
          <a:off x="0" y="0"/>
          <a:ext cx="0" cy="0"/>
        </a:xfrm>
        <a:prstGeom prst="line">
          <a:avLst/>
        </a:prstGeom>
        <a:noFill/>
        <a:ln w="28575">
          <a:solidFill>
            <a:srgbClr xmlns:mc="http://schemas.openxmlformats.org/markup-compatibility/2006" xmlns:a14="http://schemas.microsoft.com/office/drawing/2010/main" val="000000" mc:Ignorable="a14" a14:legacySpreadsheetColorIndex="64"/>
          </a:solidFill>
          <a:round/>
          <a:headEnd/>
          <a:tailEnd type="stealth" w="med" len="lg"/>
        </a:ln>
        <a:extLst>
          <a:ext uri="{909E8E84-426E-40DD-AFC4-6F175D3DCCD1}">
            <a14:hiddenFill xmlns:a14="http://schemas.microsoft.com/office/drawing/2010/main">
              <a:noFill/>
            </a14:hiddenFill>
          </a:ext>
        </a:extLst>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sp macro="" textlink="">
      <xdr:nvSpPr>
        <xdr:cNvPr id="2" name="Line 1">
          <a:extLst>
            <a:ext uri="{FF2B5EF4-FFF2-40B4-BE49-F238E27FC236}">
              <a16:creationId xmlns:a16="http://schemas.microsoft.com/office/drawing/2014/main" id="{6270D8E1-4E5A-40EE-B7CE-51AE0433E01A}"/>
            </a:ext>
          </a:extLst>
        </xdr:cNvPr>
        <xdr:cNvSpPr>
          <a:spLocks noChangeShapeType="1"/>
        </xdr:cNvSpPr>
      </xdr:nvSpPr>
      <xdr:spPr bwMode="auto">
        <a:xfrm flipV="1">
          <a:off x="0" y="0"/>
          <a:ext cx="0" cy="0"/>
        </a:xfrm>
        <a:prstGeom prst="line">
          <a:avLst/>
        </a:prstGeom>
        <a:noFill/>
        <a:ln w="28575">
          <a:solidFill>
            <a:srgbClr xmlns:mc="http://schemas.openxmlformats.org/markup-compatibility/2006" xmlns:a14="http://schemas.microsoft.com/office/drawing/2010/main" val="000000" mc:Ignorable="a14" a14:legacySpreadsheetColorIndex="64"/>
          </a:solidFill>
          <a:round/>
          <a:headEnd/>
          <a:tailEnd type="stealth" w="med" len="lg"/>
        </a:ln>
        <a:extLst>
          <a:ext uri="{909E8E84-426E-40DD-AFC4-6F175D3DCCD1}">
            <a14:hiddenFill xmlns:a14="http://schemas.microsoft.com/office/drawing/2010/main">
              <a:noFill/>
            </a14:hiddenFill>
          </a:ext>
        </a:extLst>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sp macro="" textlink="">
      <xdr:nvSpPr>
        <xdr:cNvPr id="2" name="Line 1">
          <a:extLst>
            <a:ext uri="{FF2B5EF4-FFF2-40B4-BE49-F238E27FC236}">
              <a16:creationId xmlns:a16="http://schemas.microsoft.com/office/drawing/2014/main" id="{9926FF28-8E68-4423-A029-CDDE732C7EE1}"/>
            </a:ext>
          </a:extLst>
        </xdr:cNvPr>
        <xdr:cNvSpPr>
          <a:spLocks noChangeShapeType="1"/>
        </xdr:cNvSpPr>
      </xdr:nvSpPr>
      <xdr:spPr bwMode="auto">
        <a:xfrm flipV="1">
          <a:off x="0" y="0"/>
          <a:ext cx="0" cy="0"/>
        </a:xfrm>
        <a:prstGeom prst="line">
          <a:avLst/>
        </a:prstGeom>
        <a:noFill/>
        <a:ln w="28575">
          <a:solidFill>
            <a:srgbClr xmlns:mc="http://schemas.openxmlformats.org/markup-compatibility/2006" xmlns:a14="http://schemas.microsoft.com/office/drawing/2010/main" val="000000" mc:Ignorable="a14" a14:legacySpreadsheetColorIndex="64"/>
          </a:solidFill>
          <a:round/>
          <a:headEnd/>
          <a:tailEnd type="stealth" w="med" len="lg"/>
        </a:ln>
        <a:extLst>
          <a:ext uri="{909E8E84-426E-40DD-AFC4-6F175D3DCCD1}">
            <a14:hiddenFill xmlns:a14="http://schemas.microsoft.com/office/drawing/2010/main">
              <a:noFill/>
            </a14:hiddenFill>
          </a:ext>
        </a:extLst>
      </xdr:spPr>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sp macro="" textlink="">
      <xdr:nvSpPr>
        <xdr:cNvPr id="2" name="Line 1">
          <a:extLst>
            <a:ext uri="{FF2B5EF4-FFF2-40B4-BE49-F238E27FC236}">
              <a16:creationId xmlns:a16="http://schemas.microsoft.com/office/drawing/2014/main" id="{3E89E9CA-B49D-45E6-BBE3-0F070E20354C}"/>
            </a:ext>
          </a:extLst>
        </xdr:cNvPr>
        <xdr:cNvSpPr>
          <a:spLocks noChangeShapeType="1"/>
        </xdr:cNvSpPr>
      </xdr:nvSpPr>
      <xdr:spPr bwMode="auto">
        <a:xfrm flipV="1">
          <a:off x="0" y="0"/>
          <a:ext cx="0" cy="0"/>
        </a:xfrm>
        <a:prstGeom prst="line">
          <a:avLst/>
        </a:prstGeom>
        <a:noFill/>
        <a:ln w="28575">
          <a:solidFill>
            <a:srgbClr xmlns:mc="http://schemas.openxmlformats.org/markup-compatibility/2006" xmlns:a14="http://schemas.microsoft.com/office/drawing/2010/main" val="000000" mc:Ignorable="a14" a14:legacySpreadsheetColorIndex="64"/>
          </a:solidFill>
          <a:round/>
          <a:headEnd/>
          <a:tailEnd type="stealth" w="med" len="lg"/>
        </a:ln>
        <a:extLst>
          <a:ext uri="{909E8E84-426E-40DD-AFC4-6F175D3DCCD1}">
            <a14:hiddenFill xmlns:a14="http://schemas.microsoft.com/office/drawing/2010/main">
              <a:noFill/>
            </a14:hiddenFill>
          </a:ext>
        </a:extLst>
      </xdr:spPr>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sp macro="" textlink="">
      <xdr:nvSpPr>
        <xdr:cNvPr id="2" name="Line 1">
          <a:extLst>
            <a:ext uri="{FF2B5EF4-FFF2-40B4-BE49-F238E27FC236}">
              <a16:creationId xmlns:a16="http://schemas.microsoft.com/office/drawing/2014/main" id="{BD95CF2C-0B38-4B9A-AC91-40170288FC5D}"/>
            </a:ext>
          </a:extLst>
        </xdr:cNvPr>
        <xdr:cNvSpPr>
          <a:spLocks noChangeShapeType="1"/>
        </xdr:cNvSpPr>
      </xdr:nvSpPr>
      <xdr:spPr bwMode="auto">
        <a:xfrm flipV="1">
          <a:off x="0" y="0"/>
          <a:ext cx="0" cy="0"/>
        </a:xfrm>
        <a:prstGeom prst="line">
          <a:avLst/>
        </a:prstGeom>
        <a:noFill/>
        <a:ln w="28575">
          <a:solidFill>
            <a:srgbClr xmlns:mc="http://schemas.openxmlformats.org/markup-compatibility/2006" xmlns:a14="http://schemas.microsoft.com/office/drawing/2010/main" val="000000" mc:Ignorable="a14" a14:legacySpreadsheetColorIndex="64"/>
          </a:solidFill>
          <a:round/>
          <a:headEnd/>
          <a:tailEnd type="stealth" w="med" len="lg"/>
        </a:ln>
        <a:extLst>
          <a:ext uri="{909E8E84-426E-40DD-AFC4-6F175D3DCCD1}">
            <a14:hiddenFill xmlns:a14="http://schemas.microsoft.com/office/drawing/2010/main">
              <a:noFill/>
            </a14:hiddenFill>
          </a:ext>
        </a:extLst>
      </xdr:spPr>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sp macro="" textlink="">
      <xdr:nvSpPr>
        <xdr:cNvPr id="2" name="Line 1">
          <a:extLst>
            <a:ext uri="{FF2B5EF4-FFF2-40B4-BE49-F238E27FC236}">
              <a16:creationId xmlns:a16="http://schemas.microsoft.com/office/drawing/2014/main" id="{A3729B0E-6B51-450B-B14B-87BD408E434B}"/>
            </a:ext>
          </a:extLst>
        </xdr:cNvPr>
        <xdr:cNvSpPr>
          <a:spLocks noChangeShapeType="1"/>
        </xdr:cNvSpPr>
      </xdr:nvSpPr>
      <xdr:spPr bwMode="auto">
        <a:xfrm flipV="1">
          <a:off x="0" y="0"/>
          <a:ext cx="0" cy="0"/>
        </a:xfrm>
        <a:prstGeom prst="line">
          <a:avLst/>
        </a:prstGeom>
        <a:noFill/>
        <a:ln w="28575">
          <a:solidFill>
            <a:srgbClr xmlns:mc="http://schemas.openxmlformats.org/markup-compatibility/2006" xmlns:a14="http://schemas.microsoft.com/office/drawing/2010/main" val="000000" mc:Ignorable="a14" a14:legacySpreadsheetColorIndex="64"/>
          </a:solidFill>
          <a:round/>
          <a:headEnd/>
          <a:tailEnd type="stealth" w="med" len="lg"/>
        </a:ln>
        <a:extLst>
          <a:ext uri="{909E8E84-426E-40DD-AFC4-6F175D3DCCD1}">
            <a14:hiddenFill xmlns:a14="http://schemas.microsoft.com/office/drawing/2010/main">
              <a:noFill/>
            </a14:hiddenFill>
          </a:ext>
        </a:extLst>
      </xdr:spPr>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sp macro="" textlink="">
      <xdr:nvSpPr>
        <xdr:cNvPr id="2" name="Line 1">
          <a:extLst>
            <a:ext uri="{FF2B5EF4-FFF2-40B4-BE49-F238E27FC236}">
              <a16:creationId xmlns:a16="http://schemas.microsoft.com/office/drawing/2014/main" id="{C8B6BA3B-F80A-4D95-B4F5-2D764D2DF2F7}"/>
            </a:ext>
          </a:extLst>
        </xdr:cNvPr>
        <xdr:cNvSpPr>
          <a:spLocks noChangeShapeType="1"/>
        </xdr:cNvSpPr>
      </xdr:nvSpPr>
      <xdr:spPr bwMode="auto">
        <a:xfrm flipV="1">
          <a:off x="0" y="0"/>
          <a:ext cx="0" cy="0"/>
        </a:xfrm>
        <a:prstGeom prst="line">
          <a:avLst/>
        </a:prstGeom>
        <a:noFill/>
        <a:ln w="28575">
          <a:solidFill>
            <a:srgbClr xmlns:mc="http://schemas.openxmlformats.org/markup-compatibility/2006" xmlns:a14="http://schemas.microsoft.com/office/drawing/2010/main" val="000000" mc:Ignorable="a14" a14:legacySpreadsheetColorIndex="64"/>
          </a:solidFill>
          <a:round/>
          <a:headEnd/>
          <a:tailEnd type="stealth" w="med" len="lg"/>
        </a:ln>
        <a:extLst>
          <a:ext uri="{909E8E84-426E-40DD-AFC4-6F175D3DCCD1}">
            <a14:hiddenFill xmlns:a14="http://schemas.microsoft.com/office/drawing/2010/main">
              <a:noFill/>
            </a14:hiddenFill>
          </a:ext>
        </a:extLst>
      </xdr:spPr>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sp macro="" textlink="">
      <xdr:nvSpPr>
        <xdr:cNvPr id="2" name="Line 1">
          <a:extLst>
            <a:ext uri="{FF2B5EF4-FFF2-40B4-BE49-F238E27FC236}">
              <a16:creationId xmlns:a16="http://schemas.microsoft.com/office/drawing/2014/main" id="{8BAC7DC4-97E4-47DD-AAC5-3981C2045742}"/>
            </a:ext>
          </a:extLst>
        </xdr:cNvPr>
        <xdr:cNvSpPr>
          <a:spLocks noChangeShapeType="1"/>
        </xdr:cNvSpPr>
      </xdr:nvSpPr>
      <xdr:spPr bwMode="auto">
        <a:xfrm flipV="1">
          <a:off x="0" y="0"/>
          <a:ext cx="0" cy="0"/>
        </a:xfrm>
        <a:prstGeom prst="line">
          <a:avLst/>
        </a:prstGeom>
        <a:noFill/>
        <a:ln w="28575">
          <a:solidFill>
            <a:srgbClr xmlns:mc="http://schemas.openxmlformats.org/markup-compatibility/2006" xmlns:a14="http://schemas.microsoft.com/office/drawing/2010/main" val="000000" mc:Ignorable="a14" a14:legacySpreadsheetColorIndex="64"/>
          </a:solidFill>
          <a:round/>
          <a:headEnd/>
          <a:tailEnd type="stealth" w="med" len="lg"/>
        </a:ln>
        <a:extLst>
          <a:ext uri="{909E8E84-426E-40DD-AFC4-6F175D3DCCD1}">
            <a14:hiddenFill xmlns:a14="http://schemas.microsoft.com/office/drawing/2010/main">
              <a:noFill/>
            </a14:hiddenFill>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E3E2-7177-4366-A4F2-1053F13B8238}">
  <dimension ref="A1:I37"/>
  <sheetViews>
    <sheetView tabSelected="1" workbookViewId="0"/>
  </sheetViews>
  <sheetFormatPr defaultRowHeight="15" x14ac:dyDescent="0.25"/>
  <sheetData>
    <row r="1" spans="1:9" x14ac:dyDescent="0.25">
      <c r="A1" t="s">
        <v>51</v>
      </c>
      <c r="B1" t="s">
        <v>119</v>
      </c>
      <c r="C1" t="s">
        <v>122</v>
      </c>
      <c r="D1" t="s">
        <v>127</v>
      </c>
      <c r="E1" t="s">
        <v>132</v>
      </c>
      <c r="F1" t="s">
        <v>134</v>
      </c>
      <c r="G1" t="s">
        <v>138</v>
      </c>
      <c r="H1" t="s">
        <v>142</v>
      </c>
      <c r="I1" t="s">
        <v>146</v>
      </c>
    </row>
    <row r="2" spans="1:9" x14ac:dyDescent="0.25">
      <c r="A2" t="s">
        <v>83</v>
      </c>
      <c r="B2" s="55">
        <v>30.722222222222218</v>
      </c>
      <c r="C2" s="55">
        <v>39.125</v>
      </c>
      <c r="D2" s="55">
        <v>65.083333333333329</v>
      </c>
      <c r="E2" s="55">
        <v>84.75</v>
      </c>
      <c r="F2" s="55">
        <v>90.777777777777786</v>
      </c>
      <c r="G2" s="55">
        <v>103.04166666666667</v>
      </c>
      <c r="H2" s="55">
        <v>118.58333333333333</v>
      </c>
      <c r="I2" s="55">
        <v>125.66666666666667</v>
      </c>
    </row>
    <row r="3" spans="1:9" x14ac:dyDescent="0.25">
      <c r="A3" t="s">
        <v>84</v>
      </c>
      <c r="B3" s="55">
        <v>31</v>
      </c>
      <c r="C3" s="55">
        <v>40.208333333333336</v>
      </c>
      <c r="D3" s="55">
        <v>56.75</v>
      </c>
      <c r="E3" s="55">
        <v>81.583333333333329</v>
      </c>
      <c r="F3" s="55">
        <v>91.194444444444457</v>
      </c>
      <c r="G3" s="55">
        <v>95.458333333333329</v>
      </c>
      <c r="H3" s="55">
        <v>108.91666666666667</v>
      </c>
      <c r="I3" s="55">
        <v>108</v>
      </c>
    </row>
    <row r="4" spans="1:9" x14ac:dyDescent="0.25">
      <c r="A4" t="s">
        <v>85</v>
      </c>
      <c r="B4" s="55">
        <v>35.611111111111107</v>
      </c>
      <c r="C4" s="55">
        <v>40.916666666666664</v>
      </c>
      <c r="D4" s="55">
        <v>64.055555555555557</v>
      </c>
      <c r="E4" s="55">
        <v>81.791666666666671</v>
      </c>
      <c r="F4" s="55">
        <v>90.5</v>
      </c>
      <c r="G4" s="55">
        <v>102.125</v>
      </c>
      <c r="H4" s="55">
        <v>104.58333333333333</v>
      </c>
      <c r="I4" s="55">
        <v>108.58333333333333</v>
      </c>
    </row>
    <row r="5" spans="1:9" x14ac:dyDescent="0.25">
      <c r="A5" t="s">
        <v>86</v>
      </c>
      <c r="B5" s="55">
        <v>36.597222222222221</v>
      </c>
      <c r="C5" s="55">
        <v>47.166666666666664</v>
      </c>
      <c r="D5" s="55">
        <v>77.472222222222214</v>
      </c>
      <c r="E5" s="55">
        <v>94.875</v>
      </c>
      <c r="F5" s="55">
        <v>97.444444444444457</v>
      </c>
      <c r="G5" s="55">
        <v>99.916666666666671</v>
      </c>
      <c r="H5" s="55">
        <v>103.5</v>
      </c>
      <c r="I5" s="55">
        <v>104</v>
      </c>
    </row>
    <row r="6" spans="1:9" x14ac:dyDescent="0.25">
      <c r="A6" t="s">
        <v>87</v>
      </c>
      <c r="B6" s="55">
        <v>34.9375</v>
      </c>
      <c r="C6" s="55">
        <v>46.166666666666664</v>
      </c>
      <c r="D6" s="55">
        <v>71.138888888888886</v>
      </c>
      <c r="E6" s="55">
        <v>85.333333333333329</v>
      </c>
      <c r="F6" s="55">
        <v>90.611111111111128</v>
      </c>
      <c r="G6" s="55">
        <v>91.25</v>
      </c>
      <c r="H6" s="55">
        <v>100.25</v>
      </c>
      <c r="I6" s="55">
        <v>96.916666666666671</v>
      </c>
    </row>
    <row r="7" spans="1:9" x14ac:dyDescent="0.25">
      <c r="A7" t="s">
        <v>88</v>
      </c>
      <c r="B7" s="55">
        <v>38.5</v>
      </c>
      <c r="C7" s="55">
        <v>46.5</v>
      </c>
      <c r="D7" s="55">
        <v>81.166666666666671</v>
      </c>
      <c r="E7" s="55">
        <v>99.458333333333329</v>
      </c>
      <c r="F7" s="55">
        <v>108.63888888888887</v>
      </c>
      <c r="G7" s="55">
        <v>117.04166666666667</v>
      </c>
      <c r="H7" s="55">
        <v>122.08333333333333</v>
      </c>
      <c r="I7" s="55">
        <v>122.33333333333333</v>
      </c>
    </row>
    <row r="8" spans="1:9" x14ac:dyDescent="0.25">
      <c r="A8" t="s">
        <v>89</v>
      </c>
      <c r="B8" s="55">
        <v>38.833333333333336</v>
      </c>
      <c r="C8" s="55">
        <v>50</v>
      </c>
      <c r="D8" s="55">
        <v>80.777777777777786</v>
      </c>
      <c r="E8" s="55">
        <v>92.708333333333329</v>
      </c>
      <c r="F8" s="55">
        <v>101.91666666666667</v>
      </c>
      <c r="G8" s="55">
        <v>101.45833333333333</v>
      </c>
      <c r="H8" s="55">
        <v>107.83333333333333</v>
      </c>
      <c r="I8" s="55">
        <v>110</v>
      </c>
    </row>
    <row r="9" spans="1:9" x14ac:dyDescent="0.25">
      <c r="A9" t="s">
        <v>90</v>
      </c>
      <c r="B9" s="55">
        <v>38.625</v>
      </c>
      <c r="C9" s="55">
        <v>48.666666666666664</v>
      </c>
      <c r="D9" s="55">
        <v>79.666666666666671</v>
      </c>
      <c r="E9" s="55">
        <v>90.791666666666671</v>
      </c>
      <c r="F9" s="55">
        <v>98.058333333333337</v>
      </c>
      <c r="G9" s="55">
        <v>108.95833333333333</v>
      </c>
      <c r="H9" s="55">
        <v>114.08333333333333</v>
      </c>
      <c r="I9" s="55">
        <v>113.83333333333333</v>
      </c>
    </row>
    <row r="10" spans="1:9" x14ac:dyDescent="0.25">
      <c r="A10" t="s">
        <v>91</v>
      </c>
      <c r="B10" s="55">
        <v>35.376273148148151</v>
      </c>
      <c r="C10" s="55">
        <v>63</v>
      </c>
      <c r="D10" s="55">
        <v>75.5</v>
      </c>
      <c r="E10" s="55">
        <v>85.125</v>
      </c>
      <c r="F10" s="55">
        <v>89.888888888888872</v>
      </c>
      <c r="G10" s="55">
        <v>91.833333333333329</v>
      </c>
      <c r="H10" s="55">
        <v>102.75</v>
      </c>
      <c r="I10" s="55">
        <v>99.583333333333329</v>
      </c>
    </row>
    <row r="11" spans="1:9" x14ac:dyDescent="0.25">
      <c r="A11" t="s">
        <v>92</v>
      </c>
      <c r="B11" s="55">
        <v>38.472222222222221</v>
      </c>
      <c r="C11" s="55">
        <v>45.666666666666664</v>
      </c>
      <c r="D11" s="55">
        <v>73.583333333333329</v>
      </c>
      <c r="E11" s="55">
        <v>86.708333333333329</v>
      </c>
      <c r="F11" s="55">
        <v>94.083333333333329</v>
      </c>
      <c r="G11" s="55">
        <v>111.16666666666667</v>
      </c>
      <c r="H11" s="55">
        <v>126.66666666666667</v>
      </c>
      <c r="I11" s="55">
        <v>128.75</v>
      </c>
    </row>
    <row r="12" spans="1:9" x14ac:dyDescent="0.25">
      <c r="A12" t="s">
        <v>93</v>
      </c>
      <c r="B12" s="55">
        <v>37.722222222222221</v>
      </c>
      <c r="C12" s="55">
        <v>48.708333333333336</v>
      </c>
      <c r="D12" s="55">
        <v>77.305555555555557</v>
      </c>
      <c r="E12" s="55">
        <v>90.291666666666671</v>
      </c>
      <c r="F12" s="55">
        <v>97.333333333333329</v>
      </c>
      <c r="G12" s="55">
        <v>113.875</v>
      </c>
      <c r="H12" s="55">
        <v>126.5</v>
      </c>
      <c r="I12" s="55">
        <v>129.75</v>
      </c>
    </row>
    <row r="13" spans="1:9" x14ac:dyDescent="0.25">
      <c r="A13" t="s">
        <v>94</v>
      </c>
      <c r="B13" s="55">
        <v>45.791666666666664</v>
      </c>
      <c r="C13" s="55">
        <v>53.333333333333336</v>
      </c>
      <c r="D13" s="55">
        <v>83.722222222222214</v>
      </c>
      <c r="E13" s="55">
        <v>101.91666666666667</v>
      </c>
      <c r="F13" s="55">
        <v>106.63888888888887</v>
      </c>
      <c r="G13" s="55">
        <v>118</v>
      </c>
      <c r="H13" s="55">
        <v>120.83333333333333</v>
      </c>
      <c r="I13" s="55">
        <v>114.91666666666667</v>
      </c>
    </row>
    <row r="14" spans="1:9" x14ac:dyDescent="0.25">
      <c r="A14" t="s">
        <v>95</v>
      </c>
      <c r="B14" s="55">
        <v>32.888888888888886</v>
      </c>
      <c r="C14" s="55">
        <v>44.375</v>
      </c>
      <c r="D14" s="55">
        <v>75.777777777777786</v>
      </c>
      <c r="E14" s="55">
        <v>96.5</v>
      </c>
      <c r="F14" s="55">
        <v>102</v>
      </c>
      <c r="G14" s="55">
        <v>108.66666666666667</v>
      </c>
      <c r="H14" s="55">
        <v>115.91666666666667</v>
      </c>
      <c r="I14" s="55">
        <v>112.16666666666667</v>
      </c>
    </row>
    <row r="15" spans="1:9" x14ac:dyDescent="0.25">
      <c r="A15" t="s">
        <v>96</v>
      </c>
      <c r="B15" s="55">
        <v>32.166666666666664</v>
      </c>
      <c r="C15" s="55">
        <v>45.805555555555564</v>
      </c>
      <c r="D15" s="55">
        <v>65.111111111111114</v>
      </c>
      <c r="E15" s="55">
        <v>79.791666666666671</v>
      </c>
      <c r="F15" s="55">
        <v>89.625</v>
      </c>
      <c r="G15" s="55">
        <v>99.305555555555543</v>
      </c>
      <c r="H15" s="55">
        <v>113.5</v>
      </c>
      <c r="I15" s="55">
        <v>111.16666666666667</v>
      </c>
    </row>
    <row r="16" spans="1:9" x14ac:dyDescent="0.25">
      <c r="A16" t="s">
        <v>97</v>
      </c>
      <c r="B16" s="55">
        <v>41.388888888888893</v>
      </c>
      <c r="C16" s="55">
        <v>52.375</v>
      </c>
      <c r="D16" s="55">
        <v>81.888888888888886</v>
      </c>
      <c r="E16" s="55">
        <v>91.083333333333329</v>
      </c>
      <c r="F16" s="55">
        <v>98.055555555555543</v>
      </c>
      <c r="G16" s="55">
        <v>108.55555555555554</v>
      </c>
      <c r="H16" s="55">
        <v>108</v>
      </c>
      <c r="I16" s="55">
        <v>110.08333333333333</v>
      </c>
    </row>
    <row r="17" spans="1:9" x14ac:dyDescent="0.25">
      <c r="A17" t="s">
        <v>98</v>
      </c>
      <c r="B17" s="55">
        <v>30.944444444444446</v>
      </c>
      <c r="C17" s="55">
        <v>42.291666666666664</v>
      </c>
      <c r="D17" s="55">
        <v>69</v>
      </c>
      <c r="E17" s="55">
        <v>79.958333333333329</v>
      </c>
      <c r="F17" s="55">
        <v>88.166666666666671</v>
      </c>
      <c r="G17" s="55">
        <v>88.555555555555543</v>
      </c>
      <c r="H17" s="55">
        <v>108.58333333333333</v>
      </c>
      <c r="I17" s="55">
        <v>105</v>
      </c>
    </row>
    <row r="18" spans="1:9" x14ac:dyDescent="0.25">
      <c r="A18" t="s">
        <v>99</v>
      </c>
      <c r="B18" s="55">
        <v>39.694444444444443</v>
      </c>
      <c r="C18" s="55">
        <v>48.083333333333336</v>
      </c>
      <c r="D18" s="55">
        <v>77.305555555555557</v>
      </c>
      <c r="E18" s="55">
        <v>89.25</v>
      </c>
      <c r="F18" s="55">
        <v>100.02777777777779</v>
      </c>
      <c r="G18" s="55">
        <v>90.333333333333329</v>
      </c>
      <c r="H18" s="55">
        <v>101.08333333333333</v>
      </c>
      <c r="I18" s="55">
        <v>97.333333333333329</v>
      </c>
    </row>
    <row r="19" spans="1:9" x14ac:dyDescent="0.25">
      <c r="A19" t="s">
        <v>100</v>
      </c>
      <c r="B19" s="55">
        <v>35.611111111111107</v>
      </c>
      <c r="C19" s="55">
        <v>48.166666666666664</v>
      </c>
      <c r="D19" s="55">
        <v>77.027777777777786</v>
      </c>
      <c r="E19" s="55">
        <v>83.708333333333329</v>
      </c>
      <c r="F19" s="55">
        <v>92.611111111111128</v>
      </c>
      <c r="G19" s="55">
        <v>95.933333333333337</v>
      </c>
      <c r="H19" s="55">
        <v>104.41666666666667</v>
      </c>
      <c r="I19" s="55">
        <v>105</v>
      </c>
    </row>
    <row r="20" spans="1:9" x14ac:dyDescent="0.25">
      <c r="A20" t="s">
        <v>101</v>
      </c>
      <c r="B20" s="55">
        <v>34.416666666666664</v>
      </c>
      <c r="C20" s="55">
        <v>49.583333333333336</v>
      </c>
      <c r="D20" s="55">
        <v>66.027777777777771</v>
      </c>
      <c r="E20" s="55">
        <v>85</v>
      </c>
      <c r="F20" s="55">
        <v>91.958333333333329</v>
      </c>
      <c r="G20" s="55">
        <v>102.97222222222221</v>
      </c>
      <c r="H20" s="55">
        <v>103.5</v>
      </c>
      <c r="I20" s="55">
        <v>99.083333333333329</v>
      </c>
    </row>
    <row r="21" spans="1:9" x14ac:dyDescent="0.25">
      <c r="A21" t="s">
        <v>102</v>
      </c>
      <c r="B21" s="55">
        <v>32.694444444444443</v>
      </c>
      <c r="C21" s="55">
        <v>44.791666666666664</v>
      </c>
      <c r="D21" s="55">
        <v>72.361111111111114</v>
      </c>
      <c r="E21" s="55">
        <v>84.5</v>
      </c>
      <c r="F21" s="55">
        <v>94.111111111111128</v>
      </c>
      <c r="G21" s="55">
        <v>93.472222222222214</v>
      </c>
      <c r="H21" s="55">
        <v>100.41666666666667</v>
      </c>
      <c r="I21" s="55">
        <v>98.583333333333329</v>
      </c>
    </row>
    <row r="22" spans="1:9" x14ac:dyDescent="0.25">
      <c r="A22" t="s">
        <v>103</v>
      </c>
      <c r="B22" s="55">
        <v>37.041666666666664</v>
      </c>
      <c r="C22" s="55">
        <v>51.5</v>
      </c>
      <c r="D22" s="55">
        <v>80.888888888888886</v>
      </c>
      <c r="E22" s="55">
        <v>93.958333333333329</v>
      </c>
      <c r="F22" s="55">
        <v>105.44444444444446</v>
      </c>
      <c r="G22" s="55">
        <v>113.75</v>
      </c>
      <c r="H22" s="55">
        <v>121.66666666666667</v>
      </c>
      <c r="I22" s="55">
        <v>120</v>
      </c>
    </row>
    <row r="23" spans="1:9" x14ac:dyDescent="0.25">
      <c r="A23" t="s">
        <v>104</v>
      </c>
      <c r="B23" s="55">
        <v>38.555555555555557</v>
      </c>
      <c r="C23" s="55">
        <v>47.666666666666664</v>
      </c>
      <c r="D23" s="55">
        <v>74.083333333333329</v>
      </c>
      <c r="E23" s="55">
        <v>88.208333333333329</v>
      </c>
      <c r="F23" s="55">
        <v>93.777777777777786</v>
      </c>
      <c r="G23" s="55">
        <v>93.388888888888872</v>
      </c>
      <c r="H23" s="55">
        <v>100.25</v>
      </c>
      <c r="I23" s="55">
        <v>97.666666666666671</v>
      </c>
    </row>
    <row r="24" spans="1:9" x14ac:dyDescent="0.25">
      <c r="A24" t="s">
        <v>105</v>
      </c>
      <c r="B24" s="55">
        <v>38.333333333333336</v>
      </c>
      <c r="C24" s="55">
        <v>45.666666666666664</v>
      </c>
      <c r="D24" s="55">
        <v>80.083333333333329</v>
      </c>
      <c r="E24" s="55">
        <v>94</v>
      </c>
      <c r="F24" s="55">
        <v>96.416666666666671</v>
      </c>
      <c r="G24" s="55">
        <v>109.125</v>
      </c>
      <c r="H24" s="55">
        <v>119.66666666666667</v>
      </c>
      <c r="I24" s="55">
        <v>114.41666666666667</v>
      </c>
    </row>
    <row r="25" spans="1:9" x14ac:dyDescent="0.25">
      <c r="A25" t="s">
        <v>106</v>
      </c>
      <c r="B25" s="55">
        <v>36.111111111111114</v>
      </c>
      <c r="C25" s="55">
        <v>41.458333333333336</v>
      </c>
      <c r="D25" s="55">
        <v>62.361111111111107</v>
      </c>
      <c r="E25" s="55">
        <v>76.541666666666671</v>
      </c>
      <c r="F25" s="55">
        <v>99.194444444444457</v>
      </c>
      <c r="G25" s="55">
        <v>94.041666666666671</v>
      </c>
      <c r="H25" s="55">
        <v>108.58333333333333</v>
      </c>
      <c r="I25" s="55">
        <v>103.41666666666667</v>
      </c>
    </row>
    <row r="26" spans="1:9" x14ac:dyDescent="0.25">
      <c r="A26" t="s">
        <v>107</v>
      </c>
      <c r="B26" s="55">
        <v>28.583333333333332</v>
      </c>
      <c r="C26" s="55">
        <v>37.30555555555555</v>
      </c>
      <c r="D26" s="55">
        <v>57.555555555555564</v>
      </c>
      <c r="E26" s="55">
        <v>67.027777777777786</v>
      </c>
      <c r="F26" s="55">
        <v>80.722222222222214</v>
      </c>
      <c r="G26" s="55">
        <v>95.555555555555543</v>
      </c>
      <c r="H26" s="55">
        <v>116.16666666666667</v>
      </c>
      <c r="I26" s="55">
        <v>114.25</v>
      </c>
    </row>
    <row r="27" spans="1:9" x14ac:dyDescent="0.25">
      <c r="A27" t="s">
        <v>108</v>
      </c>
      <c r="B27" s="55">
        <v>30.527777777777775</v>
      </c>
      <c r="C27" s="55">
        <v>42.194444444444443</v>
      </c>
      <c r="D27" s="55">
        <v>67</v>
      </c>
      <c r="E27" s="55">
        <v>79.944444444444443</v>
      </c>
      <c r="F27" s="55">
        <v>96.416666666666671</v>
      </c>
      <c r="G27" s="55">
        <v>99.166666666666671</v>
      </c>
      <c r="H27" s="55">
        <v>115.66666666666667</v>
      </c>
      <c r="I27" s="55">
        <v>111.25</v>
      </c>
    </row>
    <row r="28" spans="1:9" x14ac:dyDescent="0.25">
      <c r="A28" t="s">
        <v>109</v>
      </c>
      <c r="B28" s="55">
        <v>29.194444444444446</v>
      </c>
      <c r="C28" s="55">
        <v>39.291666666666664</v>
      </c>
      <c r="D28" s="55">
        <v>68.694444444444443</v>
      </c>
      <c r="E28" s="55">
        <v>79.583333333333329</v>
      </c>
      <c r="F28" s="55">
        <v>99.861111111111128</v>
      </c>
      <c r="G28" s="55">
        <v>91.222222222222214</v>
      </c>
      <c r="H28" s="55">
        <v>99.583333333333329</v>
      </c>
      <c r="I28" s="55">
        <v>94.833333333333329</v>
      </c>
    </row>
    <row r="29" spans="1:9" x14ac:dyDescent="0.25">
      <c r="A29" t="s">
        <v>110</v>
      </c>
      <c r="B29" s="55">
        <v>36.277777777777779</v>
      </c>
      <c r="C29" s="55">
        <v>45.291666666666664</v>
      </c>
      <c r="D29" s="55">
        <v>75.861111111111114</v>
      </c>
      <c r="E29" s="55">
        <v>87.541666666666671</v>
      </c>
      <c r="F29" s="55">
        <v>97.833333333333329</v>
      </c>
      <c r="G29" s="55">
        <v>103.20833333333333</v>
      </c>
      <c r="H29" s="55">
        <v>119.83333333333333</v>
      </c>
      <c r="I29" s="55">
        <v>115</v>
      </c>
    </row>
    <row r="30" spans="1:9" x14ac:dyDescent="0.25">
      <c r="A30" t="s">
        <v>111</v>
      </c>
      <c r="B30" s="55">
        <v>34.138888888888893</v>
      </c>
      <c r="C30" s="55">
        <v>40.083333333333336</v>
      </c>
      <c r="D30" s="55">
        <v>66.305555555555557</v>
      </c>
      <c r="E30" s="55">
        <v>73.208333333333329</v>
      </c>
      <c r="F30" s="55">
        <v>98.388888888888872</v>
      </c>
      <c r="G30" s="55">
        <v>81.25</v>
      </c>
      <c r="H30" s="55">
        <v>82</v>
      </c>
      <c r="I30" s="55">
        <v>83.25</v>
      </c>
    </row>
    <row r="31" spans="1:9" x14ac:dyDescent="0.25">
      <c r="A31" t="s">
        <v>112</v>
      </c>
      <c r="B31" s="55">
        <v>33.888888888888893</v>
      </c>
      <c r="C31" s="55">
        <v>46.875</v>
      </c>
      <c r="D31" s="55">
        <v>79.361111111111114</v>
      </c>
      <c r="E31" s="55">
        <v>89.166666666666671</v>
      </c>
      <c r="F31" s="55">
        <v>99</v>
      </c>
      <c r="G31" s="55">
        <v>109.79166666666667</v>
      </c>
      <c r="H31" s="55">
        <v>116.08333333333333</v>
      </c>
      <c r="I31" s="55">
        <v>112.41666666666667</v>
      </c>
    </row>
    <row r="32" spans="1:9" x14ac:dyDescent="0.25">
      <c r="A32" t="s">
        <v>113</v>
      </c>
      <c r="B32" s="55">
        <v>28.125</v>
      </c>
      <c r="C32" s="55">
        <v>42.416666666666664</v>
      </c>
      <c r="D32" s="55">
        <v>60.361111111111107</v>
      </c>
      <c r="E32" s="55">
        <v>75.166666666666671</v>
      </c>
      <c r="F32" s="55">
        <v>85.916666666666671</v>
      </c>
      <c r="G32" s="55">
        <v>94.722222222222214</v>
      </c>
      <c r="H32" s="55">
        <v>112.58333333333333</v>
      </c>
      <c r="I32" s="55">
        <v>109.5</v>
      </c>
    </row>
    <row r="33" spans="1:9" x14ac:dyDescent="0.25">
      <c r="A33" t="s">
        <v>114</v>
      </c>
      <c r="B33" s="55">
        <v>35.111111111111107</v>
      </c>
      <c r="C33" s="55">
        <v>48.805555555555564</v>
      </c>
      <c r="D33" s="55">
        <v>73.277777777777786</v>
      </c>
      <c r="E33" s="55">
        <v>80.611111111111114</v>
      </c>
      <c r="F33" s="55">
        <v>90.611111111111128</v>
      </c>
      <c r="G33" s="55">
        <v>98.888888888888872</v>
      </c>
      <c r="H33" s="55">
        <v>112.83333333333333</v>
      </c>
      <c r="I33" s="55">
        <v>108.16666666666667</v>
      </c>
    </row>
    <row r="34" spans="1:9" x14ac:dyDescent="0.25">
      <c r="A34" t="s">
        <v>115</v>
      </c>
      <c r="B34" s="55">
        <v>35.027777777777779</v>
      </c>
      <c r="C34" s="55">
        <v>42.791666666666664</v>
      </c>
      <c r="D34" s="55">
        <v>62.166666666666664</v>
      </c>
      <c r="E34" s="55"/>
      <c r="F34" s="55">
        <v>82.833333333333329</v>
      </c>
      <c r="G34" s="55">
        <v>74.388888888888886</v>
      </c>
      <c r="H34" s="55">
        <v>76.166666666666671</v>
      </c>
      <c r="I34" s="55">
        <v>80.5</v>
      </c>
    </row>
    <row r="35" spans="1:9" x14ac:dyDescent="0.25">
      <c r="A35" t="s">
        <v>116</v>
      </c>
      <c r="B35" s="55">
        <v>33.69444444444445</v>
      </c>
      <c r="C35" s="55">
        <v>44</v>
      </c>
      <c r="D35" s="55">
        <v>51.027777777777771</v>
      </c>
      <c r="E35" s="55"/>
      <c r="F35" s="55">
        <v>67.833333333333329</v>
      </c>
      <c r="G35" s="55">
        <v>65.333333333333329</v>
      </c>
      <c r="H35" s="55">
        <v>64.333333333333329</v>
      </c>
      <c r="I35" s="55">
        <v>66.166666666666671</v>
      </c>
    </row>
    <row r="36" spans="1:9" x14ac:dyDescent="0.25">
      <c r="A36" t="s">
        <v>117</v>
      </c>
      <c r="B36" s="55">
        <v>35.083333333333336</v>
      </c>
      <c r="C36" s="55">
        <v>43.333333333333336</v>
      </c>
      <c r="D36" s="55">
        <v>67.666666666666671</v>
      </c>
      <c r="E36" s="55"/>
      <c r="F36" s="55">
        <v>90.333333333333329</v>
      </c>
      <c r="G36" s="55">
        <v>81.722222222222214</v>
      </c>
      <c r="H36" s="55">
        <v>85.25</v>
      </c>
      <c r="I36" s="55">
        <v>83.25</v>
      </c>
    </row>
    <row r="37" spans="1:9" x14ac:dyDescent="0.25">
      <c r="A37" t="s">
        <v>118</v>
      </c>
      <c r="B37" s="55">
        <v>31.041666666666668</v>
      </c>
      <c r="C37" s="55">
        <v>42.666666666666664</v>
      </c>
      <c r="D37" s="55">
        <v>47.583333333333336</v>
      </c>
      <c r="E37" s="55"/>
      <c r="F37" s="55">
        <v>74.583333333333329</v>
      </c>
      <c r="G37" s="55">
        <v>63.75</v>
      </c>
      <c r="H37" s="55">
        <v>64.083333333333329</v>
      </c>
      <c r="I37" s="55">
        <v>63.666666666666664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3C1CA-97B6-4AF3-8D1D-327695D61ADA}">
  <dimension ref="A1:I37"/>
  <sheetViews>
    <sheetView workbookViewId="0"/>
  </sheetViews>
  <sheetFormatPr defaultRowHeight="15" x14ac:dyDescent="0.25"/>
  <sheetData>
    <row r="1" spans="1:9" x14ac:dyDescent="0.25">
      <c r="A1" t="s">
        <v>51</v>
      </c>
      <c r="B1" t="s">
        <v>119</v>
      </c>
      <c r="C1" t="s">
        <v>122</v>
      </c>
      <c r="D1" t="s">
        <v>127</v>
      </c>
      <c r="E1" t="s">
        <v>132</v>
      </c>
      <c r="F1" t="s">
        <v>134</v>
      </c>
      <c r="G1" t="s">
        <v>138</v>
      </c>
      <c r="H1" t="s">
        <v>142</v>
      </c>
      <c r="I1" t="s">
        <v>146</v>
      </c>
    </row>
    <row r="2" spans="1:9" x14ac:dyDescent="0.25">
      <c r="A2" t="s">
        <v>83</v>
      </c>
      <c r="B2" s="55">
        <v>41.25</v>
      </c>
      <c r="C2" s="55">
        <v>55.416666666666664</v>
      </c>
      <c r="D2" s="55">
        <v>75.5</v>
      </c>
      <c r="E2" s="55">
        <v>90.583333333333329</v>
      </c>
      <c r="F2" s="55">
        <v>88.583333333333329</v>
      </c>
      <c r="G2" s="55">
        <v>92.625</v>
      </c>
      <c r="H2" s="55">
        <v>87.166666666666671</v>
      </c>
      <c r="I2" s="55">
        <v>90.833333333333329</v>
      </c>
    </row>
    <row r="3" spans="1:9" x14ac:dyDescent="0.25">
      <c r="A3" t="s">
        <v>84</v>
      </c>
      <c r="B3" s="55">
        <v>41.111111111111114</v>
      </c>
      <c r="C3" s="55">
        <v>54.5</v>
      </c>
      <c r="D3" s="55">
        <v>75.722222222222214</v>
      </c>
      <c r="E3" s="55">
        <v>85.916666666666671</v>
      </c>
      <c r="F3" s="55">
        <v>87</v>
      </c>
      <c r="G3" s="55">
        <v>89.5</v>
      </c>
      <c r="H3" s="55">
        <v>93.583333333333329</v>
      </c>
      <c r="I3" s="55">
        <v>83.333333333333329</v>
      </c>
    </row>
    <row r="4" spans="1:9" x14ac:dyDescent="0.25">
      <c r="A4" t="s">
        <v>85</v>
      </c>
      <c r="B4" s="55">
        <v>65.388888888888886</v>
      </c>
      <c r="C4" s="55">
        <v>71.833333333333329</v>
      </c>
      <c r="D4" s="55">
        <v>86.277777777777786</v>
      </c>
      <c r="E4" s="55">
        <v>99.25</v>
      </c>
      <c r="F4" s="55">
        <v>99.055555555555543</v>
      </c>
      <c r="G4" s="55">
        <v>98.5</v>
      </c>
      <c r="H4" s="55">
        <v>82.083333333333329</v>
      </c>
      <c r="I4" s="55">
        <v>88.583333333333329</v>
      </c>
    </row>
    <row r="5" spans="1:9" x14ac:dyDescent="0.25">
      <c r="A5" t="s">
        <v>86</v>
      </c>
      <c r="B5" s="55">
        <v>50.444444444444436</v>
      </c>
      <c r="C5" s="55">
        <v>59.5</v>
      </c>
      <c r="D5" s="55">
        <v>83.555555555555557</v>
      </c>
      <c r="E5" s="55">
        <v>95.458333333333329</v>
      </c>
      <c r="F5" s="55">
        <v>94.527777777777786</v>
      </c>
      <c r="G5" s="55">
        <v>96.625</v>
      </c>
      <c r="H5" s="55">
        <v>97.166666666666671</v>
      </c>
      <c r="I5" s="55">
        <v>78.083333333333329</v>
      </c>
    </row>
    <row r="6" spans="1:9" x14ac:dyDescent="0.25">
      <c r="A6" t="s">
        <v>87</v>
      </c>
      <c r="B6" s="55">
        <v>65.291666666666671</v>
      </c>
      <c r="C6" s="55">
        <v>73.666666666666671</v>
      </c>
      <c r="D6" s="55">
        <v>88.916666666666671</v>
      </c>
      <c r="E6" s="55">
        <v>96.375</v>
      </c>
      <c r="F6" s="55">
        <v>98.722222222222214</v>
      </c>
      <c r="G6" s="55">
        <v>100</v>
      </c>
      <c r="H6" s="55">
        <v>99.5</v>
      </c>
      <c r="I6" s="55">
        <v>87.666666666666671</v>
      </c>
    </row>
    <row r="7" spans="1:9" x14ac:dyDescent="0.25">
      <c r="A7" t="s">
        <v>88</v>
      </c>
      <c r="B7" s="55">
        <v>45.444444444444436</v>
      </c>
      <c r="C7" s="55">
        <v>60.833333333333336</v>
      </c>
      <c r="D7" s="55">
        <v>84.361111111111114</v>
      </c>
      <c r="E7" s="55">
        <v>91.291666666666671</v>
      </c>
      <c r="F7" s="55">
        <v>99.916666666666671</v>
      </c>
      <c r="G7" s="55">
        <v>100</v>
      </c>
      <c r="H7" s="55">
        <v>100</v>
      </c>
      <c r="I7" s="55">
        <v>93.5</v>
      </c>
    </row>
    <row r="8" spans="1:9" x14ac:dyDescent="0.25">
      <c r="A8" t="s">
        <v>89</v>
      </c>
      <c r="B8" s="55">
        <v>48.222222222222229</v>
      </c>
      <c r="C8" s="55">
        <v>59</v>
      </c>
      <c r="D8" s="55">
        <v>81.388888888888886</v>
      </c>
      <c r="E8" s="55">
        <v>91.125</v>
      </c>
      <c r="F8" s="55">
        <v>90.111111111111128</v>
      </c>
      <c r="G8" s="55">
        <v>92.083333333333329</v>
      </c>
      <c r="H8" s="55">
        <v>90.833333333333329</v>
      </c>
      <c r="I8" s="55">
        <v>71.083333333333329</v>
      </c>
    </row>
    <row r="9" spans="1:9" x14ac:dyDescent="0.25">
      <c r="A9" t="s">
        <v>90</v>
      </c>
      <c r="B9" s="55">
        <v>47.611111111111107</v>
      </c>
      <c r="C9" s="55">
        <v>58.5</v>
      </c>
      <c r="D9" s="55">
        <v>86.277777777777786</v>
      </c>
      <c r="E9" s="55">
        <v>91.958333333333329</v>
      </c>
      <c r="F9" s="55">
        <v>94.861111111111128</v>
      </c>
      <c r="G9" s="55">
        <v>99.833333333333329</v>
      </c>
      <c r="H9" s="55">
        <v>100</v>
      </c>
      <c r="I9" s="55">
        <v>76.416666666666671</v>
      </c>
    </row>
    <row r="10" spans="1:9" x14ac:dyDescent="0.25">
      <c r="A10" t="s">
        <v>91</v>
      </c>
      <c r="B10" s="55">
        <v>67.125</v>
      </c>
      <c r="C10" s="55">
        <v>70.166666666666671</v>
      </c>
      <c r="D10" s="55">
        <v>89.166666666666671</v>
      </c>
      <c r="E10" s="55">
        <v>101.95833333333333</v>
      </c>
      <c r="F10" s="55">
        <v>100.88888888888887</v>
      </c>
      <c r="G10" s="55">
        <v>99.875</v>
      </c>
      <c r="H10" s="55">
        <v>99.166666666666671</v>
      </c>
      <c r="I10" s="55">
        <v>89.416666666666671</v>
      </c>
    </row>
    <row r="11" spans="1:9" x14ac:dyDescent="0.25">
      <c r="A11" t="s">
        <v>92</v>
      </c>
      <c r="B11" s="55">
        <v>49.972222222222229</v>
      </c>
      <c r="C11" s="55">
        <v>55.833333333333336</v>
      </c>
      <c r="D11" s="55">
        <v>73.444444444444443</v>
      </c>
      <c r="E11" s="55">
        <v>87.375</v>
      </c>
      <c r="F11" s="55">
        <v>92.527777777777786</v>
      </c>
      <c r="G11" s="55">
        <v>91.125</v>
      </c>
      <c r="H11" s="55">
        <v>100</v>
      </c>
      <c r="I11" s="55">
        <v>88.666666666666671</v>
      </c>
    </row>
    <row r="12" spans="1:9" x14ac:dyDescent="0.25">
      <c r="A12" t="s">
        <v>93</v>
      </c>
      <c r="B12" s="55">
        <v>52.222222222222229</v>
      </c>
      <c r="C12" s="55">
        <v>58.375</v>
      </c>
      <c r="D12" s="55">
        <v>76.611111111111114</v>
      </c>
      <c r="E12" s="55">
        <v>90.875</v>
      </c>
      <c r="F12" s="55">
        <v>91.861111111111128</v>
      </c>
      <c r="G12" s="55">
        <v>98.875</v>
      </c>
      <c r="H12" s="55">
        <v>95.333333333333329</v>
      </c>
      <c r="I12" s="55">
        <v>83.75</v>
      </c>
    </row>
    <row r="13" spans="1:9" x14ac:dyDescent="0.25">
      <c r="A13" t="s">
        <v>94</v>
      </c>
      <c r="B13" s="55">
        <v>66.833333333333329</v>
      </c>
      <c r="C13" s="55">
        <v>78.333333333333329</v>
      </c>
      <c r="D13" s="55">
        <v>95.194444444444457</v>
      </c>
      <c r="E13" s="55">
        <v>112.66666666666667</v>
      </c>
      <c r="F13" s="55">
        <v>104.91666666666667</v>
      </c>
      <c r="G13" s="55">
        <v>100</v>
      </c>
      <c r="H13" s="55">
        <v>85.166666666666671</v>
      </c>
      <c r="I13" s="55">
        <v>89.75</v>
      </c>
    </row>
    <row r="14" spans="1:9" x14ac:dyDescent="0.25">
      <c r="A14" t="s">
        <v>95</v>
      </c>
      <c r="B14" s="55">
        <v>44.583333333333336</v>
      </c>
      <c r="C14" s="55">
        <v>56.333333333333336</v>
      </c>
      <c r="D14" s="55">
        <v>83.472222222222214</v>
      </c>
      <c r="E14" s="55">
        <v>100.58333333333333</v>
      </c>
      <c r="F14" s="55">
        <v>96.694444444444457</v>
      </c>
      <c r="G14" s="55">
        <v>99.125</v>
      </c>
      <c r="H14" s="55">
        <v>86.833333333333329</v>
      </c>
      <c r="I14" s="55">
        <v>88.333333333333329</v>
      </c>
    </row>
    <row r="15" spans="1:9" x14ac:dyDescent="0.25">
      <c r="A15" t="s">
        <v>96</v>
      </c>
      <c r="B15" s="55">
        <v>41.041666666666664</v>
      </c>
      <c r="C15" s="55">
        <v>56.416666666666664</v>
      </c>
      <c r="D15" s="55">
        <v>67.944444444444443</v>
      </c>
      <c r="E15" s="55">
        <v>79.833333333333329</v>
      </c>
      <c r="F15" s="55">
        <v>87</v>
      </c>
      <c r="G15" s="55">
        <v>90.027777777777786</v>
      </c>
      <c r="H15" s="55">
        <v>95.916666666666671</v>
      </c>
      <c r="I15" s="55">
        <v>84</v>
      </c>
    </row>
    <row r="16" spans="1:9" x14ac:dyDescent="0.25">
      <c r="A16" t="s">
        <v>97</v>
      </c>
      <c r="B16" s="55">
        <v>56.083333333333336</v>
      </c>
      <c r="C16" s="55">
        <v>66.541666666666671</v>
      </c>
      <c r="D16" s="55">
        <v>84.388888888888886</v>
      </c>
      <c r="E16" s="55">
        <v>100.58333333333333</v>
      </c>
      <c r="F16" s="55">
        <v>94.583333333333329</v>
      </c>
      <c r="G16" s="55">
        <v>97.027777777777786</v>
      </c>
      <c r="H16" s="55">
        <v>95.75</v>
      </c>
      <c r="I16" s="55">
        <v>84.25</v>
      </c>
    </row>
    <row r="17" spans="1:9" x14ac:dyDescent="0.25">
      <c r="A17" t="s">
        <v>98</v>
      </c>
      <c r="B17" s="55">
        <v>39.55555555555555</v>
      </c>
      <c r="C17" s="55">
        <v>52.458333333333336</v>
      </c>
      <c r="D17" s="55">
        <v>76.916666666666671</v>
      </c>
      <c r="E17" s="55">
        <v>91.458333333333329</v>
      </c>
      <c r="F17" s="55">
        <v>90.527777777777786</v>
      </c>
      <c r="G17" s="55">
        <v>90.777777777777786</v>
      </c>
      <c r="H17" s="55">
        <v>92.25</v>
      </c>
      <c r="I17" s="55">
        <v>86.166666666666671</v>
      </c>
    </row>
    <row r="18" spans="1:9" x14ac:dyDescent="0.25">
      <c r="A18" t="s">
        <v>99</v>
      </c>
      <c r="B18" s="55">
        <v>50.777777777777771</v>
      </c>
      <c r="C18" s="55">
        <v>59.027777777777771</v>
      </c>
      <c r="D18" s="55">
        <v>81.222222222222214</v>
      </c>
      <c r="E18" s="55">
        <v>101.375</v>
      </c>
      <c r="F18" s="55">
        <v>93.027777777777786</v>
      </c>
      <c r="G18" s="55">
        <v>101.83333333333333</v>
      </c>
      <c r="H18" s="55">
        <v>95.25</v>
      </c>
      <c r="I18" s="55">
        <v>85.916666666666671</v>
      </c>
    </row>
    <row r="19" spans="1:9" x14ac:dyDescent="0.25">
      <c r="A19" t="s">
        <v>100</v>
      </c>
      <c r="B19" s="55">
        <v>48.333333333333336</v>
      </c>
      <c r="C19" s="55">
        <v>56.75</v>
      </c>
      <c r="D19" s="55">
        <v>76.194444444444443</v>
      </c>
      <c r="E19" s="55">
        <v>83.958333333333329</v>
      </c>
      <c r="F19" s="55">
        <v>91.138888888888872</v>
      </c>
      <c r="G19" s="55">
        <v>97</v>
      </c>
      <c r="H19" s="55">
        <v>85</v>
      </c>
      <c r="I19" s="55">
        <v>72.416666666666671</v>
      </c>
    </row>
    <row r="20" spans="1:9" x14ac:dyDescent="0.25">
      <c r="A20" t="s">
        <v>101</v>
      </c>
      <c r="B20" s="55">
        <v>44.875</v>
      </c>
      <c r="C20" s="55">
        <v>60.916666666666664</v>
      </c>
      <c r="D20" s="55">
        <v>79.166666666666671</v>
      </c>
      <c r="E20" s="55">
        <v>85.625</v>
      </c>
      <c r="F20" s="55">
        <v>94.416666666666671</v>
      </c>
      <c r="G20" s="55">
        <v>96.527777777777786</v>
      </c>
      <c r="H20" s="55">
        <v>84</v>
      </c>
      <c r="I20" s="55">
        <v>80.083333333333329</v>
      </c>
    </row>
    <row r="21" spans="1:9" x14ac:dyDescent="0.25">
      <c r="A21" t="s">
        <v>102</v>
      </c>
      <c r="B21" s="55">
        <v>44.972222222222229</v>
      </c>
      <c r="C21" s="55">
        <v>52.625</v>
      </c>
      <c r="D21" s="55">
        <v>81</v>
      </c>
      <c r="E21" s="55">
        <v>91.208333333333329</v>
      </c>
      <c r="F21" s="55">
        <v>89.25</v>
      </c>
      <c r="G21" s="55">
        <v>95.305555555555543</v>
      </c>
      <c r="H21" s="55">
        <v>93.75</v>
      </c>
      <c r="I21" s="55">
        <v>84.083333333333329</v>
      </c>
    </row>
    <row r="22" spans="1:9" x14ac:dyDescent="0.25">
      <c r="A22" t="s">
        <v>103</v>
      </c>
      <c r="B22" s="55">
        <v>69.541666666666671</v>
      </c>
      <c r="C22" s="55">
        <v>76.666666666666671</v>
      </c>
      <c r="D22" s="55">
        <v>95.972222222222214</v>
      </c>
      <c r="E22" s="55">
        <v>107.125</v>
      </c>
      <c r="F22" s="55">
        <v>100.72222222222221</v>
      </c>
      <c r="G22" s="55">
        <v>100</v>
      </c>
      <c r="H22" s="55">
        <v>91.666666666666671</v>
      </c>
      <c r="I22" s="55">
        <v>92.166666666666671</v>
      </c>
    </row>
    <row r="23" spans="1:9" x14ac:dyDescent="0.25">
      <c r="A23" t="s">
        <v>104</v>
      </c>
      <c r="B23" s="55">
        <v>51.055555555555564</v>
      </c>
      <c r="C23" s="55">
        <v>60.75</v>
      </c>
      <c r="D23" s="55">
        <v>78.722222222222214</v>
      </c>
      <c r="E23" s="55">
        <v>93.083333333333329</v>
      </c>
      <c r="F23" s="55">
        <v>89.861111111111128</v>
      </c>
      <c r="G23" s="55">
        <v>95.527777777777786</v>
      </c>
      <c r="H23" s="55">
        <v>90.083333333333329</v>
      </c>
      <c r="I23" s="55">
        <v>83</v>
      </c>
    </row>
    <row r="24" spans="1:9" x14ac:dyDescent="0.25">
      <c r="A24" t="s">
        <v>105</v>
      </c>
      <c r="B24" s="55">
        <v>51.194444444444436</v>
      </c>
      <c r="C24" s="55">
        <v>59</v>
      </c>
      <c r="D24" s="55">
        <v>83.111111111111114</v>
      </c>
      <c r="E24" s="55">
        <v>98.541666666666671</v>
      </c>
      <c r="F24" s="55">
        <v>97.944444444444457</v>
      </c>
      <c r="G24" s="55">
        <v>98.541666666666671</v>
      </c>
      <c r="H24" s="55">
        <v>94.833333333333329</v>
      </c>
      <c r="I24" s="55">
        <v>88.583333333333329</v>
      </c>
    </row>
    <row r="25" spans="1:9" x14ac:dyDescent="0.25">
      <c r="A25" t="s">
        <v>106</v>
      </c>
      <c r="B25" s="55">
        <v>64.5</v>
      </c>
      <c r="C25" s="55">
        <v>65.708333333333329</v>
      </c>
      <c r="D25" s="55">
        <v>88.638888888888872</v>
      </c>
      <c r="E25" s="55">
        <v>102.75</v>
      </c>
      <c r="F25" s="55">
        <v>87.5</v>
      </c>
      <c r="G25" s="55">
        <v>97.333333333333329</v>
      </c>
      <c r="H25" s="55">
        <v>89.666666666666671</v>
      </c>
      <c r="I25" s="55">
        <v>82.833333333333329</v>
      </c>
    </row>
    <row r="26" spans="1:9" x14ac:dyDescent="0.25">
      <c r="A26" t="s">
        <v>107</v>
      </c>
      <c r="B26" s="55">
        <v>37.666666666666664</v>
      </c>
      <c r="C26" s="55">
        <v>43.888888888888893</v>
      </c>
      <c r="D26" s="55">
        <v>62.055555555555564</v>
      </c>
      <c r="E26" s="55">
        <v>66.583333333333329</v>
      </c>
      <c r="F26" s="55">
        <v>82.333333333333329</v>
      </c>
      <c r="G26" s="55">
        <v>91.805555555555543</v>
      </c>
      <c r="H26" s="55">
        <v>91.333333333333329</v>
      </c>
      <c r="I26" s="55">
        <v>79.416666666666671</v>
      </c>
    </row>
    <row r="27" spans="1:9" x14ac:dyDescent="0.25">
      <c r="A27" t="s">
        <v>108</v>
      </c>
      <c r="B27" s="55">
        <v>53.472222222222229</v>
      </c>
      <c r="C27" s="55">
        <v>56.583333333333336</v>
      </c>
      <c r="D27" s="55">
        <v>75.041666666666671</v>
      </c>
      <c r="E27" s="55">
        <v>86.5</v>
      </c>
      <c r="F27" s="55">
        <v>90.611111111111128</v>
      </c>
      <c r="G27" s="55">
        <v>97.722222222222214</v>
      </c>
      <c r="H27" s="55">
        <v>98.833333333333329</v>
      </c>
      <c r="I27" s="55">
        <v>87.5</v>
      </c>
    </row>
    <row r="28" spans="1:9" x14ac:dyDescent="0.25">
      <c r="A28" t="s">
        <v>109</v>
      </c>
      <c r="B28" s="55">
        <v>65.25</v>
      </c>
      <c r="C28" s="55">
        <v>68.25</v>
      </c>
      <c r="D28" s="55">
        <v>83</v>
      </c>
      <c r="E28" s="55">
        <v>102.20833333333333</v>
      </c>
      <c r="F28" s="55">
        <v>85</v>
      </c>
      <c r="G28" s="55">
        <v>100</v>
      </c>
      <c r="H28" s="55">
        <v>93.916666666666671</v>
      </c>
      <c r="I28" s="55">
        <v>79.083333333333329</v>
      </c>
    </row>
    <row r="29" spans="1:9" x14ac:dyDescent="0.25">
      <c r="A29" t="s">
        <v>110</v>
      </c>
      <c r="B29" s="55">
        <v>50.388888888888893</v>
      </c>
      <c r="C29" s="55">
        <v>56.625</v>
      </c>
      <c r="D29" s="55">
        <v>81.666666666666671</v>
      </c>
      <c r="E29" s="55">
        <v>100.77777777777779</v>
      </c>
      <c r="F29" s="55">
        <v>98.866666666666674</v>
      </c>
      <c r="G29" s="55">
        <v>100</v>
      </c>
      <c r="H29" s="55">
        <v>83.083333333333329</v>
      </c>
      <c r="I29" s="55">
        <v>81.5</v>
      </c>
    </row>
    <row r="30" spans="1:9" x14ac:dyDescent="0.25">
      <c r="A30" t="s">
        <v>111</v>
      </c>
      <c r="B30" s="55">
        <v>69.194444444444443</v>
      </c>
      <c r="C30" s="55">
        <v>73.833333333333329</v>
      </c>
      <c r="D30" s="55">
        <v>83.722222222222214</v>
      </c>
      <c r="E30" s="55">
        <v>98.791666666666671</v>
      </c>
      <c r="F30" s="55">
        <v>81.166666666666671</v>
      </c>
      <c r="G30" s="55">
        <v>100.95833333333333</v>
      </c>
      <c r="H30" s="55">
        <v>93.75</v>
      </c>
      <c r="I30" s="55">
        <v>74.666666666666671</v>
      </c>
    </row>
    <row r="31" spans="1:9" x14ac:dyDescent="0.25">
      <c r="A31" t="s">
        <v>112</v>
      </c>
      <c r="B31" s="55">
        <v>56.166666666666664</v>
      </c>
      <c r="C31" s="55">
        <v>59.625</v>
      </c>
      <c r="D31" s="55">
        <v>82.638888888888886</v>
      </c>
      <c r="E31" s="55">
        <v>103.41666666666667</v>
      </c>
      <c r="F31" s="55">
        <v>99.666666666666671</v>
      </c>
      <c r="G31" s="55">
        <v>100</v>
      </c>
      <c r="H31" s="55">
        <v>86.833333333333329</v>
      </c>
      <c r="I31" s="55">
        <v>81.916666666666671</v>
      </c>
    </row>
    <row r="32" spans="1:9" x14ac:dyDescent="0.25">
      <c r="A32" t="s">
        <v>113</v>
      </c>
      <c r="B32" s="55">
        <v>42.125</v>
      </c>
      <c r="C32" s="55">
        <v>52.972222222222229</v>
      </c>
      <c r="D32" s="55">
        <v>68.055555555555557</v>
      </c>
      <c r="E32" s="55">
        <v>89.666666666666671</v>
      </c>
      <c r="F32" s="55">
        <v>84.305555555555557</v>
      </c>
      <c r="G32" s="55">
        <v>92</v>
      </c>
      <c r="H32" s="55">
        <v>92.75</v>
      </c>
      <c r="I32" s="55">
        <v>84.5</v>
      </c>
    </row>
    <row r="33" spans="1:9" x14ac:dyDescent="0.25">
      <c r="A33" t="s">
        <v>114</v>
      </c>
      <c r="B33" s="55">
        <v>49.472222222222229</v>
      </c>
      <c r="C33" s="55">
        <v>56.694444444444436</v>
      </c>
      <c r="D33" s="55">
        <v>75.027777777777786</v>
      </c>
      <c r="E33" s="55">
        <v>88.5</v>
      </c>
      <c r="F33" s="55">
        <v>89.333333333333329</v>
      </c>
      <c r="G33" s="55">
        <v>95.805555555555543</v>
      </c>
      <c r="H33" s="55">
        <v>93.75</v>
      </c>
      <c r="I33" s="55">
        <v>85.833333333333329</v>
      </c>
    </row>
    <row r="34" spans="1:9" x14ac:dyDescent="0.25">
      <c r="A34" t="s">
        <v>115</v>
      </c>
      <c r="B34" s="55">
        <v>47.277777777777771</v>
      </c>
      <c r="C34" s="55">
        <v>58.333333333333336</v>
      </c>
      <c r="D34" s="55">
        <v>73.472222222222214</v>
      </c>
      <c r="E34" s="55"/>
      <c r="F34" s="55">
        <v>69.638888888888886</v>
      </c>
      <c r="G34" s="55">
        <v>83.111111111111114</v>
      </c>
      <c r="H34" s="55">
        <v>85.083333333333329</v>
      </c>
      <c r="I34" s="55">
        <v>68.666666666666671</v>
      </c>
    </row>
    <row r="35" spans="1:9" x14ac:dyDescent="0.25">
      <c r="A35" t="s">
        <v>116</v>
      </c>
      <c r="B35" s="55">
        <v>47.75</v>
      </c>
      <c r="C35" s="55">
        <v>55.861111111111107</v>
      </c>
      <c r="D35" s="55">
        <v>58.611111111111107</v>
      </c>
      <c r="E35" s="55"/>
      <c r="F35" s="55">
        <v>59.861111111111107</v>
      </c>
      <c r="G35" s="55">
        <v>68.5</v>
      </c>
      <c r="H35" s="55">
        <v>68.333333333333329</v>
      </c>
      <c r="I35" s="55">
        <v>60.833333333333336</v>
      </c>
    </row>
    <row r="36" spans="1:9" x14ac:dyDescent="0.25">
      <c r="A36" t="s">
        <v>117</v>
      </c>
      <c r="B36" s="55">
        <v>45.277777777777771</v>
      </c>
      <c r="C36" s="55">
        <v>56.458333333333336</v>
      </c>
      <c r="D36" s="55">
        <v>76.444444444444443</v>
      </c>
      <c r="E36" s="55"/>
      <c r="F36" s="55">
        <v>81.222222222222214</v>
      </c>
      <c r="G36" s="55">
        <v>88.416666666666671</v>
      </c>
      <c r="H36" s="55">
        <v>87.166666666666671</v>
      </c>
      <c r="I36" s="55">
        <v>80</v>
      </c>
    </row>
    <row r="37" spans="1:9" x14ac:dyDescent="0.25">
      <c r="A37" t="s">
        <v>118</v>
      </c>
      <c r="B37" s="55">
        <v>40.694444444444443</v>
      </c>
      <c r="C37" s="55">
        <v>56.138888888888893</v>
      </c>
      <c r="D37" s="55">
        <v>59.166666666666664</v>
      </c>
      <c r="E37" s="55"/>
      <c r="F37" s="55">
        <v>64.055555555555557</v>
      </c>
      <c r="G37" s="55">
        <v>74.333333333333329</v>
      </c>
      <c r="H37" s="55">
        <v>67.25</v>
      </c>
      <c r="I37" s="55">
        <v>67.833333333333329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F7B14-3099-4F42-9F6E-D05F7F5245F6}">
  <sheetPr>
    <pageSetUpPr fitToPage="1"/>
  </sheetPr>
  <dimension ref="A1:CI87"/>
  <sheetViews>
    <sheetView workbookViewId="0">
      <selection activeCell="N2" sqref="N2"/>
    </sheetView>
  </sheetViews>
  <sheetFormatPr defaultRowHeight="12.75" x14ac:dyDescent="0.2"/>
  <cols>
    <col min="1" max="1" width="9.140625" style="1"/>
    <col min="2" max="2" width="4.85546875" style="1" customWidth="1"/>
    <col min="3" max="3" width="5.7109375" style="1" customWidth="1"/>
    <col min="4" max="8" width="5.28515625" style="1" hidden="1" customWidth="1"/>
    <col min="9" max="9" width="7" style="1" hidden="1" customWidth="1"/>
    <col min="10" max="11" width="9" style="1" customWidth="1"/>
    <col min="12" max="13" width="9.140625" style="1"/>
    <col min="14" max="14" width="9.7109375" style="1" customWidth="1"/>
    <col min="15" max="25" width="9.140625" style="1"/>
    <col min="26" max="26" width="10.140625" style="1" customWidth="1"/>
    <col min="27" max="27" width="12.7109375" style="1" customWidth="1"/>
    <col min="28" max="35" width="9.140625" style="1"/>
    <col min="36" max="36" width="7.5703125" style="1" customWidth="1"/>
    <col min="37" max="46" width="7.7109375" style="1" customWidth="1"/>
    <col min="47" max="16384" width="9.140625" style="1"/>
  </cols>
  <sheetData>
    <row r="1" spans="1:87" ht="15" customHeight="1" x14ac:dyDescent="0.25">
      <c r="A1" s="44" t="s">
        <v>82</v>
      </c>
    </row>
    <row r="2" spans="1:87" ht="15" customHeight="1" thickBot="1" x14ac:dyDescent="0.3">
      <c r="A2" s="44"/>
      <c r="N2" s="43"/>
      <c r="X2" s="20" t="s">
        <v>81</v>
      </c>
      <c r="Y2" s="42">
        <v>37789</v>
      </c>
      <c r="Z2" s="39"/>
    </row>
    <row r="3" spans="1:87" ht="15" customHeight="1" thickBot="1" x14ac:dyDescent="0.25">
      <c r="B3" s="1" t="s">
        <v>80</v>
      </c>
      <c r="D3" s="41"/>
      <c r="E3" s="41"/>
      <c r="F3" s="41"/>
      <c r="G3" s="41"/>
      <c r="H3" s="41"/>
      <c r="I3" s="41"/>
      <c r="J3" s="41" t="s">
        <v>79</v>
      </c>
      <c r="K3" s="41"/>
      <c r="L3" s="41"/>
      <c r="M3" s="41"/>
      <c r="N3" s="41"/>
      <c r="O3" s="41"/>
      <c r="P3" s="41"/>
      <c r="Q3" s="41"/>
      <c r="R3" s="41"/>
      <c r="S3" s="41"/>
      <c r="T3" s="41"/>
      <c r="U3" s="41"/>
      <c r="V3" s="41"/>
    </row>
    <row r="4" spans="1:87" ht="13.5" thickBot="1" x14ac:dyDescent="0.25">
      <c r="D4" s="40"/>
      <c r="E4" s="40"/>
      <c r="F4" s="40"/>
      <c r="G4" s="40"/>
      <c r="H4" s="40"/>
      <c r="I4" s="40"/>
      <c r="J4" s="40"/>
      <c r="K4" s="40"/>
      <c r="L4" s="40"/>
      <c r="M4" s="40"/>
      <c r="N4" s="40"/>
      <c r="O4" s="40"/>
      <c r="P4" s="40"/>
      <c r="Q4" s="40"/>
      <c r="R4" s="40"/>
      <c r="S4" s="40"/>
      <c r="T4" s="40"/>
      <c r="U4" s="40"/>
      <c r="V4" s="40"/>
      <c r="X4" s="20" t="s">
        <v>78</v>
      </c>
      <c r="Y4" s="39" t="s">
        <v>77</v>
      </c>
      <c r="Z4" s="39"/>
    </row>
    <row r="5" spans="1:87" ht="18" x14ac:dyDescent="0.2">
      <c r="AS5" s="38"/>
      <c r="AT5" s="56" t="s">
        <v>76</v>
      </c>
      <c r="AU5" s="56"/>
      <c r="AV5" s="56"/>
    </row>
    <row r="6" spans="1:87" ht="25.5" customHeight="1" x14ac:dyDescent="0.2">
      <c r="B6" s="36" t="s">
        <v>51</v>
      </c>
      <c r="C6" s="37" t="s">
        <v>50</v>
      </c>
      <c r="D6" s="37" t="s">
        <v>75</v>
      </c>
      <c r="E6" s="36" t="s">
        <v>74</v>
      </c>
      <c r="F6" s="37" t="s">
        <v>73</v>
      </c>
      <c r="G6" s="36" t="s">
        <v>72</v>
      </c>
      <c r="H6" s="36" t="s">
        <v>45</v>
      </c>
      <c r="I6" s="36" t="s">
        <v>71</v>
      </c>
      <c r="J6" s="36" t="s">
        <v>43</v>
      </c>
      <c r="K6" s="35" t="s">
        <v>70</v>
      </c>
      <c r="L6" s="65" t="s">
        <v>69</v>
      </c>
      <c r="M6" s="66"/>
      <c r="N6" s="65" t="s">
        <v>68</v>
      </c>
      <c r="O6" s="66"/>
      <c r="P6" s="65" t="s">
        <v>67</v>
      </c>
      <c r="Q6" s="67"/>
      <c r="R6" s="67"/>
      <c r="S6" s="67"/>
      <c r="T6" s="66"/>
      <c r="U6" s="65" t="s">
        <v>66</v>
      </c>
      <c r="V6" s="66"/>
      <c r="W6" s="65" t="s">
        <v>65</v>
      </c>
      <c r="X6" s="66"/>
      <c r="Y6" s="65" t="s">
        <v>64</v>
      </c>
      <c r="Z6" s="66"/>
      <c r="AA6" s="61" t="s">
        <v>63</v>
      </c>
      <c r="AB6" s="61" t="s">
        <v>62</v>
      </c>
      <c r="AC6" s="63" t="s">
        <v>61</v>
      </c>
      <c r="AS6" s="34"/>
      <c r="AT6" s="2" t="s">
        <v>60</v>
      </c>
      <c r="AU6" s="2"/>
    </row>
    <row r="7" spans="1:87" ht="15.75" customHeight="1" x14ac:dyDescent="0.2">
      <c r="B7" s="59"/>
      <c r="C7" s="60"/>
      <c r="D7" s="60"/>
      <c r="E7" s="60"/>
      <c r="F7" s="60"/>
      <c r="G7" s="60"/>
      <c r="H7" s="60"/>
      <c r="I7" s="33"/>
      <c r="J7" s="57" t="s">
        <v>59</v>
      </c>
      <c r="K7" s="58"/>
      <c r="L7" s="32" t="s">
        <v>55</v>
      </c>
      <c r="M7" s="31" t="s">
        <v>54</v>
      </c>
      <c r="N7" s="32" t="s">
        <v>55</v>
      </c>
      <c r="O7" s="31" t="s">
        <v>54</v>
      </c>
      <c r="P7" s="32" t="s">
        <v>58</v>
      </c>
      <c r="Q7" s="31" t="s">
        <v>55</v>
      </c>
      <c r="R7" s="31" t="s">
        <v>57</v>
      </c>
      <c r="S7" s="31" t="s">
        <v>54</v>
      </c>
      <c r="T7" s="31" t="s">
        <v>56</v>
      </c>
      <c r="U7" s="32" t="s">
        <v>55</v>
      </c>
      <c r="V7" s="31" t="s">
        <v>54</v>
      </c>
      <c r="W7" s="32" t="s">
        <v>55</v>
      </c>
      <c r="X7" s="31" t="s">
        <v>54</v>
      </c>
      <c r="Y7" s="32" t="s">
        <v>55</v>
      </c>
      <c r="Z7" s="31" t="s">
        <v>54</v>
      </c>
      <c r="AA7" s="62"/>
      <c r="AB7" s="62"/>
      <c r="AC7" s="64"/>
      <c r="AT7" s="12" t="s">
        <v>7</v>
      </c>
      <c r="AU7" s="12" t="s">
        <v>53</v>
      </c>
      <c r="AV7" s="12" t="s">
        <v>52</v>
      </c>
    </row>
    <row r="8" spans="1:87" ht="15.75" customHeight="1" x14ac:dyDescent="0.2">
      <c r="B8" s="28" t="s">
        <v>51</v>
      </c>
      <c r="C8" s="30" t="s">
        <v>50</v>
      </c>
      <c r="D8" s="30" t="s">
        <v>49</v>
      </c>
      <c r="E8" s="28" t="s">
        <v>48</v>
      </c>
      <c r="F8" s="30" t="s">
        <v>47</v>
      </c>
      <c r="G8" s="28" t="s">
        <v>46</v>
      </c>
      <c r="H8" s="28" t="s">
        <v>45</v>
      </c>
      <c r="I8" s="28" t="s">
        <v>44</v>
      </c>
      <c r="J8" s="27" t="s">
        <v>43</v>
      </c>
      <c r="K8" s="27" t="s">
        <v>42</v>
      </c>
      <c r="L8" s="29" t="s">
        <v>41</v>
      </c>
      <c r="M8" s="29" t="s">
        <v>40</v>
      </c>
      <c r="N8" s="29" t="s">
        <v>39</v>
      </c>
      <c r="O8" s="29" t="s">
        <v>38</v>
      </c>
      <c r="P8" s="29" t="s">
        <v>37</v>
      </c>
      <c r="Q8" s="29" t="s">
        <v>36</v>
      </c>
      <c r="R8" s="29" t="s">
        <v>35</v>
      </c>
      <c r="S8" s="29" t="s">
        <v>34</v>
      </c>
      <c r="T8" s="29" t="s">
        <v>33</v>
      </c>
      <c r="U8" s="29" t="s">
        <v>32</v>
      </c>
      <c r="V8" s="29" t="s">
        <v>31</v>
      </c>
      <c r="W8" s="29" t="s">
        <v>30</v>
      </c>
      <c r="X8" s="29" t="s">
        <v>29</v>
      </c>
      <c r="Y8" s="29" t="s">
        <v>28</v>
      </c>
      <c r="Z8" s="29" t="s">
        <v>27</v>
      </c>
      <c r="AA8" s="28" t="s">
        <v>26</v>
      </c>
      <c r="AB8" s="28" t="s">
        <v>25</v>
      </c>
      <c r="AC8" s="27" t="s">
        <v>24</v>
      </c>
      <c r="AT8" s="12"/>
      <c r="AU8" s="12"/>
      <c r="AV8" s="12"/>
    </row>
    <row r="9" spans="1:87" ht="24" customHeight="1" x14ac:dyDescent="0.2">
      <c r="B9" s="7">
        <v>108</v>
      </c>
      <c r="C9" s="7" t="s">
        <v>147</v>
      </c>
      <c r="D9" s="7">
        <v>3</v>
      </c>
      <c r="E9" s="7">
        <v>1</v>
      </c>
      <c r="F9" s="7">
        <v>2</v>
      </c>
      <c r="G9" s="7">
        <v>2</v>
      </c>
      <c r="H9" s="7">
        <v>2</v>
      </c>
      <c r="I9" s="7" t="s">
        <v>148</v>
      </c>
      <c r="J9" s="8">
        <v>0.4513888888888889</v>
      </c>
      <c r="K9" s="7" t="s">
        <v>2</v>
      </c>
      <c r="L9" s="6">
        <v>42</v>
      </c>
      <c r="M9" s="5"/>
      <c r="N9" s="6">
        <v>46</v>
      </c>
      <c r="O9" s="5"/>
      <c r="P9" s="6">
        <v>44</v>
      </c>
      <c r="Q9" s="6">
        <v>44</v>
      </c>
      <c r="R9" s="6">
        <v>41</v>
      </c>
      <c r="S9" s="6">
        <v>48</v>
      </c>
      <c r="T9" s="5">
        <v>47</v>
      </c>
      <c r="U9" s="6">
        <v>56</v>
      </c>
      <c r="V9" s="5"/>
      <c r="W9" s="6">
        <v>56</v>
      </c>
      <c r="X9" s="5"/>
      <c r="Y9" s="6">
        <v>39</v>
      </c>
      <c r="Z9" s="5"/>
      <c r="AA9" s="4">
        <f t="shared" ref="AA9:AA25" si="0">AVERAGE(P9:U9)</f>
        <v>46.666666666666664</v>
      </c>
      <c r="AB9" s="4">
        <f t="shared" ref="AB9:AB25" si="1">AVERAGE(AVERAGE(L9:M9),AVERAGE(N9:O9),AVERAGE(P9:U9),AVERAGE(U9:V9),AVERAGE(W9:X9),AVERAGE(Y9:Z9))</f>
        <v>47.611111111111107</v>
      </c>
      <c r="AC9" s="4">
        <f t="shared" ref="AC9:AC25" si="2">STDEV(AVERAGE(L9:M9),AVERAGE(N9:O9),AVERAGE(P9:U9),AVERAGE(U9:V9),AVERAGE(W9:X9),AVERAGE(Y9:Z9))/SQRT(6)</f>
        <v>2.886002831890353</v>
      </c>
      <c r="AD9" s="3"/>
      <c r="AE9" s="3"/>
      <c r="AF9" s="3"/>
      <c r="AG9" s="3"/>
      <c r="AH9" s="3"/>
      <c r="AT9" s="12">
        <v>1</v>
      </c>
      <c r="AU9" s="12" t="s">
        <v>23</v>
      </c>
      <c r="AV9" s="11"/>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row>
    <row r="10" spans="1:87" ht="24" customHeight="1" thickBot="1" x14ac:dyDescent="0.25">
      <c r="B10" s="15">
        <v>108</v>
      </c>
      <c r="C10" s="15" t="s">
        <v>147</v>
      </c>
      <c r="D10" s="15">
        <v>3</v>
      </c>
      <c r="E10" s="15">
        <v>1</v>
      </c>
      <c r="F10" s="15">
        <v>2</v>
      </c>
      <c r="G10" s="15">
        <v>2</v>
      </c>
      <c r="H10" s="15">
        <v>2</v>
      </c>
      <c r="I10" s="15" t="s">
        <v>148</v>
      </c>
      <c r="J10" s="16"/>
      <c r="K10" s="15" t="s">
        <v>0</v>
      </c>
      <c r="L10" s="14">
        <v>41</v>
      </c>
      <c r="M10" s="13"/>
      <c r="N10" s="14">
        <v>37</v>
      </c>
      <c r="O10" s="13"/>
      <c r="P10" s="14">
        <v>32</v>
      </c>
      <c r="Q10" s="14">
        <v>32</v>
      </c>
      <c r="R10" s="14">
        <v>35</v>
      </c>
      <c r="S10" s="14">
        <v>39</v>
      </c>
      <c r="T10" s="13">
        <v>40</v>
      </c>
      <c r="U10" s="14">
        <v>36.5</v>
      </c>
      <c r="V10" s="13"/>
      <c r="W10" s="14">
        <v>36.5</v>
      </c>
      <c r="X10" s="13"/>
      <c r="Y10" s="14">
        <v>45</v>
      </c>
      <c r="Z10" s="13"/>
      <c r="AA10" s="4">
        <f t="shared" si="0"/>
        <v>35.75</v>
      </c>
      <c r="AB10" s="4">
        <f t="shared" si="1"/>
        <v>38.625</v>
      </c>
      <c r="AC10" s="4">
        <f t="shared" si="2"/>
        <v>1.4856956844073643</v>
      </c>
      <c r="AD10" s="3"/>
      <c r="AE10" s="3"/>
      <c r="AF10" s="3"/>
      <c r="AG10" s="3"/>
      <c r="AH10" s="3"/>
      <c r="AT10" s="12">
        <v>2</v>
      </c>
      <c r="AU10" s="12" t="s">
        <v>22</v>
      </c>
      <c r="AV10" s="11"/>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row>
    <row r="11" spans="1:87" ht="24" customHeight="1" x14ac:dyDescent="0.2">
      <c r="B11" s="25">
        <f t="shared" ref="B11:B24" si="3">B9-1</f>
        <v>107</v>
      </c>
      <c r="C11" s="25" t="s">
        <v>149</v>
      </c>
      <c r="D11" s="25">
        <v>10</v>
      </c>
      <c r="E11" s="25">
        <v>2</v>
      </c>
      <c r="F11" s="25">
        <v>2</v>
      </c>
      <c r="G11" s="25">
        <v>1</v>
      </c>
      <c r="H11" s="25">
        <v>2</v>
      </c>
      <c r="I11" s="25" t="s">
        <v>150</v>
      </c>
      <c r="J11" s="26"/>
      <c r="K11" s="25" t="s">
        <v>2</v>
      </c>
      <c r="L11" s="24">
        <v>45</v>
      </c>
      <c r="M11" s="23"/>
      <c r="N11" s="24">
        <v>50</v>
      </c>
      <c r="O11" s="23"/>
      <c r="P11" s="24">
        <v>52</v>
      </c>
      <c r="Q11" s="24">
        <v>42</v>
      </c>
      <c r="R11" s="24">
        <v>45</v>
      </c>
      <c r="S11" s="24">
        <v>50</v>
      </c>
      <c r="T11" s="23">
        <v>59</v>
      </c>
      <c r="U11" s="24">
        <v>48</v>
      </c>
      <c r="V11" s="23"/>
      <c r="W11" s="24">
        <v>48</v>
      </c>
      <c r="X11" s="23"/>
      <c r="Y11" s="24">
        <v>49</v>
      </c>
      <c r="Z11" s="23"/>
      <c r="AA11" s="4">
        <f t="shared" si="0"/>
        <v>49.333333333333336</v>
      </c>
      <c r="AB11" s="4">
        <f t="shared" si="1"/>
        <v>48.222222222222229</v>
      </c>
      <c r="AC11" s="4">
        <f t="shared" si="2"/>
        <v>0.71836577223309406</v>
      </c>
      <c r="AD11" s="3"/>
      <c r="AE11" s="22"/>
      <c r="AF11" s="3"/>
      <c r="AG11" s="21"/>
      <c r="AH11" s="3"/>
      <c r="AT11" s="12">
        <v>3</v>
      </c>
      <c r="AU11" s="12" t="s">
        <v>21</v>
      </c>
      <c r="AV11" s="12" t="s">
        <v>19</v>
      </c>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row>
    <row r="12" spans="1:87" ht="24" customHeight="1" thickBot="1" x14ac:dyDescent="0.25">
      <c r="B12" s="15">
        <f t="shared" si="3"/>
        <v>107</v>
      </c>
      <c r="C12" s="15" t="s">
        <v>149</v>
      </c>
      <c r="D12" s="15">
        <v>10</v>
      </c>
      <c r="E12" s="15">
        <v>2</v>
      </c>
      <c r="F12" s="15">
        <v>2</v>
      </c>
      <c r="G12" s="15">
        <v>1</v>
      </c>
      <c r="H12" s="15">
        <v>2</v>
      </c>
      <c r="I12" s="15" t="s">
        <v>150</v>
      </c>
      <c r="J12" s="16"/>
      <c r="K12" s="15" t="s">
        <v>0</v>
      </c>
      <c r="L12" s="14">
        <v>35</v>
      </c>
      <c r="M12" s="13"/>
      <c r="N12" s="14">
        <v>47</v>
      </c>
      <c r="O12" s="13"/>
      <c r="P12" s="14">
        <v>32</v>
      </c>
      <c r="Q12" s="14">
        <v>32</v>
      </c>
      <c r="R12" s="14">
        <v>29</v>
      </c>
      <c r="S12" s="14">
        <v>31</v>
      </c>
      <c r="T12" s="13">
        <v>32</v>
      </c>
      <c r="U12" s="14">
        <v>42</v>
      </c>
      <c r="V12" s="13"/>
      <c r="W12" s="14">
        <v>42</v>
      </c>
      <c r="X12" s="13"/>
      <c r="Y12" s="14">
        <v>34</v>
      </c>
      <c r="Z12" s="13"/>
      <c r="AA12" s="4">
        <f t="shared" si="0"/>
        <v>33</v>
      </c>
      <c r="AB12" s="4">
        <f t="shared" si="1"/>
        <v>38.833333333333336</v>
      </c>
      <c r="AC12" s="4">
        <f t="shared" si="2"/>
        <v>2.3009659807229799</v>
      </c>
      <c r="AD12" s="3"/>
      <c r="AE12" s="3"/>
      <c r="AF12" s="3"/>
      <c r="AG12" s="3"/>
      <c r="AH12" s="3"/>
      <c r="AT12" s="12">
        <v>4</v>
      </c>
      <c r="AU12" s="12" t="s">
        <v>20</v>
      </c>
      <c r="AV12" s="11" t="s">
        <v>19</v>
      </c>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row>
    <row r="13" spans="1:87" ht="24" customHeight="1" x14ac:dyDescent="0.2">
      <c r="B13" s="7">
        <f t="shared" si="3"/>
        <v>106</v>
      </c>
      <c r="C13" s="7" t="s">
        <v>151</v>
      </c>
      <c r="D13" s="7">
        <v>9</v>
      </c>
      <c r="E13" s="7">
        <v>2</v>
      </c>
      <c r="F13" s="7">
        <v>2</v>
      </c>
      <c r="G13" s="7">
        <v>2</v>
      </c>
      <c r="H13" s="7">
        <v>2</v>
      </c>
      <c r="I13" s="7" t="s">
        <v>152</v>
      </c>
      <c r="J13" s="9"/>
      <c r="K13" s="7" t="s">
        <v>2</v>
      </c>
      <c r="L13" s="6">
        <v>50</v>
      </c>
      <c r="M13" s="5"/>
      <c r="N13" s="6">
        <v>42</v>
      </c>
      <c r="O13" s="5"/>
      <c r="P13" s="6">
        <v>59</v>
      </c>
      <c r="Q13" s="6">
        <v>44</v>
      </c>
      <c r="R13" s="6">
        <v>40</v>
      </c>
      <c r="S13" s="6">
        <v>52</v>
      </c>
      <c r="T13" s="5">
        <v>52</v>
      </c>
      <c r="U13" s="6">
        <v>45</v>
      </c>
      <c r="V13" s="5"/>
      <c r="W13" s="6">
        <v>45</v>
      </c>
      <c r="X13" s="5"/>
      <c r="Y13" s="6">
        <v>42</v>
      </c>
      <c r="Z13" s="5"/>
      <c r="AA13" s="4">
        <f t="shared" si="0"/>
        <v>48.666666666666664</v>
      </c>
      <c r="AB13" s="4">
        <f t="shared" si="1"/>
        <v>45.444444444444436</v>
      </c>
      <c r="AC13" s="4">
        <f t="shared" si="2"/>
        <v>1.3571939097424419</v>
      </c>
      <c r="AD13" s="3"/>
      <c r="AE13" s="3"/>
      <c r="AF13" s="3"/>
      <c r="AG13" s="3"/>
      <c r="AH13" s="3"/>
      <c r="AT13" s="12">
        <v>8</v>
      </c>
      <c r="AU13" s="12" t="s">
        <v>18</v>
      </c>
      <c r="AV13" s="12" t="s">
        <v>17</v>
      </c>
    </row>
    <row r="14" spans="1:87" ht="24" customHeight="1" thickBot="1" x14ac:dyDescent="0.25">
      <c r="B14" s="15">
        <f t="shared" si="3"/>
        <v>106</v>
      </c>
      <c r="C14" s="15" t="s">
        <v>151</v>
      </c>
      <c r="D14" s="15">
        <v>9</v>
      </c>
      <c r="E14" s="15">
        <v>2</v>
      </c>
      <c r="F14" s="15">
        <v>2</v>
      </c>
      <c r="G14" s="15">
        <v>2</v>
      </c>
      <c r="H14" s="15">
        <v>2</v>
      </c>
      <c r="I14" s="15" t="s">
        <v>152</v>
      </c>
      <c r="J14" s="16"/>
      <c r="K14" s="15" t="s">
        <v>0</v>
      </c>
      <c r="L14" s="14">
        <v>37</v>
      </c>
      <c r="M14" s="13"/>
      <c r="N14" s="14">
        <v>42</v>
      </c>
      <c r="O14" s="13"/>
      <c r="P14" s="14">
        <v>38</v>
      </c>
      <c r="Q14" s="14">
        <v>33</v>
      </c>
      <c r="R14" s="14">
        <v>25</v>
      </c>
      <c r="S14" s="14">
        <v>37</v>
      </c>
      <c r="T14" s="13">
        <v>34</v>
      </c>
      <c r="U14" s="14">
        <v>40</v>
      </c>
      <c r="V14" s="13"/>
      <c r="W14" s="14">
        <v>40</v>
      </c>
      <c r="X14" s="13"/>
      <c r="Y14" s="14">
        <v>37.5</v>
      </c>
      <c r="Z14" s="13"/>
      <c r="AA14" s="4">
        <f t="shared" si="0"/>
        <v>34.5</v>
      </c>
      <c r="AB14" s="4">
        <f t="shared" si="1"/>
        <v>38.5</v>
      </c>
      <c r="AC14" s="4">
        <f t="shared" si="2"/>
        <v>1.0954451150103324</v>
      </c>
      <c r="AD14" s="3"/>
      <c r="AE14" s="3"/>
      <c r="AF14" s="3"/>
      <c r="AG14" s="3"/>
      <c r="AH14" s="3"/>
      <c r="AT14" s="12">
        <v>9</v>
      </c>
      <c r="AU14" s="12" t="s">
        <v>16</v>
      </c>
      <c r="AV14" s="11" t="s">
        <v>15</v>
      </c>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row>
    <row r="15" spans="1:87" ht="24" customHeight="1" x14ac:dyDescent="0.2">
      <c r="B15" s="7">
        <f t="shared" si="3"/>
        <v>105</v>
      </c>
      <c r="C15" s="7" t="s">
        <v>153</v>
      </c>
      <c r="D15" s="7">
        <v>12</v>
      </c>
      <c r="E15" s="7">
        <v>2</v>
      </c>
      <c r="F15" s="7">
        <v>3</v>
      </c>
      <c r="G15" s="7">
        <v>1</v>
      </c>
      <c r="H15" s="7">
        <v>2</v>
      </c>
      <c r="I15" s="7" t="s">
        <v>154</v>
      </c>
      <c r="J15" s="9"/>
      <c r="K15" s="7" t="s">
        <v>2</v>
      </c>
      <c r="L15" s="6">
        <v>68</v>
      </c>
      <c r="M15" s="5"/>
      <c r="N15" s="6">
        <v>67</v>
      </c>
      <c r="O15" s="5"/>
      <c r="P15" s="6">
        <v>70</v>
      </c>
      <c r="Q15" s="6">
        <v>72</v>
      </c>
      <c r="R15" s="6">
        <v>73</v>
      </c>
      <c r="S15" s="6"/>
      <c r="T15" s="5"/>
      <c r="U15" s="6">
        <v>60</v>
      </c>
      <c r="V15" s="5"/>
      <c r="W15" s="6">
        <v>60</v>
      </c>
      <c r="X15" s="5"/>
      <c r="Y15" s="6">
        <v>68</v>
      </c>
      <c r="Z15" s="5"/>
      <c r="AA15" s="4">
        <f t="shared" si="0"/>
        <v>68.75</v>
      </c>
      <c r="AB15" s="4">
        <f t="shared" si="1"/>
        <v>65.291666666666671</v>
      </c>
      <c r="AC15" s="4">
        <f t="shared" si="2"/>
        <v>1.6887084150649312</v>
      </c>
      <c r="AD15" s="3"/>
      <c r="AE15" s="3"/>
      <c r="AF15" s="3"/>
      <c r="AG15" s="3"/>
      <c r="AH15" s="3"/>
    </row>
    <row r="16" spans="1:87" ht="24" customHeight="1" thickBot="1" x14ac:dyDescent="0.25">
      <c r="B16" s="15">
        <f t="shared" si="3"/>
        <v>105</v>
      </c>
      <c r="C16" s="15" t="s">
        <v>153</v>
      </c>
      <c r="D16" s="15">
        <v>12</v>
      </c>
      <c r="E16" s="15">
        <v>2</v>
      </c>
      <c r="F16" s="15">
        <v>3</v>
      </c>
      <c r="G16" s="15">
        <v>1</v>
      </c>
      <c r="H16" s="15">
        <v>2</v>
      </c>
      <c r="I16" s="15" t="s">
        <v>154</v>
      </c>
      <c r="J16" s="16"/>
      <c r="K16" s="15" t="s">
        <v>0</v>
      </c>
      <c r="L16" s="14">
        <v>34</v>
      </c>
      <c r="M16" s="13"/>
      <c r="N16" s="14">
        <v>38</v>
      </c>
      <c r="O16" s="13"/>
      <c r="P16" s="14">
        <v>38</v>
      </c>
      <c r="Q16" s="14">
        <v>33</v>
      </c>
      <c r="R16" s="14">
        <v>32</v>
      </c>
      <c r="S16" s="14"/>
      <c r="T16" s="13"/>
      <c r="U16" s="14">
        <v>35.5</v>
      </c>
      <c r="V16" s="13"/>
      <c r="W16" s="14">
        <v>35.5</v>
      </c>
      <c r="X16" s="13"/>
      <c r="Y16" s="14">
        <v>32</v>
      </c>
      <c r="Z16" s="13"/>
      <c r="AA16" s="4">
        <f t="shared" si="0"/>
        <v>34.625</v>
      </c>
      <c r="AB16" s="4">
        <f t="shared" si="1"/>
        <v>34.9375</v>
      </c>
      <c r="AC16" s="4">
        <f t="shared" si="2"/>
        <v>0.80864469948179352</v>
      </c>
      <c r="AD16" s="3"/>
      <c r="AE16" s="3"/>
      <c r="AF16" s="3"/>
      <c r="AG16" s="3"/>
      <c r="AH16" s="3"/>
      <c r="AT16" s="12" t="s">
        <v>14</v>
      </c>
      <c r="AU16" s="12"/>
      <c r="AV16" s="11"/>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row>
    <row r="17" spans="2:87" ht="24" customHeight="1" x14ac:dyDescent="0.2">
      <c r="B17" s="7">
        <f t="shared" si="3"/>
        <v>104</v>
      </c>
      <c r="C17" s="7" t="s">
        <v>149</v>
      </c>
      <c r="D17" s="7">
        <v>10</v>
      </c>
      <c r="E17" s="7">
        <v>2</v>
      </c>
      <c r="F17" s="7">
        <v>2</v>
      </c>
      <c r="G17" s="7">
        <v>1</v>
      </c>
      <c r="H17" s="7">
        <v>1</v>
      </c>
      <c r="I17" s="7" t="s">
        <v>155</v>
      </c>
      <c r="J17" s="9"/>
      <c r="K17" s="7" t="s">
        <v>2</v>
      </c>
      <c r="L17" s="19">
        <v>45</v>
      </c>
      <c r="M17" s="5"/>
      <c r="N17" s="19">
        <v>60</v>
      </c>
      <c r="O17" s="5"/>
      <c r="P17" s="18">
        <v>56</v>
      </c>
      <c r="Q17" s="18">
        <v>45</v>
      </c>
      <c r="R17" s="18">
        <v>53</v>
      </c>
      <c r="S17" s="18">
        <v>60</v>
      </c>
      <c r="T17" s="5">
        <v>41</v>
      </c>
      <c r="U17" s="18">
        <v>49</v>
      </c>
      <c r="V17" s="5"/>
      <c r="W17" s="18">
        <v>49</v>
      </c>
      <c r="X17" s="5"/>
      <c r="Y17" s="18">
        <v>49</v>
      </c>
      <c r="Z17" s="5"/>
      <c r="AA17" s="4">
        <f t="shared" si="0"/>
        <v>50.666666666666664</v>
      </c>
      <c r="AB17" s="4">
        <f t="shared" si="1"/>
        <v>50.444444444444436</v>
      </c>
      <c r="AC17" s="4">
        <f t="shared" si="2"/>
        <v>2.0596056196859571</v>
      </c>
      <c r="AD17" s="3"/>
      <c r="AE17" s="3"/>
      <c r="AF17" s="3"/>
      <c r="AG17" s="3"/>
      <c r="AH17" s="3"/>
      <c r="AT17" s="12" t="s">
        <v>7</v>
      </c>
      <c r="AU17" s="12" t="s">
        <v>13</v>
      </c>
      <c r="AV17" s="12" t="s">
        <v>12</v>
      </c>
    </row>
    <row r="18" spans="2:87" ht="24" customHeight="1" thickBot="1" x14ac:dyDescent="0.25">
      <c r="B18" s="15">
        <f t="shared" si="3"/>
        <v>104</v>
      </c>
      <c r="C18" s="15" t="s">
        <v>149</v>
      </c>
      <c r="D18" s="15">
        <v>10</v>
      </c>
      <c r="E18" s="15">
        <v>2</v>
      </c>
      <c r="F18" s="15">
        <v>2</v>
      </c>
      <c r="G18" s="15">
        <v>1</v>
      </c>
      <c r="H18" s="15">
        <v>1</v>
      </c>
      <c r="I18" s="15" t="s">
        <v>155</v>
      </c>
      <c r="J18" s="16"/>
      <c r="K18" s="15" t="s">
        <v>0</v>
      </c>
      <c r="L18" s="14">
        <v>36</v>
      </c>
      <c r="M18" s="13"/>
      <c r="N18" s="14">
        <v>40</v>
      </c>
      <c r="O18" s="13"/>
      <c r="P18" s="14">
        <v>37.5</v>
      </c>
      <c r="Q18" s="14">
        <v>29</v>
      </c>
      <c r="R18" s="14">
        <v>30</v>
      </c>
      <c r="S18" s="14">
        <v>45</v>
      </c>
      <c r="T18" s="13">
        <v>37</v>
      </c>
      <c r="U18" s="14">
        <v>35</v>
      </c>
      <c r="V18" s="13"/>
      <c r="W18" s="14">
        <v>35</v>
      </c>
      <c r="X18" s="13"/>
      <c r="Y18" s="14">
        <v>38</v>
      </c>
      <c r="Z18" s="13"/>
      <c r="AA18" s="4">
        <f t="shared" si="0"/>
        <v>35.583333333333336</v>
      </c>
      <c r="AB18" s="4">
        <f t="shared" si="1"/>
        <v>36.597222222222221</v>
      </c>
      <c r="AC18" s="4">
        <f t="shared" si="2"/>
        <v>0.81718143262506926</v>
      </c>
      <c r="AD18" s="3"/>
      <c r="AE18" s="3"/>
      <c r="AF18" s="3"/>
      <c r="AG18" s="3"/>
      <c r="AH18" s="3"/>
      <c r="AT18" s="12">
        <v>0</v>
      </c>
      <c r="AU18" s="12">
        <v>0</v>
      </c>
      <c r="AV18" s="11" t="s">
        <v>11</v>
      </c>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row>
    <row r="19" spans="2:87" ht="24" customHeight="1" x14ac:dyDescent="0.2">
      <c r="B19" s="7">
        <f t="shared" si="3"/>
        <v>103</v>
      </c>
      <c r="C19" s="7" t="s">
        <v>156</v>
      </c>
      <c r="D19" s="7">
        <v>5</v>
      </c>
      <c r="E19" s="7">
        <v>1</v>
      </c>
      <c r="F19" s="7">
        <v>3</v>
      </c>
      <c r="G19" s="7">
        <v>2</v>
      </c>
      <c r="H19" s="7">
        <v>1</v>
      </c>
      <c r="I19" s="7" t="s">
        <v>157</v>
      </c>
      <c r="J19" s="9"/>
      <c r="K19" s="7" t="s">
        <v>2</v>
      </c>
      <c r="L19" s="19">
        <v>70</v>
      </c>
      <c r="M19" s="5"/>
      <c r="N19" s="19">
        <v>71</v>
      </c>
      <c r="O19" s="5"/>
      <c r="P19" s="18">
        <v>67</v>
      </c>
      <c r="Q19" s="18">
        <v>70</v>
      </c>
      <c r="R19" s="18">
        <v>61</v>
      </c>
      <c r="S19" s="18">
        <v>66</v>
      </c>
      <c r="T19" s="5">
        <v>65</v>
      </c>
      <c r="U19" s="18">
        <v>63</v>
      </c>
      <c r="V19" s="5"/>
      <c r="W19" s="18">
        <v>63</v>
      </c>
      <c r="X19" s="5"/>
      <c r="Y19" s="18">
        <v>60</v>
      </c>
      <c r="Z19" s="5"/>
      <c r="AA19" s="4">
        <f t="shared" si="0"/>
        <v>65.333333333333329</v>
      </c>
      <c r="AB19" s="4">
        <f t="shared" si="1"/>
        <v>65.388888888888886</v>
      </c>
      <c r="AC19" s="4">
        <f t="shared" si="2"/>
        <v>1.7626088969073062</v>
      </c>
      <c r="AD19" s="3"/>
      <c r="AE19" s="3"/>
      <c r="AF19" s="3"/>
      <c r="AG19" s="3"/>
      <c r="AH19" s="3"/>
      <c r="AT19" s="12">
        <v>1</v>
      </c>
      <c r="AU19" s="12">
        <v>5</v>
      </c>
      <c r="AV19" s="12" t="s">
        <v>10</v>
      </c>
    </row>
    <row r="20" spans="2:87" ht="24" customHeight="1" thickBot="1" x14ac:dyDescent="0.25">
      <c r="B20" s="15">
        <f t="shared" si="3"/>
        <v>103</v>
      </c>
      <c r="C20" s="15" t="s">
        <v>156</v>
      </c>
      <c r="D20" s="15">
        <v>5</v>
      </c>
      <c r="E20" s="15">
        <v>1</v>
      </c>
      <c r="F20" s="15">
        <v>3</v>
      </c>
      <c r="G20" s="15">
        <v>2</v>
      </c>
      <c r="H20" s="15">
        <v>1</v>
      </c>
      <c r="I20" s="15" t="s">
        <v>157</v>
      </c>
      <c r="J20" s="16"/>
      <c r="K20" s="15" t="s">
        <v>0</v>
      </c>
      <c r="L20" s="14">
        <v>35</v>
      </c>
      <c r="M20" s="13"/>
      <c r="N20" s="14">
        <v>35</v>
      </c>
      <c r="O20" s="13"/>
      <c r="P20" s="14">
        <v>39</v>
      </c>
      <c r="Q20" s="14">
        <v>38</v>
      </c>
      <c r="R20" s="14">
        <v>37</v>
      </c>
      <c r="S20" s="14">
        <v>36</v>
      </c>
      <c r="T20" s="13">
        <v>42</v>
      </c>
      <c r="U20" s="14">
        <v>34</v>
      </c>
      <c r="V20" s="13"/>
      <c r="W20" s="14">
        <v>34</v>
      </c>
      <c r="X20" s="13"/>
      <c r="Y20" s="14">
        <v>38</v>
      </c>
      <c r="Z20" s="13"/>
      <c r="AA20" s="4">
        <f t="shared" si="0"/>
        <v>37.666666666666664</v>
      </c>
      <c r="AB20" s="4">
        <f t="shared" si="1"/>
        <v>35.611111111111107</v>
      </c>
      <c r="AC20" s="4">
        <f t="shared" si="2"/>
        <v>0.72733234884680609</v>
      </c>
      <c r="AD20" s="3"/>
      <c r="AE20" s="3"/>
      <c r="AF20" s="3"/>
      <c r="AG20" s="3"/>
      <c r="AH20" s="3"/>
      <c r="AT20" s="12">
        <v>2</v>
      </c>
      <c r="AU20" s="12">
        <v>10</v>
      </c>
      <c r="AV20" s="11" t="s">
        <v>10</v>
      </c>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row>
    <row r="21" spans="2:87" ht="24" customHeight="1" x14ac:dyDescent="0.2">
      <c r="B21" s="7">
        <f t="shared" si="3"/>
        <v>102</v>
      </c>
      <c r="C21" s="7" t="s">
        <v>158</v>
      </c>
      <c r="D21" s="7">
        <v>4</v>
      </c>
      <c r="E21" s="7">
        <v>1</v>
      </c>
      <c r="F21" s="7">
        <v>2</v>
      </c>
      <c r="G21" s="7">
        <v>1</v>
      </c>
      <c r="H21" s="7">
        <v>1</v>
      </c>
      <c r="I21" s="7" t="s">
        <v>159</v>
      </c>
      <c r="J21" s="9"/>
      <c r="K21" s="7" t="s">
        <v>2</v>
      </c>
      <c r="L21" s="6">
        <v>46</v>
      </c>
      <c r="M21" s="5"/>
      <c r="N21" s="6">
        <v>45</v>
      </c>
      <c r="O21" s="5"/>
      <c r="P21" s="6">
        <v>37</v>
      </c>
      <c r="Q21" s="6">
        <v>40</v>
      </c>
      <c r="R21" s="6">
        <v>25</v>
      </c>
      <c r="S21" s="6">
        <v>0</v>
      </c>
      <c r="T21" s="5">
        <v>32</v>
      </c>
      <c r="U21" s="6">
        <v>38</v>
      </c>
      <c r="V21" s="5"/>
      <c r="W21" s="6">
        <v>38</v>
      </c>
      <c r="X21" s="5"/>
      <c r="Y21" s="6">
        <v>51</v>
      </c>
      <c r="Z21" s="5"/>
      <c r="AA21" s="4">
        <f t="shared" si="0"/>
        <v>28.666666666666668</v>
      </c>
      <c r="AB21" s="4">
        <f t="shared" si="1"/>
        <v>41.111111111111114</v>
      </c>
      <c r="AC21" s="4">
        <f t="shared" si="2"/>
        <v>3.2199225510201055</v>
      </c>
      <c r="AD21" s="3"/>
      <c r="AE21" s="3"/>
      <c r="AF21" s="3"/>
      <c r="AG21" s="3"/>
      <c r="AH21" s="3"/>
      <c r="AT21" s="12">
        <v>3</v>
      </c>
      <c r="AU21" s="12">
        <v>20</v>
      </c>
      <c r="AV21" s="12" t="s">
        <v>9</v>
      </c>
    </row>
    <row r="22" spans="2:87" ht="24" customHeight="1" thickBot="1" x14ac:dyDescent="0.25">
      <c r="B22" s="15">
        <f t="shared" si="3"/>
        <v>102</v>
      </c>
      <c r="C22" s="15" t="s">
        <v>158</v>
      </c>
      <c r="D22" s="15">
        <v>4</v>
      </c>
      <c r="E22" s="15">
        <v>1</v>
      </c>
      <c r="F22" s="15">
        <v>2</v>
      </c>
      <c r="G22" s="15">
        <v>1</v>
      </c>
      <c r="H22" s="15">
        <v>1</v>
      </c>
      <c r="I22" s="15" t="s">
        <v>159</v>
      </c>
      <c r="J22" s="16"/>
      <c r="K22" s="15" t="s">
        <v>0</v>
      </c>
      <c r="L22" s="14">
        <v>34</v>
      </c>
      <c r="M22" s="13"/>
      <c r="N22" s="14">
        <v>32</v>
      </c>
      <c r="O22" s="13"/>
      <c r="P22" s="14">
        <v>31</v>
      </c>
      <c r="Q22" s="14">
        <v>31</v>
      </c>
      <c r="R22" s="14">
        <v>17</v>
      </c>
      <c r="S22" s="14">
        <v>0</v>
      </c>
      <c r="T22" s="13">
        <v>20</v>
      </c>
      <c r="U22" s="14">
        <v>33</v>
      </c>
      <c r="V22" s="13"/>
      <c r="W22" s="14">
        <v>33</v>
      </c>
      <c r="X22" s="13"/>
      <c r="Y22" s="14">
        <v>32</v>
      </c>
      <c r="Z22" s="13"/>
      <c r="AA22" s="4">
        <f t="shared" si="0"/>
        <v>22</v>
      </c>
      <c r="AB22" s="4">
        <f t="shared" si="1"/>
        <v>31</v>
      </c>
      <c r="AC22" s="4">
        <f t="shared" si="2"/>
        <v>1.825741858350554</v>
      </c>
      <c r="AD22" s="3"/>
      <c r="AE22" s="3"/>
      <c r="AF22" s="3"/>
      <c r="AG22" s="3"/>
      <c r="AH22" s="3"/>
      <c r="AT22" s="12"/>
      <c r="AU22" s="12"/>
      <c r="AV22" s="11"/>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row>
    <row r="23" spans="2:87" ht="24" customHeight="1" x14ac:dyDescent="0.2">
      <c r="B23" s="7">
        <f t="shared" si="3"/>
        <v>101</v>
      </c>
      <c r="C23" s="7" t="s">
        <v>160</v>
      </c>
      <c r="D23" s="7">
        <v>1</v>
      </c>
      <c r="E23" s="7">
        <v>1</v>
      </c>
      <c r="F23" s="7">
        <v>1</v>
      </c>
      <c r="G23" s="7">
        <v>2</v>
      </c>
      <c r="H23" s="7">
        <v>1</v>
      </c>
      <c r="I23" s="7" t="s">
        <v>161</v>
      </c>
      <c r="J23" s="9"/>
      <c r="K23" s="7" t="s">
        <v>2</v>
      </c>
      <c r="L23" s="6">
        <v>39</v>
      </c>
      <c r="M23" s="5"/>
      <c r="N23" s="6">
        <v>53</v>
      </c>
      <c r="O23" s="5"/>
      <c r="P23" s="6">
        <v>40</v>
      </c>
      <c r="Q23" s="6">
        <v>38</v>
      </c>
      <c r="R23" s="6">
        <v>41</v>
      </c>
      <c r="S23" s="6">
        <v>43</v>
      </c>
      <c r="T23" s="5">
        <v>52</v>
      </c>
      <c r="U23" s="6">
        <v>35</v>
      </c>
      <c r="V23" s="5"/>
      <c r="W23" s="6">
        <v>35</v>
      </c>
      <c r="X23" s="5"/>
      <c r="Y23" s="6">
        <v>44</v>
      </c>
      <c r="Z23" s="5"/>
      <c r="AA23" s="4">
        <f t="shared" si="0"/>
        <v>41.5</v>
      </c>
      <c r="AB23" s="4">
        <f t="shared" si="1"/>
        <v>41.25</v>
      </c>
      <c r="AC23" s="4">
        <f t="shared" si="2"/>
        <v>2.7620946158063933</v>
      </c>
      <c r="AD23" s="3"/>
      <c r="AE23" s="3"/>
      <c r="AF23" s="3"/>
      <c r="AG23" s="3"/>
      <c r="AH23" s="3"/>
      <c r="AT23" s="2" t="s">
        <v>8</v>
      </c>
      <c r="AU23" s="2"/>
      <c r="AV23" s="2"/>
    </row>
    <row r="24" spans="2:87" ht="24" customHeight="1" thickBot="1" x14ac:dyDescent="0.25">
      <c r="B24" s="15">
        <f t="shared" si="3"/>
        <v>101</v>
      </c>
      <c r="C24" s="15" t="s">
        <v>160</v>
      </c>
      <c r="D24" s="15">
        <v>1</v>
      </c>
      <c r="E24" s="15">
        <v>1</v>
      </c>
      <c r="F24" s="15">
        <v>1</v>
      </c>
      <c r="G24" s="15">
        <v>2</v>
      </c>
      <c r="H24" s="15">
        <v>1</v>
      </c>
      <c r="I24" s="15" t="s">
        <v>161</v>
      </c>
      <c r="J24" s="16"/>
      <c r="K24" s="15" t="s">
        <v>0</v>
      </c>
      <c r="L24" s="14">
        <v>35</v>
      </c>
      <c r="M24" s="13"/>
      <c r="N24" s="14">
        <v>35</v>
      </c>
      <c r="O24" s="13"/>
      <c r="P24" s="14">
        <v>33</v>
      </c>
      <c r="Q24" s="14">
        <v>30</v>
      </c>
      <c r="R24" s="14">
        <v>34</v>
      </c>
      <c r="S24" s="14">
        <v>26</v>
      </c>
      <c r="T24" s="13">
        <v>33</v>
      </c>
      <c r="U24" s="14">
        <v>26</v>
      </c>
      <c r="V24" s="13"/>
      <c r="W24" s="14">
        <v>26</v>
      </c>
      <c r="X24" s="13"/>
      <c r="Y24" s="14">
        <v>32</v>
      </c>
      <c r="Z24" s="13"/>
      <c r="AA24" s="4">
        <f t="shared" si="0"/>
        <v>30.333333333333332</v>
      </c>
      <c r="AB24" s="4">
        <f t="shared" si="1"/>
        <v>30.722222222222218</v>
      </c>
      <c r="AC24" s="4">
        <f t="shared" si="2"/>
        <v>1.6631444262949893</v>
      </c>
      <c r="AD24" s="3"/>
      <c r="AE24" s="3"/>
      <c r="AF24" s="3"/>
      <c r="AG24" s="3"/>
      <c r="AH24" s="3"/>
      <c r="AT24" s="12" t="s">
        <v>7</v>
      </c>
      <c r="AU24" s="12" t="s">
        <v>6</v>
      </c>
      <c r="AV24" s="11" t="s">
        <v>5</v>
      </c>
      <c r="AW24" s="10"/>
      <c r="AX24" s="10"/>
      <c r="AY24" s="10"/>
      <c r="AZ24" s="10"/>
      <c r="BA24" s="10"/>
      <c r="BB24" s="10"/>
      <c r="BC24" s="10"/>
      <c r="BD24" s="10"/>
      <c r="BE24" s="10"/>
      <c r="BF24" s="10"/>
      <c r="BG24" s="10"/>
      <c r="BH24" s="10"/>
      <c r="BI24" s="10"/>
      <c r="BJ24" s="10"/>
      <c r="BK24" s="10"/>
      <c r="BL24" s="10"/>
      <c r="BM24" s="10"/>
      <c r="BN24" s="10"/>
      <c r="BO24" s="10"/>
      <c r="BP24" s="10"/>
      <c r="BQ24" s="10"/>
      <c r="BR24" s="10"/>
      <c r="BS24" s="10"/>
      <c r="BT24" s="10"/>
      <c r="BU24" s="10"/>
      <c r="BV24" s="10"/>
      <c r="BW24" s="10"/>
      <c r="BX24" s="10"/>
      <c r="BY24" s="10"/>
      <c r="BZ24" s="10"/>
      <c r="CA24" s="10"/>
      <c r="CB24" s="10"/>
      <c r="CC24" s="10"/>
      <c r="CD24" s="10"/>
      <c r="CE24" s="10"/>
      <c r="CF24" s="10"/>
      <c r="CG24" s="10"/>
      <c r="CH24" s="10"/>
      <c r="CI24" s="10"/>
    </row>
    <row r="25" spans="2:87" ht="24" customHeight="1" x14ac:dyDescent="0.2">
      <c r="B25" s="7">
        <f>B23+100</f>
        <v>201</v>
      </c>
      <c r="C25" s="7" t="s">
        <v>153</v>
      </c>
      <c r="D25" s="7">
        <v>12</v>
      </c>
      <c r="E25" s="7">
        <v>2</v>
      </c>
      <c r="F25" s="7">
        <v>3</v>
      </c>
      <c r="G25" s="7">
        <v>1</v>
      </c>
      <c r="H25" s="7">
        <v>1</v>
      </c>
      <c r="I25" s="7" t="s">
        <v>162</v>
      </c>
      <c r="J25" s="8">
        <v>0.46666666666666662</v>
      </c>
      <c r="K25" s="7" t="s">
        <v>2</v>
      </c>
      <c r="L25" s="6">
        <v>69</v>
      </c>
      <c r="M25" s="6"/>
      <c r="N25" s="6">
        <v>74</v>
      </c>
      <c r="O25" s="6" t="s">
        <v>1</v>
      </c>
      <c r="P25" s="6">
        <v>71</v>
      </c>
      <c r="Q25" s="6">
        <v>70</v>
      </c>
      <c r="R25" s="6">
        <v>69</v>
      </c>
      <c r="S25" s="6"/>
      <c r="T25" s="6"/>
      <c r="U25" s="6">
        <v>65</v>
      </c>
      <c r="V25" s="6"/>
      <c r="W25" s="6">
        <v>65</v>
      </c>
      <c r="X25" s="6"/>
      <c r="Y25" s="6">
        <v>61</v>
      </c>
      <c r="Z25" s="6"/>
      <c r="AA25" s="4">
        <f t="shared" si="0"/>
        <v>68.75</v>
      </c>
      <c r="AB25" s="4">
        <f t="shared" si="1"/>
        <v>67.125</v>
      </c>
      <c r="AC25" s="4">
        <f t="shared" si="2"/>
        <v>1.8254565638948157</v>
      </c>
      <c r="AD25" s="3"/>
      <c r="AE25" s="3"/>
      <c r="AF25" s="3"/>
      <c r="AG25" s="3"/>
      <c r="AH25" s="3"/>
      <c r="AT25" s="12">
        <v>1</v>
      </c>
      <c r="AU25" s="12" t="s">
        <v>4</v>
      </c>
      <c r="AV25" s="12">
        <v>0</v>
      </c>
    </row>
    <row r="26" spans="2:87" ht="24" customHeight="1" thickBot="1" x14ac:dyDescent="0.25">
      <c r="B26" s="15">
        <f>B24+100</f>
        <v>201</v>
      </c>
      <c r="C26" s="15" t="s">
        <v>153</v>
      </c>
      <c r="D26" s="15">
        <v>12</v>
      </c>
      <c r="E26" s="15">
        <v>2</v>
      </c>
      <c r="F26" s="15">
        <v>3</v>
      </c>
      <c r="G26" s="15">
        <v>1</v>
      </c>
      <c r="H26" s="15">
        <v>1</v>
      </c>
      <c r="I26" s="15" t="s">
        <v>162</v>
      </c>
      <c r="J26" s="16"/>
      <c r="K26" s="15" t="s">
        <v>0</v>
      </c>
      <c r="L26" s="14">
        <v>38</v>
      </c>
      <c r="M26" s="13"/>
      <c r="N26" s="14">
        <v>38</v>
      </c>
      <c r="O26" s="17">
        <v>0.51527777777777783</v>
      </c>
      <c r="P26" s="14">
        <v>31</v>
      </c>
      <c r="Q26" s="14">
        <v>38</v>
      </c>
      <c r="R26" s="14">
        <v>33</v>
      </c>
      <c r="S26" s="14"/>
      <c r="T26" s="13"/>
      <c r="U26" s="14">
        <v>42</v>
      </c>
      <c r="V26" s="13"/>
      <c r="W26" s="14">
        <v>42</v>
      </c>
      <c r="X26" s="13"/>
      <c r="Y26" s="14">
        <v>37</v>
      </c>
      <c r="Z26" s="13"/>
      <c r="AA26" s="4">
        <f>AVERAGE(P26:T26)</f>
        <v>34</v>
      </c>
      <c r="AB26" s="4">
        <f>AVERAGE(AVERAGE(L26:M26),AVERAGE(N26:O26),AVERAGE(P26:T26),AVERAGE(U26:V26),AVERAGE(W26:X26),AVERAGE(Y26:Z26))</f>
        <v>35.376273148148151</v>
      </c>
      <c r="AC26" s="4">
        <f>STDEV(AVERAGE(L26:M26),AVERAGE(N26:O26),AVERAGE(P26:T26),AVERAGE(U26:V26),AVERAGE(W26:X26),AVERAGE(Y26:Z26))/SQRT(6)</f>
        <v>3.4591542533810156</v>
      </c>
      <c r="AD26" s="3"/>
      <c r="AE26" s="3"/>
      <c r="AF26" s="3"/>
      <c r="AG26" s="3"/>
      <c r="AH26" s="3"/>
      <c r="AT26" s="12">
        <v>2</v>
      </c>
      <c r="AU26" s="12" t="s">
        <v>3</v>
      </c>
      <c r="AV26" s="11">
        <v>150</v>
      </c>
      <c r="AW26" s="10"/>
      <c r="AX26" s="10"/>
      <c r="AY26" s="10"/>
      <c r="AZ26" s="10"/>
      <c r="BA26" s="10"/>
      <c r="BB26" s="10"/>
      <c r="BC26" s="10"/>
      <c r="BD26" s="10"/>
      <c r="BE26" s="10"/>
      <c r="BF26" s="10"/>
      <c r="BG26" s="10"/>
      <c r="BH26" s="10"/>
      <c r="BI26" s="10"/>
      <c r="BJ26" s="10"/>
      <c r="BK26" s="10"/>
      <c r="BL26" s="10"/>
      <c r="BM26" s="10"/>
      <c r="BN26" s="10"/>
      <c r="BO26" s="10"/>
      <c r="BP26" s="10"/>
      <c r="BQ26" s="10"/>
      <c r="BR26" s="10"/>
      <c r="BS26" s="10"/>
      <c r="BT26" s="10"/>
      <c r="BU26" s="10"/>
      <c r="BV26" s="10"/>
      <c r="BW26" s="10"/>
      <c r="BX26" s="10"/>
      <c r="BY26" s="10"/>
      <c r="BZ26" s="10"/>
      <c r="CA26" s="10"/>
      <c r="CB26" s="10"/>
      <c r="CC26" s="10"/>
      <c r="CD26" s="10"/>
      <c r="CE26" s="10"/>
      <c r="CF26" s="10"/>
      <c r="CG26" s="10"/>
      <c r="CH26" s="10"/>
      <c r="CI26" s="10"/>
    </row>
    <row r="27" spans="2:87" ht="24" customHeight="1" x14ac:dyDescent="0.2">
      <c r="B27" s="7">
        <f t="shared" ref="B27:B40" si="4">B25+1</f>
        <v>202</v>
      </c>
      <c r="C27" s="7" t="s">
        <v>151</v>
      </c>
      <c r="D27" s="7">
        <v>9</v>
      </c>
      <c r="E27" s="7">
        <v>2</v>
      </c>
      <c r="F27" s="7">
        <v>2</v>
      </c>
      <c r="G27" s="7">
        <v>2</v>
      </c>
      <c r="H27" s="7">
        <v>1</v>
      </c>
      <c r="I27" s="7" t="s">
        <v>163</v>
      </c>
      <c r="J27" s="9"/>
      <c r="K27" s="7" t="s">
        <v>2</v>
      </c>
      <c r="L27" s="6">
        <v>44</v>
      </c>
      <c r="M27" s="6"/>
      <c r="N27" s="6">
        <v>50</v>
      </c>
      <c r="O27" s="6"/>
      <c r="P27" s="6">
        <v>47</v>
      </c>
      <c r="Q27" s="6">
        <v>51</v>
      </c>
      <c r="R27" s="6">
        <v>51</v>
      </c>
      <c r="S27" s="6">
        <v>45</v>
      </c>
      <c r="T27" s="6">
        <v>58</v>
      </c>
      <c r="U27" s="6">
        <v>53</v>
      </c>
      <c r="V27" s="6"/>
      <c r="W27" s="6">
        <v>53</v>
      </c>
      <c r="X27" s="6"/>
      <c r="Y27" s="6">
        <v>49</v>
      </c>
      <c r="Z27" s="6"/>
      <c r="AA27" s="4">
        <f t="shared" ref="AA27:AA58" si="5">AVERAGE(P27:U27)</f>
        <v>50.833333333333336</v>
      </c>
      <c r="AB27" s="4">
        <f t="shared" ref="AB27:AB58" si="6">AVERAGE(AVERAGE(L27:M27),AVERAGE(N27:O27),AVERAGE(P27:U27),AVERAGE(U27:V27),AVERAGE(W27:X27),AVERAGE(Y27:Z27))</f>
        <v>49.972222222222229</v>
      </c>
      <c r="AC27" s="4">
        <f t="shared" ref="AC27:AC58" si="7">STDEV(AVERAGE(L27:M27),AVERAGE(N27:O27),AVERAGE(P27:U27),AVERAGE(U27:V27),AVERAGE(W27:X27),AVERAGE(Y27:Z27))/SQRT(6)</f>
        <v>1.3624709760188756</v>
      </c>
      <c r="AD27" s="3"/>
      <c r="AE27" s="3"/>
      <c r="AF27" s="3"/>
      <c r="AG27" s="3"/>
      <c r="AH27" s="3"/>
    </row>
    <row r="28" spans="2:87" ht="24" customHeight="1" thickBot="1" x14ac:dyDescent="0.25">
      <c r="B28" s="15">
        <f t="shared" si="4"/>
        <v>202</v>
      </c>
      <c r="C28" s="15" t="s">
        <v>151</v>
      </c>
      <c r="D28" s="15">
        <v>9</v>
      </c>
      <c r="E28" s="15">
        <v>2</v>
      </c>
      <c r="F28" s="15">
        <v>2</v>
      </c>
      <c r="G28" s="15">
        <v>2</v>
      </c>
      <c r="H28" s="15">
        <v>1</v>
      </c>
      <c r="I28" s="15" t="s">
        <v>163</v>
      </c>
      <c r="J28" s="16"/>
      <c r="K28" s="15" t="s">
        <v>0</v>
      </c>
      <c r="L28" s="14">
        <v>40</v>
      </c>
      <c r="M28" s="13"/>
      <c r="N28" s="14">
        <v>35</v>
      </c>
      <c r="O28" s="13"/>
      <c r="P28" s="14">
        <v>28</v>
      </c>
      <c r="Q28" s="14">
        <v>30</v>
      </c>
      <c r="R28" s="14">
        <v>27</v>
      </c>
      <c r="S28" s="14">
        <v>38</v>
      </c>
      <c r="T28" s="13">
        <v>33</v>
      </c>
      <c r="U28" s="14">
        <v>41</v>
      </c>
      <c r="V28" s="13"/>
      <c r="W28" s="14">
        <v>41</v>
      </c>
      <c r="X28" s="13"/>
      <c r="Y28" s="14">
        <v>41</v>
      </c>
      <c r="Z28" s="13"/>
      <c r="AA28" s="4">
        <f t="shared" si="5"/>
        <v>32.833333333333336</v>
      </c>
      <c r="AB28" s="4">
        <f t="shared" si="6"/>
        <v>38.472222222222221</v>
      </c>
      <c r="AC28" s="4">
        <f t="shared" si="7"/>
        <v>1.4759909832773535</v>
      </c>
      <c r="AD28" s="3"/>
      <c r="AE28" s="3"/>
      <c r="AF28" s="3"/>
      <c r="AG28" s="3"/>
      <c r="AH28" s="3"/>
      <c r="AT28" s="12"/>
      <c r="AU28" s="12"/>
      <c r="AV28" s="11"/>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row>
    <row r="29" spans="2:87" ht="24" customHeight="1" x14ac:dyDescent="0.2">
      <c r="B29" s="7">
        <f t="shared" si="4"/>
        <v>203</v>
      </c>
      <c r="C29" s="7" t="s">
        <v>147</v>
      </c>
      <c r="D29" s="7">
        <v>3</v>
      </c>
      <c r="E29" s="7">
        <v>1</v>
      </c>
      <c r="F29" s="7">
        <v>2</v>
      </c>
      <c r="G29" s="7">
        <v>2</v>
      </c>
      <c r="H29" s="7">
        <v>1</v>
      </c>
      <c r="I29" s="7" t="s">
        <v>164</v>
      </c>
      <c r="J29" s="9"/>
      <c r="K29" s="7" t="s">
        <v>2</v>
      </c>
      <c r="L29" s="6">
        <v>41</v>
      </c>
      <c r="M29" s="6"/>
      <c r="N29" s="6">
        <v>59</v>
      </c>
      <c r="O29" s="6"/>
      <c r="P29" s="6">
        <v>55</v>
      </c>
      <c r="Q29" s="6">
        <v>53</v>
      </c>
      <c r="R29" s="6">
        <v>53</v>
      </c>
      <c r="S29" s="6">
        <v>48</v>
      </c>
      <c r="T29" s="6">
        <v>43</v>
      </c>
      <c r="U29" s="6">
        <v>56</v>
      </c>
      <c r="V29" s="6"/>
      <c r="W29" s="6">
        <v>56</v>
      </c>
      <c r="X29" s="6"/>
      <c r="Y29" s="6">
        <v>50</v>
      </c>
      <c r="Z29" s="6"/>
      <c r="AA29" s="4">
        <f t="shared" si="5"/>
        <v>51.333333333333336</v>
      </c>
      <c r="AB29" s="4">
        <f t="shared" si="6"/>
        <v>52.222222222222229</v>
      </c>
      <c r="AC29" s="4">
        <f t="shared" si="7"/>
        <v>2.6213746276088568</v>
      </c>
      <c r="AD29" s="3"/>
      <c r="AE29" s="3"/>
      <c r="AF29" s="3"/>
      <c r="AG29" s="3"/>
      <c r="AH29" s="3"/>
    </row>
    <row r="30" spans="2:87" ht="24" customHeight="1" thickBot="1" x14ac:dyDescent="0.25">
      <c r="B30" s="15">
        <f t="shared" si="4"/>
        <v>203</v>
      </c>
      <c r="C30" s="15" t="s">
        <v>147</v>
      </c>
      <c r="D30" s="15">
        <v>3</v>
      </c>
      <c r="E30" s="15">
        <v>1</v>
      </c>
      <c r="F30" s="15">
        <v>2</v>
      </c>
      <c r="G30" s="15">
        <v>2</v>
      </c>
      <c r="H30" s="15">
        <v>1</v>
      </c>
      <c r="I30" s="15" t="s">
        <v>164</v>
      </c>
      <c r="J30" s="16"/>
      <c r="K30" s="15" t="s">
        <v>0</v>
      </c>
      <c r="L30" s="14">
        <v>27.5</v>
      </c>
      <c r="M30" s="13"/>
      <c r="N30" s="14">
        <v>35</v>
      </c>
      <c r="O30" s="13"/>
      <c r="P30" s="14">
        <v>38</v>
      </c>
      <c r="Q30" s="14">
        <v>42</v>
      </c>
      <c r="R30" s="14">
        <v>40</v>
      </c>
      <c r="S30" s="14">
        <v>36</v>
      </c>
      <c r="T30" s="13">
        <v>37</v>
      </c>
      <c r="U30" s="14">
        <v>46</v>
      </c>
      <c r="V30" s="13"/>
      <c r="W30" s="14">
        <v>46</v>
      </c>
      <c r="X30" s="13"/>
      <c r="Y30" s="14">
        <v>32</v>
      </c>
      <c r="Z30" s="13"/>
      <c r="AA30" s="4">
        <f t="shared" si="5"/>
        <v>39.833333333333336</v>
      </c>
      <c r="AB30" s="4">
        <f t="shared" si="6"/>
        <v>37.722222222222221</v>
      </c>
      <c r="AC30" s="4">
        <f t="shared" si="7"/>
        <v>3.0884092353407864</v>
      </c>
      <c r="AD30" s="3"/>
      <c r="AE30" s="3"/>
      <c r="AF30" s="3"/>
      <c r="AG30" s="3"/>
      <c r="AH30" s="3"/>
      <c r="AT30" s="12"/>
      <c r="AU30" s="12"/>
      <c r="AV30" s="11"/>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row>
    <row r="31" spans="2:87" ht="24" customHeight="1" x14ac:dyDescent="0.2">
      <c r="B31" s="7">
        <f t="shared" si="4"/>
        <v>204</v>
      </c>
      <c r="C31" s="7" t="s">
        <v>165</v>
      </c>
      <c r="D31" s="7">
        <v>11</v>
      </c>
      <c r="E31" s="7">
        <v>2</v>
      </c>
      <c r="F31" s="7">
        <v>3</v>
      </c>
      <c r="G31" s="7">
        <v>2</v>
      </c>
      <c r="H31" s="7">
        <v>1</v>
      </c>
      <c r="I31" s="7" t="s">
        <v>166</v>
      </c>
      <c r="J31" s="9"/>
      <c r="K31" s="7" t="s">
        <v>2</v>
      </c>
      <c r="L31" s="6">
        <v>72</v>
      </c>
      <c r="M31" s="6"/>
      <c r="N31" s="6">
        <v>73</v>
      </c>
      <c r="O31" s="6" t="s">
        <v>1</v>
      </c>
      <c r="P31" s="6">
        <v>78</v>
      </c>
      <c r="Q31" s="6">
        <v>71</v>
      </c>
      <c r="R31" s="6">
        <v>61</v>
      </c>
      <c r="S31" s="6"/>
      <c r="T31" s="6"/>
      <c r="U31" s="6">
        <v>46</v>
      </c>
      <c r="V31" s="6"/>
      <c r="W31" s="6">
        <v>69</v>
      </c>
      <c r="X31" s="6"/>
      <c r="Y31" s="6">
        <v>77</v>
      </c>
      <c r="Z31" s="6"/>
      <c r="AA31" s="4">
        <f t="shared" si="5"/>
        <v>64</v>
      </c>
      <c r="AB31" s="4">
        <f t="shared" si="6"/>
        <v>66.833333333333329</v>
      </c>
      <c r="AC31" s="4">
        <f t="shared" si="7"/>
        <v>4.5270790190192622</v>
      </c>
      <c r="AD31" s="3"/>
      <c r="AE31" s="3"/>
      <c r="AF31" s="3"/>
      <c r="AG31" s="3"/>
      <c r="AH31" s="3"/>
    </row>
    <row r="32" spans="2:87" ht="24" customHeight="1" thickBot="1" x14ac:dyDescent="0.25">
      <c r="B32" s="15">
        <f t="shared" si="4"/>
        <v>204</v>
      </c>
      <c r="C32" s="15" t="s">
        <v>165</v>
      </c>
      <c r="D32" s="15">
        <v>11</v>
      </c>
      <c r="E32" s="15">
        <v>2</v>
      </c>
      <c r="F32" s="15">
        <v>3</v>
      </c>
      <c r="G32" s="15">
        <v>2</v>
      </c>
      <c r="H32" s="15">
        <v>1</v>
      </c>
      <c r="I32" s="15" t="s">
        <v>166</v>
      </c>
      <c r="J32" s="16"/>
      <c r="K32" s="15" t="s">
        <v>0</v>
      </c>
      <c r="L32" s="14">
        <v>41</v>
      </c>
      <c r="M32" s="13"/>
      <c r="N32" s="14">
        <v>38</v>
      </c>
      <c r="O32" s="13"/>
      <c r="P32" s="14">
        <v>30</v>
      </c>
      <c r="Q32" s="14">
        <v>34</v>
      </c>
      <c r="R32" s="14">
        <v>30</v>
      </c>
      <c r="S32" s="14"/>
      <c r="T32" s="13"/>
      <c r="U32" s="14">
        <v>69</v>
      </c>
      <c r="V32" s="13"/>
      <c r="W32" s="14">
        <v>43</v>
      </c>
      <c r="X32" s="13"/>
      <c r="Y32" s="14">
        <v>43</v>
      </c>
      <c r="Z32" s="13"/>
      <c r="AA32" s="4">
        <f t="shared" si="5"/>
        <v>40.75</v>
      </c>
      <c r="AB32" s="4">
        <f t="shared" si="6"/>
        <v>45.791666666666664</v>
      </c>
      <c r="AC32" s="4">
        <f t="shared" si="7"/>
        <v>4.7021345625624615</v>
      </c>
      <c r="AD32" s="3"/>
      <c r="AE32" s="3"/>
      <c r="AF32" s="3"/>
      <c r="AG32" s="3"/>
      <c r="AH32" s="3"/>
      <c r="AT32" s="12"/>
      <c r="AU32" s="12"/>
      <c r="AV32" s="11"/>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row>
    <row r="33" spans="2:87" ht="24" customHeight="1" x14ac:dyDescent="0.2">
      <c r="B33" s="7">
        <f t="shared" si="4"/>
        <v>205</v>
      </c>
      <c r="C33" s="7" t="s">
        <v>160</v>
      </c>
      <c r="D33" s="7">
        <v>1</v>
      </c>
      <c r="E33" s="7">
        <v>1</v>
      </c>
      <c r="F33" s="7">
        <v>1</v>
      </c>
      <c r="G33" s="7">
        <v>2</v>
      </c>
      <c r="H33" s="7">
        <v>2</v>
      </c>
      <c r="I33" s="7" t="s">
        <v>167</v>
      </c>
      <c r="J33" s="9"/>
      <c r="K33" s="7" t="s">
        <v>2</v>
      </c>
      <c r="L33" s="6">
        <v>38</v>
      </c>
      <c r="M33" s="6"/>
      <c r="N33" s="6">
        <v>41</v>
      </c>
      <c r="O33" s="6"/>
      <c r="P33" s="6">
        <v>35</v>
      </c>
      <c r="Q33" s="6">
        <v>51</v>
      </c>
      <c r="R33" s="6">
        <v>52</v>
      </c>
      <c r="S33" s="6">
        <v>36</v>
      </c>
      <c r="T33" s="6">
        <v>49</v>
      </c>
      <c r="U33" s="6">
        <v>38</v>
      </c>
      <c r="V33" s="6"/>
      <c r="W33" s="6">
        <v>59</v>
      </c>
      <c r="X33" s="6"/>
      <c r="Y33" s="6">
        <v>48</v>
      </c>
      <c r="Z33" s="6"/>
      <c r="AA33" s="4">
        <f t="shared" si="5"/>
        <v>43.5</v>
      </c>
      <c r="AB33" s="4">
        <f t="shared" si="6"/>
        <v>44.583333333333336</v>
      </c>
      <c r="AC33" s="4">
        <f t="shared" si="7"/>
        <v>3.2670492973187799</v>
      </c>
      <c r="AD33" s="3"/>
      <c r="AE33" s="3"/>
      <c r="AF33" s="3"/>
      <c r="AG33" s="3"/>
      <c r="AH33" s="3"/>
    </row>
    <row r="34" spans="2:87" ht="24" customHeight="1" thickBot="1" x14ac:dyDescent="0.25">
      <c r="B34" s="15">
        <f t="shared" si="4"/>
        <v>205</v>
      </c>
      <c r="C34" s="15" t="s">
        <v>160</v>
      </c>
      <c r="D34" s="15">
        <v>1</v>
      </c>
      <c r="E34" s="15">
        <v>1</v>
      </c>
      <c r="F34" s="15">
        <v>1</v>
      </c>
      <c r="G34" s="15">
        <v>2</v>
      </c>
      <c r="H34" s="15">
        <v>2</v>
      </c>
      <c r="I34" s="15" t="s">
        <v>167</v>
      </c>
      <c r="J34" s="16"/>
      <c r="K34" s="15" t="s">
        <v>0</v>
      </c>
      <c r="L34" s="14">
        <v>27</v>
      </c>
      <c r="M34" s="13"/>
      <c r="N34" s="14">
        <v>38</v>
      </c>
      <c r="O34" s="13"/>
      <c r="P34" s="14">
        <v>29</v>
      </c>
      <c r="Q34" s="14">
        <v>28</v>
      </c>
      <c r="R34" s="14">
        <v>32</v>
      </c>
      <c r="S34" s="14">
        <v>31</v>
      </c>
      <c r="T34" s="13">
        <v>36</v>
      </c>
      <c r="U34" s="14">
        <v>26</v>
      </c>
      <c r="V34" s="13"/>
      <c r="W34" s="14">
        <v>43</v>
      </c>
      <c r="X34" s="13"/>
      <c r="Y34" s="14">
        <v>33</v>
      </c>
      <c r="Z34" s="13"/>
      <c r="AA34" s="4">
        <f t="shared" si="5"/>
        <v>30.333333333333332</v>
      </c>
      <c r="AB34" s="4">
        <f t="shared" si="6"/>
        <v>32.888888888888886</v>
      </c>
      <c r="AC34" s="4">
        <f t="shared" si="7"/>
        <v>2.6897152082022755</v>
      </c>
      <c r="AD34" s="3"/>
      <c r="AE34" s="3"/>
      <c r="AF34" s="3"/>
      <c r="AG34" s="3"/>
      <c r="AH34" s="3"/>
      <c r="AT34" s="12"/>
      <c r="AU34" s="12"/>
      <c r="AV34" s="11"/>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row>
    <row r="35" spans="2:87" ht="24" customHeight="1" x14ac:dyDescent="0.2">
      <c r="B35" s="7">
        <f t="shared" si="4"/>
        <v>206</v>
      </c>
      <c r="C35" s="7" t="s">
        <v>168</v>
      </c>
      <c r="D35" s="7">
        <v>8</v>
      </c>
      <c r="E35" s="7">
        <v>2</v>
      </c>
      <c r="F35" s="7">
        <v>1</v>
      </c>
      <c r="G35" s="7">
        <v>1</v>
      </c>
      <c r="H35" s="7">
        <v>2</v>
      </c>
      <c r="I35" s="7" t="s">
        <v>169</v>
      </c>
      <c r="J35" s="9"/>
      <c r="K35" s="7" t="s">
        <v>2</v>
      </c>
      <c r="L35" s="6">
        <v>33</v>
      </c>
      <c r="M35" s="6"/>
      <c r="N35" s="6">
        <v>39</v>
      </c>
      <c r="O35" s="6" t="s">
        <v>1</v>
      </c>
      <c r="P35" s="6">
        <v>35</v>
      </c>
      <c r="Q35" s="6">
        <v>44</v>
      </c>
      <c r="R35" s="6">
        <v>46</v>
      </c>
      <c r="S35" s="6"/>
      <c r="T35" s="6"/>
      <c r="U35" s="6">
        <v>48</v>
      </c>
      <c r="V35" s="6"/>
      <c r="W35" s="6">
        <v>42</v>
      </c>
      <c r="X35" s="6"/>
      <c r="Y35" s="6">
        <v>41</v>
      </c>
      <c r="Z35" s="6"/>
      <c r="AA35" s="4">
        <f t="shared" si="5"/>
        <v>43.25</v>
      </c>
      <c r="AB35" s="4">
        <f t="shared" si="6"/>
        <v>41.041666666666664</v>
      </c>
      <c r="AC35" s="4">
        <f t="shared" si="7"/>
        <v>2.0252743298405607</v>
      </c>
      <c r="AD35" s="3"/>
      <c r="AE35" s="3"/>
      <c r="AF35" s="3"/>
      <c r="AG35" s="3"/>
      <c r="AH35" s="3"/>
    </row>
    <row r="36" spans="2:87" ht="24" customHeight="1" thickBot="1" x14ac:dyDescent="0.25">
      <c r="B36" s="15">
        <f t="shared" si="4"/>
        <v>206</v>
      </c>
      <c r="C36" s="15" t="s">
        <v>168</v>
      </c>
      <c r="D36" s="15">
        <v>8</v>
      </c>
      <c r="E36" s="15">
        <v>2</v>
      </c>
      <c r="F36" s="15">
        <v>1</v>
      </c>
      <c r="G36" s="15">
        <v>1</v>
      </c>
      <c r="H36" s="15">
        <v>2</v>
      </c>
      <c r="I36" s="15" t="s">
        <v>169</v>
      </c>
      <c r="J36" s="16"/>
      <c r="K36" s="15" t="s">
        <v>0</v>
      </c>
      <c r="L36" s="14">
        <v>28</v>
      </c>
      <c r="M36" s="13"/>
      <c r="N36" s="14">
        <v>32</v>
      </c>
      <c r="O36" s="13"/>
      <c r="P36" s="14">
        <v>25</v>
      </c>
      <c r="Q36" s="14">
        <v>32</v>
      </c>
      <c r="R36" s="14">
        <v>41</v>
      </c>
      <c r="S36" s="14"/>
      <c r="T36" s="13"/>
      <c r="U36" s="14">
        <v>34</v>
      </c>
      <c r="V36" s="13"/>
      <c r="W36" s="14">
        <v>36</v>
      </c>
      <c r="X36" s="13"/>
      <c r="Y36" s="14">
        <v>30</v>
      </c>
      <c r="Z36" s="13"/>
      <c r="AA36" s="4">
        <f t="shared" si="5"/>
        <v>33</v>
      </c>
      <c r="AB36" s="4">
        <f t="shared" si="6"/>
        <v>32.166666666666664</v>
      </c>
      <c r="AC36" s="4">
        <f t="shared" si="7"/>
        <v>1.166666666666667</v>
      </c>
      <c r="AD36" s="3"/>
      <c r="AE36" s="3"/>
      <c r="AF36" s="3"/>
      <c r="AG36" s="3"/>
      <c r="AH36" s="3"/>
      <c r="AT36" s="12"/>
      <c r="AU36" s="12"/>
      <c r="AV36" s="11"/>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row>
    <row r="37" spans="2:87" ht="24" customHeight="1" x14ac:dyDescent="0.2">
      <c r="B37" s="7">
        <f t="shared" si="4"/>
        <v>207</v>
      </c>
      <c r="C37" s="7" t="s">
        <v>158</v>
      </c>
      <c r="D37" s="7">
        <v>4</v>
      </c>
      <c r="E37" s="7">
        <v>1</v>
      </c>
      <c r="F37" s="7">
        <v>2</v>
      </c>
      <c r="G37" s="7">
        <v>1</v>
      </c>
      <c r="H37" s="7">
        <v>2</v>
      </c>
      <c r="I37" s="7" t="s">
        <v>170</v>
      </c>
      <c r="J37" s="9"/>
      <c r="K37" s="7" t="s">
        <v>2</v>
      </c>
      <c r="L37" s="6">
        <v>54</v>
      </c>
      <c r="M37" s="6"/>
      <c r="N37" s="6">
        <v>55</v>
      </c>
      <c r="O37" s="6"/>
      <c r="P37" s="6">
        <v>60</v>
      </c>
      <c r="Q37" s="6">
        <v>49</v>
      </c>
      <c r="R37" s="6">
        <v>53</v>
      </c>
      <c r="S37" s="6">
        <v>50</v>
      </c>
      <c r="T37" s="6">
        <v>53</v>
      </c>
      <c r="U37" s="6">
        <v>62</v>
      </c>
      <c r="V37" s="6"/>
      <c r="W37" s="6">
        <v>53</v>
      </c>
      <c r="X37" s="6"/>
      <c r="Y37" s="6">
        <v>58</v>
      </c>
      <c r="Z37" s="6"/>
      <c r="AA37" s="4">
        <f t="shared" si="5"/>
        <v>54.5</v>
      </c>
      <c r="AB37" s="4">
        <f t="shared" si="6"/>
        <v>56.083333333333336</v>
      </c>
      <c r="AC37" s="4">
        <f t="shared" si="7"/>
        <v>1.3687991492951443</v>
      </c>
      <c r="AD37" s="3"/>
      <c r="AE37" s="3"/>
      <c r="AF37" s="3"/>
      <c r="AG37" s="3"/>
      <c r="AH37" s="3"/>
    </row>
    <row r="38" spans="2:87" ht="24" customHeight="1" thickBot="1" x14ac:dyDescent="0.25">
      <c r="B38" s="15">
        <f t="shared" si="4"/>
        <v>207</v>
      </c>
      <c r="C38" s="15" t="s">
        <v>158</v>
      </c>
      <c r="D38" s="15">
        <v>4</v>
      </c>
      <c r="E38" s="15">
        <v>1</v>
      </c>
      <c r="F38" s="15">
        <v>2</v>
      </c>
      <c r="G38" s="15">
        <v>1</v>
      </c>
      <c r="H38" s="15">
        <v>2</v>
      </c>
      <c r="I38" s="15" t="s">
        <v>170</v>
      </c>
      <c r="J38" s="16"/>
      <c r="K38" s="15" t="s">
        <v>0</v>
      </c>
      <c r="L38" s="14">
        <v>38</v>
      </c>
      <c r="M38" s="13"/>
      <c r="N38" s="14">
        <v>43</v>
      </c>
      <c r="O38" s="13"/>
      <c r="P38" s="14">
        <v>36</v>
      </c>
      <c r="Q38" s="14">
        <v>33</v>
      </c>
      <c r="R38" s="14">
        <v>38</v>
      </c>
      <c r="S38" s="14">
        <v>39</v>
      </c>
      <c r="T38" s="13">
        <v>38</v>
      </c>
      <c r="U38" s="14">
        <v>46</v>
      </c>
      <c r="V38" s="13"/>
      <c r="W38" s="14">
        <v>42</v>
      </c>
      <c r="X38" s="13"/>
      <c r="Y38" s="14">
        <v>41</v>
      </c>
      <c r="Z38" s="13"/>
      <c r="AA38" s="4">
        <f t="shared" si="5"/>
        <v>38.333333333333336</v>
      </c>
      <c r="AB38" s="4">
        <f t="shared" si="6"/>
        <v>41.388888888888893</v>
      </c>
      <c r="AC38" s="4">
        <f t="shared" si="7"/>
        <v>1.227513797664527</v>
      </c>
      <c r="AD38" s="3"/>
      <c r="AE38" s="3"/>
      <c r="AF38" s="3"/>
      <c r="AG38" s="3"/>
      <c r="AH38" s="3"/>
      <c r="AT38" s="12"/>
      <c r="AU38" s="12"/>
      <c r="AV38" s="11"/>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row>
    <row r="39" spans="2:87" ht="24" customHeight="1" x14ac:dyDescent="0.2">
      <c r="B39" s="7">
        <f t="shared" si="4"/>
        <v>208</v>
      </c>
      <c r="C39" s="7" t="s">
        <v>171</v>
      </c>
      <c r="D39" s="7">
        <v>2</v>
      </c>
      <c r="E39" s="7">
        <v>1</v>
      </c>
      <c r="F39" s="7">
        <v>1</v>
      </c>
      <c r="G39" s="7">
        <v>1</v>
      </c>
      <c r="H39" s="7">
        <v>2</v>
      </c>
      <c r="I39" s="7" t="s">
        <v>172</v>
      </c>
      <c r="J39" s="9"/>
      <c r="K39" s="7" t="s">
        <v>2</v>
      </c>
      <c r="L39" s="6">
        <v>41</v>
      </c>
      <c r="M39" s="5"/>
      <c r="N39" s="6">
        <v>47</v>
      </c>
      <c r="O39" s="5"/>
      <c r="P39" s="6">
        <v>37</v>
      </c>
      <c r="Q39" s="6">
        <v>0</v>
      </c>
      <c r="R39" s="6">
        <v>36</v>
      </c>
      <c r="S39" s="6">
        <v>22</v>
      </c>
      <c r="T39" s="5">
        <v>19</v>
      </c>
      <c r="U39" s="6">
        <v>44</v>
      </c>
      <c r="V39" s="5"/>
      <c r="W39" s="6">
        <v>40</v>
      </c>
      <c r="X39" s="5"/>
      <c r="Y39" s="6">
        <v>39</v>
      </c>
      <c r="Z39" s="5"/>
      <c r="AA39" s="4">
        <f t="shared" si="5"/>
        <v>26.333333333333332</v>
      </c>
      <c r="AB39" s="4">
        <f t="shared" si="6"/>
        <v>39.55555555555555</v>
      </c>
      <c r="AC39" s="4">
        <f t="shared" si="7"/>
        <v>2.9016810793779233</v>
      </c>
      <c r="AD39" s="3"/>
      <c r="AE39" s="3"/>
      <c r="AF39" s="3"/>
      <c r="AG39" s="3"/>
      <c r="AH39" s="3"/>
    </row>
    <row r="40" spans="2:87" ht="24" customHeight="1" thickBot="1" x14ac:dyDescent="0.25">
      <c r="B40" s="15">
        <f t="shared" si="4"/>
        <v>208</v>
      </c>
      <c r="C40" s="15" t="s">
        <v>171</v>
      </c>
      <c r="D40" s="15">
        <v>2</v>
      </c>
      <c r="E40" s="15">
        <v>1</v>
      </c>
      <c r="F40" s="15">
        <v>1</v>
      </c>
      <c r="G40" s="15">
        <v>1</v>
      </c>
      <c r="H40" s="15">
        <v>2</v>
      </c>
      <c r="I40" s="15" t="s">
        <v>172</v>
      </c>
      <c r="J40" s="16"/>
      <c r="K40" s="15" t="s">
        <v>0</v>
      </c>
      <c r="L40" s="14">
        <v>29</v>
      </c>
      <c r="M40" s="13"/>
      <c r="N40" s="14">
        <v>36</v>
      </c>
      <c r="O40" s="13"/>
      <c r="P40" s="14">
        <v>29</v>
      </c>
      <c r="Q40" s="14">
        <v>0</v>
      </c>
      <c r="R40" s="14">
        <v>26</v>
      </c>
      <c r="S40" s="14">
        <v>18</v>
      </c>
      <c r="T40" s="13">
        <v>13</v>
      </c>
      <c r="U40" s="14">
        <v>32</v>
      </c>
      <c r="V40" s="13"/>
      <c r="W40" s="14">
        <v>41</v>
      </c>
      <c r="X40" s="13"/>
      <c r="Y40" s="14">
        <v>28</v>
      </c>
      <c r="Z40" s="13"/>
      <c r="AA40" s="4">
        <f t="shared" si="5"/>
        <v>19.666666666666668</v>
      </c>
      <c r="AB40" s="4">
        <f t="shared" si="6"/>
        <v>30.944444444444446</v>
      </c>
      <c r="AC40" s="4">
        <f t="shared" si="7"/>
        <v>2.9856653414045158</v>
      </c>
      <c r="AD40" s="3"/>
      <c r="AE40" s="3"/>
      <c r="AF40" s="3"/>
      <c r="AG40" s="3"/>
      <c r="AH40" s="3"/>
      <c r="AT40" s="12"/>
      <c r="AU40" s="12"/>
      <c r="AV40" s="11"/>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row>
    <row r="41" spans="2:87" ht="24" customHeight="1" x14ac:dyDescent="0.2">
      <c r="B41" s="7">
        <f>B39+700</f>
        <v>908</v>
      </c>
      <c r="C41" s="7" t="s">
        <v>173</v>
      </c>
      <c r="D41" s="7">
        <v>21</v>
      </c>
      <c r="E41" s="7">
        <v>3</v>
      </c>
      <c r="F41" s="7">
        <v>2</v>
      </c>
      <c r="G41" s="7">
        <v>2</v>
      </c>
      <c r="H41" s="7">
        <v>2</v>
      </c>
      <c r="I41" s="7" t="s">
        <v>174</v>
      </c>
      <c r="J41" s="8">
        <v>0.4861111111111111</v>
      </c>
      <c r="K41" s="7" t="s">
        <v>2</v>
      </c>
      <c r="L41" s="6">
        <v>36</v>
      </c>
      <c r="M41" s="5"/>
      <c r="N41" s="6">
        <v>34</v>
      </c>
      <c r="O41" s="5"/>
      <c r="P41" s="6">
        <v>43</v>
      </c>
      <c r="Q41" s="6">
        <v>39</v>
      </c>
      <c r="R41" s="6">
        <v>35</v>
      </c>
      <c r="S41" s="6">
        <v>46</v>
      </c>
      <c r="T41" s="5">
        <v>45</v>
      </c>
      <c r="U41" s="6">
        <v>45</v>
      </c>
      <c r="V41" s="5"/>
      <c r="W41" s="6">
        <v>38</v>
      </c>
      <c r="X41" s="5"/>
      <c r="Y41" s="6">
        <v>49</v>
      </c>
      <c r="Z41" s="5"/>
      <c r="AA41" s="4">
        <f t="shared" si="5"/>
        <v>42.166666666666664</v>
      </c>
      <c r="AB41" s="4">
        <f t="shared" si="6"/>
        <v>40.694444444444443</v>
      </c>
      <c r="AC41" s="4">
        <f t="shared" si="7"/>
        <v>2.3366708934288343</v>
      </c>
      <c r="AD41" s="3"/>
      <c r="AE41" s="3"/>
      <c r="AF41" s="3"/>
      <c r="AG41" s="3"/>
      <c r="AH41" s="3"/>
    </row>
    <row r="42" spans="2:87" ht="24" customHeight="1" thickBot="1" x14ac:dyDescent="0.25">
      <c r="B42" s="15">
        <f>B40+700</f>
        <v>908</v>
      </c>
      <c r="C42" s="15" t="s">
        <v>173</v>
      </c>
      <c r="D42" s="15">
        <v>21</v>
      </c>
      <c r="E42" s="15">
        <v>3</v>
      </c>
      <c r="F42" s="15">
        <v>2</v>
      </c>
      <c r="G42" s="15">
        <v>2</v>
      </c>
      <c r="H42" s="15">
        <v>2</v>
      </c>
      <c r="I42" s="15" t="s">
        <v>174</v>
      </c>
      <c r="J42" s="16"/>
      <c r="K42" s="15" t="s">
        <v>0</v>
      </c>
      <c r="L42" s="14">
        <v>27.5</v>
      </c>
      <c r="M42" s="13"/>
      <c r="N42" s="14">
        <v>24</v>
      </c>
      <c r="O42" s="13"/>
      <c r="P42" s="14">
        <v>33</v>
      </c>
      <c r="Q42" s="14">
        <v>32.5</v>
      </c>
      <c r="R42" s="14">
        <v>33.5</v>
      </c>
      <c r="S42" s="14">
        <v>38.5</v>
      </c>
      <c r="T42" s="13">
        <v>36</v>
      </c>
      <c r="U42" s="14">
        <v>35</v>
      </c>
      <c r="V42" s="13"/>
      <c r="W42" s="14">
        <v>31</v>
      </c>
      <c r="X42" s="13"/>
      <c r="Y42" s="14">
        <v>34</v>
      </c>
      <c r="Z42" s="13"/>
      <c r="AA42" s="4">
        <f t="shared" si="5"/>
        <v>34.75</v>
      </c>
      <c r="AB42" s="4">
        <f t="shared" si="6"/>
        <v>31.041666666666668</v>
      </c>
      <c r="AC42" s="4">
        <f t="shared" si="7"/>
        <v>1.8284974098362208</v>
      </c>
      <c r="AD42" s="3"/>
      <c r="AE42" s="3"/>
      <c r="AF42" s="3"/>
      <c r="AG42" s="3"/>
      <c r="AH42" s="3"/>
      <c r="AT42" s="12"/>
      <c r="AU42" s="12"/>
      <c r="AV42" s="11"/>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row>
    <row r="43" spans="2:87" ht="24" customHeight="1" x14ac:dyDescent="0.2">
      <c r="B43" s="7">
        <v>906</v>
      </c>
      <c r="C43" s="7" t="s">
        <v>175</v>
      </c>
      <c r="D43" s="7">
        <v>22</v>
      </c>
      <c r="E43" s="7">
        <v>4</v>
      </c>
      <c r="F43" s="7">
        <v>2</v>
      </c>
      <c r="G43" s="7">
        <v>2</v>
      </c>
      <c r="H43" s="7">
        <v>2</v>
      </c>
      <c r="I43" s="7" t="s">
        <v>176</v>
      </c>
      <c r="J43" s="9"/>
      <c r="K43" s="7" t="s">
        <v>2</v>
      </c>
      <c r="L43" s="6">
        <v>44</v>
      </c>
      <c r="M43" s="6"/>
      <c r="N43" s="6">
        <v>44</v>
      </c>
      <c r="O43" s="6"/>
      <c r="P43" s="6">
        <v>47</v>
      </c>
      <c r="Q43" s="6">
        <v>47</v>
      </c>
      <c r="R43" s="6">
        <v>42</v>
      </c>
      <c r="S43" s="6">
        <v>50</v>
      </c>
      <c r="T43" s="6">
        <v>45</v>
      </c>
      <c r="U43" s="6">
        <v>49</v>
      </c>
      <c r="V43" s="6"/>
      <c r="W43" s="6">
        <v>44</v>
      </c>
      <c r="X43" s="6"/>
      <c r="Y43" s="6">
        <v>44</v>
      </c>
      <c r="Z43" s="6"/>
      <c r="AA43" s="4">
        <f t="shared" si="5"/>
        <v>46.666666666666664</v>
      </c>
      <c r="AB43" s="4">
        <f t="shared" si="6"/>
        <v>45.277777777777771</v>
      </c>
      <c r="AC43" s="4">
        <f t="shared" si="7"/>
        <v>0.86245414979222357</v>
      </c>
      <c r="AD43" s="3"/>
      <c r="AE43" s="3"/>
      <c r="AF43" s="3"/>
      <c r="AG43" s="3"/>
      <c r="AH43" s="3"/>
    </row>
    <row r="44" spans="2:87" ht="24" customHeight="1" thickBot="1" x14ac:dyDescent="0.25">
      <c r="B44" s="15">
        <v>906</v>
      </c>
      <c r="C44" s="15" t="s">
        <v>175</v>
      </c>
      <c r="D44" s="15">
        <v>22</v>
      </c>
      <c r="E44" s="15">
        <v>4</v>
      </c>
      <c r="F44" s="15">
        <v>2</v>
      </c>
      <c r="G44" s="15">
        <v>2</v>
      </c>
      <c r="H44" s="15">
        <v>2</v>
      </c>
      <c r="I44" s="15" t="s">
        <v>176</v>
      </c>
      <c r="J44" s="16"/>
      <c r="K44" s="15" t="s">
        <v>0</v>
      </c>
      <c r="L44" s="14">
        <v>33</v>
      </c>
      <c r="M44" s="13"/>
      <c r="N44" s="14">
        <v>37</v>
      </c>
      <c r="O44" s="13"/>
      <c r="P44" s="14">
        <v>34</v>
      </c>
      <c r="Q44" s="14">
        <v>22</v>
      </c>
      <c r="R44" s="14">
        <v>30</v>
      </c>
      <c r="S44" s="14">
        <v>33</v>
      </c>
      <c r="T44" s="13">
        <v>38</v>
      </c>
      <c r="U44" s="14">
        <v>38</v>
      </c>
      <c r="V44" s="13"/>
      <c r="W44" s="14">
        <v>37</v>
      </c>
      <c r="X44" s="13"/>
      <c r="Y44" s="14">
        <v>33</v>
      </c>
      <c r="Z44" s="13"/>
      <c r="AA44" s="4">
        <f t="shared" si="5"/>
        <v>32.5</v>
      </c>
      <c r="AB44" s="4">
        <f t="shared" si="6"/>
        <v>35.083333333333336</v>
      </c>
      <c r="AC44" s="4">
        <f t="shared" si="7"/>
        <v>1.0199400853862828</v>
      </c>
      <c r="AD44" s="3"/>
      <c r="AE44" s="3"/>
      <c r="AF44" s="3"/>
      <c r="AG44" s="3"/>
      <c r="AH44" s="3"/>
      <c r="AT44" s="12"/>
      <c r="AU44" s="12"/>
      <c r="AV44" s="11"/>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row>
    <row r="45" spans="2:87" ht="24" customHeight="1" x14ac:dyDescent="0.2">
      <c r="B45" s="7">
        <v>904</v>
      </c>
      <c r="C45" s="7" t="s">
        <v>173</v>
      </c>
      <c r="D45" s="7">
        <v>21</v>
      </c>
      <c r="E45" s="7">
        <v>3</v>
      </c>
      <c r="F45" s="7">
        <v>2</v>
      </c>
      <c r="G45" s="7">
        <v>2</v>
      </c>
      <c r="H45" s="7">
        <v>1</v>
      </c>
      <c r="I45" s="7" t="s">
        <v>177</v>
      </c>
      <c r="J45" s="9"/>
      <c r="K45" s="7" t="s">
        <v>2</v>
      </c>
      <c r="L45" s="6">
        <v>57</v>
      </c>
      <c r="M45" s="6"/>
      <c r="N45" s="6">
        <v>56</v>
      </c>
      <c r="O45" s="6"/>
      <c r="P45" s="6">
        <v>39</v>
      </c>
      <c r="Q45" s="6">
        <v>44</v>
      </c>
      <c r="R45" s="6">
        <v>51</v>
      </c>
      <c r="S45" s="6">
        <v>43</v>
      </c>
      <c r="T45" s="6">
        <v>43</v>
      </c>
      <c r="U45" s="6">
        <v>41</v>
      </c>
      <c r="V45" s="6"/>
      <c r="W45" s="6">
        <v>44</v>
      </c>
      <c r="X45" s="6"/>
      <c r="Y45" s="6">
        <v>45</v>
      </c>
      <c r="Z45" s="6"/>
      <c r="AA45" s="4">
        <f t="shared" si="5"/>
        <v>43.5</v>
      </c>
      <c r="AB45" s="4">
        <f t="shared" si="6"/>
        <v>47.75</v>
      </c>
      <c r="AC45" s="4">
        <f t="shared" si="7"/>
        <v>2.8217902119044926</v>
      </c>
      <c r="AD45" s="3"/>
      <c r="AE45" s="3"/>
      <c r="AF45" s="3"/>
      <c r="AG45" s="3"/>
      <c r="AH45" s="3"/>
    </row>
    <row r="46" spans="2:87" ht="24" customHeight="1" thickBot="1" x14ac:dyDescent="0.25">
      <c r="B46" s="15">
        <v>904</v>
      </c>
      <c r="C46" s="15" t="s">
        <v>173</v>
      </c>
      <c r="D46" s="15">
        <v>21</v>
      </c>
      <c r="E46" s="15">
        <v>3</v>
      </c>
      <c r="F46" s="15">
        <v>2</v>
      </c>
      <c r="G46" s="15">
        <v>2</v>
      </c>
      <c r="H46" s="15">
        <v>1</v>
      </c>
      <c r="I46" s="15" t="s">
        <v>177</v>
      </c>
      <c r="J46" s="16"/>
      <c r="K46" s="15" t="s">
        <v>0</v>
      </c>
      <c r="L46" s="14">
        <v>38</v>
      </c>
      <c r="M46" s="13"/>
      <c r="N46" s="14">
        <v>40</v>
      </c>
      <c r="O46" s="13"/>
      <c r="P46" s="14">
        <v>33</v>
      </c>
      <c r="Q46" s="14">
        <v>33</v>
      </c>
      <c r="R46" s="14">
        <v>37</v>
      </c>
      <c r="S46" s="14">
        <v>29</v>
      </c>
      <c r="T46" s="13">
        <v>25</v>
      </c>
      <c r="U46" s="14">
        <v>30</v>
      </c>
      <c r="V46" s="13"/>
      <c r="W46" s="14">
        <v>33</v>
      </c>
      <c r="X46" s="13"/>
      <c r="Y46" s="14">
        <v>30</v>
      </c>
      <c r="Z46" s="13"/>
      <c r="AA46" s="4">
        <f t="shared" si="5"/>
        <v>31.166666666666668</v>
      </c>
      <c r="AB46" s="4">
        <f t="shared" si="6"/>
        <v>33.69444444444445</v>
      </c>
      <c r="AC46" s="4">
        <f t="shared" si="7"/>
        <v>1.7556346676970522</v>
      </c>
      <c r="AD46" s="3"/>
      <c r="AE46" s="3"/>
      <c r="AF46" s="3"/>
      <c r="AG46" s="3"/>
      <c r="AH46" s="3"/>
      <c r="AT46" s="12"/>
      <c r="AU46" s="12"/>
      <c r="AV46" s="11"/>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row>
    <row r="47" spans="2:87" ht="24" customHeight="1" x14ac:dyDescent="0.2">
      <c r="B47" s="7">
        <v>902</v>
      </c>
      <c r="C47" s="7" t="s">
        <v>175</v>
      </c>
      <c r="D47" s="7">
        <v>22</v>
      </c>
      <c r="E47" s="7">
        <v>4</v>
      </c>
      <c r="F47" s="7">
        <v>2</v>
      </c>
      <c r="G47" s="7">
        <v>2</v>
      </c>
      <c r="H47" s="7">
        <v>1</v>
      </c>
      <c r="I47" s="7" t="s">
        <v>178</v>
      </c>
      <c r="J47" s="9"/>
      <c r="K47" s="7" t="s">
        <v>2</v>
      </c>
      <c r="L47" s="6">
        <v>44</v>
      </c>
      <c r="M47" s="6"/>
      <c r="N47" s="6">
        <v>50</v>
      </c>
      <c r="O47" s="6"/>
      <c r="P47" s="6">
        <v>53</v>
      </c>
      <c r="Q47" s="6">
        <v>48</v>
      </c>
      <c r="R47" s="6">
        <v>51</v>
      </c>
      <c r="S47" s="6">
        <v>46</v>
      </c>
      <c r="T47" s="6">
        <v>50</v>
      </c>
      <c r="U47" s="6">
        <v>50</v>
      </c>
      <c r="V47" s="6"/>
      <c r="W47" s="6">
        <v>41</v>
      </c>
      <c r="X47" s="6"/>
      <c r="Y47" s="6">
        <v>49</v>
      </c>
      <c r="Z47" s="6"/>
      <c r="AA47" s="4">
        <f t="shared" si="5"/>
        <v>49.666666666666664</v>
      </c>
      <c r="AB47" s="4">
        <f t="shared" si="6"/>
        <v>47.277777777777771</v>
      </c>
      <c r="AC47" s="4">
        <f t="shared" si="7"/>
        <v>1.5668242631529989</v>
      </c>
      <c r="AD47" s="3"/>
      <c r="AE47" s="3"/>
      <c r="AF47" s="3"/>
      <c r="AG47" s="3"/>
      <c r="AH47" s="3"/>
    </row>
    <row r="48" spans="2:87" ht="24" customHeight="1" thickBot="1" x14ac:dyDescent="0.25">
      <c r="B48" s="15">
        <v>902</v>
      </c>
      <c r="C48" s="15" t="s">
        <v>175</v>
      </c>
      <c r="D48" s="15">
        <v>22</v>
      </c>
      <c r="E48" s="15">
        <v>4</v>
      </c>
      <c r="F48" s="15">
        <v>2</v>
      </c>
      <c r="G48" s="15">
        <v>2</v>
      </c>
      <c r="H48" s="15">
        <v>1</v>
      </c>
      <c r="I48" s="15" t="s">
        <v>178</v>
      </c>
      <c r="J48" s="16"/>
      <c r="K48" s="15" t="s">
        <v>0</v>
      </c>
      <c r="L48" s="14">
        <v>38</v>
      </c>
      <c r="M48" s="13"/>
      <c r="N48" s="14">
        <v>40</v>
      </c>
      <c r="O48" s="13"/>
      <c r="P48" s="14">
        <v>38</v>
      </c>
      <c r="Q48" s="14">
        <v>26</v>
      </c>
      <c r="R48" s="14">
        <v>33</v>
      </c>
      <c r="S48" s="14">
        <v>32</v>
      </c>
      <c r="T48" s="13">
        <v>32</v>
      </c>
      <c r="U48" s="14">
        <v>32</v>
      </c>
      <c r="V48" s="13"/>
      <c r="W48" s="14">
        <v>32</v>
      </c>
      <c r="X48" s="13"/>
      <c r="Y48" s="14">
        <v>36</v>
      </c>
      <c r="Z48" s="13"/>
      <c r="AA48" s="4">
        <f t="shared" si="5"/>
        <v>32.166666666666664</v>
      </c>
      <c r="AB48" s="4">
        <f t="shared" si="6"/>
        <v>35.027777777777779</v>
      </c>
      <c r="AC48" s="4">
        <f t="shared" si="7"/>
        <v>1.4262205082916195</v>
      </c>
      <c r="AD48" s="3"/>
      <c r="AE48" s="3"/>
      <c r="AF48" s="3"/>
      <c r="AG48" s="3"/>
      <c r="AH48" s="3"/>
      <c r="AT48" s="12"/>
      <c r="AU48" s="12"/>
      <c r="AV48" s="11"/>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row>
    <row r="49" spans="2:87" ht="24" customHeight="1" x14ac:dyDescent="0.2">
      <c r="B49" s="7">
        <f>B47-601</f>
        <v>301</v>
      </c>
      <c r="C49" s="7" t="s">
        <v>149</v>
      </c>
      <c r="D49" s="7">
        <v>10</v>
      </c>
      <c r="E49" s="7">
        <v>2</v>
      </c>
      <c r="F49" s="7">
        <v>2</v>
      </c>
      <c r="G49" s="7">
        <v>1</v>
      </c>
      <c r="H49" s="7">
        <v>3</v>
      </c>
      <c r="I49" s="7" t="s">
        <v>179</v>
      </c>
      <c r="J49" s="8">
        <v>0.4916666666666667</v>
      </c>
      <c r="K49" s="7" t="s">
        <v>2</v>
      </c>
      <c r="L49" s="6">
        <v>43</v>
      </c>
      <c r="M49" s="6"/>
      <c r="N49" s="6">
        <v>46</v>
      </c>
      <c r="O49" s="6"/>
      <c r="P49" s="6">
        <v>55</v>
      </c>
      <c r="Q49" s="6">
        <v>60</v>
      </c>
      <c r="R49" s="6">
        <v>57</v>
      </c>
      <c r="S49" s="6">
        <v>21</v>
      </c>
      <c r="T49" s="6">
        <v>43</v>
      </c>
      <c r="U49" s="6">
        <v>56</v>
      </c>
      <c r="V49" s="6"/>
      <c r="W49" s="6">
        <v>54</v>
      </c>
      <c r="X49" s="6"/>
      <c r="Y49" s="6">
        <v>57</v>
      </c>
      <c r="Z49" s="6"/>
      <c r="AA49" s="4">
        <f t="shared" si="5"/>
        <v>48.666666666666664</v>
      </c>
      <c r="AB49" s="4">
        <f t="shared" si="6"/>
        <v>50.777777777777771</v>
      </c>
      <c r="AC49" s="4">
        <f t="shared" si="7"/>
        <v>2.3391461985672843</v>
      </c>
      <c r="AT49" s="12">
        <v>2</v>
      </c>
      <c r="AU49" s="12" t="s">
        <v>3</v>
      </c>
      <c r="AV49" s="12">
        <v>150</v>
      </c>
    </row>
    <row r="50" spans="2:87" ht="24" customHeight="1" thickBot="1" x14ac:dyDescent="0.25">
      <c r="B50" s="15">
        <f>B48-601</f>
        <v>301</v>
      </c>
      <c r="C50" s="15" t="s">
        <v>149</v>
      </c>
      <c r="D50" s="15">
        <v>10</v>
      </c>
      <c r="E50" s="15">
        <v>2</v>
      </c>
      <c r="F50" s="15">
        <v>2</v>
      </c>
      <c r="G50" s="15">
        <v>1</v>
      </c>
      <c r="H50" s="15">
        <v>3</v>
      </c>
      <c r="I50" s="15" t="s">
        <v>179</v>
      </c>
      <c r="J50" s="16"/>
      <c r="K50" s="15" t="s">
        <v>0</v>
      </c>
      <c r="L50" s="14">
        <v>36</v>
      </c>
      <c r="M50" s="13"/>
      <c r="N50" s="14">
        <v>39</v>
      </c>
      <c r="O50" s="13"/>
      <c r="P50" s="14">
        <v>45</v>
      </c>
      <c r="Q50" s="14">
        <v>36</v>
      </c>
      <c r="R50" s="14">
        <v>43</v>
      </c>
      <c r="S50" s="14">
        <v>16</v>
      </c>
      <c r="T50" s="13">
        <v>33</v>
      </c>
      <c r="U50" s="14">
        <v>44</v>
      </c>
      <c r="V50" s="13"/>
      <c r="W50" s="14">
        <v>44</v>
      </c>
      <c r="X50" s="13"/>
      <c r="Y50" s="14">
        <v>39</v>
      </c>
      <c r="Z50" s="13"/>
      <c r="AA50" s="4">
        <f t="shared" si="5"/>
        <v>36.166666666666664</v>
      </c>
      <c r="AB50" s="4">
        <f t="shared" si="6"/>
        <v>39.694444444444443</v>
      </c>
      <c r="AC50" s="4">
        <f t="shared" si="7"/>
        <v>1.4621247012397092</v>
      </c>
      <c r="AD50" s="3"/>
      <c r="AE50" s="3"/>
      <c r="AF50" s="3"/>
      <c r="AG50" s="3"/>
      <c r="AH50" s="3"/>
      <c r="AT50" s="12"/>
      <c r="AU50" s="12"/>
      <c r="AV50" s="11"/>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row>
    <row r="51" spans="2:87" ht="24" customHeight="1" x14ac:dyDescent="0.2">
      <c r="B51" s="7">
        <f t="shared" ref="B51:B64" si="8">B49+1</f>
        <v>302</v>
      </c>
      <c r="C51" s="7" t="s">
        <v>158</v>
      </c>
      <c r="D51" s="7">
        <v>4</v>
      </c>
      <c r="E51" s="7">
        <v>1</v>
      </c>
      <c r="F51" s="7">
        <v>2</v>
      </c>
      <c r="G51" s="7">
        <v>1</v>
      </c>
      <c r="H51" s="7">
        <v>3</v>
      </c>
      <c r="I51" s="7" t="s">
        <v>180</v>
      </c>
      <c r="J51" s="9"/>
      <c r="K51" s="7" t="s">
        <v>2</v>
      </c>
      <c r="L51" s="6">
        <v>42</v>
      </c>
      <c r="M51" s="6"/>
      <c r="N51" s="6">
        <v>53</v>
      </c>
      <c r="O51" s="6"/>
      <c r="P51" s="6">
        <v>61</v>
      </c>
      <c r="Q51" s="6">
        <v>35</v>
      </c>
      <c r="R51" s="6">
        <v>54</v>
      </c>
      <c r="S51" s="6">
        <v>59</v>
      </c>
      <c r="T51" s="6">
        <v>49</v>
      </c>
      <c r="U51" s="6">
        <v>54</v>
      </c>
      <c r="V51" s="6"/>
      <c r="W51" s="6">
        <v>48</v>
      </c>
      <c r="X51" s="6"/>
      <c r="Y51" s="6">
        <v>41</v>
      </c>
      <c r="Z51" s="6"/>
      <c r="AA51" s="4">
        <f t="shared" si="5"/>
        <v>52</v>
      </c>
      <c r="AB51" s="4">
        <f t="shared" si="6"/>
        <v>48.333333333333336</v>
      </c>
      <c r="AC51" s="4">
        <f t="shared" si="7"/>
        <v>2.3190036174568158</v>
      </c>
      <c r="AD51" s="3"/>
      <c r="AE51" s="3"/>
      <c r="AF51" s="3"/>
      <c r="AG51" s="3"/>
      <c r="AH51" s="3"/>
    </row>
    <row r="52" spans="2:87" ht="24" customHeight="1" thickBot="1" x14ac:dyDescent="0.25">
      <c r="B52" s="15">
        <f t="shared" si="8"/>
        <v>302</v>
      </c>
      <c r="C52" s="15" t="s">
        <v>158</v>
      </c>
      <c r="D52" s="15">
        <v>4</v>
      </c>
      <c r="E52" s="15">
        <v>1</v>
      </c>
      <c r="F52" s="15">
        <v>2</v>
      </c>
      <c r="G52" s="15">
        <v>1</v>
      </c>
      <c r="H52" s="15">
        <v>3</v>
      </c>
      <c r="I52" s="15" t="s">
        <v>180</v>
      </c>
      <c r="J52" s="16"/>
      <c r="K52" s="15" t="s">
        <v>0</v>
      </c>
      <c r="L52" s="14">
        <v>32</v>
      </c>
      <c r="M52" s="13"/>
      <c r="N52" s="14">
        <v>33</v>
      </c>
      <c r="O52" s="13"/>
      <c r="P52" s="14">
        <v>37</v>
      </c>
      <c r="Q52" s="14">
        <v>26</v>
      </c>
      <c r="R52" s="14">
        <v>43</v>
      </c>
      <c r="S52" s="14">
        <v>35</v>
      </c>
      <c r="T52" s="13">
        <v>33</v>
      </c>
      <c r="U52" s="14">
        <v>40</v>
      </c>
      <c r="V52" s="13"/>
      <c r="W52" s="14">
        <v>36</v>
      </c>
      <c r="X52" s="13"/>
      <c r="Y52" s="14">
        <v>37</v>
      </c>
      <c r="Z52" s="13"/>
      <c r="AA52" s="4">
        <f t="shared" si="5"/>
        <v>35.666666666666664</v>
      </c>
      <c r="AB52" s="4">
        <f t="shared" si="6"/>
        <v>35.611111111111107</v>
      </c>
      <c r="AC52" s="4">
        <f t="shared" si="7"/>
        <v>1.171945728318277</v>
      </c>
      <c r="AD52" s="3"/>
      <c r="AE52" s="3"/>
      <c r="AF52" s="3"/>
      <c r="AG52" s="3"/>
      <c r="AH52" s="3"/>
      <c r="AT52" s="12"/>
      <c r="AU52" s="12"/>
      <c r="AV52" s="11"/>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row>
    <row r="53" spans="2:87" ht="24" customHeight="1" x14ac:dyDescent="0.2">
      <c r="B53" s="7">
        <f t="shared" si="8"/>
        <v>303</v>
      </c>
      <c r="C53" s="7" t="s">
        <v>168</v>
      </c>
      <c r="D53" s="7">
        <v>8</v>
      </c>
      <c r="E53" s="7">
        <v>2</v>
      </c>
      <c r="F53" s="7">
        <v>1</v>
      </c>
      <c r="G53" s="7">
        <v>1</v>
      </c>
      <c r="H53" s="7">
        <v>3</v>
      </c>
      <c r="I53" s="7" t="s">
        <v>181</v>
      </c>
      <c r="J53" s="9"/>
      <c r="K53" s="7" t="s">
        <v>2</v>
      </c>
      <c r="L53" s="6">
        <v>51</v>
      </c>
      <c r="M53" s="6"/>
      <c r="N53" s="6">
        <v>42</v>
      </c>
      <c r="O53" s="6" t="s">
        <v>1</v>
      </c>
      <c r="P53" s="6">
        <v>54</v>
      </c>
      <c r="Q53" s="6">
        <v>37</v>
      </c>
      <c r="R53" s="6">
        <v>35</v>
      </c>
      <c r="S53" s="6"/>
      <c r="T53" s="6"/>
      <c r="U53" s="6">
        <v>51</v>
      </c>
      <c r="V53" s="6"/>
      <c r="W53" s="6">
        <v>42</v>
      </c>
      <c r="X53" s="6"/>
      <c r="Y53" s="6">
        <v>39</v>
      </c>
      <c r="Z53" s="6"/>
      <c r="AA53" s="4">
        <f t="shared" si="5"/>
        <v>44.25</v>
      </c>
      <c r="AB53" s="4">
        <f t="shared" si="6"/>
        <v>44.875</v>
      </c>
      <c r="AC53" s="4">
        <f t="shared" si="7"/>
        <v>2.0531987239427165</v>
      </c>
      <c r="AD53" s="3"/>
      <c r="AE53" s="3"/>
      <c r="AF53" s="3"/>
      <c r="AG53" s="3"/>
      <c r="AH53" s="3"/>
    </row>
    <row r="54" spans="2:87" ht="24" customHeight="1" thickBot="1" x14ac:dyDescent="0.25">
      <c r="B54" s="15">
        <f t="shared" si="8"/>
        <v>303</v>
      </c>
      <c r="C54" s="15" t="s">
        <v>168</v>
      </c>
      <c r="D54" s="15">
        <v>8</v>
      </c>
      <c r="E54" s="15">
        <v>2</v>
      </c>
      <c r="F54" s="15">
        <v>1</v>
      </c>
      <c r="G54" s="15">
        <v>1</v>
      </c>
      <c r="H54" s="15">
        <v>3</v>
      </c>
      <c r="I54" s="15" t="s">
        <v>181</v>
      </c>
      <c r="J54" s="16"/>
      <c r="K54" s="15" t="s">
        <v>0</v>
      </c>
      <c r="L54" s="14">
        <v>34</v>
      </c>
      <c r="M54" s="13"/>
      <c r="N54" s="14">
        <v>32</v>
      </c>
      <c r="O54" s="13"/>
      <c r="P54" s="14">
        <v>33</v>
      </c>
      <c r="Q54" s="14">
        <v>33</v>
      </c>
      <c r="R54" s="14">
        <v>28</v>
      </c>
      <c r="S54" s="14"/>
      <c r="T54" s="13"/>
      <c r="U54" s="14">
        <v>36</v>
      </c>
      <c r="V54" s="13"/>
      <c r="W54" s="14">
        <v>37</v>
      </c>
      <c r="X54" s="13"/>
      <c r="Y54" s="14">
        <v>35</v>
      </c>
      <c r="Z54" s="13"/>
      <c r="AA54" s="4">
        <f t="shared" si="5"/>
        <v>32.5</v>
      </c>
      <c r="AB54" s="4">
        <f t="shared" si="6"/>
        <v>34.416666666666664</v>
      </c>
      <c r="AC54" s="4">
        <f t="shared" si="7"/>
        <v>0.80017359227718698</v>
      </c>
      <c r="AD54" s="3"/>
      <c r="AE54" s="3"/>
      <c r="AF54" s="3"/>
      <c r="AG54" s="3"/>
      <c r="AH54" s="3"/>
      <c r="AT54" s="12"/>
      <c r="AU54" s="12"/>
      <c r="AV54" s="11"/>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row>
    <row r="55" spans="2:87" ht="24" customHeight="1" x14ac:dyDescent="0.2">
      <c r="B55" s="7">
        <f t="shared" si="8"/>
        <v>304</v>
      </c>
      <c r="C55" s="7" t="s">
        <v>171</v>
      </c>
      <c r="D55" s="7">
        <v>2</v>
      </c>
      <c r="E55" s="7">
        <v>1</v>
      </c>
      <c r="F55" s="7">
        <v>1</v>
      </c>
      <c r="G55" s="7">
        <v>1</v>
      </c>
      <c r="H55" s="7">
        <v>3</v>
      </c>
      <c r="I55" s="7" t="s">
        <v>182</v>
      </c>
      <c r="J55" s="9"/>
      <c r="K55" s="7" t="s">
        <v>2</v>
      </c>
      <c r="L55" s="6">
        <v>50</v>
      </c>
      <c r="M55" s="6"/>
      <c r="N55" s="6">
        <v>50</v>
      </c>
      <c r="O55" s="6"/>
      <c r="P55" s="6">
        <v>42</v>
      </c>
      <c r="Q55" s="6">
        <v>38</v>
      </c>
      <c r="R55" s="6">
        <v>55</v>
      </c>
      <c r="S55" s="6">
        <v>51</v>
      </c>
      <c r="T55" s="6">
        <v>44</v>
      </c>
      <c r="U55" s="6">
        <v>51</v>
      </c>
      <c r="V55" s="6"/>
      <c r="W55" s="6">
        <v>46</v>
      </c>
      <c r="X55" s="6"/>
      <c r="Y55" s="6">
        <v>26</v>
      </c>
      <c r="Z55" s="6"/>
      <c r="AA55" s="4">
        <f t="shared" si="5"/>
        <v>46.833333333333336</v>
      </c>
      <c r="AB55" s="4">
        <f t="shared" si="6"/>
        <v>44.972222222222229</v>
      </c>
      <c r="AC55" s="4">
        <f t="shared" si="7"/>
        <v>3.8788163206553881</v>
      </c>
      <c r="AD55" s="3"/>
      <c r="AE55" s="3"/>
      <c r="AF55" s="3"/>
      <c r="AG55" s="3"/>
      <c r="AH55" s="3"/>
    </row>
    <row r="56" spans="2:87" ht="24" customHeight="1" thickBot="1" x14ac:dyDescent="0.25">
      <c r="B56" s="15">
        <f t="shared" si="8"/>
        <v>304</v>
      </c>
      <c r="C56" s="15" t="s">
        <v>171</v>
      </c>
      <c r="D56" s="15">
        <v>2</v>
      </c>
      <c r="E56" s="15">
        <v>1</v>
      </c>
      <c r="F56" s="15">
        <v>1</v>
      </c>
      <c r="G56" s="15">
        <v>1</v>
      </c>
      <c r="H56" s="15">
        <v>3</v>
      </c>
      <c r="I56" s="15" t="s">
        <v>182</v>
      </c>
      <c r="J56" s="16"/>
      <c r="K56" s="15" t="s">
        <v>0</v>
      </c>
      <c r="L56" s="14">
        <v>29</v>
      </c>
      <c r="M56" s="13"/>
      <c r="N56" s="14">
        <v>38</v>
      </c>
      <c r="O56" s="13"/>
      <c r="P56" s="14">
        <v>35</v>
      </c>
      <c r="Q56" s="14">
        <v>31</v>
      </c>
      <c r="R56" s="14">
        <v>33</v>
      </c>
      <c r="S56" s="14">
        <v>43</v>
      </c>
      <c r="T56" s="13">
        <v>39</v>
      </c>
      <c r="U56" s="14">
        <v>36</v>
      </c>
      <c r="V56" s="13"/>
      <c r="W56" s="14">
        <v>37</v>
      </c>
      <c r="X56" s="13"/>
      <c r="Y56" s="14">
        <v>20</v>
      </c>
      <c r="Z56" s="13"/>
      <c r="AA56" s="4">
        <f t="shared" si="5"/>
        <v>36.166666666666664</v>
      </c>
      <c r="AB56" s="4">
        <f t="shared" si="6"/>
        <v>32.694444444444443</v>
      </c>
      <c r="AC56" s="4">
        <f t="shared" si="7"/>
        <v>2.8546312814593775</v>
      </c>
      <c r="AD56" s="3"/>
      <c r="AE56" s="3"/>
      <c r="AF56" s="3"/>
      <c r="AG56" s="3"/>
      <c r="AH56" s="3"/>
      <c r="AT56" s="12"/>
      <c r="AU56" s="12"/>
      <c r="AV56" s="11"/>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row>
    <row r="57" spans="2:87" ht="24" customHeight="1" thickBot="1" x14ac:dyDescent="0.25">
      <c r="B57" s="7">
        <f t="shared" si="8"/>
        <v>305</v>
      </c>
      <c r="C57" s="7" t="s">
        <v>165</v>
      </c>
      <c r="D57" s="7">
        <v>11</v>
      </c>
      <c r="E57" s="7">
        <v>2</v>
      </c>
      <c r="F57" s="7">
        <v>3</v>
      </c>
      <c r="G57" s="7">
        <v>2</v>
      </c>
      <c r="H57" s="7">
        <v>4</v>
      </c>
      <c r="I57" s="7" t="s">
        <v>183</v>
      </c>
      <c r="J57" s="16"/>
      <c r="K57" s="7" t="s">
        <v>2</v>
      </c>
      <c r="L57" s="6">
        <v>69</v>
      </c>
      <c r="M57" s="6"/>
      <c r="N57" s="6">
        <v>64</v>
      </c>
      <c r="O57" s="6" t="s">
        <v>1</v>
      </c>
      <c r="P57" s="6">
        <v>61</v>
      </c>
      <c r="Q57" s="6">
        <v>60</v>
      </c>
      <c r="R57" s="6">
        <v>59</v>
      </c>
      <c r="S57" s="6"/>
      <c r="T57" s="6"/>
      <c r="U57" s="6">
        <v>73</v>
      </c>
      <c r="V57" s="6"/>
      <c r="W57" s="6">
        <v>79</v>
      </c>
      <c r="X57" s="6"/>
      <c r="Y57" s="6">
        <v>69</v>
      </c>
      <c r="Z57" s="6"/>
      <c r="AA57" s="4">
        <f t="shared" si="5"/>
        <v>63.25</v>
      </c>
      <c r="AB57" s="4">
        <f t="shared" si="6"/>
        <v>69.541666666666671</v>
      </c>
      <c r="AC57" s="4">
        <f t="shared" si="7"/>
        <v>2.3965397509279454</v>
      </c>
      <c r="AD57" s="3"/>
      <c r="AE57" s="3"/>
      <c r="AF57" s="3"/>
      <c r="AG57" s="3"/>
      <c r="AH57" s="3"/>
    </row>
    <row r="58" spans="2:87" ht="24" customHeight="1" thickBot="1" x14ac:dyDescent="0.25">
      <c r="B58" s="15">
        <f t="shared" si="8"/>
        <v>305</v>
      </c>
      <c r="C58" s="15" t="s">
        <v>165</v>
      </c>
      <c r="D58" s="15">
        <v>11</v>
      </c>
      <c r="E58" s="15">
        <v>2</v>
      </c>
      <c r="F58" s="15">
        <v>3</v>
      </c>
      <c r="G58" s="15">
        <v>2</v>
      </c>
      <c r="H58" s="15">
        <v>4</v>
      </c>
      <c r="I58" s="15" t="s">
        <v>183</v>
      </c>
      <c r="J58" s="16"/>
      <c r="K58" s="15" t="s">
        <v>0</v>
      </c>
      <c r="L58" s="14">
        <v>37</v>
      </c>
      <c r="M58" s="13"/>
      <c r="N58" s="14">
        <v>40</v>
      </c>
      <c r="O58" s="13"/>
      <c r="P58" s="14">
        <v>39</v>
      </c>
      <c r="Q58" s="14">
        <v>29</v>
      </c>
      <c r="R58" s="14">
        <v>19</v>
      </c>
      <c r="S58" s="14"/>
      <c r="T58" s="13"/>
      <c r="U58" s="14">
        <v>38</v>
      </c>
      <c r="V58" s="13"/>
      <c r="W58" s="14">
        <v>40</v>
      </c>
      <c r="X58" s="13"/>
      <c r="Y58" s="14">
        <v>36</v>
      </c>
      <c r="Z58" s="13"/>
      <c r="AA58" s="4">
        <f t="shared" si="5"/>
        <v>31.25</v>
      </c>
      <c r="AB58" s="4">
        <f t="shared" si="6"/>
        <v>37.041666666666664</v>
      </c>
      <c r="AC58" s="4">
        <f t="shared" si="7"/>
        <v>1.3298130612149131</v>
      </c>
      <c r="AD58" s="3"/>
      <c r="AE58" s="3"/>
      <c r="AF58" s="3"/>
      <c r="AG58" s="3"/>
      <c r="AH58" s="3"/>
      <c r="AT58" s="12"/>
      <c r="AU58" s="12"/>
      <c r="AV58" s="11"/>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row>
    <row r="59" spans="2:87" ht="24" customHeight="1" x14ac:dyDescent="0.2">
      <c r="B59" s="7">
        <f t="shared" si="8"/>
        <v>306</v>
      </c>
      <c r="C59" s="7" t="s">
        <v>158</v>
      </c>
      <c r="D59" s="7">
        <v>4</v>
      </c>
      <c r="E59" s="7">
        <v>1</v>
      </c>
      <c r="F59" s="7">
        <v>2</v>
      </c>
      <c r="G59" s="7">
        <v>1</v>
      </c>
      <c r="H59" s="7">
        <v>4</v>
      </c>
      <c r="I59" s="7" t="s">
        <v>184</v>
      </c>
      <c r="J59" s="9"/>
      <c r="K59" s="7" t="s">
        <v>2</v>
      </c>
      <c r="L59" s="6">
        <v>50</v>
      </c>
      <c r="M59" s="6"/>
      <c r="N59" s="6">
        <v>47</v>
      </c>
      <c r="O59" s="6"/>
      <c r="P59" s="6">
        <v>53</v>
      </c>
      <c r="Q59" s="6">
        <v>55</v>
      </c>
      <c r="R59" s="6">
        <v>57</v>
      </c>
      <c r="S59" s="6">
        <v>53</v>
      </c>
      <c r="T59" s="6">
        <v>52</v>
      </c>
      <c r="U59" s="6">
        <v>50</v>
      </c>
      <c r="V59" s="6"/>
      <c r="W59" s="6">
        <v>59</v>
      </c>
      <c r="X59" s="6"/>
      <c r="Y59" s="6">
        <v>47</v>
      </c>
      <c r="Z59" s="6"/>
      <c r="AA59" s="4">
        <f t="shared" ref="AA59:AA80" si="9">AVERAGE(P59:U59)</f>
        <v>53.333333333333336</v>
      </c>
      <c r="AB59" s="4">
        <f t="shared" ref="AB59:AB80" si="10">AVERAGE(AVERAGE(L59:M59),AVERAGE(N59:O59),AVERAGE(P59:U59),AVERAGE(U59:V59),AVERAGE(W59:X59),AVERAGE(Y59:Z59))</f>
        <v>51.055555555555564</v>
      </c>
      <c r="AC59" s="4">
        <f t="shared" ref="AC59:AC80" si="11">STDEV(AVERAGE(L59:M59),AVERAGE(N59:O59),AVERAGE(P59:U59),AVERAGE(U59:V59),AVERAGE(W59:X59),AVERAGE(Y59:Z59))/SQRT(6)</f>
        <v>1.856752774118712</v>
      </c>
      <c r="AD59" s="3"/>
      <c r="AE59" s="3"/>
      <c r="AF59" s="3"/>
      <c r="AG59" s="3"/>
      <c r="AH59" s="3"/>
    </row>
    <row r="60" spans="2:87" ht="24" customHeight="1" thickBot="1" x14ac:dyDescent="0.25">
      <c r="B60" s="15">
        <f t="shared" si="8"/>
        <v>306</v>
      </c>
      <c r="C60" s="15" t="s">
        <v>158</v>
      </c>
      <c r="D60" s="15">
        <v>4</v>
      </c>
      <c r="E60" s="15">
        <v>1</v>
      </c>
      <c r="F60" s="15">
        <v>2</v>
      </c>
      <c r="G60" s="15">
        <v>1</v>
      </c>
      <c r="H60" s="15">
        <v>4</v>
      </c>
      <c r="I60" s="15" t="s">
        <v>184</v>
      </c>
      <c r="J60" s="16"/>
      <c r="K60" s="15" t="s">
        <v>0</v>
      </c>
      <c r="L60" s="14">
        <v>38</v>
      </c>
      <c r="M60" s="13"/>
      <c r="N60" s="14">
        <v>36</v>
      </c>
      <c r="O60" s="13"/>
      <c r="P60" s="14">
        <v>38</v>
      </c>
      <c r="Q60" s="14">
        <v>33</v>
      </c>
      <c r="R60" s="14">
        <v>40</v>
      </c>
      <c r="S60" s="14">
        <v>37</v>
      </c>
      <c r="T60" s="13">
        <v>31</v>
      </c>
      <c r="U60" s="14">
        <v>39</v>
      </c>
      <c r="V60" s="13"/>
      <c r="W60" s="14">
        <v>44</v>
      </c>
      <c r="X60" s="13"/>
      <c r="Y60" s="14">
        <v>38</v>
      </c>
      <c r="Z60" s="13"/>
      <c r="AA60" s="4">
        <f t="shared" si="9"/>
        <v>36.333333333333336</v>
      </c>
      <c r="AB60" s="4">
        <f t="shared" si="10"/>
        <v>38.555555555555557</v>
      </c>
      <c r="AC60" s="4">
        <f t="shared" si="11"/>
        <v>1.1821720958462565</v>
      </c>
      <c r="AD60" s="3"/>
      <c r="AE60" s="3"/>
      <c r="AF60" s="3"/>
      <c r="AG60" s="3"/>
      <c r="AH60" s="3"/>
      <c r="AT60" s="12"/>
      <c r="AU60" s="12"/>
      <c r="AV60" s="11"/>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row>
    <row r="61" spans="2:87" ht="24" customHeight="1" x14ac:dyDescent="0.2">
      <c r="B61" s="7">
        <f t="shared" si="8"/>
        <v>307</v>
      </c>
      <c r="C61" s="7" t="s">
        <v>151</v>
      </c>
      <c r="D61" s="7">
        <v>9</v>
      </c>
      <c r="E61" s="7">
        <v>2</v>
      </c>
      <c r="F61" s="7">
        <v>2</v>
      </c>
      <c r="G61" s="7">
        <v>2</v>
      </c>
      <c r="H61" s="7">
        <v>4</v>
      </c>
      <c r="I61" s="7" t="s">
        <v>185</v>
      </c>
      <c r="J61" s="9"/>
      <c r="K61" s="7" t="s">
        <v>2</v>
      </c>
      <c r="L61" s="6">
        <v>49</v>
      </c>
      <c r="M61" s="5"/>
      <c r="N61" s="6">
        <v>51</v>
      </c>
      <c r="O61" s="5"/>
      <c r="P61" s="6">
        <v>47</v>
      </c>
      <c r="Q61" s="6">
        <v>44</v>
      </c>
      <c r="R61" s="6">
        <v>55</v>
      </c>
      <c r="S61" s="6">
        <v>43</v>
      </c>
      <c r="T61" s="5">
        <v>57</v>
      </c>
      <c r="U61" s="6">
        <v>61</v>
      </c>
      <c r="V61" s="5"/>
      <c r="W61" s="6">
        <v>52</v>
      </c>
      <c r="X61" s="5"/>
      <c r="Y61" s="6">
        <v>43</v>
      </c>
      <c r="Z61" s="5"/>
      <c r="AA61" s="4">
        <f t="shared" si="9"/>
        <v>51.166666666666664</v>
      </c>
      <c r="AB61" s="4">
        <f t="shared" si="10"/>
        <v>51.194444444444436</v>
      </c>
      <c r="AC61" s="4">
        <f t="shared" si="11"/>
        <v>2.3720660890591336</v>
      </c>
      <c r="AD61" s="3"/>
      <c r="AE61" s="3"/>
      <c r="AF61" s="3"/>
      <c r="AG61" s="3"/>
      <c r="AH61" s="3"/>
    </row>
    <row r="62" spans="2:87" ht="24" customHeight="1" thickBot="1" x14ac:dyDescent="0.25">
      <c r="B62" s="15">
        <f t="shared" si="8"/>
        <v>307</v>
      </c>
      <c r="C62" s="15" t="s">
        <v>151</v>
      </c>
      <c r="D62" s="15">
        <v>9</v>
      </c>
      <c r="E62" s="15">
        <v>2</v>
      </c>
      <c r="F62" s="15">
        <v>2</v>
      </c>
      <c r="G62" s="15">
        <v>2</v>
      </c>
      <c r="H62" s="15">
        <v>4</v>
      </c>
      <c r="I62" s="15" t="s">
        <v>185</v>
      </c>
      <c r="J62" s="16"/>
      <c r="K62" s="15" t="s">
        <v>0</v>
      </c>
      <c r="L62" s="14">
        <v>38</v>
      </c>
      <c r="M62" s="13"/>
      <c r="N62" s="14">
        <v>37</v>
      </c>
      <c r="O62" s="13"/>
      <c r="P62" s="14">
        <v>36</v>
      </c>
      <c r="Q62" s="14">
        <v>32</v>
      </c>
      <c r="R62" s="14">
        <v>42</v>
      </c>
      <c r="S62" s="14">
        <v>33</v>
      </c>
      <c r="T62" s="13">
        <v>36</v>
      </c>
      <c r="U62" s="14">
        <v>43</v>
      </c>
      <c r="V62" s="13"/>
      <c r="W62" s="14">
        <v>39</v>
      </c>
      <c r="X62" s="13"/>
      <c r="Y62" s="14">
        <v>36</v>
      </c>
      <c r="Z62" s="13"/>
      <c r="AA62" s="4">
        <f t="shared" si="9"/>
        <v>37</v>
      </c>
      <c r="AB62" s="4">
        <f t="shared" si="10"/>
        <v>38.333333333333336</v>
      </c>
      <c r="AC62" s="4">
        <f t="shared" si="11"/>
        <v>1.0219806477837261</v>
      </c>
      <c r="AD62" s="3"/>
      <c r="AE62" s="3"/>
      <c r="AF62" s="3"/>
      <c r="AG62" s="3"/>
      <c r="AH62" s="3"/>
      <c r="AT62" s="12"/>
      <c r="AU62" s="12"/>
      <c r="AV62" s="11"/>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row>
    <row r="63" spans="2:87" ht="24" customHeight="1" x14ac:dyDescent="0.2">
      <c r="B63" s="7">
        <f t="shared" si="8"/>
        <v>308</v>
      </c>
      <c r="C63" s="7" t="s">
        <v>156</v>
      </c>
      <c r="D63" s="7">
        <v>5</v>
      </c>
      <c r="E63" s="7">
        <v>1</v>
      </c>
      <c r="F63" s="7">
        <v>3</v>
      </c>
      <c r="G63" s="7">
        <v>2</v>
      </c>
      <c r="H63" s="7">
        <v>4</v>
      </c>
      <c r="I63" s="7" t="s">
        <v>186</v>
      </c>
      <c r="J63" s="9"/>
      <c r="K63" s="7" t="s">
        <v>2</v>
      </c>
      <c r="L63" s="6">
        <v>67</v>
      </c>
      <c r="M63" s="5"/>
      <c r="N63" s="6">
        <v>68</v>
      </c>
      <c r="O63" s="5"/>
      <c r="P63" s="6">
        <v>62</v>
      </c>
      <c r="Q63" s="6">
        <v>63</v>
      </c>
      <c r="R63" s="6">
        <v>61</v>
      </c>
      <c r="S63" s="6">
        <v>58</v>
      </c>
      <c r="T63" s="5">
        <v>64</v>
      </c>
      <c r="U63" s="6">
        <v>58</v>
      </c>
      <c r="V63" s="5"/>
      <c r="W63" s="6">
        <v>65</v>
      </c>
      <c r="X63" s="5"/>
      <c r="Y63" s="6">
        <v>68</v>
      </c>
      <c r="Z63" s="5"/>
      <c r="AA63" s="4">
        <f t="shared" si="9"/>
        <v>61</v>
      </c>
      <c r="AB63" s="4">
        <f t="shared" si="10"/>
        <v>64.5</v>
      </c>
      <c r="AC63" s="4">
        <f t="shared" si="11"/>
        <v>1.6881943016134136</v>
      </c>
      <c r="AD63" s="3"/>
      <c r="AE63" s="3"/>
      <c r="AF63" s="3"/>
      <c r="AG63" s="3"/>
      <c r="AH63" s="3"/>
    </row>
    <row r="64" spans="2:87" ht="24" customHeight="1" x14ac:dyDescent="0.2">
      <c r="B64" s="7">
        <f t="shared" si="8"/>
        <v>308</v>
      </c>
      <c r="C64" s="7" t="s">
        <v>156</v>
      </c>
      <c r="D64" s="7">
        <v>5</v>
      </c>
      <c r="E64" s="7">
        <v>1</v>
      </c>
      <c r="F64" s="7">
        <v>3</v>
      </c>
      <c r="G64" s="7">
        <v>2</v>
      </c>
      <c r="H64" s="7">
        <v>4</v>
      </c>
      <c r="I64" s="7" t="s">
        <v>186</v>
      </c>
      <c r="J64" s="9"/>
      <c r="K64" s="7" t="s">
        <v>0</v>
      </c>
      <c r="L64" s="6">
        <v>33</v>
      </c>
      <c r="M64" s="6"/>
      <c r="N64" s="6">
        <v>36</v>
      </c>
      <c r="O64" s="6"/>
      <c r="P64" s="6">
        <v>33</v>
      </c>
      <c r="Q64" s="6">
        <v>25</v>
      </c>
      <c r="R64" s="6">
        <v>30</v>
      </c>
      <c r="S64" s="6">
        <v>30</v>
      </c>
      <c r="T64" s="6">
        <v>27</v>
      </c>
      <c r="U64" s="6">
        <v>33</v>
      </c>
      <c r="V64" s="6"/>
      <c r="W64" s="6">
        <v>43</v>
      </c>
      <c r="X64" s="6"/>
      <c r="Y64" s="6">
        <v>42</v>
      </c>
      <c r="Z64" s="6"/>
      <c r="AA64" s="4">
        <f t="shared" si="9"/>
        <v>29.666666666666668</v>
      </c>
      <c r="AB64" s="4">
        <f t="shared" si="10"/>
        <v>36.111111111111114</v>
      </c>
      <c r="AC64" s="4">
        <f t="shared" si="11"/>
        <v>2.1835524345817423</v>
      </c>
      <c r="AD64" s="3"/>
      <c r="AE64" s="3"/>
      <c r="AF64" s="3"/>
      <c r="AG64" s="3"/>
      <c r="AH64" s="3"/>
    </row>
    <row r="65" spans="2:87" ht="24" customHeight="1" x14ac:dyDescent="0.2">
      <c r="B65" s="7">
        <f>B63+100</f>
        <v>408</v>
      </c>
      <c r="C65" s="7" t="s">
        <v>149</v>
      </c>
      <c r="D65" s="7">
        <v>10</v>
      </c>
      <c r="E65" s="7">
        <v>2</v>
      </c>
      <c r="F65" s="7">
        <v>2</v>
      </c>
      <c r="G65" s="7">
        <v>1</v>
      </c>
      <c r="H65" s="7">
        <v>4</v>
      </c>
      <c r="I65" s="7" t="s">
        <v>187</v>
      </c>
      <c r="J65" s="8">
        <v>0.50486111111111109</v>
      </c>
      <c r="K65" s="7" t="s">
        <v>2</v>
      </c>
      <c r="L65" s="6">
        <v>52</v>
      </c>
      <c r="M65" s="6"/>
      <c r="N65" s="6">
        <v>52</v>
      </c>
      <c r="O65" s="6"/>
      <c r="P65" s="6">
        <v>47</v>
      </c>
      <c r="Q65" s="6">
        <v>55</v>
      </c>
      <c r="R65" s="6">
        <v>58</v>
      </c>
      <c r="S65" s="6">
        <v>52</v>
      </c>
      <c r="T65" s="6">
        <v>44</v>
      </c>
      <c r="U65" s="6">
        <v>49</v>
      </c>
      <c r="V65" s="6"/>
      <c r="W65" s="6">
        <v>46</v>
      </c>
      <c r="X65" s="6"/>
      <c r="Y65" s="6">
        <v>47</v>
      </c>
      <c r="Z65" s="6"/>
      <c r="AA65" s="4">
        <f t="shared" si="9"/>
        <v>50.833333333333336</v>
      </c>
      <c r="AB65" s="4">
        <f t="shared" si="10"/>
        <v>49.472222222222229</v>
      </c>
      <c r="AC65" s="4">
        <f t="shared" si="11"/>
        <v>1.0491766319063116</v>
      </c>
      <c r="AT65" s="12">
        <v>2</v>
      </c>
      <c r="AU65" s="12" t="s">
        <v>3</v>
      </c>
      <c r="AV65" s="12">
        <v>150</v>
      </c>
    </row>
    <row r="66" spans="2:87" ht="24" customHeight="1" thickBot="1" x14ac:dyDescent="0.25">
      <c r="B66" s="7">
        <f>B64+100</f>
        <v>408</v>
      </c>
      <c r="C66" s="15" t="s">
        <v>149</v>
      </c>
      <c r="D66" s="15">
        <v>10</v>
      </c>
      <c r="E66" s="15">
        <v>2</v>
      </c>
      <c r="F66" s="15">
        <v>2</v>
      </c>
      <c r="G66" s="15">
        <v>1</v>
      </c>
      <c r="H66" s="15">
        <v>4</v>
      </c>
      <c r="I66" s="15" t="s">
        <v>187</v>
      </c>
      <c r="J66" s="16"/>
      <c r="K66" s="15" t="s">
        <v>0</v>
      </c>
      <c r="L66" s="14">
        <v>36</v>
      </c>
      <c r="M66" s="13"/>
      <c r="N66" s="14">
        <v>30</v>
      </c>
      <c r="O66" s="13"/>
      <c r="P66" s="14">
        <v>30</v>
      </c>
      <c r="Q66" s="14">
        <v>34</v>
      </c>
      <c r="R66" s="14">
        <v>37</v>
      </c>
      <c r="S66" s="14">
        <v>38</v>
      </c>
      <c r="T66" s="13">
        <v>39</v>
      </c>
      <c r="U66" s="14">
        <v>36</v>
      </c>
      <c r="V66" s="13"/>
      <c r="W66" s="14">
        <v>40</v>
      </c>
      <c r="X66" s="13"/>
      <c r="Y66" s="14">
        <v>33</v>
      </c>
      <c r="Z66" s="13"/>
      <c r="AA66" s="4">
        <f t="shared" si="9"/>
        <v>35.666666666666664</v>
      </c>
      <c r="AB66" s="4">
        <f t="shared" si="10"/>
        <v>35.111111111111107</v>
      </c>
      <c r="AC66" s="4">
        <f t="shared" si="11"/>
        <v>1.3707707122925457</v>
      </c>
      <c r="AD66" s="3"/>
      <c r="AE66" s="3"/>
      <c r="AF66" s="3"/>
      <c r="AG66" s="3"/>
      <c r="AH66" s="3"/>
      <c r="AT66" s="12"/>
      <c r="AU66" s="12"/>
      <c r="AV66" s="11"/>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row>
    <row r="67" spans="2:87" ht="24" customHeight="1" x14ac:dyDescent="0.2">
      <c r="B67" s="7">
        <f t="shared" ref="B67:B80" si="12">B65-1</f>
        <v>407</v>
      </c>
      <c r="C67" s="7" t="s">
        <v>188</v>
      </c>
      <c r="D67" s="7">
        <v>7</v>
      </c>
      <c r="E67" s="7">
        <v>2</v>
      </c>
      <c r="F67" s="7">
        <v>1</v>
      </c>
      <c r="G67" s="7">
        <v>2</v>
      </c>
      <c r="H67" s="7">
        <v>4</v>
      </c>
      <c r="I67" s="7" t="s">
        <v>189</v>
      </c>
      <c r="J67" s="9"/>
      <c r="K67" s="7" t="s">
        <v>2</v>
      </c>
      <c r="L67" s="6">
        <v>28</v>
      </c>
      <c r="M67" s="6"/>
      <c r="N67" s="6">
        <v>41</v>
      </c>
      <c r="O67" s="6" t="s">
        <v>1</v>
      </c>
      <c r="P67" s="6">
        <v>41</v>
      </c>
      <c r="Q67" s="6">
        <v>34</v>
      </c>
      <c r="R67" s="6">
        <v>29</v>
      </c>
      <c r="S67" s="6"/>
      <c r="T67" s="6"/>
      <c r="U67" s="6">
        <v>55</v>
      </c>
      <c r="V67" s="6"/>
      <c r="W67" s="6">
        <v>42</v>
      </c>
      <c r="X67" s="6"/>
      <c r="Y67" s="6">
        <v>47</v>
      </c>
      <c r="Z67" s="6"/>
      <c r="AA67" s="4">
        <f t="shared" si="9"/>
        <v>39.75</v>
      </c>
      <c r="AB67" s="4">
        <f t="shared" si="10"/>
        <v>42.125</v>
      </c>
      <c r="AC67" s="4">
        <f t="shared" si="11"/>
        <v>3.6330370674317836</v>
      </c>
      <c r="AD67" s="3"/>
      <c r="AE67" s="3"/>
      <c r="AF67" s="3"/>
      <c r="AG67" s="3"/>
      <c r="AH67" s="3"/>
    </row>
    <row r="68" spans="2:87" ht="24" customHeight="1" thickBot="1" x14ac:dyDescent="0.25">
      <c r="B68" s="7">
        <f t="shared" si="12"/>
        <v>407</v>
      </c>
      <c r="C68" s="15" t="s">
        <v>188</v>
      </c>
      <c r="D68" s="15">
        <v>7</v>
      </c>
      <c r="E68" s="15">
        <v>2</v>
      </c>
      <c r="F68" s="15">
        <v>1</v>
      </c>
      <c r="G68" s="15">
        <v>2</v>
      </c>
      <c r="H68" s="15">
        <v>4</v>
      </c>
      <c r="I68" s="15" t="s">
        <v>189</v>
      </c>
      <c r="J68" s="16"/>
      <c r="K68" s="15" t="s">
        <v>0</v>
      </c>
      <c r="L68" s="14">
        <v>25</v>
      </c>
      <c r="M68" s="13"/>
      <c r="N68" s="14">
        <v>31</v>
      </c>
      <c r="O68" s="13"/>
      <c r="P68" s="14">
        <v>32</v>
      </c>
      <c r="Q68" s="14">
        <v>30</v>
      </c>
      <c r="R68" s="14">
        <v>19</v>
      </c>
      <c r="S68" s="14"/>
      <c r="T68" s="13"/>
      <c r="U68" s="14">
        <v>30</v>
      </c>
      <c r="V68" s="13"/>
      <c r="W68" s="14">
        <v>23</v>
      </c>
      <c r="X68" s="13"/>
      <c r="Y68" s="14">
        <v>32</v>
      </c>
      <c r="Z68" s="13"/>
      <c r="AA68" s="4">
        <f t="shared" si="9"/>
        <v>27.75</v>
      </c>
      <c r="AB68" s="4">
        <f t="shared" si="10"/>
        <v>28.125</v>
      </c>
      <c r="AC68" s="4">
        <f t="shared" si="11"/>
        <v>1.4487782208928093</v>
      </c>
      <c r="AD68" s="3"/>
      <c r="AE68" s="3"/>
      <c r="AF68" s="3"/>
      <c r="AG68" s="3"/>
      <c r="AH68" s="3"/>
      <c r="AT68" s="12"/>
      <c r="AU68" s="12"/>
      <c r="AV68" s="11"/>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row>
    <row r="69" spans="2:87" ht="24" customHeight="1" x14ac:dyDescent="0.2">
      <c r="B69" s="7">
        <f t="shared" si="12"/>
        <v>406</v>
      </c>
      <c r="C69" s="7" t="s">
        <v>147</v>
      </c>
      <c r="D69" s="7">
        <v>3</v>
      </c>
      <c r="E69" s="7">
        <v>1</v>
      </c>
      <c r="F69" s="7">
        <v>2</v>
      </c>
      <c r="G69" s="7">
        <v>2</v>
      </c>
      <c r="H69" s="7">
        <v>4</v>
      </c>
      <c r="I69" s="7" t="s">
        <v>190</v>
      </c>
      <c r="J69" s="9"/>
      <c r="K69" s="7" t="s">
        <v>2</v>
      </c>
      <c r="L69" s="6">
        <v>43</v>
      </c>
      <c r="M69" s="6"/>
      <c r="N69" s="6">
        <v>66</v>
      </c>
      <c r="O69" s="6"/>
      <c r="P69" s="6">
        <v>56</v>
      </c>
      <c r="Q69" s="6">
        <v>56</v>
      </c>
      <c r="R69" s="6">
        <v>57</v>
      </c>
      <c r="S69" s="6">
        <v>47</v>
      </c>
      <c r="T69" s="6">
        <v>47</v>
      </c>
      <c r="U69" s="6">
        <v>55</v>
      </c>
      <c r="V69" s="6"/>
      <c r="W69" s="6">
        <v>57</v>
      </c>
      <c r="X69" s="6"/>
      <c r="Y69" s="6">
        <v>63</v>
      </c>
      <c r="Z69" s="6"/>
      <c r="AA69" s="4">
        <f t="shared" si="9"/>
        <v>53</v>
      </c>
      <c r="AB69" s="4">
        <f t="shared" si="10"/>
        <v>56.166666666666664</v>
      </c>
      <c r="AC69" s="4">
        <f t="shared" si="11"/>
        <v>3.3107568788890358</v>
      </c>
      <c r="AD69" s="3"/>
      <c r="AE69" s="3"/>
      <c r="AF69" s="3"/>
      <c r="AG69" s="3"/>
      <c r="AH69" s="3"/>
    </row>
    <row r="70" spans="2:87" ht="24" customHeight="1" thickBot="1" x14ac:dyDescent="0.25">
      <c r="B70" s="7">
        <f t="shared" si="12"/>
        <v>406</v>
      </c>
      <c r="C70" s="15" t="s">
        <v>147</v>
      </c>
      <c r="D70" s="15">
        <v>3</v>
      </c>
      <c r="E70" s="15">
        <v>1</v>
      </c>
      <c r="F70" s="15">
        <v>2</v>
      </c>
      <c r="G70" s="15">
        <v>2</v>
      </c>
      <c r="H70" s="15">
        <v>4</v>
      </c>
      <c r="I70" s="15" t="s">
        <v>190</v>
      </c>
      <c r="J70" s="16"/>
      <c r="K70" s="15" t="s">
        <v>0</v>
      </c>
      <c r="L70" s="14">
        <v>27</v>
      </c>
      <c r="M70" s="13"/>
      <c r="N70" s="14">
        <v>38</v>
      </c>
      <c r="O70" s="13"/>
      <c r="P70" s="14">
        <v>37</v>
      </c>
      <c r="Q70" s="14">
        <v>41</v>
      </c>
      <c r="R70" s="14">
        <v>36</v>
      </c>
      <c r="S70" s="14">
        <v>32</v>
      </c>
      <c r="T70" s="13">
        <v>27</v>
      </c>
      <c r="U70" s="14">
        <v>33</v>
      </c>
      <c r="V70" s="13"/>
      <c r="W70" s="14">
        <v>33</v>
      </c>
      <c r="X70" s="13"/>
      <c r="Y70" s="14">
        <v>38</v>
      </c>
      <c r="Z70" s="13"/>
      <c r="AA70" s="4">
        <f t="shared" si="9"/>
        <v>34.333333333333336</v>
      </c>
      <c r="AB70" s="4">
        <f t="shared" si="10"/>
        <v>33.888888888888893</v>
      </c>
      <c r="AC70" s="4">
        <f t="shared" si="11"/>
        <v>1.6637010652661985</v>
      </c>
      <c r="AD70" s="3"/>
      <c r="AE70" s="3"/>
      <c r="AF70" s="3"/>
      <c r="AG70" s="3"/>
      <c r="AH70" s="3"/>
      <c r="AT70" s="12"/>
      <c r="AU70" s="12"/>
      <c r="AV70" s="11"/>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row>
    <row r="71" spans="2:87" ht="24" customHeight="1" x14ac:dyDescent="0.2">
      <c r="B71" s="7">
        <f t="shared" si="12"/>
        <v>405</v>
      </c>
      <c r="C71" s="7" t="s">
        <v>191</v>
      </c>
      <c r="D71" s="7">
        <v>6</v>
      </c>
      <c r="E71" s="7">
        <v>1</v>
      </c>
      <c r="F71" s="7">
        <v>3</v>
      </c>
      <c r="G71" s="7">
        <v>1</v>
      </c>
      <c r="H71" s="7">
        <v>4</v>
      </c>
      <c r="I71" s="7" t="s">
        <v>192</v>
      </c>
      <c r="J71" s="9"/>
      <c r="K71" s="7" t="s">
        <v>2</v>
      </c>
      <c r="L71" s="6">
        <v>72</v>
      </c>
      <c r="M71" s="6"/>
      <c r="N71" s="6">
        <v>73</v>
      </c>
      <c r="O71" s="6"/>
      <c r="P71" s="6">
        <v>69</v>
      </c>
      <c r="Q71" s="6">
        <v>68</v>
      </c>
      <c r="R71" s="6">
        <v>73</v>
      </c>
      <c r="S71" s="6">
        <v>67</v>
      </c>
      <c r="T71" s="6">
        <v>68</v>
      </c>
      <c r="U71" s="6">
        <v>70</v>
      </c>
      <c r="V71" s="6"/>
      <c r="W71" s="6">
        <v>64</v>
      </c>
      <c r="X71" s="6"/>
      <c r="Y71" s="6">
        <v>67</v>
      </c>
      <c r="Z71" s="6"/>
      <c r="AA71" s="4">
        <f t="shared" si="9"/>
        <v>69.166666666666671</v>
      </c>
      <c r="AB71" s="4">
        <f t="shared" si="10"/>
        <v>69.194444444444443</v>
      </c>
      <c r="AC71" s="4">
        <f t="shared" si="11"/>
        <v>1.3515537469387586</v>
      </c>
      <c r="AD71" s="3"/>
      <c r="AE71" s="3"/>
      <c r="AF71" s="3"/>
      <c r="AG71" s="3"/>
      <c r="AH71" s="3"/>
    </row>
    <row r="72" spans="2:87" ht="24" customHeight="1" thickBot="1" x14ac:dyDescent="0.25">
      <c r="B72" s="7">
        <f t="shared" si="12"/>
        <v>405</v>
      </c>
      <c r="C72" s="15" t="s">
        <v>191</v>
      </c>
      <c r="D72" s="15">
        <v>6</v>
      </c>
      <c r="E72" s="15">
        <v>1</v>
      </c>
      <c r="F72" s="15">
        <v>3</v>
      </c>
      <c r="G72" s="15">
        <v>1</v>
      </c>
      <c r="H72" s="15">
        <v>4</v>
      </c>
      <c r="I72" s="15" t="s">
        <v>192</v>
      </c>
      <c r="J72" s="16"/>
      <c r="K72" s="15" t="s">
        <v>0</v>
      </c>
      <c r="L72" s="14">
        <v>35</v>
      </c>
      <c r="M72" s="13"/>
      <c r="N72" s="14">
        <v>37</v>
      </c>
      <c r="O72" s="13"/>
      <c r="P72" s="14">
        <v>31</v>
      </c>
      <c r="Q72" s="14">
        <v>30</v>
      </c>
      <c r="R72" s="14">
        <v>33</v>
      </c>
      <c r="S72" s="14">
        <v>32</v>
      </c>
      <c r="T72" s="13">
        <v>33</v>
      </c>
      <c r="U72" s="14">
        <v>38</v>
      </c>
      <c r="V72" s="13"/>
      <c r="W72" s="14">
        <v>30</v>
      </c>
      <c r="X72" s="13"/>
      <c r="Y72" s="14">
        <v>32</v>
      </c>
      <c r="Z72" s="13"/>
      <c r="AA72" s="4">
        <f t="shared" si="9"/>
        <v>32.833333333333336</v>
      </c>
      <c r="AB72" s="4">
        <f t="shared" si="10"/>
        <v>34.138888888888893</v>
      </c>
      <c r="AC72" s="4">
        <f t="shared" si="11"/>
        <v>1.2549285553418352</v>
      </c>
      <c r="AD72" s="3"/>
      <c r="AE72" s="3"/>
      <c r="AF72" s="3"/>
      <c r="AG72" s="3"/>
      <c r="AH72" s="3"/>
      <c r="AT72" s="12"/>
      <c r="AU72" s="12"/>
      <c r="AV72" s="11"/>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row>
    <row r="73" spans="2:87" ht="24" customHeight="1" thickBot="1" x14ac:dyDescent="0.25">
      <c r="B73" s="7">
        <f t="shared" si="12"/>
        <v>404</v>
      </c>
      <c r="C73" s="7" t="s">
        <v>147</v>
      </c>
      <c r="D73" s="7">
        <v>3</v>
      </c>
      <c r="E73" s="7">
        <v>1</v>
      </c>
      <c r="F73" s="7">
        <v>2</v>
      </c>
      <c r="G73" s="7">
        <v>2</v>
      </c>
      <c r="H73" s="7">
        <v>3</v>
      </c>
      <c r="I73" s="7" t="s">
        <v>193</v>
      </c>
      <c r="J73" s="16"/>
      <c r="K73" s="7" t="s">
        <v>2</v>
      </c>
      <c r="L73" s="6">
        <v>51</v>
      </c>
      <c r="M73" s="6"/>
      <c r="N73" s="6">
        <v>59</v>
      </c>
      <c r="O73" s="6"/>
      <c r="P73" s="6">
        <v>54</v>
      </c>
      <c r="Q73" s="6">
        <v>52</v>
      </c>
      <c r="R73" s="6">
        <v>37</v>
      </c>
      <c r="S73" s="6">
        <v>45</v>
      </c>
      <c r="T73" s="6">
        <v>46</v>
      </c>
      <c r="U73" s="6">
        <v>56</v>
      </c>
      <c r="V73" s="6"/>
      <c r="W73" s="6">
        <v>53</v>
      </c>
      <c r="X73" s="6"/>
      <c r="Y73" s="6">
        <v>35</v>
      </c>
      <c r="Z73" s="6"/>
      <c r="AA73" s="4">
        <f t="shared" si="9"/>
        <v>48.333333333333336</v>
      </c>
      <c r="AB73" s="4">
        <f t="shared" si="10"/>
        <v>50.388888888888893</v>
      </c>
      <c r="AC73" s="4">
        <f t="shared" si="11"/>
        <v>3.4344838058062757</v>
      </c>
      <c r="AD73" s="3"/>
      <c r="AE73" s="3"/>
      <c r="AF73" s="3"/>
      <c r="AG73" s="3"/>
      <c r="AH73" s="3"/>
    </row>
    <row r="74" spans="2:87" ht="24" customHeight="1" thickBot="1" x14ac:dyDescent="0.25">
      <c r="B74" s="7">
        <f t="shared" si="12"/>
        <v>404</v>
      </c>
      <c r="C74" s="15" t="s">
        <v>147</v>
      </c>
      <c r="D74" s="15">
        <v>3</v>
      </c>
      <c r="E74" s="15">
        <v>1</v>
      </c>
      <c r="F74" s="15">
        <v>2</v>
      </c>
      <c r="G74" s="15">
        <v>2</v>
      </c>
      <c r="H74" s="15">
        <v>3</v>
      </c>
      <c r="I74" s="15" t="s">
        <v>193</v>
      </c>
      <c r="J74" s="16"/>
      <c r="K74" s="15" t="s">
        <v>0</v>
      </c>
      <c r="L74" s="14">
        <v>40</v>
      </c>
      <c r="M74" s="13"/>
      <c r="N74" s="14">
        <v>36</v>
      </c>
      <c r="O74" s="13"/>
      <c r="P74" s="14">
        <v>35</v>
      </c>
      <c r="Q74" s="14">
        <v>31</v>
      </c>
      <c r="R74" s="14">
        <v>26</v>
      </c>
      <c r="S74" s="14">
        <v>39</v>
      </c>
      <c r="T74" s="13">
        <v>35</v>
      </c>
      <c r="U74" s="14">
        <v>42</v>
      </c>
      <c r="V74" s="13"/>
      <c r="W74" s="14">
        <v>38</v>
      </c>
      <c r="X74" s="13"/>
      <c r="Y74" s="14">
        <v>27</v>
      </c>
      <c r="Z74" s="13"/>
      <c r="AA74" s="4">
        <f t="shared" si="9"/>
        <v>34.666666666666664</v>
      </c>
      <c r="AB74" s="4">
        <f t="shared" si="10"/>
        <v>36.277777777777779</v>
      </c>
      <c r="AC74" s="4">
        <f t="shared" si="11"/>
        <v>2.1472060513980704</v>
      </c>
      <c r="AD74" s="3"/>
      <c r="AE74" s="3"/>
      <c r="AF74" s="3"/>
      <c r="AG74" s="3"/>
      <c r="AH74" s="3"/>
      <c r="AT74" s="12"/>
      <c r="AU74" s="12"/>
      <c r="AV74" s="11"/>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row>
    <row r="75" spans="2:87" ht="24" customHeight="1" x14ac:dyDescent="0.2">
      <c r="B75" s="7">
        <f t="shared" si="12"/>
        <v>403</v>
      </c>
      <c r="C75" s="7" t="s">
        <v>191</v>
      </c>
      <c r="D75" s="7">
        <v>6</v>
      </c>
      <c r="E75" s="7">
        <v>1</v>
      </c>
      <c r="F75" s="7">
        <v>3</v>
      </c>
      <c r="G75" s="7">
        <v>1</v>
      </c>
      <c r="H75" s="7">
        <v>3</v>
      </c>
      <c r="I75" s="7" t="s">
        <v>194</v>
      </c>
      <c r="J75" s="9"/>
      <c r="K75" s="7" t="s">
        <v>2</v>
      </c>
      <c r="L75" s="6">
        <v>68</v>
      </c>
      <c r="M75" s="6"/>
      <c r="N75" s="6">
        <v>76</v>
      </c>
      <c r="O75" s="6"/>
      <c r="P75" s="6">
        <v>72</v>
      </c>
      <c r="Q75" s="6">
        <v>58</v>
      </c>
      <c r="R75" s="6">
        <v>59</v>
      </c>
      <c r="S75" s="6">
        <v>65</v>
      </c>
      <c r="T75" s="6">
        <v>53</v>
      </c>
      <c r="U75" s="6">
        <v>56</v>
      </c>
      <c r="V75" s="6"/>
      <c r="W75" s="6">
        <v>61</v>
      </c>
      <c r="X75" s="6"/>
      <c r="Y75" s="6">
        <v>70</v>
      </c>
      <c r="Z75" s="6"/>
      <c r="AA75" s="4">
        <f t="shared" si="9"/>
        <v>60.5</v>
      </c>
      <c r="AB75" s="4">
        <f t="shared" si="10"/>
        <v>65.25</v>
      </c>
      <c r="AC75" s="4">
        <f t="shared" si="11"/>
        <v>3.0103986446980739</v>
      </c>
      <c r="AD75" s="3"/>
      <c r="AE75" s="3"/>
      <c r="AF75" s="3"/>
      <c r="AG75" s="3"/>
      <c r="AH75" s="3"/>
    </row>
    <row r="76" spans="2:87" ht="24" customHeight="1" thickBot="1" x14ac:dyDescent="0.25">
      <c r="B76" s="7">
        <f t="shared" si="12"/>
        <v>403</v>
      </c>
      <c r="C76" s="15" t="s">
        <v>191</v>
      </c>
      <c r="D76" s="15">
        <v>6</v>
      </c>
      <c r="E76" s="15">
        <v>1</v>
      </c>
      <c r="F76" s="15">
        <v>3</v>
      </c>
      <c r="G76" s="15">
        <v>1</v>
      </c>
      <c r="H76" s="15">
        <v>3</v>
      </c>
      <c r="I76" s="15" t="s">
        <v>194</v>
      </c>
      <c r="J76" s="16"/>
      <c r="K76" s="15" t="s">
        <v>0</v>
      </c>
      <c r="L76" s="14">
        <v>31</v>
      </c>
      <c r="M76" s="13"/>
      <c r="N76" s="14">
        <v>33</v>
      </c>
      <c r="O76" s="13"/>
      <c r="P76" s="14">
        <v>30</v>
      </c>
      <c r="Q76" s="14">
        <v>28</v>
      </c>
      <c r="R76" s="14">
        <v>24</v>
      </c>
      <c r="S76" s="14">
        <v>28</v>
      </c>
      <c r="T76" s="13">
        <v>20</v>
      </c>
      <c r="U76" s="14">
        <v>27</v>
      </c>
      <c r="V76" s="13"/>
      <c r="W76" s="14">
        <v>28</v>
      </c>
      <c r="X76" s="13"/>
      <c r="Y76" s="14">
        <v>30</v>
      </c>
      <c r="Z76" s="13"/>
      <c r="AA76" s="4">
        <f t="shared" si="9"/>
        <v>26.166666666666668</v>
      </c>
      <c r="AB76" s="4">
        <f t="shared" si="10"/>
        <v>29.194444444444446</v>
      </c>
      <c r="AC76" s="4">
        <f t="shared" si="11"/>
        <v>1.0614600938632586</v>
      </c>
      <c r="AD76" s="3"/>
      <c r="AE76" s="3"/>
      <c r="AF76" s="3"/>
      <c r="AG76" s="3"/>
      <c r="AH76" s="3"/>
      <c r="AT76" s="12"/>
      <c r="AU76" s="12"/>
      <c r="AV76" s="11"/>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row>
    <row r="77" spans="2:87" ht="24" customHeight="1" x14ac:dyDescent="0.2">
      <c r="B77" s="7">
        <f t="shared" si="12"/>
        <v>402</v>
      </c>
      <c r="C77" s="7" t="s">
        <v>151</v>
      </c>
      <c r="D77" s="7">
        <v>9</v>
      </c>
      <c r="E77" s="7">
        <v>2</v>
      </c>
      <c r="F77" s="7">
        <v>2</v>
      </c>
      <c r="G77" s="7">
        <v>2</v>
      </c>
      <c r="H77" s="7">
        <v>3</v>
      </c>
      <c r="I77" s="7" t="s">
        <v>195</v>
      </c>
      <c r="J77" s="9"/>
      <c r="K77" s="7" t="s">
        <v>2</v>
      </c>
      <c r="L77" s="6">
        <v>50</v>
      </c>
      <c r="M77" s="5"/>
      <c r="N77" s="6">
        <v>54</v>
      </c>
      <c r="O77" s="5"/>
      <c r="P77" s="6">
        <v>47</v>
      </c>
      <c r="Q77" s="6">
        <v>42</v>
      </c>
      <c r="R77" s="6">
        <v>51</v>
      </c>
      <c r="S77" s="6">
        <v>42</v>
      </c>
      <c r="T77" s="5">
        <v>50</v>
      </c>
      <c r="U77" s="6">
        <v>55</v>
      </c>
      <c r="V77" s="5"/>
      <c r="W77" s="6">
        <v>60</v>
      </c>
      <c r="X77" s="5"/>
      <c r="Y77" s="6">
        <v>54</v>
      </c>
      <c r="Z77" s="5"/>
      <c r="AA77" s="4">
        <f t="shared" si="9"/>
        <v>47.833333333333336</v>
      </c>
      <c r="AB77" s="4">
        <f t="shared" si="10"/>
        <v>53.472222222222229</v>
      </c>
      <c r="AC77" s="4">
        <f t="shared" si="11"/>
        <v>1.7258474390038214</v>
      </c>
      <c r="AD77" s="3"/>
      <c r="AE77" s="3"/>
      <c r="AF77" s="3"/>
      <c r="AG77" s="3"/>
      <c r="AH77" s="3"/>
    </row>
    <row r="78" spans="2:87" ht="24" customHeight="1" thickBot="1" x14ac:dyDescent="0.25">
      <c r="B78" s="7">
        <f t="shared" si="12"/>
        <v>402</v>
      </c>
      <c r="C78" s="15" t="s">
        <v>151</v>
      </c>
      <c r="D78" s="15">
        <v>9</v>
      </c>
      <c r="E78" s="15">
        <v>2</v>
      </c>
      <c r="F78" s="15">
        <v>2</v>
      </c>
      <c r="G78" s="15">
        <v>2</v>
      </c>
      <c r="H78" s="15">
        <v>3</v>
      </c>
      <c r="I78" s="15" t="s">
        <v>195</v>
      </c>
      <c r="J78" s="16"/>
      <c r="K78" s="15" t="s">
        <v>0</v>
      </c>
      <c r="L78" s="14">
        <v>30</v>
      </c>
      <c r="M78" s="13"/>
      <c r="N78" s="14">
        <v>33</v>
      </c>
      <c r="O78" s="13"/>
      <c r="P78" s="14">
        <v>26</v>
      </c>
      <c r="Q78" s="14">
        <v>29</v>
      </c>
      <c r="R78" s="14">
        <v>38</v>
      </c>
      <c r="S78" s="14">
        <v>32</v>
      </c>
      <c r="T78" s="13">
        <v>35</v>
      </c>
      <c r="U78" s="14">
        <v>33</v>
      </c>
      <c r="V78" s="13"/>
      <c r="W78" s="14">
        <v>29</v>
      </c>
      <c r="X78" s="13"/>
      <c r="Y78" s="14">
        <v>26</v>
      </c>
      <c r="Z78" s="13"/>
      <c r="AA78" s="4">
        <f t="shared" si="9"/>
        <v>32.166666666666664</v>
      </c>
      <c r="AB78" s="4">
        <f t="shared" si="10"/>
        <v>30.527777777777775</v>
      </c>
      <c r="AC78" s="4">
        <f t="shared" si="11"/>
        <v>1.1258056100432874</v>
      </c>
      <c r="AD78" s="3"/>
      <c r="AE78" s="3"/>
      <c r="AF78" s="3"/>
      <c r="AG78" s="3"/>
      <c r="AH78" s="3"/>
      <c r="AT78" s="12"/>
      <c r="AU78" s="12"/>
      <c r="AV78" s="11"/>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row>
    <row r="79" spans="2:87" ht="24" customHeight="1" x14ac:dyDescent="0.2">
      <c r="B79" s="7">
        <f t="shared" si="12"/>
        <v>401</v>
      </c>
      <c r="C79" s="7" t="s">
        <v>188</v>
      </c>
      <c r="D79" s="7">
        <v>7</v>
      </c>
      <c r="E79" s="7">
        <v>2</v>
      </c>
      <c r="F79" s="7">
        <v>1</v>
      </c>
      <c r="G79" s="7">
        <v>2</v>
      </c>
      <c r="H79" s="7">
        <v>3</v>
      </c>
      <c r="I79" s="7" t="s">
        <v>196</v>
      </c>
      <c r="J79" s="9"/>
      <c r="K79" s="7" t="s">
        <v>2</v>
      </c>
      <c r="L79" s="6">
        <v>39</v>
      </c>
      <c r="M79" s="5"/>
      <c r="N79" s="6">
        <v>33</v>
      </c>
      <c r="O79" s="5" t="s">
        <v>1</v>
      </c>
      <c r="P79" s="6">
        <v>0</v>
      </c>
      <c r="Q79" s="6">
        <v>40</v>
      </c>
      <c r="R79" s="6">
        <v>52</v>
      </c>
      <c r="S79" s="6"/>
      <c r="T79" s="5"/>
      <c r="U79" s="6">
        <v>36</v>
      </c>
      <c r="V79" s="5"/>
      <c r="W79" s="6">
        <v>48</v>
      </c>
      <c r="X79" s="5"/>
      <c r="Y79" s="6">
        <v>38</v>
      </c>
      <c r="Z79" s="5"/>
      <c r="AA79" s="4">
        <f t="shared" si="9"/>
        <v>32</v>
      </c>
      <c r="AB79" s="4">
        <f t="shared" si="10"/>
        <v>37.666666666666664</v>
      </c>
      <c r="AC79" s="4">
        <f t="shared" si="11"/>
        <v>2.3475755815545392</v>
      </c>
      <c r="AD79" s="3"/>
      <c r="AE79" s="3"/>
      <c r="AF79" s="3"/>
      <c r="AG79" s="3"/>
      <c r="AH79" s="3"/>
    </row>
    <row r="80" spans="2:87" ht="24" customHeight="1" x14ac:dyDescent="0.2">
      <c r="B80" s="7">
        <f t="shared" si="12"/>
        <v>401</v>
      </c>
      <c r="C80" s="7" t="s">
        <v>188</v>
      </c>
      <c r="D80" s="7">
        <v>7</v>
      </c>
      <c r="E80" s="7">
        <v>2</v>
      </c>
      <c r="F80" s="7">
        <v>1</v>
      </c>
      <c r="G80" s="7">
        <v>2</v>
      </c>
      <c r="H80" s="7">
        <v>3</v>
      </c>
      <c r="I80" s="7" t="s">
        <v>196</v>
      </c>
      <c r="J80" s="8">
        <v>0.52083333333333337</v>
      </c>
      <c r="K80" s="7" t="s">
        <v>0</v>
      </c>
      <c r="L80" s="6">
        <v>28</v>
      </c>
      <c r="M80" s="5"/>
      <c r="N80" s="6">
        <v>29</v>
      </c>
      <c r="O80" s="5"/>
      <c r="P80" s="6">
        <v>0</v>
      </c>
      <c r="Q80" s="6">
        <v>23</v>
      </c>
      <c r="R80" s="6">
        <v>30</v>
      </c>
      <c r="S80" s="6"/>
      <c r="T80" s="5"/>
      <c r="U80" s="6">
        <v>33</v>
      </c>
      <c r="V80" s="5"/>
      <c r="W80" s="6">
        <v>33</v>
      </c>
      <c r="X80" s="5"/>
      <c r="Y80" s="6">
        <v>27</v>
      </c>
      <c r="Z80" s="5"/>
      <c r="AA80" s="4">
        <f t="shared" si="9"/>
        <v>21.5</v>
      </c>
      <c r="AB80" s="4">
        <f t="shared" si="10"/>
        <v>28.583333333333332</v>
      </c>
      <c r="AC80" s="4">
        <f t="shared" si="11"/>
        <v>1.7531717289276316</v>
      </c>
      <c r="AD80" s="3"/>
      <c r="AE80" s="3"/>
      <c r="AF80" s="3"/>
      <c r="AG80" s="3"/>
      <c r="AH80" s="3"/>
    </row>
    <row r="81" spans="11:11" x14ac:dyDescent="0.2">
      <c r="K81" s="2"/>
    </row>
    <row r="82" spans="11:11" x14ac:dyDescent="0.2">
      <c r="K82" s="2"/>
    </row>
    <row r="83" spans="11:11" x14ac:dyDescent="0.2">
      <c r="K83" s="2"/>
    </row>
    <row r="84" spans="11:11" x14ac:dyDescent="0.2">
      <c r="K84" s="2"/>
    </row>
    <row r="85" spans="11:11" x14ac:dyDescent="0.2">
      <c r="K85" s="2"/>
    </row>
    <row r="86" spans="11:11" x14ac:dyDescent="0.2">
      <c r="K86" s="2"/>
    </row>
    <row r="87" spans="11:11" x14ac:dyDescent="0.2">
      <c r="K87" s="2"/>
    </row>
  </sheetData>
  <mergeCells count="12">
    <mergeCell ref="AT5:AV5"/>
    <mergeCell ref="J7:K7"/>
    <mergeCell ref="B7:H7"/>
    <mergeCell ref="AA6:AA7"/>
    <mergeCell ref="AB6:AB7"/>
    <mergeCell ref="AC6:AC7"/>
    <mergeCell ref="L6:M6"/>
    <mergeCell ref="N6:O6"/>
    <mergeCell ref="W6:X6"/>
    <mergeCell ref="Y6:Z6"/>
    <mergeCell ref="P6:T6"/>
    <mergeCell ref="U6:V6"/>
  </mergeCells>
  <pageMargins left="0.51" right="0" top="0.85" bottom="0" header="0.64" footer="0"/>
  <pageSetup paperSize="512" scale="30" orientation="landscape" r:id="rId1"/>
  <headerFooter alignWithMargins="0">
    <oddHeader xml:space="preserve">&amp;L&amp;"Comic Sans MS,Bold"&amp;14FISE2003 ---Cotton Plant Cover and Heights in North 1 m of Harvest Area&amp;C&amp;"Comic Sans MS,Bold"&amp;12       </oddHeader>
    <oddFooter>&amp;L&amp;F   USWCL Remote Sensing&amp;R&amp;D</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6D20F-8A80-41DC-86DD-EE6380B31EA5}">
  <sheetPr>
    <pageSetUpPr fitToPage="1"/>
  </sheetPr>
  <dimension ref="A1:CI87"/>
  <sheetViews>
    <sheetView workbookViewId="0">
      <selection activeCell="N2" sqref="N2"/>
    </sheetView>
  </sheetViews>
  <sheetFormatPr defaultRowHeight="12.75" x14ac:dyDescent="0.2"/>
  <cols>
    <col min="1" max="1" width="9.140625" style="1"/>
    <col min="2" max="2" width="4.85546875" style="1" customWidth="1"/>
    <col min="3" max="3" width="5.7109375" style="1" customWidth="1"/>
    <col min="4" max="8" width="5.28515625" style="1" hidden="1" customWidth="1"/>
    <col min="9" max="9" width="7" style="1" hidden="1" customWidth="1"/>
    <col min="10" max="11" width="9" style="1" customWidth="1"/>
    <col min="12" max="13" width="9.140625" style="1"/>
    <col min="14" max="14" width="9.7109375" style="1" customWidth="1"/>
    <col min="15" max="25" width="9.140625" style="1"/>
    <col min="26" max="26" width="10.140625" style="1" customWidth="1"/>
    <col min="27" max="27" width="12.7109375" style="1" customWidth="1"/>
    <col min="28" max="35" width="9.140625" style="1"/>
    <col min="36" max="36" width="7.5703125" style="1" customWidth="1"/>
    <col min="37" max="46" width="7.7109375" style="1" customWidth="1"/>
    <col min="47" max="16384" width="9.140625" style="1"/>
  </cols>
  <sheetData>
    <row r="1" spans="1:87" ht="15" customHeight="1" x14ac:dyDescent="0.25">
      <c r="A1" s="44" t="s">
        <v>82</v>
      </c>
    </row>
    <row r="2" spans="1:87" ht="15" customHeight="1" thickBot="1" x14ac:dyDescent="0.3">
      <c r="A2" s="44"/>
      <c r="N2" s="43"/>
      <c r="X2" s="20" t="s">
        <v>81</v>
      </c>
      <c r="Y2" s="42">
        <v>37797</v>
      </c>
      <c r="Z2" s="39"/>
    </row>
    <row r="3" spans="1:87" ht="15" customHeight="1" thickBot="1" x14ac:dyDescent="0.25">
      <c r="B3" s="1" t="s">
        <v>80</v>
      </c>
      <c r="D3" s="41"/>
      <c r="E3" s="41"/>
      <c r="F3" s="41"/>
      <c r="G3" s="41"/>
      <c r="H3" s="41"/>
      <c r="I3" s="41"/>
      <c r="J3" s="41" t="s">
        <v>121</v>
      </c>
      <c r="K3" s="41"/>
      <c r="L3" s="41"/>
      <c r="M3" s="41"/>
      <c r="N3" s="41"/>
      <c r="O3" s="41"/>
      <c r="P3" s="41"/>
      <c r="Q3" s="41"/>
      <c r="R3" s="41"/>
      <c r="S3" s="41"/>
      <c r="T3" s="41"/>
      <c r="U3" s="41"/>
      <c r="V3" s="41"/>
    </row>
    <row r="4" spans="1:87" ht="13.5" thickBot="1" x14ac:dyDescent="0.25">
      <c r="D4" s="40"/>
      <c r="E4" s="40"/>
      <c r="F4" s="40"/>
      <c r="G4" s="40"/>
      <c r="H4" s="40"/>
      <c r="I4" s="40"/>
      <c r="J4" s="40" t="s">
        <v>120</v>
      </c>
      <c r="K4" s="40"/>
      <c r="L4" s="40"/>
      <c r="M4" s="40"/>
      <c r="N4" s="40"/>
      <c r="O4" s="40"/>
      <c r="P4" s="40"/>
      <c r="Q4" s="40"/>
      <c r="R4" s="40"/>
      <c r="S4" s="40"/>
      <c r="T4" s="40"/>
      <c r="U4" s="40"/>
      <c r="V4" s="40"/>
      <c r="X4" s="20" t="s">
        <v>78</v>
      </c>
      <c r="Y4" s="39">
        <v>176</v>
      </c>
      <c r="Z4" s="39"/>
    </row>
    <row r="5" spans="1:87" ht="18" x14ac:dyDescent="0.2">
      <c r="AS5" s="38"/>
      <c r="AT5" s="56" t="s">
        <v>76</v>
      </c>
      <c r="AU5" s="56"/>
      <c r="AV5" s="56"/>
    </row>
    <row r="6" spans="1:87" ht="25.5" customHeight="1" x14ac:dyDescent="0.2">
      <c r="B6" s="36" t="s">
        <v>51</v>
      </c>
      <c r="C6" s="37" t="s">
        <v>50</v>
      </c>
      <c r="D6" s="37" t="s">
        <v>75</v>
      </c>
      <c r="E6" s="36" t="s">
        <v>74</v>
      </c>
      <c r="F6" s="37" t="s">
        <v>73</v>
      </c>
      <c r="G6" s="36" t="s">
        <v>72</v>
      </c>
      <c r="H6" s="36" t="s">
        <v>45</v>
      </c>
      <c r="I6" s="36" t="s">
        <v>71</v>
      </c>
      <c r="J6" s="36" t="s">
        <v>43</v>
      </c>
      <c r="K6" s="35" t="s">
        <v>70</v>
      </c>
      <c r="L6" s="65" t="s">
        <v>69</v>
      </c>
      <c r="M6" s="66"/>
      <c r="N6" s="65" t="s">
        <v>68</v>
      </c>
      <c r="O6" s="66"/>
      <c r="P6" s="65" t="s">
        <v>67</v>
      </c>
      <c r="Q6" s="67"/>
      <c r="R6" s="67"/>
      <c r="S6" s="67"/>
      <c r="T6" s="66"/>
      <c r="U6" s="65" t="s">
        <v>66</v>
      </c>
      <c r="V6" s="66"/>
      <c r="W6" s="65" t="s">
        <v>65</v>
      </c>
      <c r="X6" s="66"/>
      <c r="Y6" s="65" t="s">
        <v>64</v>
      </c>
      <c r="Z6" s="66"/>
      <c r="AA6" s="61" t="s">
        <v>63</v>
      </c>
      <c r="AB6" s="61" t="s">
        <v>62</v>
      </c>
      <c r="AC6" s="63" t="s">
        <v>61</v>
      </c>
      <c r="AS6" s="34"/>
      <c r="AT6" s="2" t="s">
        <v>60</v>
      </c>
      <c r="AU6" s="2"/>
    </row>
    <row r="7" spans="1:87" ht="15.75" customHeight="1" x14ac:dyDescent="0.2">
      <c r="B7" s="59"/>
      <c r="C7" s="60"/>
      <c r="D7" s="60"/>
      <c r="E7" s="60"/>
      <c r="F7" s="60"/>
      <c r="G7" s="60"/>
      <c r="H7" s="60"/>
      <c r="I7" s="33"/>
      <c r="J7" s="57" t="s">
        <v>59</v>
      </c>
      <c r="K7" s="58"/>
      <c r="L7" s="32" t="s">
        <v>55</v>
      </c>
      <c r="M7" s="31" t="s">
        <v>54</v>
      </c>
      <c r="N7" s="32" t="s">
        <v>55</v>
      </c>
      <c r="O7" s="31" t="s">
        <v>54</v>
      </c>
      <c r="P7" s="32" t="s">
        <v>58</v>
      </c>
      <c r="Q7" s="31" t="s">
        <v>55</v>
      </c>
      <c r="R7" s="31" t="s">
        <v>57</v>
      </c>
      <c r="S7" s="31" t="s">
        <v>54</v>
      </c>
      <c r="T7" s="31" t="s">
        <v>56</v>
      </c>
      <c r="U7" s="32" t="s">
        <v>55</v>
      </c>
      <c r="V7" s="31" t="s">
        <v>54</v>
      </c>
      <c r="W7" s="32" t="s">
        <v>55</v>
      </c>
      <c r="X7" s="31" t="s">
        <v>54</v>
      </c>
      <c r="Y7" s="32" t="s">
        <v>55</v>
      </c>
      <c r="Z7" s="31" t="s">
        <v>54</v>
      </c>
      <c r="AA7" s="62"/>
      <c r="AB7" s="62"/>
      <c r="AC7" s="64"/>
      <c r="AT7" s="12" t="s">
        <v>7</v>
      </c>
      <c r="AU7" s="12" t="s">
        <v>53</v>
      </c>
      <c r="AV7" s="12" t="s">
        <v>52</v>
      </c>
    </row>
    <row r="8" spans="1:87" ht="15.75" hidden="1" customHeight="1" x14ac:dyDescent="0.2">
      <c r="B8" s="28" t="s">
        <v>51</v>
      </c>
      <c r="C8" s="30" t="s">
        <v>50</v>
      </c>
      <c r="D8" s="30" t="s">
        <v>49</v>
      </c>
      <c r="E8" s="28" t="s">
        <v>48</v>
      </c>
      <c r="F8" s="30" t="s">
        <v>47</v>
      </c>
      <c r="G8" s="28" t="s">
        <v>46</v>
      </c>
      <c r="H8" s="28" t="s">
        <v>45</v>
      </c>
      <c r="I8" s="28" t="s">
        <v>44</v>
      </c>
      <c r="J8" s="27" t="s">
        <v>43</v>
      </c>
      <c r="K8" s="27" t="s">
        <v>42</v>
      </c>
      <c r="L8" s="29" t="s">
        <v>41</v>
      </c>
      <c r="M8" s="29" t="s">
        <v>40</v>
      </c>
      <c r="N8" s="29" t="s">
        <v>39</v>
      </c>
      <c r="O8" s="29" t="s">
        <v>38</v>
      </c>
      <c r="P8" s="29" t="s">
        <v>37</v>
      </c>
      <c r="Q8" s="29" t="s">
        <v>36</v>
      </c>
      <c r="R8" s="29" t="s">
        <v>35</v>
      </c>
      <c r="S8" s="29" t="s">
        <v>34</v>
      </c>
      <c r="T8" s="29" t="s">
        <v>33</v>
      </c>
      <c r="U8" s="29" t="s">
        <v>32</v>
      </c>
      <c r="V8" s="29" t="s">
        <v>31</v>
      </c>
      <c r="W8" s="29" t="s">
        <v>30</v>
      </c>
      <c r="X8" s="29" t="s">
        <v>29</v>
      </c>
      <c r="Y8" s="29" t="s">
        <v>28</v>
      </c>
      <c r="Z8" s="29" t="s">
        <v>27</v>
      </c>
      <c r="AA8" s="28" t="s">
        <v>26</v>
      </c>
      <c r="AB8" s="28" t="s">
        <v>25</v>
      </c>
      <c r="AC8" s="27" t="s">
        <v>24</v>
      </c>
      <c r="AT8" s="12"/>
      <c r="AU8" s="12"/>
      <c r="AV8" s="12"/>
    </row>
    <row r="9" spans="1:87" ht="24" customHeight="1" x14ac:dyDescent="0.2">
      <c r="B9" s="7">
        <v>108</v>
      </c>
      <c r="C9" s="7" t="s">
        <v>147</v>
      </c>
      <c r="D9" s="7">
        <v>3</v>
      </c>
      <c r="E9" s="7">
        <v>1</v>
      </c>
      <c r="F9" s="7">
        <v>2</v>
      </c>
      <c r="G9" s="7">
        <v>2</v>
      </c>
      <c r="H9" s="7">
        <v>2</v>
      </c>
      <c r="I9" s="7" t="s">
        <v>148</v>
      </c>
      <c r="J9" s="7"/>
      <c r="K9" s="7" t="s">
        <v>2</v>
      </c>
      <c r="L9" s="6">
        <v>56</v>
      </c>
      <c r="M9" s="5"/>
      <c r="N9" s="6">
        <v>58</v>
      </c>
      <c r="O9" s="5"/>
      <c r="P9" s="6">
        <v>56</v>
      </c>
      <c r="Q9" s="6">
        <v>53</v>
      </c>
      <c r="R9" s="6">
        <v>53</v>
      </c>
      <c r="S9" s="6"/>
      <c r="T9" s="5"/>
      <c r="U9" s="6">
        <v>62</v>
      </c>
      <c r="V9" s="5"/>
      <c r="W9" s="6">
        <v>63</v>
      </c>
      <c r="X9" s="5"/>
      <c r="Y9" s="6">
        <v>56</v>
      </c>
      <c r="Z9" s="5"/>
      <c r="AA9" s="4">
        <f>AVERAGE(P9:U9)</f>
        <v>56</v>
      </c>
      <c r="AB9" s="4">
        <f>AVERAGE(AVERAGE(L9:M9),AVERAGE(N9:O9),AVERAGE(P9:U9),AVERAGE(U9:V9),AVERAGE(W9:X9),AVERAGE(Y9:Z9))</f>
        <v>58.5</v>
      </c>
      <c r="AC9" s="4">
        <f>STDEV(AVERAGE(L9:M9),AVERAGE(N9:O9),AVERAGE(P9:U9),AVERAGE(U9:V9),AVERAGE(W9:X9),AVERAGE(Y9:Z9))/SQRT(6)</f>
        <v>1.3102162671355699</v>
      </c>
      <c r="AD9" s="3"/>
      <c r="AE9" s="3"/>
      <c r="AF9" s="3"/>
      <c r="AG9" s="3"/>
      <c r="AH9" s="3"/>
      <c r="AT9" s="12">
        <v>1</v>
      </c>
      <c r="AU9" s="12" t="s">
        <v>23</v>
      </c>
      <c r="AV9" s="11"/>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row>
    <row r="10" spans="1:87" ht="24" customHeight="1" thickBot="1" x14ac:dyDescent="0.25">
      <c r="B10" s="15">
        <v>108</v>
      </c>
      <c r="C10" s="15" t="s">
        <v>147</v>
      </c>
      <c r="D10" s="15">
        <v>3</v>
      </c>
      <c r="E10" s="15">
        <v>1</v>
      </c>
      <c r="F10" s="15">
        <v>2</v>
      </c>
      <c r="G10" s="15">
        <v>2</v>
      </c>
      <c r="H10" s="15">
        <v>2</v>
      </c>
      <c r="I10" s="15" t="s">
        <v>148</v>
      </c>
      <c r="J10" s="16"/>
      <c r="K10" s="15" t="s">
        <v>0</v>
      </c>
      <c r="L10" s="14">
        <v>52</v>
      </c>
      <c r="M10" s="13"/>
      <c r="N10" s="14">
        <v>49</v>
      </c>
      <c r="O10" s="13"/>
      <c r="P10" s="14">
        <v>42</v>
      </c>
      <c r="Q10" s="14">
        <v>45</v>
      </c>
      <c r="R10" s="14">
        <v>43</v>
      </c>
      <c r="S10" s="14"/>
      <c r="T10" s="13"/>
      <c r="U10" s="14">
        <v>50</v>
      </c>
      <c r="V10" s="13"/>
      <c r="W10" s="14">
        <v>46</v>
      </c>
      <c r="X10" s="13"/>
      <c r="Y10" s="14">
        <v>50</v>
      </c>
      <c r="Z10" s="13"/>
      <c r="AA10" s="4">
        <f>AVERAGE(P10:U10)</f>
        <v>45</v>
      </c>
      <c r="AB10" s="4">
        <f>AVERAGE(AVERAGE(L10:M10),AVERAGE(N10:O10),AVERAGE(P10:U10),AVERAGE(U10:V10),AVERAGE(W10:X10),AVERAGE(Y10:Z10))</f>
        <v>48.666666666666664</v>
      </c>
      <c r="AC10" s="4">
        <f>STDEV(AVERAGE(L10:M10),AVERAGE(N10:O10),AVERAGE(P10:U10),AVERAGE(U10:V10),AVERAGE(W10:X10),AVERAGE(Y10:Z10))/SQRT(6)</f>
        <v>1.0852547064066471</v>
      </c>
      <c r="AD10" s="3"/>
      <c r="AE10" s="3"/>
      <c r="AF10" s="3"/>
      <c r="AG10" s="3"/>
      <c r="AH10" s="3"/>
      <c r="AT10" s="12">
        <v>2</v>
      </c>
      <c r="AU10" s="12" t="s">
        <v>22</v>
      </c>
      <c r="AV10" s="11"/>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row>
    <row r="11" spans="1:87" ht="24" customHeight="1" x14ac:dyDescent="0.2">
      <c r="B11" s="25">
        <f t="shared" ref="B11:B24" si="0">B9-1</f>
        <v>107</v>
      </c>
      <c r="C11" s="25" t="s">
        <v>149</v>
      </c>
      <c r="D11" s="25">
        <v>10</v>
      </c>
      <c r="E11" s="25">
        <v>2</v>
      </c>
      <c r="F11" s="25">
        <v>2</v>
      </c>
      <c r="G11" s="25">
        <v>1</v>
      </c>
      <c r="H11" s="25">
        <v>2</v>
      </c>
      <c r="I11" s="25" t="s">
        <v>150</v>
      </c>
      <c r="J11" s="26"/>
      <c r="K11" s="25" t="s">
        <v>2</v>
      </c>
      <c r="L11" s="24">
        <v>58</v>
      </c>
      <c r="M11" s="23"/>
      <c r="N11" s="24">
        <v>62</v>
      </c>
      <c r="O11" s="23"/>
      <c r="P11" s="24"/>
      <c r="Q11" s="24">
        <v>61</v>
      </c>
      <c r="R11" s="24"/>
      <c r="S11" s="24"/>
      <c r="T11" s="23"/>
      <c r="U11" s="24">
        <v>61</v>
      </c>
      <c r="V11" s="23"/>
      <c r="W11" s="24">
        <v>57</v>
      </c>
      <c r="X11" s="23"/>
      <c r="Y11" s="24">
        <v>55</v>
      </c>
      <c r="Z11" s="23"/>
      <c r="AA11" s="4">
        <f t="shared" ref="AA11:AA18" si="1">AVERAGE(P11:T11)</f>
        <v>61</v>
      </c>
      <c r="AB11" s="4">
        <f t="shared" ref="AB11:AB18" si="2">AVERAGE(AVERAGE(L11:M11),AVERAGE(N11:O11),AVERAGE(P11:T11),AVERAGE(U11:V11),AVERAGE(W11:X11),AVERAGE(Y11:Z11))</f>
        <v>59</v>
      </c>
      <c r="AC11" s="4">
        <f t="shared" ref="AC11:AC18" si="3">STDEV(AVERAGE(L11:M11),AVERAGE(N11:O11),AVERAGE(P11:T11),AVERAGE(U11:V11),AVERAGE(W11:X11),AVERAGE(Y11:Z11))/SQRT(6)</f>
        <v>1.1254628677422756</v>
      </c>
      <c r="AD11" s="3"/>
      <c r="AE11" s="22"/>
      <c r="AF11" s="3"/>
      <c r="AG11" s="21"/>
      <c r="AH11" s="3"/>
      <c r="AT11" s="12">
        <v>3</v>
      </c>
      <c r="AU11" s="12" t="s">
        <v>21</v>
      </c>
      <c r="AV11" s="12" t="s">
        <v>19</v>
      </c>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row>
    <row r="12" spans="1:87" ht="24" customHeight="1" thickBot="1" x14ac:dyDescent="0.25">
      <c r="B12" s="15">
        <f t="shared" si="0"/>
        <v>107</v>
      </c>
      <c r="C12" s="15" t="s">
        <v>149</v>
      </c>
      <c r="D12" s="15">
        <v>10</v>
      </c>
      <c r="E12" s="15">
        <v>2</v>
      </c>
      <c r="F12" s="15">
        <v>2</v>
      </c>
      <c r="G12" s="15">
        <v>1</v>
      </c>
      <c r="H12" s="15">
        <v>2</v>
      </c>
      <c r="I12" s="15" t="s">
        <v>150</v>
      </c>
      <c r="J12" s="16"/>
      <c r="K12" s="15" t="s">
        <v>0</v>
      </c>
      <c r="L12" s="14">
        <v>48</v>
      </c>
      <c r="M12" s="13"/>
      <c r="N12" s="14">
        <v>57</v>
      </c>
      <c r="O12" s="13"/>
      <c r="P12" s="14"/>
      <c r="Q12" s="14">
        <v>45</v>
      </c>
      <c r="R12" s="14"/>
      <c r="S12" s="14"/>
      <c r="T12" s="13"/>
      <c r="U12" s="14">
        <v>52</v>
      </c>
      <c r="V12" s="13"/>
      <c r="W12" s="14">
        <v>55</v>
      </c>
      <c r="X12" s="13"/>
      <c r="Y12" s="14">
        <v>43</v>
      </c>
      <c r="Z12" s="13"/>
      <c r="AA12" s="4">
        <f t="shared" si="1"/>
        <v>45</v>
      </c>
      <c r="AB12" s="4">
        <f t="shared" si="2"/>
        <v>50</v>
      </c>
      <c r="AC12" s="4">
        <f t="shared" si="3"/>
        <v>2.2803508501982761</v>
      </c>
      <c r="AD12" s="3"/>
      <c r="AE12" s="3"/>
      <c r="AF12" s="3"/>
      <c r="AG12" s="3"/>
      <c r="AH12" s="3"/>
      <c r="AT12" s="12">
        <v>4</v>
      </c>
      <c r="AU12" s="12" t="s">
        <v>20</v>
      </c>
      <c r="AV12" s="11" t="s">
        <v>19</v>
      </c>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row>
    <row r="13" spans="1:87" ht="24" customHeight="1" x14ac:dyDescent="0.2">
      <c r="B13" s="7">
        <f t="shared" si="0"/>
        <v>106</v>
      </c>
      <c r="C13" s="7" t="s">
        <v>151</v>
      </c>
      <c r="D13" s="7">
        <v>9</v>
      </c>
      <c r="E13" s="7">
        <v>2</v>
      </c>
      <c r="F13" s="7">
        <v>2</v>
      </c>
      <c r="G13" s="7">
        <v>2</v>
      </c>
      <c r="H13" s="7">
        <v>2</v>
      </c>
      <c r="I13" s="7" t="s">
        <v>152</v>
      </c>
      <c r="J13" s="9"/>
      <c r="K13" s="7" t="s">
        <v>2</v>
      </c>
      <c r="L13" s="6">
        <v>65</v>
      </c>
      <c r="M13" s="5"/>
      <c r="N13" s="6">
        <v>51</v>
      </c>
      <c r="O13" s="5"/>
      <c r="P13" s="6"/>
      <c r="Q13" s="6">
        <v>58</v>
      </c>
      <c r="R13" s="6"/>
      <c r="S13" s="6"/>
      <c r="T13" s="5"/>
      <c r="U13" s="6">
        <v>62</v>
      </c>
      <c r="V13" s="5"/>
      <c r="W13" s="6">
        <v>63</v>
      </c>
      <c r="X13" s="5"/>
      <c r="Y13" s="6">
        <v>66</v>
      </c>
      <c r="Z13" s="5"/>
      <c r="AA13" s="4">
        <f t="shared" si="1"/>
        <v>58</v>
      </c>
      <c r="AB13" s="4">
        <f t="shared" si="2"/>
        <v>60.833333333333336</v>
      </c>
      <c r="AC13" s="4">
        <f t="shared" si="3"/>
        <v>2.2718078948518317</v>
      </c>
      <c r="AD13" s="3"/>
      <c r="AE13" s="3"/>
      <c r="AF13" s="3"/>
      <c r="AG13" s="3"/>
      <c r="AH13" s="3"/>
      <c r="AT13" s="12">
        <v>8</v>
      </c>
      <c r="AU13" s="12" t="s">
        <v>18</v>
      </c>
      <c r="AV13" s="12" t="s">
        <v>17</v>
      </c>
    </row>
    <row r="14" spans="1:87" ht="24" customHeight="1" thickBot="1" x14ac:dyDescent="0.25">
      <c r="B14" s="15">
        <f t="shared" si="0"/>
        <v>106</v>
      </c>
      <c r="C14" s="15" t="s">
        <v>151</v>
      </c>
      <c r="D14" s="15">
        <v>9</v>
      </c>
      <c r="E14" s="15">
        <v>2</v>
      </c>
      <c r="F14" s="15">
        <v>2</v>
      </c>
      <c r="G14" s="15">
        <v>2</v>
      </c>
      <c r="H14" s="15">
        <v>2</v>
      </c>
      <c r="I14" s="15" t="s">
        <v>152</v>
      </c>
      <c r="J14" s="16"/>
      <c r="K14" s="15" t="s">
        <v>0</v>
      </c>
      <c r="L14" s="14">
        <v>46</v>
      </c>
      <c r="M14" s="13"/>
      <c r="N14" s="14">
        <v>45</v>
      </c>
      <c r="O14" s="13"/>
      <c r="P14" s="14"/>
      <c r="Q14" s="14">
        <v>50</v>
      </c>
      <c r="R14" s="14"/>
      <c r="S14" s="14"/>
      <c r="T14" s="13"/>
      <c r="U14" s="14">
        <v>43</v>
      </c>
      <c r="V14" s="13"/>
      <c r="W14" s="14">
        <v>50</v>
      </c>
      <c r="X14" s="13"/>
      <c r="Y14" s="14">
        <v>45</v>
      </c>
      <c r="Z14" s="13"/>
      <c r="AA14" s="4">
        <f t="shared" si="1"/>
        <v>50</v>
      </c>
      <c r="AB14" s="4">
        <f t="shared" si="2"/>
        <v>46.5</v>
      </c>
      <c r="AC14" s="4">
        <f t="shared" si="3"/>
        <v>1.1761519176251567</v>
      </c>
      <c r="AD14" s="3"/>
      <c r="AE14" s="3"/>
      <c r="AF14" s="3"/>
      <c r="AG14" s="3"/>
      <c r="AH14" s="3"/>
      <c r="AT14" s="12">
        <v>9</v>
      </c>
      <c r="AU14" s="12" t="s">
        <v>16</v>
      </c>
      <c r="AV14" s="11" t="s">
        <v>15</v>
      </c>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row>
    <row r="15" spans="1:87" ht="24" customHeight="1" x14ac:dyDescent="0.2">
      <c r="B15" s="7">
        <f t="shared" si="0"/>
        <v>105</v>
      </c>
      <c r="C15" s="7" t="s">
        <v>153</v>
      </c>
      <c r="D15" s="7">
        <v>12</v>
      </c>
      <c r="E15" s="7">
        <v>2</v>
      </c>
      <c r="F15" s="7">
        <v>3</v>
      </c>
      <c r="G15" s="7">
        <v>1</v>
      </c>
      <c r="H15" s="7">
        <v>2</v>
      </c>
      <c r="I15" s="7" t="s">
        <v>154</v>
      </c>
      <c r="J15" s="9"/>
      <c r="K15" s="7" t="s">
        <v>2</v>
      </c>
      <c r="L15" s="6">
        <v>77</v>
      </c>
      <c r="M15" s="5"/>
      <c r="N15" s="6">
        <v>61</v>
      </c>
      <c r="O15" s="5"/>
      <c r="P15" s="6"/>
      <c r="Q15" s="6">
        <v>72</v>
      </c>
      <c r="R15" s="6"/>
      <c r="S15" s="6"/>
      <c r="T15" s="5"/>
      <c r="U15" s="6">
        <v>82</v>
      </c>
      <c r="V15" s="5"/>
      <c r="W15" s="6">
        <v>78</v>
      </c>
      <c r="X15" s="5"/>
      <c r="Y15" s="6">
        <v>72</v>
      </c>
      <c r="Z15" s="5"/>
      <c r="AA15" s="4">
        <f t="shared" si="1"/>
        <v>72</v>
      </c>
      <c r="AB15" s="4">
        <f t="shared" si="2"/>
        <v>73.666666666666671</v>
      </c>
      <c r="AC15" s="4">
        <f t="shared" si="3"/>
        <v>2.9739610697593952</v>
      </c>
      <c r="AD15" s="3"/>
      <c r="AE15" s="3"/>
      <c r="AF15" s="3"/>
      <c r="AG15" s="3"/>
      <c r="AH15" s="3"/>
    </row>
    <row r="16" spans="1:87" ht="24" customHeight="1" thickBot="1" x14ac:dyDescent="0.25">
      <c r="B16" s="15">
        <f t="shared" si="0"/>
        <v>105</v>
      </c>
      <c r="C16" s="15" t="s">
        <v>153</v>
      </c>
      <c r="D16" s="15">
        <v>12</v>
      </c>
      <c r="E16" s="15">
        <v>2</v>
      </c>
      <c r="F16" s="15">
        <v>3</v>
      </c>
      <c r="G16" s="15">
        <v>1</v>
      </c>
      <c r="H16" s="15">
        <v>2</v>
      </c>
      <c r="I16" s="15" t="s">
        <v>154</v>
      </c>
      <c r="J16" s="16"/>
      <c r="K16" s="15" t="s">
        <v>0</v>
      </c>
      <c r="L16" s="14">
        <v>50</v>
      </c>
      <c r="M16" s="13"/>
      <c r="N16" s="14">
        <v>48</v>
      </c>
      <c r="O16" s="13"/>
      <c r="P16" s="14"/>
      <c r="Q16" s="14">
        <v>43</v>
      </c>
      <c r="R16" s="14"/>
      <c r="S16" s="14"/>
      <c r="T16" s="13"/>
      <c r="U16" s="14">
        <v>45</v>
      </c>
      <c r="V16" s="13"/>
      <c r="W16" s="14">
        <v>46</v>
      </c>
      <c r="X16" s="13"/>
      <c r="Y16" s="14">
        <v>45</v>
      </c>
      <c r="Z16" s="13"/>
      <c r="AA16" s="4">
        <f t="shared" si="1"/>
        <v>43</v>
      </c>
      <c r="AB16" s="4">
        <f t="shared" si="2"/>
        <v>46.166666666666664</v>
      </c>
      <c r="AC16" s="4">
        <f t="shared" si="3"/>
        <v>1.0137937550497034</v>
      </c>
      <c r="AD16" s="3"/>
      <c r="AE16" s="3"/>
      <c r="AF16" s="3"/>
      <c r="AG16" s="3"/>
      <c r="AH16" s="3"/>
      <c r="AT16" s="12" t="s">
        <v>14</v>
      </c>
      <c r="AU16" s="12"/>
      <c r="AV16" s="11"/>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row>
    <row r="17" spans="2:87" ht="24" customHeight="1" x14ac:dyDescent="0.2">
      <c r="B17" s="7">
        <f t="shared" si="0"/>
        <v>104</v>
      </c>
      <c r="C17" s="7" t="s">
        <v>149</v>
      </c>
      <c r="D17" s="7">
        <v>10</v>
      </c>
      <c r="E17" s="7">
        <v>2</v>
      </c>
      <c r="F17" s="7">
        <v>2</v>
      </c>
      <c r="G17" s="7">
        <v>1</v>
      </c>
      <c r="H17" s="7">
        <v>1</v>
      </c>
      <c r="I17" s="7" t="s">
        <v>155</v>
      </c>
      <c r="J17" s="9"/>
      <c r="K17" s="7" t="s">
        <v>2</v>
      </c>
      <c r="L17" s="18">
        <v>53</v>
      </c>
      <c r="M17" s="5"/>
      <c r="N17" s="18">
        <v>65</v>
      </c>
      <c r="O17" s="5"/>
      <c r="P17" s="18"/>
      <c r="Q17" s="18">
        <v>68</v>
      </c>
      <c r="R17" s="18"/>
      <c r="S17" s="18"/>
      <c r="T17" s="5"/>
      <c r="U17" s="18">
        <v>50</v>
      </c>
      <c r="V17" s="5"/>
      <c r="W17" s="18">
        <v>62</v>
      </c>
      <c r="X17" s="5"/>
      <c r="Y17" s="18">
        <v>59</v>
      </c>
      <c r="Z17" s="5"/>
      <c r="AA17" s="4">
        <f t="shared" si="1"/>
        <v>68</v>
      </c>
      <c r="AB17" s="4">
        <f t="shared" si="2"/>
        <v>59.5</v>
      </c>
      <c r="AC17" s="4">
        <f t="shared" si="3"/>
        <v>2.8372521918222215</v>
      </c>
      <c r="AD17" s="3"/>
      <c r="AE17" s="3"/>
      <c r="AF17" s="3"/>
      <c r="AG17" s="3"/>
      <c r="AH17" s="3"/>
      <c r="AT17" s="12" t="s">
        <v>7</v>
      </c>
      <c r="AU17" s="12" t="s">
        <v>13</v>
      </c>
      <c r="AV17" s="12" t="s">
        <v>12</v>
      </c>
    </row>
    <row r="18" spans="2:87" ht="24" customHeight="1" thickBot="1" x14ac:dyDescent="0.25">
      <c r="B18" s="15">
        <f t="shared" si="0"/>
        <v>104</v>
      </c>
      <c r="C18" s="15" t="s">
        <v>149</v>
      </c>
      <c r="D18" s="15">
        <v>10</v>
      </c>
      <c r="E18" s="15">
        <v>2</v>
      </c>
      <c r="F18" s="15">
        <v>2</v>
      </c>
      <c r="G18" s="15">
        <v>1</v>
      </c>
      <c r="H18" s="15">
        <v>1</v>
      </c>
      <c r="I18" s="15" t="s">
        <v>155</v>
      </c>
      <c r="J18" s="16"/>
      <c r="K18" s="15" t="s">
        <v>0</v>
      </c>
      <c r="L18" s="14">
        <v>45</v>
      </c>
      <c r="M18" s="13"/>
      <c r="N18" s="14">
        <v>50</v>
      </c>
      <c r="O18" s="13"/>
      <c r="P18" s="14"/>
      <c r="Q18" s="14">
        <v>51</v>
      </c>
      <c r="R18" s="14"/>
      <c r="S18" s="14"/>
      <c r="T18" s="13"/>
      <c r="U18" s="14">
        <v>46</v>
      </c>
      <c r="V18" s="13"/>
      <c r="W18" s="14">
        <v>45</v>
      </c>
      <c r="X18" s="13"/>
      <c r="Y18" s="14">
        <v>46</v>
      </c>
      <c r="Z18" s="13"/>
      <c r="AA18" s="4">
        <f t="shared" si="1"/>
        <v>51</v>
      </c>
      <c r="AB18" s="4">
        <f t="shared" si="2"/>
        <v>47.166666666666664</v>
      </c>
      <c r="AC18" s="4">
        <f t="shared" si="3"/>
        <v>1.077548658349641</v>
      </c>
      <c r="AD18" s="3"/>
      <c r="AE18" s="3"/>
      <c r="AF18" s="3"/>
      <c r="AG18" s="3"/>
      <c r="AH18" s="3"/>
      <c r="AT18" s="12">
        <v>0</v>
      </c>
      <c r="AU18" s="12">
        <v>0</v>
      </c>
      <c r="AV18" s="11" t="s">
        <v>11</v>
      </c>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row>
    <row r="19" spans="2:87" ht="24" customHeight="1" x14ac:dyDescent="0.2">
      <c r="B19" s="7">
        <f t="shared" si="0"/>
        <v>103</v>
      </c>
      <c r="C19" s="7" t="s">
        <v>156</v>
      </c>
      <c r="D19" s="7">
        <v>5</v>
      </c>
      <c r="E19" s="7">
        <v>1</v>
      </c>
      <c r="F19" s="7">
        <v>3</v>
      </c>
      <c r="G19" s="7">
        <v>2</v>
      </c>
      <c r="H19" s="7">
        <v>1</v>
      </c>
      <c r="I19" s="7" t="s">
        <v>157</v>
      </c>
      <c r="J19" s="9"/>
      <c r="K19" s="7" t="s">
        <v>2</v>
      </c>
      <c r="L19" s="18">
        <v>76</v>
      </c>
      <c r="M19" s="5"/>
      <c r="N19" s="18">
        <v>72</v>
      </c>
      <c r="O19" s="5"/>
      <c r="P19" s="18">
        <v>73</v>
      </c>
      <c r="Q19" s="18">
        <v>71</v>
      </c>
      <c r="R19" s="18">
        <v>67</v>
      </c>
      <c r="S19" s="18"/>
      <c r="T19" s="5"/>
      <c r="U19" s="18">
        <v>73</v>
      </c>
      <c r="V19" s="5"/>
      <c r="W19" s="18">
        <v>72</v>
      </c>
      <c r="X19" s="5"/>
      <c r="Y19" s="18">
        <v>67</v>
      </c>
      <c r="Z19" s="5"/>
      <c r="AA19" s="4">
        <f t="shared" ref="AA19:AA24" si="4">AVERAGE(P19:U19)</f>
        <v>71</v>
      </c>
      <c r="AB19" s="4">
        <f t="shared" ref="AB19:AB24" si="5">AVERAGE(AVERAGE(L19:M19),AVERAGE(N19:O19),AVERAGE(P19:U19),AVERAGE(U19:V19),AVERAGE(W19:X19),AVERAGE(Y19:Z19))</f>
        <v>71.833333333333329</v>
      </c>
      <c r="AC19" s="4">
        <f t="shared" ref="AC19:AC24" si="6">STDEV(AVERAGE(L19:M19),AVERAGE(N19:O19),AVERAGE(P19:U19),AVERAGE(U19:V19),AVERAGE(W19:X19),AVERAGE(Y19:Z19))/SQRT(6)</f>
        <v>1.1948965552623281</v>
      </c>
      <c r="AD19" s="3"/>
      <c r="AE19" s="3"/>
      <c r="AF19" s="3"/>
      <c r="AG19" s="3"/>
      <c r="AH19" s="3"/>
      <c r="AT19" s="12">
        <v>1</v>
      </c>
      <c r="AU19" s="12">
        <v>5</v>
      </c>
      <c r="AV19" s="12" t="s">
        <v>10</v>
      </c>
    </row>
    <row r="20" spans="2:87" ht="24" customHeight="1" thickBot="1" x14ac:dyDescent="0.25">
      <c r="B20" s="15">
        <f t="shared" si="0"/>
        <v>103</v>
      </c>
      <c r="C20" s="15" t="s">
        <v>156</v>
      </c>
      <c r="D20" s="15">
        <v>5</v>
      </c>
      <c r="E20" s="15">
        <v>1</v>
      </c>
      <c r="F20" s="15">
        <v>3</v>
      </c>
      <c r="G20" s="15">
        <v>2</v>
      </c>
      <c r="H20" s="15">
        <v>1</v>
      </c>
      <c r="I20" s="15" t="s">
        <v>157</v>
      </c>
      <c r="J20" s="16"/>
      <c r="K20" s="15" t="s">
        <v>0</v>
      </c>
      <c r="L20" s="14">
        <v>45</v>
      </c>
      <c r="M20" s="13"/>
      <c r="N20" s="14">
        <v>40</v>
      </c>
      <c r="O20" s="13"/>
      <c r="P20" s="14">
        <v>40</v>
      </c>
      <c r="Q20" s="14">
        <v>42</v>
      </c>
      <c r="R20" s="14">
        <v>49</v>
      </c>
      <c r="S20" s="14"/>
      <c r="T20" s="13"/>
      <c r="U20" s="14">
        <v>39</v>
      </c>
      <c r="V20" s="13"/>
      <c r="W20" s="14">
        <v>38</v>
      </c>
      <c r="X20" s="13"/>
      <c r="Y20" s="14">
        <v>41</v>
      </c>
      <c r="Z20" s="13"/>
      <c r="AA20" s="4">
        <f t="shared" si="4"/>
        <v>42.5</v>
      </c>
      <c r="AB20" s="4">
        <f t="shared" si="5"/>
        <v>40.916666666666664</v>
      </c>
      <c r="AC20" s="4">
        <f t="shared" si="6"/>
        <v>1.0361520694913036</v>
      </c>
      <c r="AD20" s="3"/>
      <c r="AE20" s="3"/>
      <c r="AF20" s="3"/>
      <c r="AG20" s="3"/>
      <c r="AH20" s="3"/>
      <c r="AT20" s="12">
        <v>2</v>
      </c>
      <c r="AU20" s="12">
        <v>10</v>
      </c>
      <c r="AV20" s="11" t="s">
        <v>10</v>
      </c>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row>
    <row r="21" spans="2:87" ht="24" customHeight="1" x14ac:dyDescent="0.2">
      <c r="B21" s="7">
        <f t="shared" si="0"/>
        <v>102</v>
      </c>
      <c r="C21" s="7" t="s">
        <v>158</v>
      </c>
      <c r="D21" s="7">
        <v>4</v>
      </c>
      <c r="E21" s="7">
        <v>1</v>
      </c>
      <c r="F21" s="7">
        <v>2</v>
      </c>
      <c r="G21" s="7">
        <v>1</v>
      </c>
      <c r="H21" s="7">
        <v>1</v>
      </c>
      <c r="I21" s="7" t="s">
        <v>159</v>
      </c>
      <c r="J21" s="9"/>
      <c r="K21" s="7" t="s">
        <v>2</v>
      </c>
      <c r="L21" s="6">
        <v>62</v>
      </c>
      <c r="M21" s="5"/>
      <c r="N21" s="6">
        <v>57</v>
      </c>
      <c r="O21" s="5"/>
      <c r="P21" s="6">
        <v>38</v>
      </c>
      <c r="Q21" s="6">
        <v>55</v>
      </c>
      <c r="R21" s="6">
        <v>33</v>
      </c>
      <c r="S21" s="6"/>
      <c r="T21" s="5"/>
      <c r="U21" s="6">
        <v>46</v>
      </c>
      <c r="V21" s="5"/>
      <c r="W21" s="6">
        <v>51</v>
      </c>
      <c r="X21" s="5"/>
      <c r="Y21" s="6">
        <v>68</v>
      </c>
      <c r="Z21" s="5"/>
      <c r="AA21" s="4">
        <f t="shared" si="4"/>
        <v>43</v>
      </c>
      <c r="AB21" s="4">
        <f t="shared" si="5"/>
        <v>54.5</v>
      </c>
      <c r="AC21" s="4">
        <f t="shared" si="6"/>
        <v>3.9221592692461296</v>
      </c>
      <c r="AD21" s="3"/>
      <c r="AE21" s="3"/>
      <c r="AF21" s="3"/>
      <c r="AG21" s="3"/>
      <c r="AH21" s="3"/>
      <c r="AT21" s="12">
        <v>3</v>
      </c>
      <c r="AU21" s="12">
        <v>20</v>
      </c>
      <c r="AV21" s="12" t="s">
        <v>9</v>
      </c>
    </row>
    <row r="22" spans="2:87" ht="24" customHeight="1" thickBot="1" x14ac:dyDescent="0.25">
      <c r="B22" s="15">
        <f t="shared" si="0"/>
        <v>102</v>
      </c>
      <c r="C22" s="15" t="s">
        <v>158</v>
      </c>
      <c r="D22" s="15">
        <v>4</v>
      </c>
      <c r="E22" s="15">
        <v>1</v>
      </c>
      <c r="F22" s="15">
        <v>2</v>
      </c>
      <c r="G22" s="15">
        <v>1</v>
      </c>
      <c r="H22" s="15">
        <v>1</v>
      </c>
      <c r="I22" s="15" t="s">
        <v>159</v>
      </c>
      <c r="J22" s="16"/>
      <c r="K22" s="15" t="s">
        <v>0</v>
      </c>
      <c r="L22" s="14">
        <v>45</v>
      </c>
      <c r="M22" s="13"/>
      <c r="N22" s="14">
        <v>46</v>
      </c>
      <c r="O22" s="13"/>
      <c r="P22" s="14">
        <v>27</v>
      </c>
      <c r="Q22" s="14">
        <v>42</v>
      </c>
      <c r="R22" s="14">
        <v>25</v>
      </c>
      <c r="S22" s="14"/>
      <c r="T22" s="13"/>
      <c r="U22" s="14">
        <v>31</v>
      </c>
      <c r="V22" s="13"/>
      <c r="W22" s="14">
        <v>44</v>
      </c>
      <c r="X22" s="13"/>
      <c r="Y22" s="14">
        <v>44</v>
      </c>
      <c r="Z22" s="13"/>
      <c r="AA22" s="4">
        <f t="shared" si="4"/>
        <v>31.25</v>
      </c>
      <c r="AB22" s="4">
        <f t="shared" si="5"/>
        <v>40.208333333333336</v>
      </c>
      <c r="AC22" s="4">
        <f t="shared" si="6"/>
        <v>2.8884948983471994</v>
      </c>
      <c r="AD22" s="3"/>
      <c r="AE22" s="3"/>
      <c r="AF22" s="3"/>
      <c r="AG22" s="3"/>
      <c r="AH22" s="3"/>
      <c r="AT22" s="12"/>
      <c r="AU22" s="12"/>
      <c r="AV22" s="11"/>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row>
    <row r="23" spans="2:87" ht="24" customHeight="1" x14ac:dyDescent="0.2">
      <c r="B23" s="7">
        <f t="shared" si="0"/>
        <v>101</v>
      </c>
      <c r="C23" s="7" t="s">
        <v>160</v>
      </c>
      <c r="D23" s="7">
        <v>1</v>
      </c>
      <c r="E23" s="7">
        <v>1</v>
      </c>
      <c r="F23" s="7">
        <v>1</v>
      </c>
      <c r="G23" s="7">
        <v>2</v>
      </c>
      <c r="H23" s="7">
        <v>1</v>
      </c>
      <c r="I23" s="7" t="s">
        <v>161</v>
      </c>
      <c r="J23" s="9"/>
      <c r="K23" s="7" t="s">
        <v>2</v>
      </c>
      <c r="L23" s="6">
        <v>54</v>
      </c>
      <c r="M23" s="5"/>
      <c r="N23" s="6">
        <v>63</v>
      </c>
      <c r="O23" s="5"/>
      <c r="P23" s="6">
        <v>57</v>
      </c>
      <c r="Q23" s="6">
        <v>50</v>
      </c>
      <c r="R23" s="6">
        <v>48</v>
      </c>
      <c r="S23" s="6"/>
      <c r="T23" s="5"/>
      <c r="U23" s="6">
        <v>55</v>
      </c>
      <c r="V23" s="5"/>
      <c r="W23" s="6">
        <v>49</v>
      </c>
      <c r="X23" s="5"/>
      <c r="Y23" s="6">
        <v>59</v>
      </c>
      <c r="Z23" s="5"/>
      <c r="AA23" s="4">
        <f t="shared" si="4"/>
        <v>52.5</v>
      </c>
      <c r="AB23" s="4">
        <f t="shared" si="5"/>
        <v>55.416666666666664</v>
      </c>
      <c r="AC23" s="4">
        <f t="shared" si="6"/>
        <v>2.0183188824145484</v>
      </c>
      <c r="AD23" s="3"/>
      <c r="AE23" s="3"/>
      <c r="AF23" s="3"/>
      <c r="AG23" s="3"/>
      <c r="AH23" s="3"/>
      <c r="AT23" s="2" t="s">
        <v>8</v>
      </c>
      <c r="AU23" s="2"/>
      <c r="AV23" s="2"/>
    </row>
    <row r="24" spans="2:87" ht="24" customHeight="1" thickBot="1" x14ac:dyDescent="0.25">
      <c r="B24" s="15">
        <f t="shared" si="0"/>
        <v>101</v>
      </c>
      <c r="C24" s="15" t="s">
        <v>160</v>
      </c>
      <c r="D24" s="15">
        <v>1</v>
      </c>
      <c r="E24" s="15">
        <v>1</v>
      </c>
      <c r="F24" s="15">
        <v>1</v>
      </c>
      <c r="G24" s="15">
        <v>2</v>
      </c>
      <c r="H24" s="15">
        <v>1</v>
      </c>
      <c r="I24" s="15" t="s">
        <v>161</v>
      </c>
      <c r="J24" s="16"/>
      <c r="K24" s="15" t="s">
        <v>0</v>
      </c>
      <c r="L24" s="14">
        <v>41</v>
      </c>
      <c r="M24" s="13"/>
      <c r="N24" s="14">
        <v>45</v>
      </c>
      <c r="O24" s="13"/>
      <c r="P24" s="14">
        <v>45</v>
      </c>
      <c r="Q24" s="14">
        <v>47</v>
      </c>
      <c r="R24" s="14">
        <v>39</v>
      </c>
      <c r="S24" s="14"/>
      <c r="T24" s="13"/>
      <c r="U24" s="14">
        <v>32</v>
      </c>
      <c r="V24" s="13"/>
      <c r="W24" s="14">
        <v>34</v>
      </c>
      <c r="X24" s="13"/>
      <c r="Y24" s="14">
        <v>42</v>
      </c>
      <c r="Z24" s="13"/>
      <c r="AA24" s="4">
        <f t="shared" si="4"/>
        <v>40.75</v>
      </c>
      <c r="AB24" s="4">
        <f t="shared" si="5"/>
        <v>39.125</v>
      </c>
      <c r="AC24" s="4">
        <f t="shared" si="6"/>
        <v>2.0491359967882401</v>
      </c>
      <c r="AD24" s="3"/>
      <c r="AE24" s="3"/>
      <c r="AF24" s="3"/>
      <c r="AG24" s="3"/>
      <c r="AH24" s="3"/>
      <c r="AT24" s="12" t="s">
        <v>7</v>
      </c>
      <c r="AU24" s="12" t="s">
        <v>6</v>
      </c>
      <c r="AV24" s="11" t="s">
        <v>5</v>
      </c>
      <c r="AW24" s="10"/>
      <c r="AX24" s="10"/>
      <c r="AY24" s="10"/>
      <c r="AZ24" s="10"/>
      <c r="BA24" s="10"/>
      <c r="BB24" s="10"/>
      <c r="BC24" s="10"/>
      <c r="BD24" s="10"/>
      <c r="BE24" s="10"/>
      <c r="BF24" s="10"/>
      <c r="BG24" s="10"/>
      <c r="BH24" s="10"/>
      <c r="BI24" s="10"/>
      <c r="BJ24" s="10"/>
      <c r="BK24" s="10"/>
      <c r="BL24" s="10"/>
      <c r="BM24" s="10"/>
      <c r="BN24" s="10"/>
      <c r="BO24" s="10"/>
      <c r="BP24" s="10"/>
      <c r="BQ24" s="10"/>
      <c r="BR24" s="10"/>
      <c r="BS24" s="10"/>
      <c r="BT24" s="10"/>
      <c r="BU24" s="10"/>
      <c r="BV24" s="10"/>
      <c r="BW24" s="10"/>
      <c r="BX24" s="10"/>
      <c r="BY24" s="10"/>
      <c r="BZ24" s="10"/>
      <c r="CA24" s="10"/>
      <c r="CB24" s="10"/>
      <c r="CC24" s="10"/>
      <c r="CD24" s="10"/>
      <c r="CE24" s="10"/>
      <c r="CF24" s="10"/>
      <c r="CG24" s="10"/>
      <c r="CH24" s="10"/>
      <c r="CI24" s="10"/>
    </row>
    <row r="25" spans="2:87" ht="24" customHeight="1" x14ac:dyDescent="0.2">
      <c r="B25" s="7">
        <f>B23+100</f>
        <v>201</v>
      </c>
      <c r="C25" s="7" t="s">
        <v>153</v>
      </c>
      <c r="D25" s="7">
        <v>12</v>
      </c>
      <c r="E25" s="7">
        <v>2</v>
      </c>
      <c r="F25" s="7">
        <v>3</v>
      </c>
      <c r="G25" s="7">
        <v>1</v>
      </c>
      <c r="H25" s="7">
        <v>1</v>
      </c>
      <c r="I25" s="7" t="s">
        <v>162</v>
      </c>
      <c r="J25" s="7"/>
      <c r="K25" s="7" t="s">
        <v>2</v>
      </c>
      <c r="L25" s="6">
        <v>50</v>
      </c>
      <c r="M25" s="6"/>
      <c r="N25" s="6">
        <v>57</v>
      </c>
      <c r="O25" s="6"/>
      <c r="P25" s="6"/>
      <c r="Q25" s="6">
        <v>77</v>
      </c>
      <c r="R25" s="6"/>
      <c r="S25" s="6"/>
      <c r="T25" s="6"/>
      <c r="U25" s="6">
        <v>79</v>
      </c>
      <c r="V25" s="6"/>
      <c r="W25" s="6">
        <v>75</v>
      </c>
      <c r="X25" s="6"/>
      <c r="Y25" s="6">
        <v>83</v>
      </c>
      <c r="Z25" s="6"/>
      <c r="AA25" s="4">
        <f>AVERAGE(P25:T25)</f>
        <v>77</v>
      </c>
      <c r="AB25" s="4">
        <f>AVERAGE(AVERAGE(L25:M25),AVERAGE(N25:O25),AVERAGE(P25:T25),AVERAGE(U25:V25),AVERAGE(W25:X25),AVERAGE(Y25:Z25))</f>
        <v>70.166666666666671</v>
      </c>
      <c r="AC25" s="4">
        <f>STDEV(AVERAGE(L25:M25),AVERAGE(N25:O25),AVERAGE(P25:T25),AVERAGE(U25:V25),AVERAGE(W25:X25),AVERAGE(Y25:Z25))/SQRT(6)</f>
        <v>5.455374516118126</v>
      </c>
      <c r="AD25" s="3"/>
      <c r="AE25" s="3"/>
      <c r="AF25" s="3"/>
      <c r="AG25" s="3"/>
      <c r="AH25" s="3"/>
      <c r="AT25" s="12">
        <v>1</v>
      </c>
      <c r="AU25" s="12" t="s">
        <v>4</v>
      </c>
      <c r="AV25" s="12">
        <v>0</v>
      </c>
    </row>
    <row r="26" spans="2:87" ht="24" customHeight="1" thickBot="1" x14ac:dyDescent="0.25">
      <c r="B26" s="15">
        <f>B24+100</f>
        <v>201</v>
      </c>
      <c r="C26" s="15" t="s">
        <v>153</v>
      </c>
      <c r="D26" s="15">
        <v>12</v>
      </c>
      <c r="E26" s="15">
        <v>2</v>
      </c>
      <c r="F26" s="15">
        <v>3</v>
      </c>
      <c r="G26" s="15">
        <v>1</v>
      </c>
      <c r="H26" s="15">
        <v>1</v>
      </c>
      <c r="I26" s="15" t="s">
        <v>162</v>
      </c>
      <c r="J26" s="16"/>
      <c r="K26" s="15" t="s">
        <v>0</v>
      </c>
      <c r="L26" s="14">
        <v>75</v>
      </c>
      <c r="M26" s="13"/>
      <c r="N26" s="14">
        <v>82</v>
      </c>
      <c r="O26" s="13"/>
      <c r="P26" s="14"/>
      <c r="Q26" s="14">
        <v>52</v>
      </c>
      <c r="R26" s="14"/>
      <c r="S26" s="14"/>
      <c r="T26" s="13"/>
      <c r="U26" s="14">
        <v>52</v>
      </c>
      <c r="V26" s="13"/>
      <c r="W26" s="14">
        <v>55</v>
      </c>
      <c r="X26" s="13"/>
      <c r="Y26" s="14">
        <v>62</v>
      </c>
      <c r="Z26" s="13"/>
      <c r="AA26" s="4">
        <f>AVERAGE(P26:T26)</f>
        <v>52</v>
      </c>
      <c r="AB26" s="4">
        <f>AVERAGE(AVERAGE(L26:M26),AVERAGE(N26:O26),AVERAGE(P26:T26),AVERAGE(U26:V26),AVERAGE(W26:X26),AVERAGE(Y26:Z26))</f>
        <v>63</v>
      </c>
      <c r="AC26" s="4">
        <f>STDEV(AVERAGE(L26:M26),AVERAGE(N26:O26),AVERAGE(P26:T26),AVERAGE(U26:V26),AVERAGE(W26:X26),AVERAGE(Y26:Z26))/SQRT(6)</f>
        <v>5.2025634707004462</v>
      </c>
      <c r="AD26" s="3"/>
      <c r="AE26" s="3"/>
      <c r="AF26" s="3"/>
      <c r="AG26" s="3"/>
      <c r="AH26" s="3"/>
      <c r="AT26" s="12">
        <v>2</v>
      </c>
      <c r="AU26" s="12" t="s">
        <v>3</v>
      </c>
      <c r="AV26" s="11">
        <v>150</v>
      </c>
      <c r="AW26" s="10"/>
      <c r="AX26" s="10"/>
      <c r="AY26" s="10"/>
      <c r="AZ26" s="10"/>
      <c r="BA26" s="10"/>
      <c r="BB26" s="10"/>
      <c r="BC26" s="10"/>
      <c r="BD26" s="10"/>
      <c r="BE26" s="10"/>
      <c r="BF26" s="10"/>
      <c r="BG26" s="10"/>
      <c r="BH26" s="10"/>
      <c r="BI26" s="10"/>
      <c r="BJ26" s="10"/>
      <c r="BK26" s="10"/>
      <c r="BL26" s="10"/>
      <c r="BM26" s="10"/>
      <c r="BN26" s="10"/>
      <c r="BO26" s="10"/>
      <c r="BP26" s="10"/>
      <c r="BQ26" s="10"/>
      <c r="BR26" s="10"/>
      <c r="BS26" s="10"/>
      <c r="BT26" s="10"/>
      <c r="BU26" s="10"/>
      <c r="BV26" s="10"/>
      <c r="BW26" s="10"/>
      <c r="BX26" s="10"/>
      <c r="BY26" s="10"/>
      <c r="BZ26" s="10"/>
      <c r="CA26" s="10"/>
      <c r="CB26" s="10"/>
      <c r="CC26" s="10"/>
      <c r="CD26" s="10"/>
      <c r="CE26" s="10"/>
      <c r="CF26" s="10"/>
      <c r="CG26" s="10"/>
      <c r="CH26" s="10"/>
      <c r="CI26" s="10"/>
    </row>
    <row r="27" spans="2:87" ht="24" customHeight="1" x14ac:dyDescent="0.2">
      <c r="B27" s="7">
        <f t="shared" ref="B27:B40" si="7">B25+1</f>
        <v>202</v>
      </c>
      <c r="C27" s="7" t="s">
        <v>151</v>
      </c>
      <c r="D27" s="7">
        <v>9</v>
      </c>
      <c r="E27" s="7">
        <v>2</v>
      </c>
      <c r="F27" s="7">
        <v>2</v>
      </c>
      <c r="G27" s="7">
        <v>2</v>
      </c>
      <c r="H27" s="7">
        <v>1</v>
      </c>
      <c r="I27" s="7" t="s">
        <v>163</v>
      </c>
      <c r="J27" s="9"/>
      <c r="K27" s="7" t="s">
        <v>2</v>
      </c>
      <c r="L27" s="6">
        <v>58</v>
      </c>
      <c r="M27" s="6"/>
      <c r="N27" s="6">
        <v>59</v>
      </c>
      <c r="O27" s="6"/>
      <c r="P27" s="6"/>
      <c r="Q27" s="6">
        <v>54</v>
      </c>
      <c r="R27" s="6"/>
      <c r="S27" s="6"/>
      <c r="T27" s="6"/>
      <c r="U27" s="6">
        <v>49</v>
      </c>
      <c r="V27" s="6"/>
      <c r="W27" s="6">
        <v>56</v>
      </c>
      <c r="X27" s="6"/>
      <c r="Y27" s="6">
        <v>59</v>
      </c>
      <c r="Z27" s="6"/>
      <c r="AA27" s="4">
        <f>AVERAGE(P27:T27)</f>
        <v>54</v>
      </c>
      <c r="AB27" s="4">
        <f>AVERAGE(AVERAGE(L27:M27),AVERAGE(N27:O27),AVERAGE(P27:T27),AVERAGE(U27:V27),AVERAGE(W27:X27),AVERAGE(Y27:Z27))</f>
        <v>55.833333333333336</v>
      </c>
      <c r="AC27" s="4">
        <f>STDEV(AVERAGE(L27:M27),AVERAGE(N27:O27),AVERAGE(P27:T27),AVERAGE(U27:V27),AVERAGE(W27:X27),AVERAGE(Y27:Z27))/SQRT(6)</f>
        <v>1.5793810320642847</v>
      </c>
      <c r="AD27" s="3"/>
      <c r="AE27" s="3"/>
      <c r="AF27" s="3"/>
      <c r="AG27" s="3"/>
      <c r="AH27" s="3"/>
    </row>
    <row r="28" spans="2:87" ht="24" customHeight="1" thickBot="1" x14ac:dyDescent="0.25">
      <c r="B28" s="15">
        <f t="shared" si="7"/>
        <v>202</v>
      </c>
      <c r="C28" s="15" t="s">
        <v>151</v>
      </c>
      <c r="D28" s="15">
        <v>9</v>
      </c>
      <c r="E28" s="15">
        <v>2</v>
      </c>
      <c r="F28" s="15">
        <v>2</v>
      </c>
      <c r="G28" s="15">
        <v>2</v>
      </c>
      <c r="H28" s="15">
        <v>1</v>
      </c>
      <c r="I28" s="15" t="s">
        <v>163</v>
      </c>
      <c r="J28" s="16"/>
      <c r="K28" s="15" t="s">
        <v>0</v>
      </c>
      <c r="L28" s="14">
        <v>49</v>
      </c>
      <c r="M28" s="13"/>
      <c r="N28" s="14">
        <v>42</v>
      </c>
      <c r="O28" s="13"/>
      <c r="P28" s="14"/>
      <c r="Q28" s="14">
        <v>39</v>
      </c>
      <c r="R28" s="14"/>
      <c r="S28" s="14"/>
      <c r="T28" s="13"/>
      <c r="U28" s="14">
        <v>42</v>
      </c>
      <c r="V28" s="13"/>
      <c r="W28" s="14">
        <v>54</v>
      </c>
      <c r="X28" s="13"/>
      <c r="Y28" s="14">
        <v>48</v>
      </c>
      <c r="Z28" s="13"/>
      <c r="AA28" s="4">
        <f>AVERAGE(P28:T28)</f>
        <v>39</v>
      </c>
      <c r="AB28" s="4">
        <f>AVERAGE(AVERAGE(L28:M28),AVERAGE(N28:O28),AVERAGE(P28:T28),AVERAGE(U28:V28),AVERAGE(W28:X28),AVERAGE(Y28:Z28))</f>
        <v>45.666666666666664</v>
      </c>
      <c r="AC28" s="4">
        <f>STDEV(AVERAGE(L28:M28),AVERAGE(N28:O28),AVERAGE(P28:T28),AVERAGE(U28:V28),AVERAGE(W28:X28),AVERAGE(Y28:Z28))/SQRT(6)</f>
        <v>2.2900752049756941</v>
      </c>
      <c r="AD28" s="3"/>
      <c r="AE28" s="3"/>
      <c r="AF28" s="3"/>
      <c r="AG28" s="3"/>
      <c r="AH28" s="3"/>
      <c r="AT28" s="12"/>
      <c r="AU28" s="12"/>
      <c r="AV28" s="11"/>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row>
    <row r="29" spans="2:87" ht="24" customHeight="1" x14ac:dyDescent="0.2">
      <c r="B29" s="7">
        <f t="shared" si="7"/>
        <v>203</v>
      </c>
      <c r="C29" s="7" t="s">
        <v>147</v>
      </c>
      <c r="D29" s="7">
        <v>3</v>
      </c>
      <c r="E29" s="7">
        <v>1</v>
      </c>
      <c r="F29" s="7">
        <v>2</v>
      </c>
      <c r="G29" s="7">
        <v>2</v>
      </c>
      <c r="H29" s="7">
        <v>1</v>
      </c>
      <c r="I29" s="7" t="s">
        <v>164</v>
      </c>
      <c r="J29" s="9"/>
      <c r="K29" s="7" t="s">
        <v>2</v>
      </c>
      <c r="L29" s="6">
        <v>46</v>
      </c>
      <c r="M29" s="6"/>
      <c r="N29" s="6">
        <v>66</v>
      </c>
      <c r="O29" s="6"/>
      <c r="P29" s="6">
        <v>66</v>
      </c>
      <c r="Q29" s="6">
        <v>60</v>
      </c>
      <c r="R29" s="6">
        <v>55</v>
      </c>
      <c r="S29" s="6"/>
      <c r="T29" s="6"/>
      <c r="U29" s="6">
        <v>52</v>
      </c>
      <c r="V29" s="6"/>
      <c r="W29" s="6">
        <v>67</v>
      </c>
      <c r="X29" s="6"/>
      <c r="Y29" s="6">
        <v>61</v>
      </c>
      <c r="Z29" s="6"/>
      <c r="AA29" s="4">
        <f>AVERAGE(P29:U29)</f>
        <v>58.25</v>
      </c>
      <c r="AB29" s="4">
        <f>AVERAGE(AVERAGE(L29:M29),AVERAGE(N29:O29),AVERAGE(P29:U29),AVERAGE(U29:V29),AVERAGE(W29:X29),AVERAGE(Y29:Z29))</f>
        <v>58.375</v>
      </c>
      <c r="AC29" s="4">
        <f>STDEV(AVERAGE(L29:M29),AVERAGE(N29:O29),AVERAGE(P29:U29),AVERAGE(U29:V29),AVERAGE(W29:X29),AVERAGE(Y29:Z29))/SQRT(6)</f>
        <v>3.3327603674231772</v>
      </c>
      <c r="AD29" s="3"/>
      <c r="AE29" s="3"/>
      <c r="AF29" s="3"/>
      <c r="AG29" s="3"/>
      <c r="AH29" s="3"/>
    </row>
    <row r="30" spans="2:87" ht="24" customHeight="1" thickBot="1" x14ac:dyDescent="0.25">
      <c r="B30" s="15">
        <f t="shared" si="7"/>
        <v>203</v>
      </c>
      <c r="C30" s="15" t="s">
        <v>147</v>
      </c>
      <c r="D30" s="15">
        <v>3</v>
      </c>
      <c r="E30" s="15">
        <v>1</v>
      </c>
      <c r="F30" s="15">
        <v>2</v>
      </c>
      <c r="G30" s="15">
        <v>2</v>
      </c>
      <c r="H30" s="15">
        <v>1</v>
      </c>
      <c r="I30" s="15" t="s">
        <v>164</v>
      </c>
      <c r="J30" s="16"/>
      <c r="K30" s="15" t="s">
        <v>0</v>
      </c>
      <c r="L30" s="14">
        <v>39</v>
      </c>
      <c r="M30" s="13"/>
      <c r="N30" s="14">
        <v>55</v>
      </c>
      <c r="O30" s="13"/>
      <c r="P30" s="14">
        <v>49</v>
      </c>
      <c r="Q30" s="14">
        <v>57</v>
      </c>
      <c r="R30" s="14">
        <v>51</v>
      </c>
      <c r="S30" s="14"/>
      <c r="T30" s="13"/>
      <c r="U30" s="14">
        <v>52</v>
      </c>
      <c r="V30" s="13"/>
      <c r="W30" s="14">
        <v>53</v>
      </c>
      <c r="X30" s="13"/>
      <c r="Y30" s="14">
        <v>41</v>
      </c>
      <c r="Z30" s="13"/>
      <c r="AA30" s="4">
        <f>AVERAGE(P30:U30)</f>
        <v>52.25</v>
      </c>
      <c r="AB30" s="4">
        <f>AVERAGE(AVERAGE(L30:M30),AVERAGE(N30:O30),AVERAGE(P30:U30),AVERAGE(U30:V30),AVERAGE(W30:X30),AVERAGE(Y30:Z30))</f>
        <v>48.708333333333336</v>
      </c>
      <c r="AC30" s="4">
        <f>STDEV(AVERAGE(L30:M30),AVERAGE(N30:O30),AVERAGE(P30:U30),AVERAGE(U30:V30),AVERAGE(W30:X30),AVERAGE(Y30:Z30))/SQRT(6)</f>
        <v>2.7991194051780761</v>
      </c>
      <c r="AD30" s="3"/>
      <c r="AE30" s="3"/>
      <c r="AF30" s="3"/>
      <c r="AG30" s="3"/>
      <c r="AH30" s="3"/>
      <c r="AT30" s="12"/>
      <c r="AU30" s="12"/>
      <c r="AV30" s="11"/>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row>
    <row r="31" spans="2:87" ht="24" customHeight="1" x14ac:dyDescent="0.2">
      <c r="B31" s="7">
        <f t="shared" si="7"/>
        <v>204</v>
      </c>
      <c r="C31" s="7" t="s">
        <v>165</v>
      </c>
      <c r="D31" s="7">
        <v>11</v>
      </c>
      <c r="E31" s="7">
        <v>2</v>
      </c>
      <c r="F31" s="7">
        <v>3</v>
      </c>
      <c r="G31" s="7">
        <v>2</v>
      </c>
      <c r="H31" s="7">
        <v>1</v>
      </c>
      <c r="I31" s="7" t="s">
        <v>166</v>
      </c>
      <c r="J31" s="9"/>
      <c r="K31" s="7" t="s">
        <v>2</v>
      </c>
      <c r="L31" s="6">
        <v>79</v>
      </c>
      <c r="M31" s="6"/>
      <c r="N31" s="6">
        <v>76</v>
      </c>
      <c r="O31" s="6"/>
      <c r="P31" s="6"/>
      <c r="Q31" s="6">
        <v>82</v>
      </c>
      <c r="R31" s="6"/>
      <c r="S31" s="6"/>
      <c r="T31" s="6"/>
      <c r="U31" s="6">
        <v>73</v>
      </c>
      <c r="V31" s="6"/>
      <c r="W31" s="6">
        <v>78</v>
      </c>
      <c r="X31" s="6"/>
      <c r="Y31" s="6">
        <v>82</v>
      </c>
      <c r="Z31" s="6"/>
      <c r="AA31" s="4">
        <f>AVERAGE(P31:T31)</f>
        <v>82</v>
      </c>
      <c r="AB31" s="4">
        <f>AVERAGE(AVERAGE(L31:M31),AVERAGE(N31:O31),AVERAGE(P31:T31),AVERAGE(U31:V31),AVERAGE(W31:X31),AVERAGE(Y31:Z31))</f>
        <v>78.333333333333329</v>
      </c>
      <c r="AC31" s="4">
        <f>STDEV(AVERAGE(L31:M31),AVERAGE(N31:O31),AVERAGE(P31:T31),AVERAGE(U31:V31),AVERAGE(W31:X31),AVERAGE(Y31:Z31))/SQRT(6)</f>
        <v>1.4298407059684812</v>
      </c>
      <c r="AD31" s="3"/>
      <c r="AE31" s="3"/>
      <c r="AF31" s="3"/>
      <c r="AG31" s="3"/>
      <c r="AH31" s="3"/>
    </row>
    <row r="32" spans="2:87" ht="24" customHeight="1" thickBot="1" x14ac:dyDescent="0.25">
      <c r="B32" s="15">
        <f t="shared" si="7"/>
        <v>204</v>
      </c>
      <c r="C32" s="15" t="s">
        <v>165</v>
      </c>
      <c r="D32" s="15">
        <v>11</v>
      </c>
      <c r="E32" s="15">
        <v>2</v>
      </c>
      <c r="F32" s="15">
        <v>3</v>
      </c>
      <c r="G32" s="15">
        <v>2</v>
      </c>
      <c r="H32" s="15">
        <v>1</v>
      </c>
      <c r="I32" s="15" t="s">
        <v>166</v>
      </c>
      <c r="J32" s="16"/>
      <c r="K32" s="15" t="s">
        <v>0</v>
      </c>
      <c r="L32" s="14">
        <v>48</v>
      </c>
      <c r="M32" s="13"/>
      <c r="N32" s="14">
        <v>49</v>
      </c>
      <c r="O32" s="13"/>
      <c r="P32" s="14"/>
      <c r="Q32" s="14">
        <v>51</v>
      </c>
      <c r="R32" s="14"/>
      <c r="S32" s="14"/>
      <c r="T32" s="13"/>
      <c r="U32" s="14">
        <v>61</v>
      </c>
      <c r="V32" s="13"/>
      <c r="W32" s="14">
        <v>56</v>
      </c>
      <c r="X32" s="13"/>
      <c r="Y32" s="14">
        <v>55</v>
      </c>
      <c r="Z32" s="13"/>
      <c r="AA32" s="4">
        <f>AVERAGE(P32:T32)</f>
        <v>51</v>
      </c>
      <c r="AB32" s="4">
        <f>AVERAGE(AVERAGE(L32:M32),AVERAGE(N32:O32),AVERAGE(P32:T32),AVERAGE(U32:V32),AVERAGE(W32:X32),AVERAGE(Y32:Z32))</f>
        <v>53.333333333333336</v>
      </c>
      <c r="AC32" s="4">
        <f>STDEV(AVERAGE(L32:M32),AVERAGE(N32:O32),AVERAGE(P32:T32),AVERAGE(U32:V32),AVERAGE(W32:X32),AVERAGE(Y32:Z32))/SQRT(6)</f>
        <v>2.0110804171997811</v>
      </c>
      <c r="AD32" s="3"/>
      <c r="AE32" s="3"/>
      <c r="AF32" s="3"/>
      <c r="AG32" s="3"/>
      <c r="AH32" s="3"/>
      <c r="AT32" s="12"/>
      <c r="AU32" s="12"/>
      <c r="AV32" s="11"/>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row>
    <row r="33" spans="2:87" ht="24" customHeight="1" x14ac:dyDescent="0.2">
      <c r="B33" s="7">
        <f t="shared" si="7"/>
        <v>205</v>
      </c>
      <c r="C33" s="7" t="s">
        <v>160</v>
      </c>
      <c r="D33" s="7">
        <v>1</v>
      </c>
      <c r="E33" s="7">
        <v>1</v>
      </c>
      <c r="F33" s="7">
        <v>1</v>
      </c>
      <c r="G33" s="7">
        <v>2</v>
      </c>
      <c r="H33" s="7">
        <v>2</v>
      </c>
      <c r="I33" s="7" t="s">
        <v>167</v>
      </c>
      <c r="J33" s="9"/>
      <c r="K33" s="7" t="s">
        <v>2</v>
      </c>
      <c r="L33" s="6">
        <v>58</v>
      </c>
      <c r="M33" s="6"/>
      <c r="N33" s="6">
        <v>51</v>
      </c>
      <c r="O33" s="6"/>
      <c r="P33" s="6">
        <v>59</v>
      </c>
      <c r="Q33" s="6">
        <v>62</v>
      </c>
      <c r="R33" s="6">
        <v>62</v>
      </c>
      <c r="S33" s="6"/>
      <c r="T33" s="6"/>
      <c r="U33" s="6">
        <v>53</v>
      </c>
      <c r="V33" s="6"/>
      <c r="W33" s="6">
        <v>60</v>
      </c>
      <c r="X33" s="6"/>
      <c r="Y33" s="6">
        <v>57</v>
      </c>
      <c r="Z33" s="6"/>
      <c r="AA33" s="4">
        <f t="shared" ref="AA33:AA56" si="8">AVERAGE(P33:U33)</f>
        <v>59</v>
      </c>
      <c r="AB33" s="4">
        <f t="shared" ref="AB33:AB56" si="9">AVERAGE(AVERAGE(L33:M33),AVERAGE(N33:O33),AVERAGE(P33:U33),AVERAGE(U33:V33),AVERAGE(W33:X33),AVERAGE(Y33:Z33))</f>
        <v>56.333333333333336</v>
      </c>
      <c r="AC33" s="4">
        <f t="shared" ref="AC33:AC56" si="10">STDEV(AVERAGE(L33:M33),AVERAGE(N33:O33),AVERAGE(P33:U33),AVERAGE(U33:V33),AVERAGE(W33:X33),AVERAGE(Y33:Z33))/SQRT(6)</f>
        <v>1.4529663145135581</v>
      </c>
      <c r="AD33" s="3"/>
      <c r="AE33" s="3"/>
      <c r="AF33" s="3"/>
      <c r="AG33" s="3"/>
      <c r="AH33" s="3"/>
    </row>
    <row r="34" spans="2:87" ht="24" customHeight="1" thickBot="1" x14ac:dyDescent="0.25">
      <c r="B34" s="15">
        <f t="shared" si="7"/>
        <v>205</v>
      </c>
      <c r="C34" s="15" t="s">
        <v>160</v>
      </c>
      <c r="D34" s="15">
        <v>1</v>
      </c>
      <c r="E34" s="15">
        <v>1</v>
      </c>
      <c r="F34" s="15">
        <v>1</v>
      </c>
      <c r="G34" s="15">
        <v>2</v>
      </c>
      <c r="H34" s="15">
        <v>2</v>
      </c>
      <c r="I34" s="15" t="s">
        <v>167</v>
      </c>
      <c r="J34" s="16"/>
      <c r="K34" s="15" t="s">
        <v>0</v>
      </c>
      <c r="L34" s="14">
        <v>42</v>
      </c>
      <c r="M34" s="13"/>
      <c r="N34" s="14">
        <v>44</v>
      </c>
      <c r="O34" s="13"/>
      <c r="P34" s="14">
        <v>38</v>
      </c>
      <c r="Q34" s="14">
        <v>42</v>
      </c>
      <c r="R34" s="14">
        <v>45</v>
      </c>
      <c r="S34" s="14"/>
      <c r="T34" s="13"/>
      <c r="U34" s="14">
        <v>36</v>
      </c>
      <c r="V34" s="13"/>
      <c r="W34" s="14">
        <v>55</v>
      </c>
      <c r="X34" s="13"/>
      <c r="Y34" s="14">
        <v>49</v>
      </c>
      <c r="Z34" s="13"/>
      <c r="AA34" s="4">
        <f t="shared" si="8"/>
        <v>40.25</v>
      </c>
      <c r="AB34" s="4">
        <f t="shared" si="9"/>
        <v>44.375</v>
      </c>
      <c r="AC34" s="4">
        <f t="shared" si="10"/>
        <v>2.7520825447891881</v>
      </c>
      <c r="AD34" s="3"/>
      <c r="AE34" s="3"/>
      <c r="AF34" s="3"/>
      <c r="AG34" s="3"/>
      <c r="AH34" s="3"/>
      <c r="AT34" s="12"/>
      <c r="AU34" s="12"/>
      <c r="AV34" s="11"/>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row>
    <row r="35" spans="2:87" ht="24" customHeight="1" x14ac:dyDescent="0.2">
      <c r="B35" s="7">
        <f t="shared" si="7"/>
        <v>206</v>
      </c>
      <c r="C35" s="7" t="s">
        <v>168</v>
      </c>
      <c r="D35" s="7">
        <v>8</v>
      </c>
      <c r="E35" s="7">
        <v>2</v>
      </c>
      <c r="F35" s="7">
        <v>1</v>
      </c>
      <c r="G35" s="7">
        <v>1</v>
      </c>
      <c r="H35" s="7">
        <v>2</v>
      </c>
      <c r="I35" s="7" t="s">
        <v>169</v>
      </c>
      <c r="J35" s="9"/>
      <c r="K35" s="7" t="s">
        <v>2</v>
      </c>
      <c r="L35" s="6">
        <v>55</v>
      </c>
      <c r="M35" s="6"/>
      <c r="N35" s="6">
        <v>53</v>
      </c>
      <c r="O35" s="6"/>
      <c r="P35" s="6">
        <v>51</v>
      </c>
      <c r="Q35" s="6">
        <v>59</v>
      </c>
      <c r="R35" s="6">
        <v>52</v>
      </c>
      <c r="S35" s="6">
        <v>57</v>
      </c>
      <c r="T35" s="6">
        <v>61</v>
      </c>
      <c r="U35" s="6">
        <v>59</v>
      </c>
      <c r="V35" s="6"/>
      <c r="W35" s="6">
        <v>55</v>
      </c>
      <c r="X35" s="6"/>
      <c r="Y35" s="6">
        <v>60</v>
      </c>
      <c r="Z35" s="6"/>
      <c r="AA35" s="4">
        <f t="shared" si="8"/>
        <v>56.5</v>
      </c>
      <c r="AB35" s="4">
        <f t="shared" si="9"/>
        <v>56.416666666666664</v>
      </c>
      <c r="AC35" s="4">
        <f t="shared" si="10"/>
        <v>1.0833333333333333</v>
      </c>
      <c r="AD35" s="3"/>
      <c r="AE35" s="3"/>
      <c r="AF35" s="3"/>
      <c r="AG35" s="3"/>
      <c r="AH35" s="3"/>
    </row>
    <row r="36" spans="2:87" ht="24" customHeight="1" thickBot="1" x14ac:dyDescent="0.25">
      <c r="B36" s="15">
        <f t="shared" si="7"/>
        <v>206</v>
      </c>
      <c r="C36" s="15" t="s">
        <v>168</v>
      </c>
      <c r="D36" s="15">
        <v>8</v>
      </c>
      <c r="E36" s="15">
        <v>2</v>
      </c>
      <c r="F36" s="15">
        <v>1</v>
      </c>
      <c r="G36" s="15">
        <v>1</v>
      </c>
      <c r="H36" s="15">
        <v>2</v>
      </c>
      <c r="I36" s="15" t="s">
        <v>169</v>
      </c>
      <c r="J36" s="16"/>
      <c r="K36" s="15" t="s">
        <v>0</v>
      </c>
      <c r="L36" s="14">
        <v>44</v>
      </c>
      <c r="M36" s="13"/>
      <c r="N36" s="14">
        <v>46</v>
      </c>
      <c r="O36" s="13"/>
      <c r="P36" s="14">
        <v>34</v>
      </c>
      <c r="Q36" s="14">
        <v>51</v>
      </c>
      <c r="R36" s="14">
        <v>53</v>
      </c>
      <c r="S36" s="14">
        <v>43</v>
      </c>
      <c r="T36" s="13">
        <v>40</v>
      </c>
      <c r="U36" s="14">
        <v>48</v>
      </c>
      <c r="V36" s="13"/>
      <c r="W36" s="14">
        <v>46</v>
      </c>
      <c r="X36" s="13"/>
      <c r="Y36" s="14">
        <v>46</v>
      </c>
      <c r="Z36" s="13"/>
      <c r="AA36" s="4">
        <f t="shared" si="8"/>
        <v>44.833333333333336</v>
      </c>
      <c r="AB36" s="4">
        <f t="shared" si="9"/>
        <v>45.805555555555564</v>
      </c>
      <c r="AC36" s="4">
        <f t="shared" si="10"/>
        <v>0.55179281314817352</v>
      </c>
      <c r="AD36" s="3"/>
      <c r="AE36" s="3"/>
      <c r="AF36" s="3"/>
      <c r="AG36" s="3"/>
      <c r="AH36" s="3"/>
      <c r="AT36" s="12"/>
      <c r="AU36" s="12"/>
      <c r="AV36" s="11"/>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row>
    <row r="37" spans="2:87" ht="24" customHeight="1" x14ac:dyDescent="0.2">
      <c r="B37" s="7">
        <f t="shared" si="7"/>
        <v>207</v>
      </c>
      <c r="C37" s="7" t="s">
        <v>158</v>
      </c>
      <c r="D37" s="7">
        <v>4</v>
      </c>
      <c r="E37" s="7">
        <v>1</v>
      </c>
      <c r="F37" s="7">
        <v>2</v>
      </c>
      <c r="G37" s="7">
        <v>1</v>
      </c>
      <c r="H37" s="7">
        <v>2</v>
      </c>
      <c r="I37" s="7" t="s">
        <v>170</v>
      </c>
      <c r="J37" s="9"/>
      <c r="K37" s="7" t="s">
        <v>2</v>
      </c>
      <c r="L37" s="6">
        <v>63</v>
      </c>
      <c r="M37" s="6"/>
      <c r="N37" s="6">
        <v>66</v>
      </c>
      <c r="O37" s="6"/>
      <c r="P37" s="6">
        <v>65</v>
      </c>
      <c r="Q37" s="6">
        <v>57</v>
      </c>
      <c r="R37" s="6">
        <v>62</v>
      </c>
      <c r="S37" s="6"/>
      <c r="T37" s="6"/>
      <c r="U37" s="6">
        <v>73</v>
      </c>
      <c r="V37" s="6"/>
      <c r="W37" s="6">
        <v>67</v>
      </c>
      <c r="X37" s="6"/>
      <c r="Y37" s="6">
        <v>66</v>
      </c>
      <c r="Z37" s="6"/>
      <c r="AA37" s="4">
        <f t="shared" si="8"/>
        <v>64.25</v>
      </c>
      <c r="AB37" s="4">
        <f t="shared" si="9"/>
        <v>66.541666666666671</v>
      </c>
      <c r="AC37" s="4">
        <f t="shared" si="10"/>
        <v>1.4177691788314644</v>
      </c>
      <c r="AD37" s="3"/>
      <c r="AE37" s="3"/>
      <c r="AF37" s="3"/>
      <c r="AG37" s="3"/>
      <c r="AH37" s="3"/>
    </row>
    <row r="38" spans="2:87" ht="24" customHeight="1" thickBot="1" x14ac:dyDescent="0.25">
      <c r="B38" s="15">
        <f t="shared" si="7"/>
        <v>207</v>
      </c>
      <c r="C38" s="15" t="s">
        <v>158</v>
      </c>
      <c r="D38" s="15">
        <v>4</v>
      </c>
      <c r="E38" s="15">
        <v>1</v>
      </c>
      <c r="F38" s="15">
        <v>2</v>
      </c>
      <c r="G38" s="15">
        <v>1</v>
      </c>
      <c r="H38" s="15">
        <v>2</v>
      </c>
      <c r="I38" s="15" t="s">
        <v>170</v>
      </c>
      <c r="J38" s="16"/>
      <c r="K38" s="15" t="s">
        <v>0</v>
      </c>
      <c r="L38" s="14">
        <v>49</v>
      </c>
      <c r="M38" s="13"/>
      <c r="N38" s="14">
        <v>57</v>
      </c>
      <c r="O38" s="13"/>
      <c r="P38" s="14">
        <v>48</v>
      </c>
      <c r="Q38" s="14">
        <v>50</v>
      </c>
      <c r="R38" s="14">
        <v>51</v>
      </c>
      <c r="S38" s="14"/>
      <c r="T38" s="13"/>
      <c r="U38" s="14">
        <v>60</v>
      </c>
      <c r="V38" s="13"/>
      <c r="W38" s="14">
        <v>46</v>
      </c>
      <c r="X38" s="13"/>
      <c r="Y38" s="14">
        <v>50</v>
      </c>
      <c r="Z38" s="13"/>
      <c r="AA38" s="4">
        <f t="shared" si="8"/>
        <v>52.25</v>
      </c>
      <c r="AB38" s="4">
        <f t="shared" si="9"/>
        <v>52.375</v>
      </c>
      <c r="AC38" s="4">
        <f t="shared" si="10"/>
        <v>2.1386814473720333</v>
      </c>
      <c r="AD38" s="3"/>
      <c r="AE38" s="3"/>
      <c r="AF38" s="3"/>
      <c r="AG38" s="3"/>
      <c r="AH38" s="3"/>
      <c r="AT38" s="12"/>
      <c r="AU38" s="12"/>
      <c r="AV38" s="11"/>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row>
    <row r="39" spans="2:87" ht="24" customHeight="1" x14ac:dyDescent="0.2">
      <c r="B39" s="7">
        <f t="shared" si="7"/>
        <v>208</v>
      </c>
      <c r="C39" s="7" t="s">
        <v>171</v>
      </c>
      <c r="D39" s="7">
        <v>2</v>
      </c>
      <c r="E39" s="7">
        <v>1</v>
      </c>
      <c r="F39" s="7">
        <v>1</v>
      </c>
      <c r="G39" s="7">
        <v>1</v>
      </c>
      <c r="H39" s="7">
        <v>2</v>
      </c>
      <c r="I39" s="7" t="s">
        <v>172</v>
      </c>
      <c r="J39" s="9"/>
      <c r="K39" s="7" t="s">
        <v>2</v>
      </c>
      <c r="L39" s="6">
        <v>55</v>
      </c>
      <c r="M39" s="5"/>
      <c r="N39" s="6">
        <v>59</v>
      </c>
      <c r="O39" s="5"/>
      <c r="P39" s="6">
        <v>46</v>
      </c>
      <c r="Q39" s="6">
        <v>49</v>
      </c>
      <c r="R39" s="6">
        <v>55</v>
      </c>
      <c r="S39" s="6"/>
      <c r="T39" s="5"/>
      <c r="U39" s="6">
        <v>53</v>
      </c>
      <c r="V39" s="5"/>
      <c r="W39" s="6">
        <v>49</v>
      </c>
      <c r="X39" s="5"/>
      <c r="Y39" s="6">
        <v>48</v>
      </c>
      <c r="Z39" s="5"/>
      <c r="AA39" s="4">
        <f t="shared" si="8"/>
        <v>50.75</v>
      </c>
      <c r="AB39" s="4">
        <f t="shared" si="9"/>
        <v>52.458333333333336</v>
      </c>
      <c r="AC39" s="4">
        <f t="shared" si="10"/>
        <v>1.6763261748372378</v>
      </c>
      <c r="AD39" s="3"/>
      <c r="AE39" s="3"/>
      <c r="AF39" s="3"/>
      <c r="AG39" s="3"/>
      <c r="AH39" s="3"/>
    </row>
    <row r="40" spans="2:87" ht="24" customHeight="1" thickBot="1" x14ac:dyDescent="0.25">
      <c r="B40" s="15">
        <f t="shared" si="7"/>
        <v>208</v>
      </c>
      <c r="C40" s="15" t="s">
        <v>171</v>
      </c>
      <c r="D40" s="15">
        <v>2</v>
      </c>
      <c r="E40" s="15">
        <v>1</v>
      </c>
      <c r="F40" s="15">
        <v>1</v>
      </c>
      <c r="G40" s="15">
        <v>1</v>
      </c>
      <c r="H40" s="15">
        <v>2</v>
      </c>
      <c r="I40" s="15" t="s">
        <v>172</v>
      </c>
      <c r="J40" s="16"/>
      <c r="K40" s="15" t="s">
        <v>0</v>
      </c>
      <c r="L40" s="14">
        <v>46</v>
      </c>
      <c r="M40" s="13"/>
      <c r="N40" s="14">
        <v>38</v>
      </c>
      <c r="O40" s="13"/>
      <c r="P40" s="14">
        <v>38</v>
      </c>
      <c r="Q40" s="14">
        <v>38</v>
      </c>
      <c r="R40" s="14">
        <v>41</v>
      </c>
      <c r="S40" s="14"/>
      <c r="T40" s="13"/>
      <c r="U40" s="14">
        <v>42</v>
      </c>
      <c r="V40" s="13"/>
      <c r="W40" s="14">
        <v>49</v>
      </c>
      <c r="X40" s="13"/>
      <c r="Y40" s="14">
        <v>39</v>
      </c>
      <c r="Z40" s="13"/>
      <c r="AA40" s="4">
        <f t="shared" si="8"/>
        <v>39.75</v>
      </c>
      <c r="AB40" s="4">
        <f t="shared" si="9"/>
        <v>42.291666666666664</v>
      </c>
      <c r="AC40" s="4">
        <f t="shared" si="10"/>
        <v>1.7753129614552785</v>
      </c>
      <c r="AD40" s="3"/>
      <c r="AE40" s="3"/>
      <c r="AF40" s="3"/>
      <c r="AG40" s="3"/>
      <c r="AH40" s="3"/>
      <c r="AT40" s="12"/>
      <c r="AU40" s="12"/>
      <c r="AV40" s="11"/>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row>
    <row r="41" spans="2:87" ht="24" customHeight="1" x14ac:dyDescent="0.2">
      <c r="B41" s="7">
        <f>B39+700</f>
        <v>908</v>
      </c>
      <c r="C41" s="7" t="s">
        <v>173</v>
      </c>
      <c r="D41" s="7">
        <v>21</v>
      </c>
      <c r="E41" s="7">
        <v>3</v>
      </c>
      <c r="F41" s="7">
        <v>2</v>
      </c>
      <c r="G41" s="7">
        <v>2</v>
      </c>
      <c r="H41" s="7">
        <v>2</v>
      </c>
      <c r="I41" s="7" t="s">
        <v>174</v>
      </c>
      <c r="J41" s="7"/>
      <c r="K41" s="7" t="s">
        <v>2</v>
      </c>
      <c r="L41" s="6">
        <v>62</v>
      </c>
      <c r="M41" s="5"/>
      <c r="N41" s="6">
        <v>58</v>
      </c>
      <c r="O41" s="5"/>
      <c r="P41" s="6">
        <v>58</v>
      </c>
      <c r="Q41" s="6">
        <v>52</v>
      </c>
      <c r="R41" s="6">
        <v>58</v>
      </c>
      <c r="S41" s="6">
        <v>55</v>
      </c>
      <c r="T41" s="5">
        <v>51</v>
      </c>
      <c r="U41" s="6">
        <v>55</v>
      </c>
      <c r="V41" s="5"/>
      <c r="W41" s="6">
        <v>47</v>
      </c>
      <c r="X41" s="5"/>
      <c r="Y41" s="6">
        <v>60</v>
      </c>
      <c r="Z41" s="5"/>
      <c r="AA41" s="4">
        <f t="shared" si="8"/>
        <v>54.833333333333336</v>
      </c>
      <c r="AB41" s="4">
        <f t="shared" si="9"/>
        <v>56.138888888888893</v>
      </c>
      <c r="AC41" s="4">
        <f t="shared" si="10"/>
        <v>2.1544169386817891</v>
      </c>
      <c r="AD41" s="3"/>
      <c r="AE41" s="3"/>
      <c r="AF41" s="3"/>
      <c r="AG41" s="3"/>
      <c r="AH41" s="3"/>
    </row>
    <row r="42" spans="2:87" ht="24" customHeight="1" thickBot="1" x14ac:dyDescent="0.25">
      <c r="B42" s="15">
        <f>B40+700</f>
        <v>908</v>
      </c>
      <c r="C42" s="15" t="s">
        <v>173</v>
      </c>
      <c r="D42" s="15">
        <v>21</v>
      </c>
      <c r="E42" s="15">
        <v>3</v>
      </c>
      <c r="F42" s="15">
        <v>2</v>
      </c>
      <c r="G42" s="15">
        <v>2</v>
      </c>
      <c r="H42" s="15">
        <v>2</v>
      </c>
      <c r="I42" s="15" t="s">
        <v>174</v>
      </c>
      <c r="J42" s="16"/>
      <c r="K42" s="15" t="s">
        <v>0</v>
      </c>
      <c r="L42" s="14">
        <v>43</v>
      </c>
      <c r="M42" s="13"/>
      <c r="N42" s="14">
        <v>44</v>
      </c>
      <c r="O42" s="13"/>
      <c r="P42" s="14">
        <v>45</v>
      </c>
      <c r="Q42" s="14">
        <v>43</v>
      </c>
      <c r="R42" s="14">
        <v>43</v>
      </c>
      <c r="S42" s="14">
        <v>53</v>
      </c>
      <c r="T42" s="13">
        <v>40</v>
      </c>
      <c r="U42" s="14">
        <v>46</v>
      </c>
      <c r="V42" s="13"/>
      <c r="W42" s="14">
        <v>36</v>
      </c>
      <c r="X42" s="13"/>
      <c r="Y42" s="14">
        <v>42</v>
      </c>
      <c r="Z42" s="13"/>
      <c r="AA42" s="4">
        <f t="shared" si="8"/>
        <v>45</v>
      </c>
      <c r="AB42" s="4">
        <f t="shared" si="9"/>
        <v>42.666666666666664</v>
      </c>
      <c r="AC42" s="4">
        <f t="shared" si="10"/>
        <v>1.4529663145135581</v>
      </c>
      <c r="AD42" s="3"/>
      <c r="AE42" s="3"/>
      <c r="AF42" s="3"/>
      <c r="AG42" s="3"/>
      <c r="AH42" s="3"/>
      <c r="AT42" s="12"/>
      <c r="AU42" s="12"/>
      <c r="AV42" s="11"/>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row>
    <row r="43" spans="2:87" ht="24" customHeight="1" x14ac:dyDescent="0.2">
      <c r="B43" s="7">
        <v>906</v>
      </c>
      <c r="C43" s="7" t="s">
        <v>175</v>
      </c>
      <c r="D43" s="7">
        <v>22</v>
      </c>
      <c r="E43" s="7">
        <v>4</v>
      </c>
      <c r="F43" s="7">
        <v>2</v>
      </c>
      <c r="G43" s="7">
        <v>2</v>
      </c>
      <c r="H43" s="7">
        <v>2</v>
      </c>
      <c r="I43" s="7" t="s">
        <v>176</v>
      </c>
      <c r="J43" s="9"/>
      <c r="K43" s="7" t="s">
        <v>2</v>
      </c>
      <c r="L43" s="6">
        <v>57</v>
      </c>
      <c r="M43" s="6"/>
      <c r="N43" s="6">
        <v>58</v>
      </c>
      <c r="O43" s="6"/>
      <c r="P43" s="6">
        <v>60</v>
      </c>
      <c r="Q43" s="6">
        <v>55</v>
      </c>
      <c r="R43" s="6">
        <v>52</v>
      </c>
      <c r="S43" s="6"/>
      <c r="T43" s="6"/>
      <c r="U43" s="6">
        <v>56</v>
      </c>
      <c r="V43" s="6"/>
      <c r="W43" s="6">
        <v>50</v>
      </c>
      <c r="X43" s="6"/>
      <c r="Y43" s="6">
        <v>62</v>
      </c>
      <c r="Z43" s="6"/>
      <c r="AA43" s="4">
        <f t="shared" si="8"/>
        <v>55.75</v>
      </c>
      <c r="AB43" s="4">
        <f t="shared" si="9"/>
        <v>56.458333333333336</v>
      </c>
      <c r="AC43" s="4">
        <f t="shared" si="10"/>
        <v>1.5895710462609438</v>
      </c>
      <c r="AD43" s="3"/>
      <c r="AE43" s="3"/>
      <c r="AF43" s="3"/>
      <c r="AG43" s="3"/>
      <c r="AH43" s="3"/>
    </row>
    <row r="44" spans="2:87" ht="24" customHeight="1" thickBot="1" x14ac:dyDescent="0.25">
      <c r="B44" s="15">
        <v>906</v>
      </c>
      <c r="C44" s="15" t="s">
        <v>175</v>
      </c>
      <c r="D44" s="15">
        <v>22</v>
      </c>
      <c r="E44" s="15">
        <v>4</v>
      </c>
      <c r="F44" s="15">
        <v>2</v>
      </c>
      <c r="G44" s="15">
        <v>2</v>
      </c>
      <c r="H44" s="15">
        <v>2</v>
      </c>
      <c r="I44" s="15" t="s">
        <v>176</v>
      </c>
      <c r="J44" s="16"/>
      <c r="K44" s="15" t="s">
        <v>0</v>
      </c>
      <c r="L44" s="14">
        <v>46</v>
      </c>
      <c r="M44" s="13"/>
      <c r="N44" s="14">
        <v>45</v>
      </c>
      <c r="O44" s="13"/>
      <c r="P44" s="14">
        <v>41</v>
      </c>
      <c r="Q44" s="14">
        <v>45</v>
      </c>
      <c r="R44" s="14">
        <v>47</v>
      </c>
      <c r="S44" s="14"/>
      <c r="T44" s="13"/>
      <c r="U44" s="14">
        <v>47</v>
      </c>
      <c r="V44" s="13"/>
      <c r="W44" s="14">
        <v>32</v>
      </c>
      <c r="X44" s="13"/>
      <c r="Y44" s="14">
        <v>45</v>
      </c>
      <c r="Z44" s="13"/>
      <c r="AA44" s="4">
        <f t="shared" si="8"/>
        <v>45</v>
      </c>
      <c r="AB44" s="4">
        <f t="shared" si="9"/>
        <v>43.333333333333336</v>
      </c>
      <c r="AC44" s="4">
        <f t="shared" si="10"/>
        <v>2.2900752049756941</v>
      </c>
      <c r="AD44" s="3"/>
      <c r="AE44" s="3"/>
      <c r="AF44" s="3"/>
      <c r="AG44" s="3"/>
      <c r="AH44" s="3"/>
      <c r="AT44" s="12"/>
      <c r="AU44" s="12"/>
      <c r="AV44" s="11"/>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row>
    <row r="45" spans="2:87" ht="24" customHeight="1" x14ac:dyDescent="0.2">
      <c r="B45" s="7">
        <v>904</v>
      </c>
      <c r="C45" s="7" t="s">
        <v>173</v>
      </c>
      <c r="D45" s="7">
        <v>21</v>
      </c>
      <c r="E45" s="7">
        <v>3</v>
      </c>
      <c r="F45" s="7">
        <v>2</v>
      </c>
      <c r="G45" s="7">
        <v>2</v>
      </c>
      <c r="H45" s="7">
        <v>1</v>
      </c>
      <c r="I45" s="7" t="s">
        <v>177</v>
      </c>
      <c r="J45" s="9"/>
      <c r="K45" s="7" t="s">
        <v>2</v>
      </c>
      <c r="L45" s="6">
        <v>55</v>
      </c>
      <c r="M45" s="6"/>
      <c r="N45" s="6">
        <v>62</v>
      </c>
      <c r="O45" s="6"/>
      <c r="P45" s="6">
        <v>49</v>
      </c>
      <c r="Q45" s="6">
        <v>53</v>
      </c>
      <c r="R45" s="6">
        <v>54</v>
      </c>
      <c r="S45" s="6">
        <v>58</v>
      </c>
      <c r="T45" s="6">
        <v>52</v>
      </c>
      <c r="U45" s="6">
        <v>53</v>
      </c>
      <c r="V45" s="6"/>
      <c r="W45" s="6">
        <v>59</v>
      </c>
      <c r="X45" s="6"/>
      <c r="Y45" s="6">
        <v>53</v>
      </c>
      <c r="Z45" s="6"/>
      <c r="AA45" s="4">
        <f t="shared" si="8"/>
        <v>53.166666666666664</v>
      </c>
      <c r="AB45" s="4">
        <f t="shared" si="9"/>
        <v>55.861111111111107</v>
      </c>
      <c r="AC45" s="4">
        <f t="shared" si="10"/>
        <v>1.5482467184640079</v>
      </c>
      <c r="AD45" s="3"/>
      <c r="AE45" s="3"/>
      <c r="AF45" s="3"/>
      <c r="AG45" s="3"/>
      <c r="AH45" s="3"/>
    </row>
    <row r="46" spans="2:87" ht="24" customHeight="1" thickBot="1" x14ac:dyDescent="0.25">
      <c r="B46" s="15">
        <v>904</v>
      </c>
      <c r="C46" s="15" t="s">
        <v>173</v>
      </c>
      <c r="D46" s="15">
        <v>21</v>
      </c>
      <c r="E46" s="15">
        <v>3</v>
      </c>
      <c r="F46" s="15">
        <v>2</v>
      </c>
      <c r="G46" s="15">
        <v>2</v>
      </c>
      <c r="H46" s="15">
        <v>1</v>
      </c>
      <c r="I46" s="15" t="s">
        <v>177</v>
      </c>
      <c r="J46" s="16"/>
      <c r="K46" s="15" t="s">
        <v>0</v>
      </c>
      <c r="L46" s="14">
        <v>41</v>
      </c>
      <c r="M46" s="13"/>
      <c r="N46" s="14">
        <v>52</v>
      </c>
      <c r="O46" s="13"/>
      <c r="P46" s="14">
        <v>42</v>
      </c>
      <c r="Q46" s="14">
        <v>41</v>
      </c>
      <c r="R46" s="14">
        <v>47</v>
      </c>
      <c r="S46" s="14">
        <v>41</v>
      </c>
      <c r="T46" s="13">
        <v>34</v>
      </c>
      <c r="U46" s="14">
        <v>41</v>
      </c>
      <c r="V46" s="13"/>
      <c r="W46" s="14">
        <v>52</v>
      </c>
      <c r="X46" s="13"/>
      <c r="Y46" s="14">
        <v>37</v>
      </c>
      <c r="Z46" s="13"/>
      <c r="AA46" s="4">
        <f t="shared" si="8"/>
        <v>41</v>
      </c>
      <c r="AB46" s="4">
        <f t="shared" si="9"/>
        <v>44</v>
      </c>
      <c r="AC46" s="4">
        <f t="shared" si="10"/>
        <v>2.6076809620810595</v>
      </c>
      <c r="AD46" s="3"/>
      <c r="AE46" s="3"/>
      <c r="AF46" s="3"/>
      <c r="AG46" s="3"/>
      <c r="AH46" s="3"/>
      <c r="AT46" s="12"/>
      <c r="AU46" s="12"/>
      <c r="AV46" s="11"/>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row>
    <row r="47" spans="2:87" ht="24" customHeight="1" x14ac:dyDescent="0.2">
      <c r="B47" s="7">
        <v>902</v>
      </c>
      <c r="C47" s="7" t="s">
        <v>175</v>
      </c>
      <c r="D47" s="7">
        <v>22</v>
      </c>
      <c r="E47" s="7">
        <v>4</v>
      </c>
      <c r="F47" s="7">
        <v>2</v>
      </c>
      <c r="G47" s="7">
        <v>2</v>
      </c>
      <c r="H47" s="7">
        <v>1</v>
      </c>
      <c r="I47" s="7" t="s">
        <v>178</v>
      </c>
      <c r="J47" s="9"/>
      <c r="K47" s="7" t="s">
        <v>2</v>
      </c>
      <c r="L47" s="6">
        <v>58</v>
      </c>
      <c r="M47" s="6"/>
      <c r="N47" s="6">
        <v>62</v>
      </c>
      <c r="O47" s="6"/>
      <c r="P47" s="6">
        <v>59</v>
      </c>
      <c r="Q47" s="6">
        <v>55</v>
      </c>
      <c r="R47" s="6">
        <v>49</v>
      </c>
      <c r="S47" s="6"/>
      <c r="T47" s="6"/>
      <c r="U47" s="6">
        <v>65</v>
      </c>
      <c r="V47" s="6"/>
      <c r="W47" s="6">
        <v>48</v>
      </c>
      <c r="X47" s="6"/>
      <c r="Y47" s="6">
        <v>60</v>
      </c>
      <c r="Z47" s="6"/>
      <c r="AA47" s="4">
        <f t="shared" si="8"/>
        <v>57</v>
      </c>
      <c r="AB47" s="4">
        <f t="shared" si="9"/>
        <v>58.333333333333336</v>
      </c>
      <c r="AC47" s="4">
        <f t="shared" si="10"/>
        <v>2.3758039574940617</v>
      </c>
      <c r="AD47" s="3"/>
      <c r="AE47" s="3"/>
      <c r="AF47" s="3"/>
      <c r="AG47" s="3"/>
      <c r="AH47" s="3"/>
    </row>
    <row r="48" spans="2:87" ht="24" customHeight="1" thickBot="1" x14ac:dyDescent="0.25">
      <c r="B48" s="15">
        <v>902</v>
      </c>
      <c r="C48" s="15" t="s">
        <v>175</v>
      </c>
      <c r="D48" s="15">
        <v>22</v>
      </c>
      <c r="E48" s="15">
        <v>4</v>
      </c>
      <c r="F48" s="15">
        <v>2</v>
      </c>
      <c r="G48" s="15">
        <v>2</v>
      </c>
      <c r="H48" s="15">
        <v>1</v>
      </c>
      <c r="I48" s="15" t="s">
        <v>178</v>
      </c>
      <c r="J48" s="16"/>
      <c r="K48" s="15" t="s">
        <v>0</v>
      </c>
      <c r="L48" s="14">
        <v>45</v>
      </c>
      <c r="M48" s="13"/>
      <c r="N48" s="14">
        <v>48</v>
      </c>
      <c r="O48" s="13"/>
      <c r="P48" s="14">
        <v>48</v>
      </c>
      <c r="Q48" s="14">
        <v>34</v>
      </c>
      <c r="R48" s="14">
        <v>39</v>
      </c>
      <c r="S48" s="14"/>
      <c r="T48" s="13"/>
      <c r="U48" s="14">
        <v>42</v>
      </c>
      <c r="V48" s="13"/>
      <c r="W48" s="14">
        <v>38</v>
      </c>
      <c r="X48" s="13"/>
      <c r="Y48" s="14">
        <v>43</v>
      </c>
      <c r="Z48" s="13"/>
      <c r="AA48" s="4">
        <f t="shared" si="8"/>
        <v>40.75</v>
      </c>
      <c r="AB48" s="4">
        <f t="shared" si="9"/>
        <v>42.791666666666664</v>
      </c>
      <c r="AC48" s="4">
        <f t="shared" si="10"/>
        <v>1.4118791654308729</v>
      </c>
      <c r="AD48" s="3"/>
      <c r="AE48" s="3"/>
      <c r="AF48" s="3"/>
      <c r="AG48" s="3"/>
      <c r="AH48" s="3"/>
      <c r="AT48" s="12"/>
      <c r="AU48" s="12"/>
      <c r="AV48" s="11"/>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row>
    <row r="49" spans="2:87" ht="24" customHeight="1" x14ac:dyDescent="0.2">
      <c r="B49" s="7">
        <f>B47-601</f>
        <v>301</v>
      </c>
      <c r="C49" s="7" t="s">
        <v>149</v>
      </c>
      <c r="D49" s="7">
        <v>10</v>
      </c>
      <c r="E49" s="7">
        <v>2</v>
      </c>
      <c r="F49" s="7">
        <v>2</v>
      </c>
      <c r="G49" s="7">
        <v>1</v>
      </c>
      <c r="H49" s="7">
        <v>3</v>
      </c>
      <c r="I49" s="7" t="s">
        <v>179</v>
      </c>
      <c r="J49" s="7"/>
      <c r="K49" s="7" t="s">
        <v>2</v>
      </c>
      <c r="L49" s="6">
        <v>52</v>
      </c>
      <c r="M49" s="6"/>
      <c r="N49" s="6">
        <v>59</v>
      </c>
      <c r="O49" s="6"/>
      <c r="P49" s="6">
        <v>68</v>
      </c>
      <c r="Q49" s="6">
        <v>72</v>
      </c>
      <c r="R49" s="6">
        <v>67</v>
      </c>
      <c r="S49" s="6">
        <v>49</v>
      </c>
      <c r="T49" s="6">
        <v>50</v>
      </c>
      <c r="U49" s="6">
        <v>61</v>
      </c>
      <c r="V49" s="6"/>
      <c r="W49" s="6">
        <v>59</v>
      </c>
      <c r="X49" s="6"/>
      <c r="Y49" s="6">
        <v>62</v>
      </c>
      <c r="Z49" s="6"/>
      <c r="AA49" s="4">
        <f t="shared" si="8"/>
        <v>61.166666666666664</v>
      </c>
      <c r="AB49" s="4">
        <f t="shared" si="9"/>
        <v>59.027777777777771</v>
      </c>
      <c r="AC49" s="4">
        <f t="shared" si="10"/>
        <v>1.4909707667021825</v>
      </c>
      <c r="AT49" s="12">
        <v>2</v>
      </c>
      <c r="AU49" s="12" t="s">
        <v>3</v>
      </c>
      <c r="AV49" s="12">
        <v>150</v>
      </c>
    </row>
    <row r="50" spans="2:87" ht="24" customHeight="1" thickBot="1" x14ac:dyDescent="0.25">
      <c r="B50" s="15">
        <f>B48-601</f>
        <v>301</v>
      </c>
      <c r="C50" s="15" t="s">
        <v>149</v>
      </c>
      <c r="D50" s="15">
        <v>10</v>
      </c>
      <c r="E50" s="15">
        <v>2</v>
      </c>
      <c r="F50" s="15">
        <v>2</v>
      </c>
      <c r="G50" s="15">
        <v>1</v>
      </c>
      <c r="H50" s="15">
        <v>3</v>
      </c>
      <c r="I50" s="15" t="s">
        <v>179</v>
      </c>
      <c r="J50" s="16"/>
      <c r="K50" s="15" t="s">
        <v>0</v>
      </c>
      <c r="L50" s="14">
        <v>46</v>
      </c>
      <c r="M50" s="13"/>
      <c r="N50" s="14">
        <v>53</v>
      </c>
      <c r="O50" s="13"/>
      <c r="P50" s="14">
        <v>54</v>
      </c>
      <c r="Q50" s="14">
        <v>46</v>
      </c>
      <c r="R50" s="14">
        <v>52</v>
      </c>
      <c r="S50" s="14">
        <v>53</v>
      </c>
      <c r="T50" s="13">
        <v>42</v>
      </c>
      <c r="U50" s="14">
        <v>50</v>
      </c>
      <c r="V50" s="13"/>
      <c r="W50" s="14">
        <v>38</v>
      </c>
      <c r="X50" s="13"/>
      <c r="Y50" s="14">
        <v>52</v>
      </c>
      <c r="Z50" s="13"/>
      <c r="AA50" s="4">
        <f t="shared" si="8"/>
        <v>49.5</v>
      </c>
      <c r="AB50" s="4">
        <f t="shared" si="9"/>
        <v>48.083333333333336</v>
      </c>
      <c r="AC50" s="4">
        <f t="shared" si="10"/>
        <v>2.2450562972401826</v>
      </c>
      <c r="AD50" s="3"/>
      <c r="AE50" s="3"/>
      <c r="AF50" s="3"/>
      <c r="AG50" s="3"/>
      <c r="AH50" s="3"/>
      <c r="AT50" s="12"/>
      <c r="AU50" s="12"/>
      <c r="AV50" s="11"/>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row>
    <row r="51" spans="2:87" ht="24" customHeight="1" x14ac:dyDescent="0.2">
      <c r="B51" s="7">
        <f t="shared" ref="B51:B64" si="11">B49+1</f>
        <v>302</v>
      </c>
      <c r="C51" s="7" t="s">
        <v>158</v>
      </c>
      <c r="D51" s="7">
        <v>4</v>
      </c>
      <c r="E51" s="7">
        <v>1</v>
      </c>
      <c r="F51" s="7">
        <v>2</v>
      </c>
      <c r="G51" s="7">
        <v>1</v>
      </c>
      <c r="H51" s="7">
        <v>3</v>
      </c>
      <c r="I51" s="7" t="s">
        <v>180</v>
      </c>
      <c r="J51" s="9"/>
      <c r="K51" s="7" t="s">
        <v>2</v>
      </c>
      <c r="L51" s="6">
        <v>68</v>
      </c>
      <c r="M51" s="6"/>
      <c r="N51" s="6">
        <v>47</v>
      </c>
      <c r="O51" s="6"/>
      <c r="P51" s="6">
        <v>65</v>
      </c>
      <c r="Q51" s="6">
        <v>55</v>
      </c>
      <c r="R51" s="6">
        <v>56</v>
      </c>
      <c r="S51" s="6"/>
      <c r="T51" s="6"/>
      <c r="U51" s="6">
        <v>58</v>
      </c>
      <c r="V51" s="6"/>
      <c r="W51" s="6">
        <v>59</v>
      </c>
      <c r="X51" s="6"/>
      <c r="Y51" s="6">
        <v>50</v>
      </c>
      <c r="Z51" s="6"/>
      <c r="AA51" s="4">
        <f t="shared" si="8"/>
        <v>58.5</v>
      </c>
      <c r="AB51" s="4">
        <f t="shared" si="9"/>
        <v>56.75</v>
      </c>
      <c r="AC51" s="4">
        <f t="shared" si="10"/>
        <v>3.0379543555930311</v>
      </c>
      <c r="AD51" s="3"/>
      <c r="AE51" s="3"/>
      <c r="AF51" s="3"/>
      <c r="AG51" s="3"/>
      <c r="AH51" s="3"/>
    </row>
    <row r="52" spans="2:87" ht="24" customHeight="1" thickBot="1" x14ac:dyDescent="0.25">
      <c r="B52" s="15">
        <f t="shared" si="11"/>
        <v>302</v>
      </c>
      <c r="C52" s="15" t="s">
        <v>158</v>
      </c>
      <c r="D52" s="15">
        <v>4</v>
      </c>
      <c r="E52" s="15">
        <v>1</v>
      </c>
      <c r="F52" s="15">
        <v>2</v>
      </c>
      <c r="G52" s="15">
        <v>1</v>
      </c>
      <c r="H52" s="15">
        <v>3</v>
      </c>
      <c r="I52" s="15" t="s">
        <v>180</v>
      </c>
      <c r="J52" s="16"/>
      <c r="K52" s="15" t="s">
        <v>0</v>
      </c>
      <c r="L52" s="14">
        <v>54</v>
      </c>
      <c r="M52" s="13"/>
      <c r="N52" s="14">
        <v>45</v>
      </c>
      <c r="O52" s="13"/>
      <c r="P52" s="14">
        <v>47</v>
      </c>
      <c r="Q52" s="14">
        <v>44</v>
      </c>
      <c r="R52" s="14">
        <v>58</v>
      </c>
      <c r="S52" s="14"/>
      <c r="T52" s="13"/>
      <c r="U52" s="14">
        <v>51</v>
      </c>
      <c r="V52" s="13"/>
      <c r="W52" s="14">
        <v>46</v>
      </c>
      <c r="X52" s="13"/>
      <c r="Y52" s="14">
        <v>43</v>
      </c>
      <c r="Z52" s="13"/>
      <c r="AA52" s="4">
        <f t="shared" si="8"/>
        <v>50</v>
      </c>
      <c r="AB52" s="4">
        <f t="shared" si="9"/>
        <v>48.166666666666664</v>
      </c>
      <c r="AC52" s="4">
        <f t="shared" si="10"/>
        <v>1.7013066873566463</v>
      </c>
      <c r="AD52" s="3"/>
      <c r="AE52" s="3"/>
      <c r="AF52" s="3"/>
      <c r="AG52" s="3"/>
      <c r="AH52" s="3"/>
      <c r="AT52" s="12"/>
      <c r="AU52" s="12"/>
      <c r="AV52" s="11"/>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row>
    <row r="53" spans="2:87" ht="24" customHeight="1" x14ac:dyDescent="0.2">
      <c r="B53" s="7">
        <f t="shared" si="11"/>
        <v>303</v>
      </c>
      <c r="C53" s="7" t="s">
        <v>168</v>
      </c>
      <c r="D53" s="7">
        <v>8</v>
      </c>
      <c r="E53" s="7">
        <v>2</v>
      </c>
      <c r="F53" s="7">
        <v>1</v>
      </c>
      <c r="G53" s="7">
        <v>1</v>
      </c>
      <c r="H53" s="7">
        <v>3</v>
      </c>
      <c r="I53" s="7" t="s">
        <v>181</v>
      </c>
      <c r="J53" s="9"/>
      <c r="K53" s="7" t="s">
        <v>2</v>
      </c>
      <c r="L53" s="6">
        <v>56</v>
      </c>
      <c r="M53" s="6"/>
      <c r="N53" s="6">
        <v>57</v>
      </c>
      <c r="O53" s="6"/>
      <c r="P53" s="6">
        <v>65</v>
      </c>
      <c r="Q53" s="6">
        <v>50</v>
      </c>
      <c r="R53" s="6">
        <v>53</v>
      </c>
      <c r="S53" s="6">
        <v>54</v>
      </c>
      <c r="T53" s="6">
        <v>63</v>
      </c>
      <c r="U53" s="6">
        <v>66</v>
      </c>
      <c r="V53" s="6"/>
      <c r="W53" s="6">
        <v>75</v>
      </c>
      <c r="X53" s="6"/>
      <c r="Y53" s="6">
        <v>53</v>
      </c>
      <c r="Z53" s="6"/>
      <c r="AA53" s="4">
        <f t="shared" si="8"/>
        <v>58.5</v>
      </c>
      <c r="AB53" s="4">
        <f t="shared" si="9"/>
        <v>60.916666666666664</v>
      </c>
      <c r="AC53" s="4">
        <f t="shared" si="10"/>
        <v>3.32770357921361</v>
      </c>
      <c r="AD53" s="3"/>
      <c r="AE53" s="3"/>
      <c r="AF53" s="3"/>
      <c r="AG53" s="3"/>
      <c r="AH53" s="3"/>
    </row>
    <row r="54" spans="2:87" ht="24" customHeight="1" thickBot="1" x14ac:dyDescent="0.25">
      <c r="B54" s="15">
        <f t="shared" si="11"/>
        <v>303</v>
      </c>
      <c r="C54" s="15" t="s">
        <v>168</v>
      </c>
      <c r="D54" s="15">
        <v>8</v>
      </c>
      <c r="E54" s="15">
        <v>2</v>
      </c>
      <c r="F54" s="15">
        <v>1</v>
      </c>
      <c r="G54" s="15">
        <v>1</v>
      </c>
      <c r="H54" s="15">
        <v>3</v>
      </c>
      <c r="I54" s="15" t="s">
        <v>181</v>
      </c>
      <c r="J54" s="16"/>
      <c r="K54" s="15" t="s">
        <v>0</v>
      </c>
      <c r="L54" s="14">
        <v>44</v>
      </c>
      <c r="M54" s="13"/>
      <c r="N54" s="14">
        <v>48</v>
      </c>
      <c r="O54" s="13"/>
      <c r="P54" s="14">
        <v>44</v>
      </c>
      <c r="Q54" s="14">
        <v>45</v>
      </c>
      <c r="R54" s="14">
        <v>46</v>
      </c>
      <c r="S54" s="14">
        <v>46</v>
      </c>
      <c r="T54" s="13">
        <v>51</v>
      </c>
      <c r="U54" s="14">
        <v>53</v>
      </c>
      <c r="V54" s="13"/>
      <c r="W54" s="14">
        <v>56</v>
      </c>
      <c r="X54" s="13"/>
      <c r="Y54" s="14">
        <v>49</v>
      </c>
      <c r="Z54" s="13"/>
      <c r="AA54" s="4">
        <f t="shared" si="8"/>
        <v>47.5</v>
      </c>
      <c r="AB54" s="4">
        <f t="shared" si="9"/>
        <v>49.583333333333336</v>
      </c>
      <c r="AC54" s="4">
        <f t="shared" si="10"/>
        <v>1.7436392338376014</v>
      </c>
      <c r="AD54" s="3"/>
      <c r="AE54" s="3"/>
      <c r="AF54" s="3"/>
      <c r="AG54" s="3"/>
      <c r="AH54" s="3"/>
      <c r="AT54" s="12"/>
      <c r="AU54" s="12"/>
      <c r="AV54" s="11"/>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row>
    <row r="55" spans="2:87" ht="24" customHeight="1" x14ac:dyDescent="0.2">
      <c r="B55" s="7">
        <f t="shared" si="11"/>
        <v>304</v>
      </c>
      <c r="C55" s="7" t="s">
        <v>171</v>
      </c>
      <c r="D55" s="7">
        <v>2</v>
      </c>
      <c r="E55" s="7">
        <v>1</v>
      </c>
      <c r="F55" s="7">
        <v>1</v>
      </c>
      <c r="G55" s="7">
        <v>1</v>
      </c>
      <c r="H55" s="7">
        <v>3</v>
      </c>
      <c r="I55" s="7" t="s">
        <v>182</v>
      </c>
      <c r="J55" s="9"/>
      <c r="K55" s="7" t="s">
        <v>2</v>
      </c>
      <c r="L55" s="6">
        <v>51</v>
      </c>
      <c r="M55" s="6"/>
      <c r="N55" s="6">
        <v>53</v>
      </c>
      <c r="O55" s="6"/>
      <c r="P55" s="6">
        <v>59</v>
      </c>
      <c r="Q55" s="6">
        <v>52</v>
      </c>
      <c r="R55" s="6">
        <v>56</v>
      </c>
      <c r="S55" s="6"/>
      <c r="T55" s="6"/>
      <c r="U55" s="6">
        <v>60</v>
      </c>
      <c r="V55" s="6"/>
      <c r="W55" s="6">
        <v>52</v>
      </c>
      <c r="X55" s="6"/>
      <c r="Y55" s="6">
        <v>43</v>
      </c>
      <c r="Z55" s="6"/>
      <c r="AA55" s="4">
        <f t="shared" si="8"/>
        <v>56.75</v>
      </c>
      <c r="AB55" s="4">
        <f t="shared" si="9"/>
        <v>52.625</v>
      </c>
      <c r="AC55" s="4">
        <f t="shared" si="10"/>
        <v>2.3609231951364564</v>
      </c>
      <c r="AD55" s="3"/>
      <c r="AE55" s="3"/>
      <c r="AF55" s="3"/>
      <c r="AG55" s="3"/>
      <c r="AH55" s="3"/>
    </row>
    <row r="56" spans="2:87" ht="24" customHeight="1" thickBot="1" x14ac:dyDescent="0.25">
      <c r="B56" s="15">
        <f t="shared" si="11"/>
        <v>304</v>
      </c>
      <c r="C56" s="15" t="s">
        <v>171</v>
      </c>
      <c r="D56" s="15">
        <v>2</v>
      </c>
      <c r="E56" s="15">
        <v>1</v>
      </c>
      <c r="F56" s="15">
        <v>1</v>
      </c>
      <c r="G56" s="15">
        <v>1</v>
      </c>
      <c r="H56" s="15">
        <v>3</v>
      </c>
      <c r="I56" s="15" t="s">
        <v>182</v>
      </c>
      <c r="J56" s="16"/>
      <c r="K56" s="15" t="s">
        <v>0</v>
      </c>
      <c r="L56" s="14">
        <v>45</v>
      </c>
      <c r="M56" s="13"/>
      <c r="N56" s="14">
        <v>48</v>
      </c>
      <c r="O56" s="13"/>
      <c r="P56" s="14">
        <v>45</v>
      </c>
      <c r="Q56" s="14">
        <v>40</v>
      </c>
      <c r="R56" s="14">
        <v>43</v>
      </c>
      <c r="S56" s="14"/>
      <c r="T56" s="13"/>
      <c r="U56" s="14">
        <v>51</v>
      </c>
      <c r="V56" s="13"/>
      <c r="W56" s="14">
        <v>50</v>
      </c>
      <c r="X56" s="13"/>
      <c r="Y56" s="14">
        <v>30</v>
      </c>
      <c r="Z56" s="13"/>
      <c r="AA56" s="4">
        <f t="shared" si="8"/>
        <v>44.75</v>
      </c>
      <c r="AB56" s="4">
        <f t="shared" si="9"/>
        <v>44.791666666666664</v>
      </c>
      <c r="AC56" s="4">
        <f t="shared" si="10"/>
        <v>3.134762528663237</v>
      </c>
      <c r="AD56" s="3"/>
      <c r="AE56" s="3"/>
      <c r="AF56" s="3"/>
      <c r="AG56" s="3"/>
      <c r="AH56" s="3"/>
      <c r="AT56" s="12"/>
      <c r="AU56" s="12"/>
      <c r="AV56" s="11"/>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row>
    <row r="57" spans="2:87" ht="24" customHeight="1" thickBot="1" x14ac:dyDescent="0.25">
      <c r="B57" s="7">
        <f t="shared" si="11"/>
        <v>305</v>
      </c>
      <c r="C57" s="7" t="s">
        <v>165</v>
      </c>
      <c r="D57" s="7">
        <v>11</v>
      </c>
      <c r="E57" s="7">
        <v>2</v>
      </c>
      <c r="F57" s="7">
        <v>3</v>
      </c>
      <c r="G57" s="7">
        <v>2</v>
      </c>
      <c r="H57" s="7">
        <v>4</v>
      </c>
      <c r="I57" s="7" t="s">
        <v>183</v>
      </c>
      <c r="J57" s="16"/>
      <c r="K57" s="7" t="s">
        <v>2</v>
      </c>
      <c r="L57" s="6">
        <v>77</v>
      </c>
      <c r="M57" s="6"/>
      <c r="N57" s="6">
        <v>75</v>
      </c>
      <c r="O57" s="6"/>
      <c r="P57" s="6"/>
      <c r="Q57" s="6">
        <v>72</v>
      </c>
      <c r="R57" s="6"/>
      <c r="S57" s="6"/>
      <c r="T57" s="6"/>
      <c r="U57" s="6">
        <v>76</v>
      </c>
      <c r="V57" s="6"/>
      <c r="W57" s="6">
        <v>77</v>
      </c>
      <c r="X57" s="6"/>
      <c r="Y57" s="6">
        <v>83</v>
      </c>
      <c r="Z57" s="6"/>
      <c r="AA57" s="4">
        <f>AVERAGE(P57:T57)</f>
        <v>72</v>
      </c>
      <c r="AB57" s="4">
        <f>AVERAGE(AVERAGE(L57:M57),AVERAGE(N57:O57),AVERAGE(P57:T57),AVERAGE(U57:V57),AVERAGE(W57:X57),AVERAGE(Y57:Z57))</f>
        <v>76.666666666666671</v>
      </c>
      <c r="AC57" s="4">
        <f>STDEV(AVERAGE(L57:M57),AVERAGE(N57:O57),AVERAGE(P57:T57),AVERAGE(U57:V57),AVERAGE(W57:X57),AVERAGE(Y57:Z57))/SQRT(6)</f>
        <v>1.4757295747452437</v>
      </c>
      <c r="AD57" s="3"/>
      <c r="AE57" s="3"/>
      <c r="AF57" s="3"/>
      <c r="AG57" s="3"/>
      <c r="AH57" s="3"/>
    </row>
    <row r="58" spans="2:87" ht="24" customHeight="1" thickBot="1" x14ac:dyDescent="0.25">
      <c r="B58" s="15">
        <f t="shared" si="11"/>
        <v>305</v>
      </c>
      <c r="C58" s="15" t="s">
        <v>165</v>
      </c>
      <c r="D58" s="15">
        <v>11</v>
      </c>
      <c r="E58" s="15">
        <v>2</v>
      </c>
      <c r="F58" s="15">
        <v>3</v>
      </c>
      <c r="G58" s="15">
        <v>2</v>
      </c>
      <c r="H58" s="15">
        <v>4</v>
      </c>
      <c r="I58" s="15" t="s">
        <v>183</v>
      </c>
      <c r="J58" s="16"/>
      <c r="K58" s="15" t="s">
        <v>0</v>
      </c>
      <c r="L58" s="14">
        <v>53</v>
      </c>
      <c r="M58" s="13"/>
      <c r="N58" s="14">
        <v>52</v>
      </c>
      <c r="O58" s="13"/>
      <c r="P58" s="14"/>
      <c r="Q58" s="14">
        <v>53</v>
      </c>
      <c r="R58" s="14"/>
      <c r="S58" s="14"/>
      <c r="T58" s="13"/>
      <c r="U58" s="14">
        <v>53</v>
      </c>
      <c r="V58" s="13"/>
      <c r="W58" s="14">
        <v>50</v>
      </c>
      <c r="X58" s="13"/>
      <c r="Y58" s="14">
        <v>48</v>
      </c>
      <c r="Z58" s="13"/>
      <c r="AA58" s="4">
        <f>AVERAGE(P58:T58)</f>
        <v>53</v>
      </c>
      <c r="AB58" s="4">
        <f>AVERAGE(AVERAGE(L58:M58),AVERAGE(N58:O58),AVERAGE(P58:T58),AVERAGE(U58:V58),AVERAGE(W58:X58),AVERAGE(Y58:Z58))</f>
        <v>51.5</v>
      </c>
      <c r="AC58" s="4">
        <f>STDEV(AVERAGE(L58:M58),AVERAGE(N58:O58),AVERAGE(P58:T58),AVERAGE(U58:V58),AVERAGE(W58:X58),AVERAGE(Y58:Z58))/SQRT(6)</f>
        <v>0.84656167328001963</v>
      </c>
      <c r="AD58" s="3"/>
      <c r="AE58" s="3"/>
      <c r="AF58" s="3"/>
      <c r="AG58" s="3"/>
      <c r="AH58" s="3"/>
      <c r="AT58" s="12"/>
      <c r="AU58" s="12"/>
      <c r="AV58" s="11"/>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row>
    <row r="59" spans="2:87" ht="24" customHeight="1" x14ac:dyDescent="0.2">
      <c r="B59" s="7">
        <f t="shared" si="11"/>
        <v>306</v>
      </c>
      <c r="C59" s="7" t="s">
        <v>158</v>
      </c>
      <c r="D59" s="7">
        <v>4</v>
      </c>
      <c r="E59" s="7">
        <v>1</v>
      </c>
      <c r="F59" s="7">
        <v>2</v>
      </c>
      <c r="G59" s="7">
        <v>1</v>
      </c>
      <c r="H59" s="7">
        <v>4</v>
      </c>
      <c r="I59" s="7" t="s">
        <v>184</v>
      </c>
      <c r="J59" s="9"/>
      <c r="K59" s="7" t="s">
        <v>2</v>
      </c>
      <c r="L59" s="6">
        <v>57</v>
      </c>
      <c r="M59" s="6"/>
      <c r="N59" s="6">
        <v>60</v>
      </c>
      <c r="O59" s="6"/>
      <c r="P59" s="6">
        <v>57</v>
      </c>
      <c r="Q59" s="6">
        <v>70</v>
      </c>
      <c r="R59" s="6">
        <v>67</v>
      </c>
      <c r="S59" s="6"/>
      <c r="T59" s="6"/>
      <c r="U59" s="6">
        <v>64</v>
      </c>
      <c r="V59" s="6"/>
      <c r="W59" s="6">
        <v>60</v>
      </c>
      <c r="X59" s="6"/>
      <c r="Y59" s="6">
        <v>59</v>
      </c>
      <c r="Z59" s="6"/>
      <c r="AA59" s="4">
        <f>AVERAGE(P59:U59)</f>
        <v>64.5</v>
      </c>
      <c r="AB59" s="4">
        <f>AVERAGE(AVERAGE(L59:M59),AVERAGE(N59:O59),AVERAGE(P59:U59),AVERAGE(U59:V59),AVERAGE(W59:X59),AVERAGE(Y59:Z59))</f>
        <v>60.75</v>
      </c>
      <c r="AC59" s="4">
        <f>STDEV(AVERAGE(L59:M59),AVERAGE(N59:O59),AVERAGE(P59:U59),AVERAGE(U59:V59),AVERAGE(W59:X59),AVERAGE(Y59:Z59))/SQRT(6)</f>
        <v>1.1954775893619534</v>
      </c>
      <c r="AD59" s="3"/>
      <c r="AE59" s="3"/>
      <c r="AF59" s="3"/>
      <c r="AG59" s="3"/>
      <c r="AH59" s="3"/>
    </row>
    <row r="60" spans="2:87" ht="24" customHeight="1" thickBot="1" x14ac:dyDescent="0.25">
      <c r="B60" s="15">
        <f t="shared" si="11"/>
        <v>306</v>
      </c>
      <c r="C60" s="15" t="s">
        <v>158</v>
      </c>
      <c r="D60" s="15">
        <v>4</v>
      </c>
      <c r="E60" s="15">
        <v>1</v>
      </c>
      <c r="F60" s="15">
        <v>2</v>
      </c>
      <c r="G60" s="15">
        <v>1</v>
      </c>
      <c r="H60" s="15">
        <v>4</v>
      </c>
      <c r="I60" s="15" t="s">
        <v>184</v>
      </c>
      <c r="J60" s="16"/>
      <c r="K60" s="15" t="s">
        <v>0</v>
      </c>
      <c r="L60" s="14">
        <v>51</v>
      </c>
      <c r="M60" s="13"/>
      <c r="N60" s="14">
        <v>45</v>
      </c>
      <c r="O60" s="13"/>
      <c r="P60" s="14">
        <v>43</v>
      </c>
      <c r="Q60" s="14">
        <v>40</v>
      </c>
      <c r="R60" s="14">
        <v>39</v>
      </c>
      <c r="S60" s="14"/>
      <c r="T60" s="13"/>
      <c r="U60" s="14">
        <v>50</v>
      </c>
      <c r="V60" s="13"/>
      <c r="W60" s="14">
        <v>52</v>
      </c>
      <c r="X60" s="13"/>
      <c r="Y60" s="14">
        <v>45</v>
      </c>
      <c r="Z60" s="13"/>
      <c r="AA60" s="4">
        <f>AVERAGE(P60:U60)</f>
        <v>43</v>
      </c>
      <c r="AB60" s="4">
        <f>AVERAGE(AVERAGE(L60:M60),AVERAGE(N60:O60),AVERAGE(P60:U60),AVERAGE(U60:V60),AVERAGE(W60:X60),AVERAGE(Y60:Z60))</f>
        <v>47.666666666666664</v>
      </c>
      <c r="AC60" s="4">
        <f>STDEV(AVERAGE(L60:M60),AVERAGE(N60:O60),AVERAGE(P60:U60),AVERAGE(U60:V60),AVERAGE(W60:X60),AVERAGE(Y60:Z60))/SQRT(6)</f>
        <v>1.5420044674960507</v>
      </c>
      <c r="AD60" s="3"/>
      <c r="AE60" s="3"/>
      <c r="AF60" s="3"/>
      <c r="AG60" s="3"/>
      <c r="AH60" s="3"/>
      <c r="AT60" s="12"/>
      <c r="AU60" s="12"/>
      <c r="AV60" s="11"/>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row>
    <row r="61" spans="2:87" ht="24" customHeight="1" x14ac:dyDescent="0.2">
      <c r="B61" s="7">
        <f t="shared" si="11"/>
        <v>307</v>
      </c>
      <c r="C61" s="7" t="s">
        <v>151</v>
      </c>
      <c r="D61" s="7">
        <v>9</v>
      </c>
      <c r="E61" s="7">
        <v>2</v>
      </c>
      <c r="F61" s="7">
        <v>2</v>
      </c>
      <c r="G61" s="7">
        <v>2</v>
      </c>
      <c r="H61" s="7">
        <v>4</v>
      </c>
      <c r="I61" s="7" t="s">
        <v>185</v>
      </c>
      <c r="J61" s="9"/>
      <c r="K61" s="7" t="s">
        <v>2</v>
      </c>
      <c r="L61" s="6">
        <v>64</v>
      </c>
      <c r="M61" s="5"/>
      <c r="N61" s="6">
        <v>52</v>
      </c>
      <c r="O61" s="5"/>
      <c r="P61" s="6"/>
      <c r="Q61" s="6">
        <v>58</v>
      </c>
      <c r="R61" s="6"/>
      <c r="S61" s="6"/>
      <c r="T61" s="5"/>
      <c r="U61" s="6">
        <v>62</v>
      </c>
      <c r="V61" s="5"/>
      <c r="W61" s="6">
        <v>58</v>
      </c>
      <c r="X61" s="5"/>
      <c r="Y61" s="6">
        <v>60</v>
      </c>
      <c r="Z61" s="5"/>
      <c r="AA61" s="4">
        <f>AVERAGE(P61:T61)</f>
        <v>58</v>
      </c>
      <c r="AB61" s="4">
        <f>AVERAGE(AVERAGE(L61:M61),AVERAGE(N61:O61),AVERAGE(P61:T61),AVERAGE(U61:V61),AVERAGE(W61:X61),AVERAGE(Y61:Z61))</f>
        <v>59</v>
      </c>
      <c r="AC61" s="4">
        <f>STDEV(AVERAGE(L61:M61),AVERAGE(N61:O61),AVERAGE(P61:T61),AVERAGE(U61:V61),AVERAGE(W61:X61),AVERAGE(Y61:Z61))/SQRT(6)</f>
        <v>1.6931233465600393</v>
      </c>
      <c r="AD61" s="3"/>
      <c r="AE61" s="3"/>
      <c r="AF61" s="3"/>
      <c r="AG61" s="3"/>
      <c r="AH61" s="3"/>
    </row>
    <row r="62" spans="2:87" ht="24" customHeight="1" thickBot="1" x14ac:dyDescent="0.25">
      <c r="B62" s="15">
        <f t="shared" si="11"/>
        <v>307</v>
      </c>
      <c r="C62" s="15" t="s">
        <v>151</v>
      </c>
      <c r="D62" s="15">
        <v>9</v>
      </c>
      <c r="E62" s="15">
        <v>2</v>
      </c>
      <c r="F62" s="15">
        <v>2</v>
      </c>
      <c r="G62" s="15">
        <v>2</v>
      </c>
      <c r="H62" s="15">
        <v>4</v>
      </c>
      <c r="I62" s="15" t="s">
        <v>185</v>
      </c>
      <c r="J62" s="16"/>
      <c r="K62" s="15" t="s">
        <v>0</v>
      </c>
      <c r="L62" s="14">
        <v>46</v>
      </c>
      <c r="M62" s="13"/>
      <c r="N62" s="14">
        <v>41</v>
      </c>
      <c r="O62" s="13"/>
      <c r="P62" s="14"/>
      <c r="Q62" s="14">
        <v>46</v>
      </c>
      <c r="R62" s="14"/>
      <c r="S62" s="14"/>
      <c r="T62" s="13"/>
      <c r="U62" s="14">
        <v>48</v>
      </c>
      <c r="V62" s="13"/>
      <c r="W62" s="14">
        <v>45</v>
      </c>
      <c r="X62" s="13"/>
      <c r="Y62" s="14">
        <v>48</v>
      </c>
      <c r="Z62" s="13"/>
      <c r="AA62" s="4">
        <f>AVERAGE(P62:T62)</f>
        <v>46</v>
      </c>
      <c r="AB62" s="4">
        <f>AVERAGE(AVERAGE(L62:M62),AVERAGE(N62:O62),AVERAGE(P62:T62),AVERAGE(U62:V62),AVERAGE(W62:X62),AVERAGE(Y62:Z62))</f>
        <v>45.666666666666664</v>
      </c>
      <c r="AC62" s="4">
        <f>STDEV(AVERAGE(L62:M62),AVERAGE(N62:O62),AVERAGE(P62:T62),AVERAGE(U62:V62),AVERAGE(W62:X62),AVERAGE(Y62:Z62))/SQRT(6)</f>
        <v>1.0540925533894601</v>
      </c>
      <c r="AD62" s="3"/>
      <c r="AE62" s="3"/>
      <c r="AF62" s="3"/>
      <c r="AG62" s="3"/>
      <c r="AH62" s="3"/>
      <c r="AT62" s="12"/>
      <c r="AU62" s="12"/>
      <c r="AV62" s="11"/>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row>
    <row r="63" spans="2:87" ht="24" customHeight="1" x14ac:dyDescent="0.2">
      <c r="B63" s="7">
        <f t="shared" si="11"/>
        <v>308</v>
      </c>
      <c r="C63" s="7" t="s">
        <v>156</v>
      </c>
      <c r="D63" s="7">
        <v>5</v>
      </c>
      <c r="E63" s="7">
        <v>1</v>
      </c>
      <c r="F63" s="7">
        <v>3</v>
      </c>
      <c r="G63" s="7">
        <v>2</v>
      </c>
      <c r="H63" s="7">
        <v>4</v>
      </c>
      <c r="I63" s="7" t="s">
        <v>186</v>
      </c>
      <c r="J63" s="9"/>
      <c r="K63" s="7" t="s">
        <v>2</v>
      </c>
      <c r="L63" s="6">
        <v>71</v>
      </c>
      <c r="M63" s="5"/>
      <c r="N63" s="6">
        <v>65</v>
      </c>
      <c r="O63" s="5"/>
      <c r="P63" s="6">
        <v>61</v>
      </c>
      <c r="Q63" s="6">
        <v>66</v>
      </c>
      <c r="R63" s="6">
        <v>54</v>
      </c>
      <c r="S63" s="6"/>
      <c r="T63" s="5"/>
      <c r="U63" s="6">
        <v>64</v>
      </c>
      <c r="V63" s="5"/>
      <c r="W63" s="6">
        <v>63</v>
      </c>
      <c r="X63" s="5"/>
      <c r="Y63" s="6">
        <v>70</v>
      </c>
      <c r="Z63" s="5"/>
      <c r="AA63" s="4">
        <f t="shared" ref="AA63:AA80" si="12">AVERAGE(P63:U63)</f>
        <v>61.25</v>
      </c>
      <c r="AB63" s="4">
        <f t="shared" ref="AB63:AB80" si="13">AVERAGE(AVERAGE(L63:M63),AVERAGE(N63:O63),AVERAGE(P63:U63),AVERAGE(U63:V63),AVERAGE(W63:X63),AVERAGE(Y63:Z63))</f>
        <v>65.708333333333329</v>
      </c>
      <c r="AC63" s="4">
        <f t="shared" ref="AC63:AC80" si="14">STDEV(AVERAGE(L63:M63),AVERAGE(N63:O63),AVERAGE(P63:U63),AVERAGE(U63:V63),AVERAGE(W63:X63),AVERAGE(Y63:Z63))/SQRT(6)</f>
        <v>1.6026237168399133</v>
      </c>
      <c r="AD63" s="3"/>
      <c r="AE63" s="3"/>
      <c r="AF63" s="3"/>
      <c r="AG63" s="3"/>
      <c r="AH63" s="3"/>
    </row>
    <row r="64" spans="2:87" ht="24" customHeight="1" x14ac:dyDescent="0.2">
      <c r="B64" s="7">
        <f t="shared" si="11"/>
        <v>308</v>
      </c>
      <c r="C64" s="7" t="s">
        <v>156</v>
      </c>
      <c r="D64" s="7">
        <v>5</v>
      </c>
      <c r="E64" s="7">
        <v>1</v>
      </c>
      <c r="F64" s="7">
        <v>3</v>
      </c>
      <c r="G64" s="7">
        <v>2</v>
      </c>
      <c r="H64" s="7">
        <v>4</v>
      </c>
      <c r="I64" s="7" t="s">
        <v>186</v>
      </c>
      <c r="J64" s="9"/>
      <c r="K64" s="7" t="s">
        <v>0</v>
      </c>
      <c r="L64" s="6">
        <v>35</v>
      </c>
      <c r="M64" s="6"/>
      <c r="N64" s="6">
        <v>42</v>
      </c>
      <c r="O64" s="6"/>
      <c r="P64" s="6">
        <v>30</v>
      </c>
      <c r="Q64" s="6">
        <v>32</v>
      </c>
      <c r="R64" s="6">
        <v>33</v>
      </c>
      <c r="S64" s="6"/>
      <c r="T64" s="6"/>
      <c r="U64" s="6">
        <v>36</v>
      </c>
      <c r="V64" s="6"/>
      <c r="W64" s="6">
        <v>52</v>
      </c>
      <c r="X64" s="6"/>
      <c r="Y64" s="6">
        <v>51</v>
      </c>
      <c r="Z64" s="6"/>
      <c r="AA64" s="4">
        <f t="shared" si="12"/>
        <v>32.75</v>
      </c>
      <c r="AB64" s="4">
        <f t="shared" si="13"/>
        <v>41.458333333333336</v>
      </c>
      <c r="AC64" s="4">
        <f t="shared" si="14"/>
        <v>3.414684384309107</v>
      </c>
      <c r="AD64" s="3"/>
      <c r="AE64" s="3"/>
      <c r="AF64" s="3"/>
      <c r="AG64" s="3"/>
      <c r="AH64" s="3"/>
    </row>
    <row r="65" spans="2:87" ht="24" customHeight="1" x14ac:dyDescent="0.2">
      <c r="B65" s="7">
        <f>B63+100</f>
        <v>408</v>
      </c>
      <c r="C65" s="7" t="s">
        <v>149</v>
      </c>
      <c r="D65" s="7">
        <v>10</v>
      </c>
      <c r="E65" s="7">
        <v>2</v>
      </c>
      <c r="F65" s="7">
        <v>2</v>
      </c>
      <c r="G65" s="7">
        <v>1</v>
      </c>
      <c r="H65" s="7">
        <v>4</v>
      </c>
      <c r="I65" s="7" t="s">
        <v>187</v>
      </c>
      <c r="J65" s="7"/>
      <c r="K65" s="7" t="s">
        <v>2</v>
      </c>
      <c r="L65" s="6">
        <v>55</v>
      </c>
      <c r="M65" s="6"/>
      <c r="N65" s="6">
        <v>60</v>
      </c>
      <c r="O65" s="6"/>
      <c r="P65" s="6">
        <v>56</v>
      </c>
      <c r="Q65" s="6">
        <v>67</v>
      </c>
      <c r="R65" s="6">
        <v>62</v>
      </c>
      <c r="S65" s="6">
        <v>53</v>
      </c>
      <c r="T65" s="6">
        <v>49</v>
      </c>
      <c r="U65" s="6">
        <v>56</v>
      </c>
      <c r="V65" s="6"/>
      <c r="W65" s="6">
        <v>59</v>
      </c>
      <c r="X65" s="6"/>
      <c r="Y65" s="6">
        <v>53</v>
      </c>
      <c r="Z65" s="6"/>
      <c r="AA65" s="4">
        <f t="shared" si="12"/>
        <v>57.166666666666664</v>
      </c>
      <c r="AB65" s="4">
        <f t="shared" si="13"/>
        <v>56.694444444444436</v>
      </c>
      <c r="AC65" s="4">
        <f t="shared" si="14"/>
        <v>1.0562132453974844</v>
      </c>
      <c r="AT65" s="12">
        <v>2</v>
      </c>
      <c r="AU65" s="12" t="s">
        <v>3</v>
      </c>
      <c r="AV65" s="12">
        <v>150</v>
      </c>
    </row>
    <row r="66" spans="2:87" ht="24" customHeight="1" thickBot="1" x14ac:dyDescent="0.25">
      <c r="B66" s="7">
        <f>B64+100</f>
        <v>408</v>
      </c>
      <c r="C66" s="15" t="s">
        <v>149</v>
      </c>
      <c r="D66" s="15">
        <v>10</v>
      </c>
      <c r="E66" s="15">
        <v>2</v>
      </c>
      <c r="F66" s="15">
        <v>2</v>
      </c>
      <c r="G66" s="15">
        <v>1</v>
      </c>
      <c r="H66" s="15">
        <v>4</v>
      </c>
      <c r="I66" s="15" t="s">
        <v>187</v>
      </c>
      <c r="J66" s="16"/>
      <c r="K66" s="15" t="s">
        <v>0</v>
      </c>
      <c r="L66" s="14">
        <v>45</v>
      </c>
      <c r="M66" s="13"/>
      <c r="N66" s="14">
        <v>51</v>
      </c>
      <c r="O66" s="13"/>
      <c r="P66" s="14">
        <v>42</v>
      </c>
      <c r="Q66" s="14">
        <v>46</v>
      </c>
      <c r="R66" s="14">
        <v>49</v>
      </c>
      <c r="S66" s="14">
        <v>52</v>
      </c>
      <c r="T66" s="13">
        <v>50</v>
      </c>
      <c r="U66" s="14">
        <v>48</v>
      </c>
      <c r="V66" s="13"/>
      <c r="W66" s="14">
        <v>61</v>
      </c>
      <c r="X66" s="13"/>
      <c r="Y66" s="14">
        <v>40</v>
      </c>
      <c r="Z66" s="13"/>
      <c r="AA66" s="4">
        <f t="shared" si="12"/>
        <v>47.833333333333336</v>
      </c>
      <c r="AB66" s="4">
        <f t="shared" si="13"/>
        <v>48.805555555555564</v>
      </c>
      <c r="AC66" s="4">
        <f t="shared" si="14"/>
        <v>2.8701582956302469</v>
      </c>
      <c r="AD66" s="3"/>
      <c r="AE66" s="3"/>
      <c r="AF66" s="3"/>
      <c r="AG66" s="3"/>
      <c r="AH66" s="3"/>
      <c r="AT66" s="12"/>
      <c r="AU66" s="12"/>
      <c r="AV66" s="11"/>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row>
    <row r="67" spans="2:87" ht="24" customHeight="1" x14ac:dyDescent="0.2">
      <c r="B67" s="7">
        <f t="shared" ref="B67:B80" si="15">B65-1</f>
        <v>407</v>
      </c>
      <c r="C67" s="7" t="s">
        <v>188</v>
      </c>
      <c r="D67" s="7">
        <v>7</v>
      </c>
      <c r="E67" s="7">
        <v>2</v>
      </c>
      <c r="F67" s="7">
        <v>1</v>
      </c>
      <c r="G67" s="7">
        <v>2</v>
      </c>
      <c r="H67" s="7">
        <v>4</v>
      </c>
      <c r="I67" s="7" t="s">
        <v>189</v>
      </c>
      <c r="J67" s="9"/>
      <c r="K67" s="7" t="s">
        <v>2</v>
      </c>
      <c r="L67" s="6">
        <v>49</v>
      </c>
      <c r="M67" s="6"/>
      <c r="N67" s="6">
        <v>59</v>
      </c>
      <c r="O67" s="6"/>
      <c r="P67" s="6">
        <v>50</v>
      </c>
      <c r="Q67" s="6">
        <v>57</v>
      </c>
      <c r="R67" s="6">
        <v>36</v>
      </c>
      <c r="S67" s="6">
        <v>57</v>
      </c>
      <c r="T67" s="6">
        <v>45</v>
      </c>
      <c r="U67" s="6">
        <v>54</v>
      </c>
      <c r="V67" s="6"/>
      <c r="W67" s="6">
        <v>48</v>
      </c>
      <c r="X67" s="6"/>
      <c r="Y67" s="6">
        <v>58</v>
      </c>
      <c r="Z67" s="6"/>
      <c r="AA67" s="4">
        <f t="shared" si="12"/>
        <v>49.833333333333336</v>
      </c>
      <c r="AB67" s="4">
        <f t="shared" si="13"/>
        <v>52.972222222222229</v>
      </c>
      <c r="AC67" s="4">
        <f t="shared" si="14"/>
        <v>1.9409889931694457</v>
      </c>
      <c r="AD67" s="3"/>
      <c r="AE67" s="3"/>
      <c r="AF67" s="3"/>
      <c r="AG67" s="3"/>
      <c r="AH67" s="3"/>
    </row>
    <row r="68" spans="2:87" ht="24" customHeight="1" thickBot="1" x14ac:dyDescent="0.25">
      <c r="B68" s="7">
        <f t="shared" si="15"/>
        <v>407</v>
      </c>
      <c r="C68" s="15" t="s">
        <v>188</v>
      </c>
      <c r="D68" s="15">
        <v>7</v>
      </c>
      <c r="E68" s="15">
        <v>2</v>
      </c>
      <c r="F68" s="15">
        <v>1</v>
      </c>
      <c r="G68" s="15">
        <v>2</v>
      </c>
      <c r="H68" s="15">
        <v>4</v>
      </c>
      <c r="I68" s="15" t="s">
        <v>189</v>
      </c>
      <c r="J68" s="16"/>
      <c r="K68" s="15" t="s">
        <v>0</v>
      </c>
      <c r="L68" s="14">
        <v>44</v>
      </c>
      <c r="M68" s="13"/>
      <c r="N68" s="14">
        <v>47</v>
      </c>
      <c r="O68" s="13"/>
      <c r="P68" s="14">
        <v>34</v>
      </c>
      <c r="Q68" s="14">
        <v>43</v>
      </c>
      <c r="R68" s="14">
        <v>28</v>
      </c>
      <c r="S68" s="14">
        <v>33</v>
      </c>
      <c r="T68" s="13">
        <v>38</v>
      </c>
      <c r="U68" s="14">
        <v>43</v>
      </c>
      <c r="V68" s="13"/>
      <c r="W68" s="14">
        <v>38</v>
      </c>
      <c r="X68" s="13"/>
      <c r="Y68" s="14">
        <v>46</v>
      </c>
      <c r="Z68" s="13"/>
      <c r="AA68" s="4">
        <f t="shared" si="12"/>
        <v>36.5</v>
      </c>
      <c r="AB68" s="4">
        <f t="shared" si="13"/>
        <v>42.416666666666664</v>
      </c>
      <c r="AC68" s="4">
        <f t="shared" si="14"/>
        <v>1.7436392338376014</v>
      </c>
      <c r="AD68" s="3"/>
      <c r="AE68" s="3"/>
      <c r="AF68" s="3"/>
      <c r="AG68" s="3"/>
      <c r="AH68" s="3"/>
      <c r="AT68" s="12"/>
      <c r="AU68" s="12"/>
      <c r="AV68" s="11"/>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row>
    <row r="69" spans="2:87" ht="24" customHeight="1" x14ac:dyDescent="0.2">
      <c r="B69" s="7">
        <f t="shared" si="15"/>
        <v>406</v>
      </c>
      <c r="C69" s="7" t="s">
        <v>147</v>
      </c>
      <c r="D69" s="7">
        <v>3</v>
      </c>
      <c r="E69" s="7">
        <v>1</v>
      </c>
      <c r="F69" s="7">
        <v>2</v>
      </c>
      <c r="G69" s="7">
        <v>2</v>
      </c>
      <c r="H69" s="7">
        <v>4</v>
      </c>
      <c r="I69" s="7" t="s">
        <v>190</v>
      </c>
      <c r="J69" s="9"/>
      <c r="K69" s="7" t="s">
        <v>2</v>
      </c>
      <c r="L69" s="6">
        <v>54</v>
      </c>
      <c r="M69" s="6"/>
      <c r="N69" s="6">
        <v>68</v>
      </c>
      <c r="O69" s="6"/>
      <c r="P69" s="6">
        <v>62</v>
      </c>
      <c r="Q69" s="6">
        <v>78</v>
      </c>
      <c r="R69" s="6">
        <v>60</v>
      </c>
      <c r="S69" s="6"/>
      <c r="T69" s="6"/>
      <c r="U69" s="6">
        <v>55</v>
      </c>
      <c r="V69" s="6"/>
      <c r="W69" s="6">
        <v>65</v>
      </c>
      <c r="X69" s="6"/>
      <c r="Y69" s="6">
        <v>52</v>
      </c>
      <c r="Z69" s="6"/>
      <c r="AA69" s="4">
        <f t="shared" si="12"/>
        <v>63.75</v>
      </c>
      <c r="AB69" s="4">
        <f t="shared" si="13"/>
        <v>59.625</v>
      </c>
      <c r="AC69" s="4">
        <f t="shared" si="14"/>
        <v>2.7520825447891881</v>
      </c>
      <c r="AD69" s="3"/>
      <c r="AE69" s="3"/>
      <c r="AF69" s="3"/>
      <c r="AG69" s="3"/>
      <c r="AH69" s="3"/>
    </row>
    <row r="70" spans="2:87" ht="24" customHeight="1" thickBot="1" x14ac:dyDescent="0.25">
      <c r="B70" s="7">
        <f t="shared" si="15"/>
        <v>406</v>
      </c>
      <c r="C70" s="15" t="s">
        <v>147</v>
      </c>
      <c r="D70" s="15">
        <v>3</v>
      </c>
      <c r="E70" s="15">
        <v>1</v>
      </c>
      <c r="F70" s="15">
        <v>2</v>
      </c>
      <c r="G70" s="15">
        <v>2</v>
      </c>
      <c r="H70" s="15">
        <v>4</v>
      </c>
      <c r="I70" s="15" t="s">
        <v>190</v>
      </c>
      <c r="J70" s="16"/>
      <c r="K70" s="15" t="s">
        <v>0</v>
      </c>
      <c r="L70" s="14">
        <v>46</v>
      </c>
      <c r="M70" s="13"/>
      <c r="N70" s="14">
        <v>57</v>
      </c>
      <c r="O70" s="13"/>
      <c r="P70" s="14">
        <v>47</v>
      </c>
      <c r="Q70" s="14">
        <v>62</v>
      </c>
      <c r="R70" s="14">
        <v>45</v>
      </c>
      <c r="S70" s="14"/>
      <c r="T70" s="13"/>
      <c r="U70" s="14">
        <v>39</v>
      </c>
      <c r="V70" s="13"/>
      <c r="W70" s="14">
        <v>44</v>
      </c>
      <c r="X70" s="13"/>
      <c r="Y70" s="14">
        <v>47</v>
      </c>
      <c r="Z70" s="13"/>
      <c r="AA70" s="4">
        <f t="shared" si="12"/>
        <v>48.25</v>
      </c>
      <c r="AB70" s="4">
        <f t="shared" si="13"/>
        <v>46.875</v>
      </c>
      <c r="AC70" s="4">
        <f t="shared" si="14"/>
        <v>2.4184619768219089</v>
      </c>
      <c r="AD70" s="3"/>
      <c r="AE70" s="3"/>
      <c r="AF70" s="3"/>
      <c r="AG70" s="3"/>
      <c r="AH70" s="3"/>
      <c r="AT70" s="12"/>
      <c r="AU70" s="12"/>
      <c r="AV70" s="11"/>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row>
    <row r="71" spans="2:87" ht="24" customHeight="1" x14ac:dyDescent="0.2">
      <c r="B71" s="7">
        <f t="shared" si="15"/>
        <v>405</v>
      </c>
      <c r="C71" s="7" t="s">
        <v>191</v>
      </c>
      <c r="D71" s="7">
        <v>6</v>
      </c>
      <c r="E71" s="7">
        <v>1</v>
      </c>
      <c r="F71" s="7">
        <v>3</v>
      </c>
      <c r="G71" s="7">
        <v>1</v>
      </c>
      <c r="H71" s="7">
        <v>4</v>
      </c>
      <c r="I71" s="7" t="s">
        <v>192</v>
      </c>
      <c r="J71" s="9"/>
      <c r="K71" s="7" t="s">
        <v>2</v>
      </c>
      <c r="L71" s="6">
        <v>74</v>
      </c>
      <c r="M71" s="6"/>
      <c r="N71" s="6">
        <v>77</v>
      </c>
      <c r="O71" s="6"/>
      <c r="P71" s="6">
        <v>73</v>
      </c>
      <c r="Q71" s="6">
        <v>69</v>
      </c>
      <c r="R71" s="6">
        <v>74</v>
      </c>
      <c r="S71" s="6"/>
      <c r="T71" s="6"/>
      <c r="U71" s="6">
        <v>72</v>
      </c>
      <c r="V71" s="6"/>
      <c r="W71" s="6">
        <v>72</v>
      </c>
      <c r="X71" s="6"/>
      <c r="Y71" s="6">
        <v>76</v>
      </c>
      <c r="Z71" s="6"/>
      <c r="AA71" s="4">
        <f t="shared" si="12"/>
        <v>72</v>
      </c>
      <c r="AB71" s="4">
        <f t="shared" si="13"/>
        <v>73.833333333333329</v>
      </c>
      <c r="AC71" s="4">
        <f t="shared" si="14"/>
        <v>0.90982293759707866</v>
      </c>
      <c r="AD71" s="3"/>
      <c r="AE71" s="3"/>
      <c r="AF71" s="3"/>
      <c r="AG71" s="3"/>
      <c r="AH71" s="3"/>
    </row>
    <row r="72" spans="2:87" ht="24" customHeight="1" thickBot="1" x14ac:dyDescent="0.25">
      <c r="B72" s="7">
        <f t="shared" si="15"/>
        <v>405</v>
      </c>
      <c r="C72" s="15" t="s">
        <v>191</v>
      </c>
      <c r="D72" s="15">
        <v>6</v>
      </c>
      <c r="E72" s="15">
        <v>1</v>
      </c>
      <c r="F72" s="15">
        <v>3</v>
      </c>
      <c r="G72" s="15">
        <v>1</v>
      </c>
      <c r="H72" s="15">
        <v>4</v>
      </c>
      <c r="I72" s="15" t="s">
        <v>192</v>
      </c>
      <c r="J72" s="16"/>
      <c r="K72" s="15" t="s">
        <v>0</v>
      </c>
      <c r="L72" s="14">
        <v>42</v>
      </c>
      <c r="M72" s="13"/>
      <c r="N72" s="14">
        <v>44</v>
      </c>
      <c r="O72" s="13"/>
      <c r="P72" s="14">
        <v>38</v>
      </c>
      <c r="Q72" s="14">
        <v>42</v>
      </c>
      <c r="R72" s="14">
        <v>39</v>
      </c>
      <c r="S72" s="14"/>
      <c r="T72" s="13"/>
      <c r="U72" s="14">
        <v>43</v>
      </c>
      <c r="V72" s="13"/>
      <c r="W72" s="14">
        <v>33</v>
      </c>
      <c r="X72" s="13"/>
      <c r="Y72" s="14">
        <v>38</v>
      </c>
      <c r="Z72" s="13"/>
      <c r="AA72" s="4">
        <f t="shared" si="12"/>
        <v>40.5</v>
      </c>
      <c r="AB72" s="4">
        <f t="shared" si="13"/>
        <v>40.083333333333336</v>
      </c>
      <c r="AC72" s="4">
        <f t="shared" si="14"/>
        <v>1.6553784394445212</v>
      </c>
      <c r="AD72" s="3"/>
      <c r="AE72" s="3"/>
      <c r="AF72" s="3"/>
      <c r="AG72" s="3"/>
      <c r="AH72" s="3"/>
      <c r="AT72" s="12"/>
      <c r="AU72" s="12"/>
      <c r="AV72" s="11"/>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row>
    <row r="73" spans="2:87" ht="24" customHeight="1" thickBot="1" x14ac:dyDescent="0.25">
      <c r="B73" s="7">
        <f t="shared" si="15"/>
        <v>404</v>
      </c>
      <c r="C73" s="7" t="s">
        <v>147</v>
      </c>
      <c r="D73" s="7">
        <v>3</v>
      </c>
      <c r="E73" s="7">
        <v>1</v>
      </c>
      <c r="F73" s="7">
        <v>2</v>
      </c>
      <c r="G73" s="7">
        <v>2</v>
      </c>
      <c r="H73" s="7">
        <v>3</v>
      </c>
      <c r="I73" s="7" t="s">
        <v>193</v>
      </c>
      <c r="J73" s="16"/>
      <c r="K73" s="7" t="s">
        <v>2</v>
      </c>
      <c r="L73" s="6">
        <v>55</v>
      </c>
      <c r="M73" s="6"/>
      <c r="N73" s="6">
        <v>59</v>
      </c>
      <c r="O73" s="6"/>
      <c r="P73" s="6">
        <v>60</v>
      </c>
      <c r="Q73" s="6">
        <v>51</v>
      </c>
      <c r="R73" s="6">
        <v>43</v>
      </c>
      <c r="S73" s="6"/>
      <c r="T73" s="6"/>
      <c r="U73" s="6">
        <v>65</v>
      </c>
      <c r="V73" s="6"/>
      <c r="W73" s="6">
        <v>55</v>
      </c>
      <c r="X73" s="6"/>
      <c r="Y73" s="6">
        <v>51</v>
      </c>
      <c r="Z73" s="6"/>
      <c r="AA73" s="4">
        <f t="shared" si="12"/>
        <v>54.75</v>
      </c>
      <c r="AB73" s="4">
        <f t="shared" si="13"/>
        <v>56.625</v>
      </c>
      <c r="AC73" s="4">
        <f t="shared" si="14"/>
        <v>1.9682373671214897</v>
      </c>
      <c r="AD73" s="3"/>
      <c r="AE73" s="3"/>
      <c r="AF73" s="3"/>
      <c r="AG73" s="3"/>
      <c r="AH73" s="3"/>
    </row>
    <row r="74" spans="2:87" ht="24" customHeight="1" thickBot="1" x14ac:dyDescent="0.25">
      <c r="B74" s="7">
        <f t="shared" si="15"/>
        <v>404</v>
      </c>
      <c r="C74" s="15" t="s">
        <v>147</v>
      </c>
      <c r="D74" s="15">
        <v>3</v>
      </c>
      <c r="E74" s="15">
        <v>1</v>
      </c>
      <c r="F74" s="15">
        <v>2</v>
      </c>
      <c r="G74" s="15">
        <v>2</v>
      </c>
      <c r="H74" s="15">
        <v>3</v>
      </c>
      <c r="I74" s="15" t="s">
        <v>193</v>
      </c>
      <c r="J74" s="16"/>
      <c r="K74" s="15" t="s">
        <v>0</v>
      </c>
      <c r="L74" s="14">
        <v>45</v>
      </c>
      <c r="M74" s="13"/>
      <c r="N74" s="14">
        <v>44</v>
      </c>
      <c r="O74" s="13"/>
      <c r="P74" s="14">
        <v>42</v>
      </c>
      <c r="Q74" s="14">
        <v>39</v>
      </c>
      <c r="R74" s="14">
        <v>38</v>
      </c>
      <c r="S74" s="14"/>
      <c r="T74" s="13"/>
      <c r="U74" s="14">
        <v>52</v>
      </c>
      <c r="V74" s="13"/>
      <c r="W74" s="14">
        <v>48</v>
      </c>
      <c r="X74" s="13"/>
      <c r="Y74" s="14">
        <v>40</v>
      </c>
      <c r="Z74" s="13"/>
      <c r="AA74" s="4">
        <f t="shared" si="12"/>
        <v>42.75</v>
      </c>
      <c r="AB74" s="4">
        <f t="shared" si="13"/>
        <v>45.291666666666664</v>
      </c>
      <c r="AC74" s="4">
        <f t="shared" si="14"/>
        <v>1.7180617308790482</v>
      </c>
      <c r="AD74" s="3"/>
      <c r="AE74" s="3"/>
      <c r="AF74" s="3"/>
      <c r="AG74" s="3"/>
      <c r="AH74" s="3"/>
      <c r="AT74" s="12"/>
      <c r="AU74" s="12"/>
      <c r="AV74" s="11"/>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row>
    <row r="75" spans="2:87" ht="24" customHeight="1" x14ac:dyDescent="0.2">
      <c r="B75" s="7">
        <f t="shared" si="15"/>
        <v>403</v>
      </c>
      <c r="C75" s="7" t="s">
        <v>191</v>
      </c>
      <c r="D75" s="7">
        <v>6</v>
      </c>
      <c r="E75" s="7">
        <v>1</v>
      </c>
      <c r="F75" s="7">
        <v>3</v>
      </c>
      <c r="G75" s="7">
        <v>1</v>
      </c>
      <c r="H75" s="7">
        <v>3</v>
      </c>
      <c r="I75" s="7" t="s">
        <v>194</v>
      </c>
      <c r="J75" s="9"/>
      <c r="K75" s="7" t="s">
        <v>2</v>
      </c>
      <c r="L75" s="6">
        <v>72</v>
      </c>
      <c r="M75" s="6"/>
      <c r="N75" s="6">
        <v>75</v>
      </c>
      <c r="O75" s="6"/>
      <c r="P75" s="6">
        <v>74</v>
      </c>
      <c r="Q75" s="6">
        <v>60</v>
      </c>
      <c r="R75" s="6">
        <v>66</v>
      </c>
      <c r="S75" s="6"/>
      <c r="T75" s="6"/>
      <c r="U75" s="6">
        <v>62</v>
      </c>
      <c r="V75" s="6"/>
      <c r="W75" s="6">
        <v>64</v>
      </c>
      <c r="X75" s="6"/>
      <c r="Y75" s="6">
        <v>71</v>
      </c>
      <c r="Z75" s="6"/>
      <c r="AA75" s="4">
        <f t="shared" si="12"/>
        <v>65.5</v>
      </c>
      <c r="AB75" s="4">
        <f t="shared" si="13"/>
        <v>68.25</v>
      </c>
      <c r="AC75" s="4">
        <f t="shared" si="14"/>
        <v>2.096624270901521</v>
      </c>
      <c r="AD75" s="3"/>
      <c r="AE75" s="3"/>
      <c r="AF75" s="3"/>
      <c r="AG75" s="3"/>
      <c r="AH75" s="3"/>
    </row>
    <row r="76" spans="2:87" ht="24" customHeight="1" thickBot="1" x14ac:dyDescent="0.25">
      <c r="B76" s="7">
        <f t="shared" si="15"/>
        <v>403</v>
      </c>
      <c r="C76" s="15" t="s">
        <v>191</v>
      </c>
      <c r="D76" s="15">
        <v>6</v>
      </c>
      <c r="E76" s="15">
        <v>1</v>
      </c>
      <c r="F76" s="15">
        <v>3</v>
      </c>
      <c r="G76" s="15">
        <v>1</v>
      </c>
      <c r="H76" s="15">
        <v>3</v>
      </c>
      <c r="I76" s="15" t="s">
        <v>194</v>
      </c>
      <c r="J76" s="16"/>
      <c r="K76" s="15" t="s">
        <v>0</v>
      </c>
      <c r="L76" s="14">
        <v>40</v>
      </c>
      <c r="M76" s="13"/>
      <c r="N76" s="14">
        <v>46</v>
      </c>
      <c r="O76" s="13"/>
      <c r="P76" s="14">
        <v>37</v>
      </c>
      <c r="Q76" s="14">
        <v>39</v>
      </c>
      <c r="R76" s="14">
        <v>33</v>
      </c>
      <c r="S76" s="14"/>
      <c r="T76" s="13"/>
      <c r="U76" s="14">
        <v>38</v>
      </c>
      <c r="V76" s="13"/>
      <c r="W76" s="14">
        <v>39</v>
      </c>
      <c r="X76" s="13"/>
      <c r="Y76" s="14">
        <v>36</v>
      </c>
      <c r="Z76" s="13"/>
      <c r="AA76" s="4">
        <f t="shared" si="12"/>
        <v>36.75</v>
      </c>
      <c r="AB76" s="4">
        <f t="shared" si="13"/>
        <v>39.291666666666664</v>
      </c>
      <c r="AC76" s="4">
        <f t="shared" si="14"/>
        <v>1.4668797193741248</v>
      </c>
      <c r="AD76" s="3"/>
      <c r="AE76" s="3"/>
      <c r="AF76" s="3"/>
      <c r="AG76" s="3"/>
      <c r="AH76" s="3"/>
      <c r="AT76" s="12"/>
      <c r="AU76" s="12"/>
      <c r="AV76" s="11"/>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row>
    <row r="77" spans="2:87" ht="24" customHeight="1" x14ac:dyDescent="0.2">
      <c r="B77" s="7">
        <f t="shared" si="15"/>
        <v>402</v>
      </c>
      <c r="C77" s="7" t="s">
        <v>151</v>
      </c>
      <c r="D77" s="7">
        <v>9</v>
      </c>
      <c r="E77" s="7">
        <v>2</v>
      </c>
      <c r="F77" s="7">
        <v>2</v>
      </c>
      <c r="G77" s="7">
        <v>2</v>
      </c>
      <c r="H77" s="7">
        <v>3</v>
      </c>
      <c r="I77" s="7" t="s">
        <v>195</v>
      </c>
      <c r="J77" s="9"/>
      <c r="K77" s="7" t="s">
        <v>2</v>
      </c>
      <c r="L77" s="6">
        <v>55</v>
      </c>
      <c r="M77" s="5"/>
      <c r="N77" s="6">
        <v>57</v>
      </c>
      <c r="O77" s="5"/>
      <c r="P77" s="6">
        <v>53</v>
      </c>
      <c r="Q77" s="6">
        <v>57</v>
      </c>
      <c r="R77" s="6">
        <v>58</v>
      </c>
      <c r="S77" s="6">
        <v>53</v>
      </c>
      <c r="T77" s="5">
        <v>57</v>
      </c>
      <c r="U77" s="6">
        <v>61</v>
      </c>
      <c r="V77" s="5"/>
      <c r="W77" s="6">
        <v>58</v>
      </c>
      <c r="X77" s="5"/>
      <c r="Y77" s="6">
        <v>52</v>
      </c>
      <c r="Z77" s="5"/>
      <c r="AA77" s="4">
        <f t="shared" si="12"/>
        <v>56.5</v>
      </c>
      <c r="AB77" s="4">
        <f t="shared" si="13"/>
        <v>56.583333333333336</v>
      </c>
      <c r="AC77" s="4">
        <f t="shared" si="14"/>
        <v>1.227576655221353</v>
      </c>
      <c r="AD77" s="3"/>
      <c r="AE77" s="3"/>
      <c r="AF77" s="3"/>
      <c r="AG77" s="3"/>
      <c r="AH77" s="3"/>
    </row>
    <row r="78" spans="2:87" ht="24" customHeight="1" thickBot="1" x14ac:dyDescent="0.25">
      <c r="B78" s="7">
        <f t="shared" si="15"/>
        <v>402</v>
      </c>
      <c r="C78" s="15" t="s">
        <v>151</v>
      </c>
      <c r="D78" s="15">
        <v>9</v>
      </c>
      <c r="E78" s="15">
        <v>2</v>
      </c>
      <c r="F78" s="15">
        <v>2</v>
      </c>
      <c r="G78" s="15">
        <v>2</v>
      </c>
      <c r="H78" s="15">
        <v>3</v>
      </c>
      <c r="I78" s="15" t="s">
        <v>195</v>
      </c>
      <c r="J78" s="16"/>
      <c r="K78" s="15" t="s">
        <v>0</v>
      </c>
      <c r="L78" s="14">
        <v>48</v>
      </c>
      <c r="M78" s="13"/>
      <c r="N78" s="14">
        <v>44</v>
      </c>
      <c r="O78" s="13"/>
      <c r="P78" s="14">
        <v>34</v>
      </c>
      <c r="Q78" s="14">
        <v>42</v>
      </c>
      <c r="R78" s="14">
        <v>50</v>
      </c>
      <c r="S78" s="14">
        <v>45</v>
      </c>
      <c r="T78" s="13">
        <v>46</v>
      </c>
      <c r="U78" s="14">
        <v>42</v>
      </c>
      <c r="V78" s="13"/>
      <c r="W78" s="14">
        <v>40</v>
      </c>
      <c r="X78" s="13"/>
      <c r="Y78" s="14">
        <v>36</v>
      </c>
      <c r="Z78" s="13"/>
      <c r="AA78" s="4">
        <f t="shared" si="12"/>
        <v>43.166666666666664</v>
      </c>
      <c r="AB78" s="4">
        <f t="shared" si="13"/>
        <v>42.194444444444443</v>
      </c>
      <c r="AC78" s="4">
        <f t="shared" si="14"/>
        <v>1.6445289017350764</v>
      </c>
      <c r="AD78" s="3"/>
      <c r="AE78" s="3"/>
      <c r="AF78" s="3"/>
      <c r="AG78" s="3"/>
      <c r="AH78" s="3"/>
      <c r="AT78" s="12"/>
      <c r="AU78" s="12"/>
      <c r="AV78" s="11"/>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row>
    <row r="79" spans="2:87" ht="24" customHeight="1" x14ac:dyDescent="0.2">
      <c r="B79" s="7">
        <f t="shared" si="15"/>
        <v>401</v>
      </c>
      <c r="C79" s="7" t="s">
        <v>188</v>
      </c>
      <c r="D79" s="7">
        <v>7</v>
      </c>
      <c r="E79" s="7">
        <v>2</v>
      </c>
      <c r="F79" s="7">
        <v>1</v>
      </c>
      <c r="G79" s="7">
        <v>2</v>
      </c>
      <c r="H79" s="7">
        <v>3</v>
      </c>
      <c r="I79" s="7" t="s">
        <v>196</v>
      </c>
      <c r="J79" s="9"/>
      <c r="K79" s="7" t="s">
        <v>2</v>
      </c>
      <c r="L79" s="6">
        <v>43</v>
      </c>
      <c r="M79" s="5"/>
      <c r="N79" s="6">
        <v>40</v>
      </c>
      <c r="O79" s="5"/>
      <c r="P79" s="6">
        <v>0</v>
      </c>
      <c r="Q79" s="6">
        <v>52</v>
      </c>
      <c r="R79" s="6">
        <v>47</v>
      </c>
      <c r="S79" s="6">
        <v>47</v>
      </c>
      <c r="T79" s="5">
        <v>49</v>
      </c>
      <c r="U79" s="6">
        <v>41</v>
      </c>
      <c r="V79" s="5"/>
      <c r="W79" s="6">
        <v>51</v>
      </c>
      <c r="X79" s="5"/>
      <c r="Y79" s="6">
        <v>49</v>
      </c>
      <c r="Z79" s="5"/>
      <c r="AA79" s="4">
        <f t="shared" si="12"/>
        <v>39.333333333333336</v>
      </c>
      <c r="AB79" s="4">
        <f t="shared" si="13"/>
        <v>43.888888888888893</v>
      </c>
      <c r="AC79" s="4">
        <f t="shared" si="14"/>
        <v>2.0141474929748053</v>
      </c>
      <c r="AD79" s="3"/>
      <c r="AE79" s="3"/>
      <c r="AF79" s="3"/>
      <c r="AG79" s="3"/>
      <c r="AH79" s="3"/>
    </row>
    <row r="80" spans="2:87" ht="24" customHeight="1" x14ac:dyDescent="0.2">
      <c r="B80" s="7">
        <f t="shared" si="15"/>
        <v>401</v>
      </c>
      <c r="C80" s="7" t="s">
        <v>188</v>
      </c>
      <c r="D80" s="7">
        <v>7</v>
      </c>
      <c r="E80" s="7">
        <v>2</v>
      </c>
      <c r="F80" s="7">
        <v>1</v>
      </c>
      <c r="G80" s="7">
        <v>2</v>
      </c>
      <c r="H80" s="7">
        <v>3</v>
      </c>
      <c r="I80" s="7" t="s">
        <v>196</v>
      </c>
      <c r="J80" s="7"/>
      <c r="K80" s="7" t="s">
        <v>0</v>
      </c>
      <c r="L80" s="6">
        <v>37</v>
      </c>
      <c r="M80" s="5"/>
      <c r="N80" s="6">
        <v>38</v>
      </c>
      <c r="O80" s="5"/>
      <c r="P80" s="6">
        <v>0</v>
      </c>
      <c r="Q80" s="6">
        <v>34</v>
      </c>
      <c r="R80" s="6">
        <v>40</v>
      </c>
      <c r="S80" s="6">
        <v>40</v>
      </c>
      <c r="T80" s="5">
        <v>44</v>
      </c>
      <c r="U80" s="6">
        <v>27</v>
      </c>
      <c r="V80" s="5"/>
      <c r="W80" s="6">
        <v>48</v>
      </c>
      <c r="X80" s="5"/>
      <c r="Y80" s="6">
        <v>43</v>
      </c>
      <c r="Z80" s="5"/>
      <c r="AA80" s="4">
        <f t="shared" si="12"/>
        <v>30.833333333333332</v>
      </c>
      <c r="AB80" s="4">
        <f t="shared" si="13"/>
        <v>37.30555555555555</v>
      </c>
      <c r="AC80" s="4">
        <f t="shared" si="14"/>
        <v>3.1382988629329898</v>
      </c>
      <c r="AD80" s="3"/>
      <c r="AE80" s="3"/>
      <c r="AF80" s="3"/>
      <c r="AG80" s="3"/>
      <c r="AH80" s="3"/>
    </row>
    <row r="81" spans="11:11" x14ac:dyDescent="0.2">
      <c r="K81" s="2"/>
    </row>
    <row r="82" spans="11:11" x14ac:dyDescent="0.2">
      <c r="K82" s="2"/>
    </row>
    <row r="83" spans="11:11" x14ac:dyDescent="0.2">
      <c r="K83" s="2"/>
    </row>
    <row r="84" spans="11:11" x14ac:dyDescent="0.2">
      <c r="K84" s="2"/>
    </row>
    <row r="85" spans="11:11" x14ac:dyDescent="0.2">
      <c r="K85" s="2"/>
    </row>
    <row r="86" spans="11:11" x14ac:dyDescent="0.2">
      <c r="K86" s="2"/>
    </row>
    <row r="87" spans="11:11" x14ac:dyDescent="0.2">
      <c r="K87" s="2"/>
    </row>
  </sheetData>
  <mergeCells count="12">
    <mergeCell ref="P6:T6"/>
    <mergeCell ref="U6:V6"/>
    <mergeCell ref="AT5:AV5"/>
    <mergeCell ref="J7:K7"/>
    <mergeCell ref="B7:H7"/>
    <mergeCell ref="AA6:AA7"/>
    <mergeCell ref="AB6:AB7"/>
    <mergeCell ref="AC6:AC7"/>
    <mergeCell ref="L6:M6"/>
    <mergeCell ref="N6:O6"/>
    <mergeCell ref="W6:X6"/>
    <mergeCell ref="Y6:Z6"/>
  </mergeCells>
  <pageMargins left="0.51" right="0" top="0.85" bottom="0" header="0.64" footer="0"/>
  <pageSetup paperSize="512" scale="30" orientation="landscape" r:id="rId1"/>
  <headerFooter alignWithMargins="0">
    <oddHeader xml:space="preserve">&amp;L&amp;"Comic Sans MS,Bold"&amp;14FISE2003 ---Cotton Plant Cover and Heights in North 1 m of Harvest Area&amp;C&amp;"Comic Sans MS,Bold"&amp;12       </oddHeader>
    <oddFooter>&amp;L&amp;F   USWCL Remote Sensing&amp;R&amp;D</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D6CDF-8AB4-4575-AC3F-BAC758BD6498}">
  <sheetPr>
    <pageSetUpPr fitToPage="1"/>
  </sheetPr>
  <dimension ref="A1:CI87"/>
  <sheetViews>
    <sheetView workbookViewId="0">
      <selection activeCell="N2" sqref="N2"/>
    </sheetView>
  </sheetViews>
  <sheetFormatPr defaultRowHeight="12.75" x14ac:dyDescent="0.2"/>
  <cols>
    <col min="1" max="1" width="9.140625" style="1"/>
    <col min="2" max="2" width="4.85546875" style="1" customWidth="1"/>
    <col min="3" max="3" width="5.7109375" style="1" customWidth="1"/>
    <col min="4" max="8" width="5.28515625" style="1" hidden="1" customWidth="1"/>
    <col min="9" max="9" width="7" style="1" hidden="1" customWidth="1"/>
    <col min="10" max="11" width="9" style="1" customWidth="1"/>
    <col min="12" max="13" width="9.140625" style="1"/>
    <col min="14" max="14" width="9.7109375" style="1" customWidth="1"/>
    <col min="15" max="25" width="9.140625" style="1"/>
    <col min="26" max="26" width="10.140625" style="1" customWidth="1"/>
    <col min="27" max="27" width="12.7109375" style="1" customWidth="1"/>
    <col min="28" max="35" width="9.140625" style="1"/>
    <col min="36" max="36" width="7.5703125" style="1" customWidth="1"/>
    <col min="37" max="46" width="7.7109375" style="1" customWidth="1"/>
    <col min="47" max="16384" width="9.140625" style="1"/>
  </cols>
  <sheetData>
    <row r="1" spans="1:87" ht="15" customHeight="1" x14ac:dyDescent="0.25">
      <c r="A1" s="44" t="s">
        <v>82</v>
      </c>
    </row>
    <row r="2" spans="1:87" ht="15" customHeight="1" thickBot="1" x14ac:dyDescent="0.3">
      <c r="A2" s="44"/>
      <c r="N2" s="43"/>
      <c r="X2" s="20" t="s">
        <v>81</v>
      </c>
      <c r="Y2" s="42">
        <v>37810</v>
      </c>
      <c r="Z2" s="39"/>
      <c r="AA2" s="1" t="s">
        <v>126</v>
      </c>
    </row>
    <row r="3" spans="1:87" ht="15" customHeight="1" thickBot="1" x14ac:dyDescent="0.25">
      <c r="B3" s="1" t="s">
        <v>80</v>
      </c>
      <c r="D3" s="41"/>
      <c r="E3" s="41"/>
      <c r="F3" s="41"/>
      <c r="G3" s="41"/>
      <c r="H3" s="41"/>
      <c r="I3" s="41"/>
      <c r="J3" s="41" t="s">
        <v>125</v>
      </c>
      <c r="K3" s="41"/>
      <c r="L3" s="41"/>
      <c r="M3" s="41"/>
      <c r="N3" s="41"/>
      <c r="O3" s="41"/>
      <c r="P3" s="41"/>
      <c r="Q3" s="41"/>
      <c r="R3" s="41"/>
      <c r="S3" s="41"/>
      <c r="T3" s="41"/>
      <c r="U3" s="41"/>
      <c r="V3" s="41"/>
    </row>
    <row r="4" spans="1:87" ht="13.5" thickBot="1" x14ac:dyDescent="0.25">
      <c r="D4" s="40"/>
      <c r="E4" s="40"/>
      <c r="F4" s="40"/>
      <c r="G4" s="40"/>
      <c r="H4" s="40"/>
      <c r="I4" s="40"/>
      <c r="J4" s="40" t="s">
        <v>124</v>
      </c>
      <c r="K4" s="40"/>
      <c r="L4" s="40"/>
      <c r="M4" s="40"/>
      <c r="N4" s="40"/>
      <c r="O4" s="40"/>
      <c r="P4" s="40"/>
      <c r="Q4" s="40"/>
      <c r="R4" s="40"/>
      <c r="S4" s="40"/>
      <c r="T4" s="40"/>
      <c r="U4" s="40"/>
      <c r="V4" s="40"/>
      <c r="X4" s="20" t="s">
        <v>78</v>
      </c>
      <c r="Y4" s="39" t="s">
        <v>123</v>
      </c>
      <c r="Z4" s="39"/>
    </row>
    <row r="5" spans="1:87" ht="18" x14ac:dyDescent="0.2">
      <c r="AS5" s="38"/>
      <c r="AT5" s="56" t="s">
        <v>76</v>
      </c>
      <c r="AU5" s="56"/>
      <c r="AV5" s="56"/>
    </row>
    <row r="6" spans="1:87" ht="25.5" customHeight="1" x14ac:dyDescent="0.2">
      <c r="B6" s="36" t="s">
        <v>51</v>
      </c>
      <c r="C6" s="37" t="s">
        <v>50</v>
      </c>
      <c r="D6" s="37" t="s">
        <v>75</v>
      </c>
      <c r="E6" s="36" t="s">
        <v>74</v>
      </c>
      <c r="F6" s="37" t="s">
        <v>73</v>
      </c>
      <c r="G6" s="36" t="s">
        <v>72</v>
      </c>
      <c r="H6" s="36" t="s">
        <v>45</v>
      </c>
      <c r="I6" s="36" t="s">
        <v>71</v>
      </c>
      <c r="J6" s="36" t="s">
        <v>43</v>
      </c>
      <c r="K6" s="35" t="s">
        <v>70</v>
      </c>
      <c r="L6" s="65" t="s">
        <v>69</v>
      </c>
      <c r="M6" s="66"/>
      <c r="N6" s="65" t="s">
        <v>68</v>
      </c>
      <c r="O6" s="66"/>
      <c r="P6" s="65" t="s">
        <v>67</v>
      </c>
      <c r="Q6" s="67"/>
      <c r="R6" s="67"/>
      <c r="S6" s="67"/>
      <c r="T6" s="66"/>
      <c r="U6" s="65" t="s">
        <v>66</v>
      </c>
      <c r="V6" s="66"/>
      <c r="W6" s="65" t="s">
        <v>65</v>
      </c>
      <c r="X6" s="66"/>
      <c r="Y6" s="65" t="s">
        <v>64</v>
      </c>
      <c r="Z6" s="66"/>
      <c r="AA6" s="61" t="s">
        <v>63</v>
      </c>
      <c r="AB6" s="61" t="s">
        <v>62</v>
      </c>
      <c r="AC6" s="63" t="s">
        <v>61</v>
      </c>
      <c r="AS6" s="34"/>
      <c r="AT6" s="2" t="s">
        <v>60</v>
      </c>
      <c r="AU6" s="2"/>
    </row>
    <row r="7" spans="1:87" ht="15.75" customHeight="1" x14ac:dyDescent="0.2">
      <c r="B7" s="59"/>
      <c r="C7" s="60"/>
      <c r="D7" s="60"/>
      <c r="E7" s="60"/>
      <c r="F7" s="60"/>
      <c r="G7" s="60"/>
      <c r="H7" s="60"/>
      <c r="I7" s="33"/>
      <c r="J7" s="57" t="s">
        <v>59</v>
      </c>
      <c r="K7" s="58"/>
      <c r="L7" s="32" t="s">
        <v>55</v>
      </c>
      <c r="M7" s="31" t="s">
        <v>54</v>
      </c>
      <c r="N7" s="32" t="s">
        <v>55</v>
      </c>
      <c r="O7" s="31" t="s">
        <v>54</v>
      </c>
      <c r="P7" s="32" t="s">
        <v>58</v>
      </c>
      <c r="Q7" s="31" t="s">
        <v>55</v>
      </c>
      <c r="R7" s="31" t="s">
        <v>57</v>
      </c>
      <c r="S7" s="31" t="s">
        <v>54</v>
      </c>
      <c r="T7" s="31" t="s">
        <v>56</v>
      </c>
      <c r="U7" s="32" t="s">
        <v>55</v>
      </c>
      <c r="V7" s="31" t="s">
        <v>54</v>
      </c>
      <c r="W7" s="32" t="s">
        <v>55</v>
      </c>
      <c r="X7" s="31" t="s">
        <v>54</v>
      </c>
      <c r="Y7" s="32" t="s">
        <v>55</v>
      </c>
      <c r="Z7" s="31" t="s">
        <v>54</v>
      </c>
      <c r="AA7" s="62"/>
      <c r="AB7" s="62"/>
      <c r="AC7" s="64"/>
      <c r="AT7" s="12" t="s">
        <v>7</v>
      </c>
      <c r="AU7" s="12" t="s">
        <v>53</v>
      </c>
      <c r="AV7" s="12" t="s">
        <v>52</v>
      </c>
    </row>
    <row r="8" spans="1:87" ht="15.75" hidden="1" customHeight="1" x14ac:dyDescent="0.2">
      <c r="B8" s="28" t="s">
        <v>51</v>
      </c>
      <c r="C8" s="30" t="s">
        <v>50</v>
      </c>
      <c r="D8" s="30" t="s">
        <v>49</v>
      </c>
      <c r="E8" s="28" t="s">
        <v>48</v>
      </c>
      <c r="F8" s="30" t="s">
        <v>47</v>
      </c>
      <c r="G8" s="28" t="s">
        <v>46</v>
      </c>
      <c r="H8" s="28" t="s">
        <v>45</v>
      </c>
      <c r="I8" s="28" t="s">
        <v>44</v>
      </c>
      <c r="J8" s="27" t="s">
        <v>43</v>
      </c>
      <c r="K8" s="27" t="s">
        <v>42</v>
      </c>
      <c r="L8" s="29" t="s">
        <v>41</v>
      </c>
      <c r="M8" s="29" t="s">
        <v>40</v>
      </c>
      <c r="N8" s="29" t="s">
        <v>39</v>
      </c>
      <c r="O8" s="29" t="s">
        <v>38</v>
      </c>
      <c r="P8" s="29" t="s">
        <v>37</v>
      </c>
      <c r="Q8" s="29" t="s">
        <v>36</v>
      </c>
      <c r="R8" s="29" t="s">
        <v>35</v>
      </c>
      <c r="S8" s="29" t="s">
        <v>34</v>
      </c>
      <c r="T8" s="29" t="s">
        <v>33</v>
      </c>
      <c r="U8" s="29" t="s">
        <v>32</v>
      </c>
      <c r="V8" s="29" t="s">
        <v>31</v>
      </c>
      <c r="W8" s="29" t="s">
        <v>30</v>
      </c>
      <c r="X8" s="29" t="s">
        <v>29</v>
      </c>
      <c r="Y8" s="29" t="s">
        <v>28</v>
      </c>
      <c r="Z8" s="29" t="s">
        <v>27</v>
      </c>
      <c r="AA8" s="28" t="s">
        <v>26</v>
      </c>
      <c r="AB8" s="28" t="s">
        <v>25</v>
      </c>
      <c r="AC8" s="27" t="s">
        <v>24</v>
      </c>
      <c r="AT8" s="12"/>
      <c r="AU8" s="12"/>
      <c r="AV8" s="12"/>
    </row>
    <row r="9" spans="1:87" ht="24" customHeight="1" x14ac:dyDescent="0.2">
      <c r="B9" s="7">
        <v>108</v>
      </c>
      <c r="C9" s="7" t="s">
        <v>147</v>
      </c>
      <c r="D9" s="7">
        <v>3</v>
      </c>
      <c r="E9" s="7">
        <v>1</v>
      </c>
      <c r="F9" s="7">
        <v>2</v>
      </c>
      <c r="G9" s="7">
        <v>2</v>
      </c>
      <c r="H9" s="7">
        <v>2</v>
      </c>
      <c r="I9" s="7" t="s">
        <v>148</v>
      </c>
      <c r="J9" s="8">
        <v>0.44791666666666669</v>
      </c>
      <c r="K9" s="7" t="s">
        <v>2</v>
      </c>
      <c r="L9" s="6">
        <v>85</v>
      </c>
      <c r="M9" s="5"/>
      <c r="N9" s="6">
        <v>87</v>
      </c>
      <c r="O9" s="5"/>
      <c r="P9" s="6">
        <v>79</v>
      </c>
      <c r="Q9" s="6">
        <v>77</v>
      </c>
      <c r="R9" s="6">
        <v>83</v>
      </c>
      <c r="S9" s="6">
        <v>74</v>
      </c>
      <c r="T9" s="45">
        <v>73</v>
      </c>
      <c r="U9" s="6">
        <v>86</v>
      </c>
      <c r="V9" s="5"/>
      <c r="W9" s="6">
        <v>91</v>
      </c>
      <c r="X9" s="5"/>
      <c r="Y9" s="6">
        <v>90</v>
      </c>
      <c r="Z9" s="5"/>
      <c r="AA9" s="4">
        <f t="shared" ref="AA9:AA40" si="0">AVERAGE(P9:U9)</f>
        <v>78.666666666666671</v>
      </c>
      <c r="AB9" s="4">
        <f t="shared" ref="AB9:AB40" si="1">AVERAGE(AVERAGE(L9:M9),AVERAGE(N9:O9),AVERAGE(P9:U9),AVERAGE(U9:V9),AVERAGE(W9:X9),AVERAGE(Y9:Z9))</f>
        <v>86.277777777777786</v>
      </c>
      <c r="AC9" s="4">
        <f t="shared" ref="AC9:AC40" si="2">STDEV(AVERAGE(L9:M9),AVERAGE(N9:O9),AVERAGE(P9:U9),AVERAGE(U9:V9),AVERAGE(W9:X9),AVERAGE(Y9:Z9))/SQRT(6)</f>
        <v>1.7917850951385026</v>
      </c>
      <c r="AD9" s="3"/>
      <c r="AE9" s="3"/>
      <c r="AF9" s="3"/>
      <c r="AG9" s="3"/>
      <c r="AH9" s="3"/>
      <c r="AT9" s="12">
        <v>1</v>
      </c>
      <c r="AU9" s="12" t="s">
        <v>23</v>
      </c>
      <c r="AV9" s="11"/>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row>
    <row r="10" spans="1:87" ht="24" customHeight="1" thickBot="1" x14ac:dyDescent="0.25">
      <c r="B10" s="15">
        <v>108</v>
      </c>
      <c r="C10" s="15" t="s">
        <v>147</v>
      </c>
      <c r="D10" s="15">
        <v>3</v>
      </c>
      <c r="E10" s="15">
        <v>1</v>
      </c>
      <c r="F10" s="15">
        <v>2</v>
      </c>
      <c r="G10" s="15">
        <v>2</v>
      </c>
      <c r="H10" s="15">
        <v>2</v>
      </c>
      <c r="I10" s="15" t="s">
        <v>148</v>
      </c>
      <c r="J10" s="16"/>
      <c r="K10" s="15" t="s">
        <v>0</v>
      </c>
      <c r="L10" s="14">
        <v>86</v>
      </c>
      <c r="M10" s="13"/>
      <c r="N10" s="14">
        <v>75</v>
      </c>
      <c r="O10" s="13"/>
      <c r="P10" s="14">
        <v>66</v>
      </c>
      <c r="Q10" s="14">
        <v>68</v>
      </c>
      <c r="R10" s="14">
        <v>81</v>
      </c>
      <c r="S10" s="14">
        <v>81</v>
      </c>
      <c r="T10" s="46">
        <v>70</v>
      </c>
      <c r="U10" s="14">
        <v>81</v>
      </c>
      <c r="V10" s="13"/>
      <c r="W10" s="14">
        <v>76</v>
      </c>
      <c r="X10" s="13"/>
      <c r="Y10" s="14">
        <v>85.5</v>
      </c>
      <c r="Z10" s="13"/>
      <c r="AA10" s="4">
        <f t="shared" si="0"/>
        <v>74.5</v>
      </c>
      <c r="AB10" s="4">
        <f t="shared" si="1"/>
        <v>79.666666666666671</v>
      </c>
      <c r="AC10" s="4">
        <f t="shared" si="2"/>
        <v>2.1434655221030372</v>
      </c>
      <c r="AD10" s="3"/>
      <c r="AE10" s="3"/>
      <c r="AF10" s="3"/>
      <c r="AG10" s="3"/>
      <c r="AH10" s="3"/>
      <c r="AT10" s="12">
        <v>2</v>
      </c>
      <c r="AU10" s="12" t="s">
        <v>22</v>
      </c>
      <c r="AV10" s="11"/>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row>
    <row r="11" spans="1:87" ht="24" customHeight="1" x14ac:dyDescent="0.2">
      <c r="B11" s="25">
        <f t="shared" ref="B11:B24" si="3">B9-1</f>
        <v>107</v>
      </c>
      <c r="C11" s="25" t="s">
        <v>149</v>
      </c>
      <c r="D11" s="25">
        <v>10</v>
      </c>
      <c r="E11" s="25">
        <v>2</v>
      </c>
      <c r="F11" s="25">
        <v>2</v>
      </c>
      <c r="G11" s="25">
        <v>1</v>
      </c>
      <c r="H11" s="25">
        <v>2</v>
      </c>
      <c r="I11" s="25" t="s">
        <v>150</v>
      </c>
      <c r="J11" s="26"/>
      <c r="K11" s="25" t="s">
        <v>2</v>
      </c>
      <c r="L11" s="24">
        <v>78</v>
      </c>
      <c r="M11" s="23"/>
      <c r="N11" s="24">
        <v>84</v>
      </c>
      <c r="O11" s="23"/>
      <c r="P11" s="24">
        <v>82</v>
      </c>
      <c r="Q11" s="24">
        <v>73</v>
      </c>
      <c r="R11" s="24">
        <v>76</v>
      </c>
      <c r="S11" s="24">
        <v>81</v>
      </c>
      <c r="T11" s="47">
        <v>83</v>
      </c>
      <c r="U11" s="24">
        <v>81</v>
      </c>
      <c r="V11" s="23"/>
      <c r="W11" s="24">
        <v>86</v>
      </c>
      <c r="X11" s="23"/>
      <c r="Y11" s="24">
        <v>80</v>
      </c>
      <c r="Z11" s="23"/>
      <c r="AA11" s="4">
        <f t="shared" si="0"/>
        <v>79.333333333333329</v>
      </c>
      <c r="AB11" s="4">
        <f t="shared" si="1"/>
        <v>81.388888888888886</v>
      </c>
      <c r="AC11" s="4">
        <f t="shared" si="2"/>
        <v>1.2365323876385177</v>
      </c>
      <c r="AD11" s="3"/>
      <c r="AE11" s="22"/>
      <c r="AF11" s="3"/>
      <c r="AG11" s="21"/>
      <c r="AH11" s="3"/>
      <c r="AT11" s="12">
        <v>3</v>
      </c>
      <c r="AU11" s="12" t="s">
        <v>21</v>
      </c>
      <c r="AV11" s="12" t="s">
        <v>19</v>
      </c>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row>
    <row r="12" spans="1:87" ht="24" customHeight="1" thickBot="1" x14ac:dyDescent="0.25">
      <c r="B12" s="15">
        <f t="shared" si="3"/>
        <v>107</v>
      </c>
      <c r="C12" s="15" t="s">
        <v>149</v>
      </c>
      <c r="D12" s="15">
        <v>10</v>
      </c>
      <c r="E12" s="15">
        <v>2</v>
      </c>
      <c r="F12" s="15">
        <v>2</v>
      </c>
      <c r="G12" s="15">
        <v>1</v>
      </c>
      <c r="H12" s="15">
        <v>2</v>
      </c>
      <c r="I12" s="15" t="s">
        <v>150</v>
      </c>
      <c r="J12" s="16"/>
      <c r="K12" s="15" t="s">
        <v>0</v>
      </c>
      <c r="L12" s="14">
        <v>76</v>
      </c>
      <c r="M12" s="13"/>
      <c r="N12" s="14">
        <v>92</v>
      </c>
      <c r="O12" s="13"/>
      <c r="P12" s="14">
        <v>72</v>
      </c>
      <c r="Q12" s="14">
        <v>74</v>
      </c>
      <c r="R12" s="14">
        <v>77</v>
      </c>
      <c r="S12" s="14">
        <v>75</v>
      </c>
      <c r="T12" s="46">
        <v>82</v>
      </c>
      <c r="U12" s="14">
        <v>80</v>
      </c>
      <c r="V12" s="13"/>
      <c r="W12" s="14">
        <v>82</v>
      </c>
      <c r="X12" s="13"/>
      <c r="Y12" s="14">
        <v>78</v>
      </c>
      <c r="Z12" s="13"/>
      <c r="AA12" s="4">
        <f t="shared" si="0"/>
        <v>76.666666666666671</v>
      </c>
      <c r="AB12" s="4">
        <f t="shared" si="1"/>
        <v>80.777777777777786</v>
      </c>
      <c r="AC12" s="4">
        <f t="shared" si="2"/>
        <v>2.4185497133715033</v>
      </c>
      <c r="AD12" s="3"/>
      <c r="AE12" s="3"/>
      <c r="AF12" s="3"/>
      <c r="AG12" s="3"/>
      <c r="AH12" s="3"/>
      <c r="AT12" s="12">
        <v>4</v>
      </c>
      <c r="AU12" s="12" t="s">
        <v>20</v>
      </c>
      <c r="AV12" s="11" t="s">
        <v>19</v>
      </c>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row>
    <row r="13" spans="1:87" ht="24" customHeight="1" x14ac:dyDescent="0.2">
      <c r="B13" s="7">
        <f t="shared" si="3"/>
        <v>106</v>
      </c>
      <c r="C13" s="7" t="s">
        <v>151</v>
      </c>
      <c r="D13" s="7">
        <v>9</v>
      </c>
      <c r="E13" s="7">
        <v>2</v>
      </c>
      <c r="F13" s="7">
        <v>2</v>
      </c>
      <c r="G13" s="7">
        <v>2</v>
      </c>
      <c r="H13" s="7">
        <v>2</v>
      </c>
      <c r="I13" s="7" t="s">
        <v>152</v>
      </c>
      <c r="J13" s="9"/>
      <c r="K13" s="7" t="s">
        <v>2</v>
      </c>
      <c r="L13" s="6">
        <v>85</v>
      </c>
      <c r="M13" s="5"/>
      <c r="N13" s="6">
        <v>72</v>
      </c>
      <c r="O13" s="5"/>
      <c r="P13" s="6">
        <v>85</v>
      </c>
      <c r="Q13" s="6">
        <v>88</v>
      </c>
      <c r="R13" s="6">
        <v>81</v>
      </c>
      <c r="S13" s="6">
        <v>89</v>
      </c>
      <c r="T13" s="45">
        <v>87</v>
      </c>
      <c r="U13" s="6">
        <v>81</v>
      </c>
      <c r="V13" s="5"/>
      <c r="W13" s="6">
        <v>93</v>
      </c>
      <c r="X13" s="5"/>
      <c r="Y13" s="6">
        <v>90</v>
      </c>
      <c r="Z13" s="5"/>
      <c r="AA13" s="4">
        <f t="shared" si="0"/>
        <v>85.166666666666671</v>
      </c>
      <c r="AB13" s="4">
        <f t="shared" si="1"/>
        <v>84.361111111111114</v>
      </c>
      <c r="AC13" s="4">
        <f t="shared" si="2"/>
        <v>3.0087577929753877</v>
      </c>
      <c r="AD13" s="3"/>
      <c r="AE13" s="3"/>
      <c r="AF13" s="3"/>
      <c r="AG13" s="3"/>
      <c r="AH13" s="3"/>
      <c r="AT13" s="12">
        <v>8</v>
      </c>
      <c r="AU13" s="12" t="s">
        <v>18</v>
      </c>
      <c r="AV13" s="12" t="s">
        <v>17</v>
      </c>
    </row>
    <row r="14" spans="1:87" ht="24" customHeight="1" thickBot="1" x14ac:dyDescent="0.25">
      <c r="B14" s="15">
        <f t="shared" si="3"/>
        <v>106</v>
      </c>
      <c r="C14" s="15" t="s">
        <v>151</v>
      </c>
      <c r="D14" s="15">
        <v>9</v>
      </c>
      <c r="E14" s="15">
        <v>2</v>
      </c>
      <c r="F14" s="15">
        <v>2</v>
      </c>
      <c r="G14" s="15">
        <v>2</v>
      </c>
      <c r="H14" s="15">
        <v>2</v>
      </c>
      <c r="I14" s="15" t="s">
        <v>152</v>
      </c>
      <c r="J14" s="16"/>
      <c r="K14" s="15" t="s">
        <v>0</v>
      </c>
      <c r="L14" s="14">
        <v>83</v>
      </c>
      <c r="M14" s="13"/>
      <c r="N14" s="14">
        <v>81</v>
      </c>
      <c r="O14" s="13"/>
      <c r="P14" s="14">
        <v>81</v>
      </c>
      <c r="Q14" s="14">
        <v>79</v>
      </c>
      <c r="R14" s="14">
        <v>73</v>
      </c>
      <c r="S14" s="14">
        <v>80</v>
      </c>
      <c r="T14" s="46">
        <v>78</v>
      </c>
      <c r="U14" s="14">
        <v>77</v>
      </c>
      <c r="V14" s="13"/>
      <c r="W14" s="14">
        <v>89</v>
      </c>
      <c r="X14" s="13"/>
      <c r="Y14" s="14">
        <v>79</v>
      </c>
      <c r="Z14" s="13"/>
      <c r="AA14" s="4">
        <f t="shared" si="0"/>
        <v>78</v>
      </c>
      <c r="AB14" s="4">
        <f t="shared" si="1"/>
        <v>81.166666666666671</v>
      </c>
      <c r="AC14" s="4">
        <f t="shared" si="2"/>
        <v>1.7966017304282489</v>
      </c>
      <c r="AD14" s="3"/>
      <c r="AE14" s="3"/>
      <c r="AF14" s="3"/>
      <c r="AG14" s="3"/>
      <c r="AH14" s="3"/>
      <c r="AT14" s="12">
        <v>9</v>
      </c>
      <c r="AU14" s="12" t="s">
        <v>16</v>
      </c>
      <c r="AV14" s="11" t="s">
        <v>15</v>
      </c>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row>
    <row r="15" spans="1:87" ht="24" customHeight="1" x14ac:dyDescent="0.2">
      <c r="B15" s="7">
        <f t="shared" si="3"/>
        <v>105</v>
      </c>
      <c r="C15" s="7" t="s">
        <v>153</v>
      </c>
      <c r="D15" s="7">
        <v>12</v>
      </c>
      <c r="E15" s="7">
        <v>2</v>
      </c>
      <c r="F15" s="7">
        <v>3</v>
      </c>
      <c r="G15" s="7">
        <v>1</v>
      </c>
      <c r="H15" s="7">
        <v>2</v>
      </c>
      <c r="I15" s="7" t="s">
        <v>154</v>
      </c>
      <c r="J15" s="9"/>
      <c r="K15" s="7" t="s">
        <v>2</v>
      </c>
      <c r="L15" s="6">
        <v>97</v>
      </c>
      <c r="M15" s="5"/>
      <c r="N15" s="6">
        <v>85</v>
      </c>
      <c r="O15" s="5"/>
      <c r="P15" s="45">
        <v>94</v>
      </c>
      <c r="Q15" s="45">
        <v>92</v>
      </c>
      <c r="R15" s="45">
        <v>88</v>
      </c>
      <c r="S15" s="45">
        <v>85</v>
      </c>
      <c r="T15" s="45">
        <v>92</v>
      </c>
      <c r="U15" s="45">
        <v>86</v>
      </c>
      <c r="V15" s="45"/>
      <c r="W15" s="45">
        <v>93</v>
      </c>
      <c r="X15" s="45"/>
      <c r="Y15" s="45">
        <v>83</v>
      </c>
      <c r="Z15" s="5"/>
      <c r="AA15" s="4">
        <f t="shared" si="0"/>
        <v>89.5</v>
      </c>
      <c r="AB15" s="4">
        <f t="shared" si="1"/>
        <v>88.916666666666671</v>
      </c>
      <c r="AC15" s="4">
        <f t="shared" si="2"/>
        <v>2.1695493643714228</v>
      </c>
      <c r="AD15" s="3"/>
      <c r="AE15" s="3"/>
      <c r="AF15" s="3"/>
      <c r="AG15" s="3"/>
      <c r="AH15" s="3"/>
    </row>
    <row r="16" spans="1:87" ht="24" customHeight="1" thickBot="1" x14ac:dyDescent="0.25">
      <c r="B16" s="15">
        <f t="shared" si="3"/>
        <v>105</v>
      </c>
      <c r="C16" s="15" t="s">
        <v>153</v>
      </c>
      <c r="D16" s="15">
        <v>12</v>
      </c>
      <c r="E16" s="15">
        <v>2</v>
      </c>
      <c r="F16" s="15">
        <v>3</v>
      </c>
      <c r="G16" s="15">
        <v>1</v>
      </c>
      <c r="H16" s="15">
        <v>2</v>
      </c>
      <c r="I16" s="15" t="s">
        <v>154</v>
      </c>
      <c r="J16" s="16"/>
      <c r="K16" s="15" t="s">
        <v>0</v>
      </c>
      <c r="L16" s="14">
        <v>73</v>
      </c>
      <c r="M16" s="13"/>
      <c r="N16" s="14">
        <v>77</v>
      </c>
      <c r="O16" s="13"/>
      <c r="P16" s="46">
        <v>72</v>
      </c>
      <c r="Q16" s="46">
        <v>69</v>
      </c>
      <c r="R16" s="46">
        <v>68</v>
      </c>
      <c r="S16" s="46">
        <v>65</v>
      </c>
      <c r="T16" s="46">
        <v>67</v>
      </c>
      <c r="U16" s="46">
        <v>72</v>
      </c>
      <c r="V16" s="46"/>
      <c r="W16" s="46">
        <v>67</v>
      </c>
      <c r="X16" s="46"/>
      <c r="Y16" s="46">
        <v>69</v>
      </c>
      <c r="Z16" s="13"/>
      <c r="AA16" s="4">
        <f t="shared" si="0"/>
        <v>68.833333333333329</v>
      </c>
      <c r="AB16" s="4">
        <f t="shared" si="1"/>
        <v>71.138888888888886</v>
      </c>
      <c r="AC16" s="4">
        <f t="shared" si="2"/>
        <v>1.4784981535745851</v>
      </c>
      <c r="AD16" s="3"/>
      <c r="AE16" s="3"/>
      <c r="AF16" s="3"/>
      <c r="AG16" s="3"/>
      <c r="AH16" s="3"/>
      <c r="AT16" s="12" t="s">
        <v>14</v>
      </c>
      <c r="AU16" s="12"/>
      <c r="AV16" s="11"/>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row>
    <row r="17" spans="2:87" ht="24" customHeight="1" x14ac:dyDescent="0.2">
      <c r="B17" s="7">
        <f t="shared" si="3"/>
        <v>104</v>
      </c>
      <c r="C17" s="7" t="s">
        <v>149</v>
      </c>
      <c r="D17" s="7">
        <v>10</v>
      </c>
      <c r="E17" s="7">
        <v>2</v>
      </c>
      <c r="F17" s="7">
        <v>2</v>
      </c>
      <c r="G17" s="7">
        <v>1</v>
      </c>
      <c r="H17" s="7">
        <v>1</v>
      </c>
      <c r="I17" s="7" t="s">
        <v>155</v>
      </c>
      <c r="J17" s="9"/>
      <c r="K17" s="7" t="s">
        <v>2</v>
      </c>
      <c r="L17" s="18">
        <v>81</v>
      </c>
      <c r="M17" s="5"/>
      <c r="N17" s="18">
        <v>92</v>
      </c>
      <c r="O17" s="5"/>
      <c r="P17" s="19">
        <v>88</v>
      </c>
      <c r="Q17" s="19">
        <v>82</v>
      </c>
      <c r="R17" s="19">
        <v>82</v>
      </c>
      <c r="S17" s="19">
        <v>83</v>
      </c>
      <c r="T17" s="45">
        <v>80</v>
      </c>
      <c r="U17" s="19">
        <v>79</v>
      </c>
      <c r="V17" s="45"/>
      <c r="W17" s="19">
        <v>81</v>
      </c>
      <c r="X17" s="45"/>
      <c r="Y17" s="19">
        <v>86</v>
      </c>
      <c r="Z17" s="45"/>
      <c r="AA17" s="4">
        <f t="shared" si="0"/>
        <v>82.333333333333329</v>
      </c>
      <c r="AB17" s="4">
        <f t="shared" si="1"/>
        <v>83.555555555555557</v>
      </c>
      <c r="AC17" s="4">
        <f t="shared" si="2"/>
        <v>1.9372884193514108</v>
      </c>
      <c r="AD17" s="3"/>
      <c r="AE17" s="3"/>
      <c r="AF17" s="3"/>
      <c r="AG17" s="3"/>
      <c r="AH17" s="3"/>
      <c r="AT17" s="12" t="s">
        <v>7</v>
      </c>
      <c r="AU17" s="12" t="s">
        <v>13</v>
      </c>
      <c r="AV17" s="12" t="s">
        <v>12</v>
      </c>
    </row>
    <row r="18" spans="2:87" ht="24" customHeight="1" thickBot="1" x14ac:dyDescent="0.25">
      <c r="B18" s="15">
        <f t="shared" si="3"/>
        <v>104</v>
      </c>
      <c r="C18" s="15" t="s">
        <v>149</v>
      </c>
      <c r="D18" s="15">
        <v>10</v>
      </c>
      <c r="E18" s="15">
        <v>2</v>
      </c>
      <c r="F18" s="15">
        <v>2</v>
      </c>
      <c r="G18" s="15">
        <v>1</v>
      </c>
      <c r="H18" s="15">
        <v>1</v>
      </c>
      <c r="I18" s="15" t="s">
        <v>155</v>
      </c>
      <c r="J18" s="16"/>
      <c r="K18" s="15" t="s">
        <v>0</v>
      </c>
      <c r="L18" s="14">
        <v>74</v>
      </c>
      <c r="M18" s="13"/>
      <c r="N18" s="14">
        <v>75</v>
      </c>
      <c r="O18" s="13"/>
      <c r="P18" s="46">
        <v>79</v>
      </c>
      <c r="Q18" s="46">
        <v>75</v>
      </c>
      <c r="R18" s="46">
        <v>91</v>
      </c>
      <c r="S18" s="46">
        <v>73</v>
      </c>
      <c r="T18" s="46">
        <v>74</v>
      </c>
      <c r="U18" s="46">
        <v>75</v>
      </c>
      <c r="V18" s="46"/>
      <c r="W18" s="46">
        <v>83</v>
      </c>
      <c r="X18" s="46"/>
      <c r="Y18" s="46">
        <v>80</v>
      </c>
      <c r="Z18" s="46"/>
      <c r="AA18" s="4">
        <f t="shared" si="0"/>
        <v>77.833333333333329</v>
      </c>
      <c r="AB18" s="4">
        <f t="shared" si="1"/>
        <v>77.472222222222214</v>
      </c>
      <c r="AC18" s="4">
        <f t="shared" si="2"/>
        <v>1.4301105025076615</v>
      </c>
      <c r="AD18" s="3"/>
      <c r="AE18" s="3"/>
      <c r="AF18" s="3"/>
      <c r="AG18" s="3"/>
      <c r="AH18" s="3"/>
      <c r="AT18" s="12">
        <v>0</v>
      </c>
      <c r="AU18" s="12">
        <v>0</v>
      </c>
      <c r="AV18" s="11" t="s">
        <v>11</v>
      </c>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row>
    <row r="19" spans="2:87" ht="24" customHeight="1" x14ac:dyDescent="0.2">
      <c r="B19" s="7">
        <f t="shared" si="3"/>
        <v>103</v>
      </c>
      <c r="C19" s="7" t="s">
        <v>156</v>
      </c>
      <c r="D19" s="7">
        <v>5</v>
      </c>
      <c r="E19" s="7">
        <v>1</v>
      </c>
      <c r="F19" s="7">
        <v>3</v>
      </c>
      <c r="G19" s="7">
        <v>2</v>
      </c>
      <c r="H19" s="7">
        <v>1</v>
      </c>
      <c r="I19" s="7" t="s">
        <v>157</v>
      </c>
      <c r="J19" s="9"/>
      <c r="K19" s="7" t="s">
        <v>2</v>
      </c>
      <c r="L19" s="18">
        <v>83</v>
      </c>
      <c r="M19" s="5"/>
      <c r="N19" s="18">
        <v>89</v>
      </c>
      <c r="O19" s="5"/>
      <c r="P19" s="19">
        <v>93</v>
      </c>
      <c r="Q19" s="19">
        <v>85</v>
      </c>
      <c r="R19" s="19">
        <v>84</v>
      </c>
      <c r="S19" s="19">
        <v>85</v>
      </c>
      <c r="T19" s="45">
        <v>86</v>
      </c>
      <c r="U19" s="19">
        <v>87</v>
      </c>
      <c r="V19" s="45"/>
      <c r="W19" s="19">
        <v>82</v>
      </c>
      <c r="X19" s="45"/>
      <c r="Y19" s="19">
        <v>90</v>
      </c>
      <c r="Z19" s="5"/>
      <c r="AA19" s="4">
        <f t="shared" si="0"/>
        <v>86.666666666666671</v>
      </c>
      <c r="AB19" s="4">
        <f t="shared" si="1"/>
        <v>86.277777777777786</v>
      </c>
      <c r="AC19" s="4">
        <f t="shared" si="2"/>
        <v>1.3036037419589523</v>
      </c>
      <c r="AD19" s="3"/>
      <c r="AE19" s="3"/>
      <c r="AF19" s="3"/>
      <c r="AG19" s="3"/>
      <c r="AH19" s="3"/>
      <c r="AT19" s="12">
        <v>1</v>
      </c>
      <c r="AU19" s="12">
        <v>5</v>
      </c>
      <c r="AV19" s="12" t="s">
        <v>10</v>
      </c>
    </row>
    <row r="20" spans="2:87" ht="24" customHeight="1" thickBot="1" x14ac:dyDescent="0.25">
      <c r="B20" s="15">
        <f t="shared" si="3"/>
        <v>103</v>
      </c>
      <c r="C20" s="15" t="s">
        <v>156</v>
      </c>
      <c r="D20" s="15">
        <v>5</v>
      </c>
      <c r="E20" s="15">
        <v>1</v>
      </c>
      <c r="F20" s="15">
        <v>3</v>
      </c>
      <c r="G20" s="15">
        <v>2</v>
      </c>
      <c r="H20" s="15">
        <v>1</v>
      </c>
      <c r="I20" s="15" t="s">
        <v>157</v>
      </c>
      <c r="J20" s="16"/>
      <c r="K20" s="15" t="s">
        <v>0</v>
      </c>
      <c r="L20" s="14">
        <v>71</v>
      </c>
      <c r="M20" s="13"/>
      <c r="N20" s="14">
        <v>67</v>
      </c>
      <c r="O20" s="13"/>
      <c r="P20" s="46">
        <v>58</v>
      </c>
      <c r="Q20" s="46">
        <v>60</v>
      </c>
      <c r="R20" s="46">
        <v>59</v>
      </c>
      <c r="S20" s="46">
        <v>63</v>
      </c>
      <c r="T20" s="14">
        <v>66</v>
      </c>
      <c r="U20" s="46">
        <v>62</v>
      </c>
      <c r="V20" s="46"/>
      <c r="W20" s="46">
        <v>57</v>
      </c>
      <c r="X20" s="46"/>
      <c r="Y20" s="46">
        <v>66</v>
      </c>
      <c r="Z20" s="13"/>
      <c r="AA20" s="4">
        <f t="shared" si="0"/>
        <v>61.333333333333336</v>
      </c>
      <c r="AB20" s="4">
        <f t="shared" si="1"/>
        <v>64.055555555555557</v>
      </c>
      <c r="AC20" s="4">
        <f t="shared" si="2"/>
        <v>2.0173629039961436</v>
      </c>
      <c r="AD20" s="3"/>
      <c r="AE20" s="3"/>
      <c r="AF20" s="3"/>
      <c r="AG20" s="3"/>
      <c r="AH20" s="3"/>
      <c r="AT20" s="12">
        <v>2</v>
      </c>
      <c r="AU20" s="12">
        <v>10</v>
      </c>
      <c r="AV20" s="11" t="s">
        <v>10</v>
      </c>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row>
    <row r="21" spans="2:87" ht="24" customHeight="1" x14ac:dyDescent="0.2">
      <c r="B21" s="7">
        <f t="shared" si="3"/>
        <v>102</v>
      </c>
      <c r="C21" s="7" t="s">
        <v>158</v>
      </c>
      <c r="D21" s="7">
        <v>4</v>
      </c>
      <c r="E21" s="7">
        <v>1</v>
      </c>
      <c r="F21" s="7">
        <v>2</v>
      </c>
      <c r="G21" s="7">
        <v>1</v>
      </c>
      <c r="H21" s="7">
        <v>1</v>
      </c>
      <c r="I21" s="7" t="s">
        <v>159</v>
      </c>
      <c r="J21" s="9"/>
      <c r="K21" s="7" t="s">
        <v>2</v>
      </c>
      <c r="L21" s="6">
        <v>75</v>
      </c>
      <c r="M21" s="5"/>
      <c r="N21" s="6">
        <v>91</v>
      </c>
      <c r="O21" s="5"/>
      <c r="P21" s="6">
        <v>58</v>
      </c>
      <c r="Q21" s="6">
        <v>69</v>
      </c>
      <c r="R21" s="6">
        <v>52</v>
      </c>
      <c r="S21" s="6">
        <v>71</v>
      </c>
      <c r="T21" s="6">
        <v>65</v>
      </c>
      <c r="U21" s="6">
        <v>71</v>
      </c>
      <c r="V21" s="5"/>
      <c r="W21" s="6">
        <v>70</v>
      </c>
      <c r="X21" s="5"/>
      <c r="Y21" s="6">
        <v>83</v>
      </c>
      <c r="Z21" s="5"/>
      <c r="AA21" s="4">
        <f t="shared" si="0"/>
        <v>64.333333333333329</v>
      </c>
      <c r="AB21" s="4">
        <f t="shared" si="1"/>
        <v>75.722222222222214</v>
      </c>
      <c r="AC21" s="4">
        <f t="shared" si="2"/>
        <v>3.9650479112202133</v>
      </c>
      <c r="AD21" s="3"/>
      <c r="AE21" s="3"/>
      <c r="AF21" s="3"/>
      <c r="AG21" s="3"/>
      <c r="AH21" s="3"/>
      <c r="AT21" s="12">
        <v>3</v>
      </c>
      <c r="AU21" s="12">
        <v>20</v>
      </c>
      <c r="AV21" s="12" t="s">
        <v>9</v>
      </c>
    </row>
    <row r="22" spans="2:87" ht="24" customHeight="1" thickBot="1" x14ac:dyDescent="0.25">
      <c r="B22" s="15">
        <f t="shared" si="3"/>
        <v>102</v>
      </c>
      <c r="C22" s="15" t="s">
        <v>158</v>
      </c>
      <c r="D22" s="15">
        <v>4</v>
      </c>
      <c r="E22" s="15">
        <v>1</v>
      </c>
      <c r="F22" s="15">
        <v>2</v>
      </c>
      <c r="G22" s="15">
        <v>1</v>
      </c>
      <c r="H22" s="15">
        <v>1</v>
      </c>
      <c r="I22" s="15" t="s">
        <v>159</v>
      </c>
      <c r="J22" s="16"/>
      <c r="K22" s="15" t="s">
        <v>0</v>
      </c>
      <c r="L22" s="14">
        <v>74</v>
      </c>
      <c r="M22" s="13"/>
      <c r="N22" s="14">
        <v>75</v>
      </c>
      <c r="O22" s="13"/>
      <c r="P22" s="14">
        <v>66</v>
      </c>
      <c r="Q22" s="14">
        <v>69</v>
      </c>
      <c r="R22" s="14">
        <v>49</v>
      </c>
      <c r="S22" s="14">
        <v>55</v>
      </c>
      <c r="T22" s="14">
        <v>58</v>
      </c>
      <c r="U22" s="14">
        <v>6</v>
      </c>
      <c r="V22" s="13"/>
      <c r="W22" s="14">
        <v>63</v>
      </c>
      <c r="X22" s="13"/>
      <c r="Y22" s="14">
        <v>72</v>
      </c>
      <c r="Z22" s="13"/>
      <c r="AA22" s="4">
        <f t="shared" si="0"/>
        <v>50.5</v>
      </c>
      <c r="AB22" s="4">
        <f t="shared" si="1"/>
        <v>56.75</v>
      </c>
      <c r="AC22" s="4">
        <f t="shared" si="2"/>
        <v>10.827241877166442</v>
      </c>
      <c r="AD22" s="3"/>
      <c r="AE22" s="3"/>
      <c r="AF22" s="3"/>
      <c r="AG22" s="3"/>
      <c r="AH22" s="3"/>
      <c r="AT22" s="12"/>
      <c r="AU22" s="12"/>
      <c r="AV22" s="11"/>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row>
    <row r="23" spans="2:87" ht="24" customHeight="1" x14ac:dyDescent="0.2">
      <c r="B23" s="7">
        <f t="shared" si="3"/>
        <v>101</v>
      </c>
      <c r="C23" s="7" t="s">
        <v>160</v>
      </c>
      <c r="D23" s="7">
        <v>1</v>
      </c>
      <c r="E23" s="7">
        <v>1</v>
      </c>
      <c r="F23" s="7">
        <v>1</v>
      </c>
      <c r="G23" s="7">
        <v>2</v>
      </c>
      <c r="H23" s="7">
        <v>1</v>
      </c>
      <c r="I23" s="7" t="s">
        <v>161</v>
      </c>
      <c r="J23" s="9"/>
      <c r="K23" s="7" t="s">
        <v>2</v>
      </c>
      <c r="L23" s="6">
        <v>72</v>
      </c>
      <c r="M23" s="5"/>
      <c r="N23" s="6">
        <v>79</v>
      </c>
      <c r="O23" s="5"/>
      <c r="P23" s="6">
        <v>62</v>
      </c>
      <c r="Q23" s="6">
        <v>71</v>
      </c>
      <c r="R23" s="6">
        <v>77</v>
      </c>
      <c r="S23" s="6">
        <v>75</v>
      </c>
      <c r="T23" s="6">
        <v>78</v>
      </c>
      <c r="U23" s="6">
        <v>75</v>
      </c>
      <c r="V23" s="5"/>
      <c r="W23" s="6">
        <v>73</v>
      </c>
      <c r="X23" s="5"/>
      <c r="Y23" s="6">
        <v>81</v>
      </c>
      <c r="Z23" s="5"/>
      <c r="AA23" s="4">
        <f t="shared" si="0"/>
        <v>73</v>
      </c>
      <c r="AB23" s="4">
        <f t="shared" si="1"/>
        <v>75.5</v>
      </c>
      <c r="AC23" s="4">
        <f t="shared" si="2"/>
        <v>1.5000000000000002</v>
      </c>
      <c r="AD23" s="3"/>
      <c r="AE23" s="3"/>
      <c r="AF23" s="3"/>
      <c r="AG23" s="3"/>
      <c r="AH23" s="3"/>
      <c r="AT23" s="2" t="s">
        <v>8</v>
      </c>
      <c r="AU23" s="2"/>
      <c r="AV23" s="2"/>
    </row>
    <row r="24" spans="2:87" ht="24" customHeight="1" thickBot="1" x14ac:dyDescent="0.25">
      <c r="B24" s="15">
        <f t="shared" si="3"/>
        <v>101</v>
      </c>
      <c r="C24" s="15" t="s">
        <v>160</v>
      </c>
      <c r="D24" s="15">
        <v>1</v>
      </c>
      <c r="E24" s="15">
        <v>1</v>
      </c>
      <c r="F24" s="15">
        <v>1</v>
      </c>
      <c r="G24" s="15">
        <v>2</v>
      </c>
      <c r="H24" s="15">
        <v>1</v>
      </c>
      <c r="I24" s="15" t="s">
        <v>161</v>
      </c>
      <c r="J24" s="16"/>
      <c r="K24" s="15" t="s">
        <v>0</v>
      </c>
      <c r="L24" s="14">
        <v>70</v>
      </c>
      <c r="M24" s="13"/>
      <c r="N24" s="14">
        <v>65</v>
      </c>
      <c r="O24" s="13"/>
      <c r="P24" s="14">
        <v>75</v>
      </c>
      <c r="Q24" s="14">
        <v>69</v>
      </c>
      <c r="R24" s="14">
        <v>63</v>
      </c>
      <c r="S24" s="14">
        <v>61</v>
      </c>
      <c r="T24" s="14">
        <v>71</v>
      </c>
      <c r="U24" s="14">
        <v>60</v>
      </c>
      <c r="V24" s="13"/>
      <c r="W24" s="14">
        <v>58</v>
      </c>
      <c r="X24" s="13"/>
      <c r="Y24" s="14">
        <v>71</v>
      </c>
      <c r="Z24" s="13"/>
      <c r="AA24" s="4">
        <f t="shared" si="0"/>
        <v>66.5</v>
      </c>
      <c r="AB24" s="4">
        <f t="shared" si="1"/>
        <v>65.083333333333329</v>
      </c>
      <c r="AC24" s="4">
        <f t="shared" si="2"/>
        <v>2.1386002691272417</v>
      </c>
      <c r="AD24" s="3"/>
      <c r="AE24" s="3"/>
      <c r="AF24" s="3"/>
      <c r="AG24" s="3"/>
      <c r="AH24" s="3"/>
      <c r="AT24" s="12" t="s">
        <v>7</v>
      </c>
      <c r="AU24" s="12" t="s">
        <v>6</v>
      </c>
      <c r="AV24" s="11" t="s">
        <v>5</v>
      </c>
      <c r="AW24" s="10"/>
      <c r="AX24" s="10"/>
      <c r="AY24" s="10"/>
      <c r="AZ24" s="10"/>
      <c r="BA24" s="10"/>
      <c r="BB24" s="10"/>
      <c r="BC24" s="10"/>
      <c r="BD24" s="10"/>
      <c r="BE24" s="10"/>
      <c r="BF24" s="10"/>
      <c r="BG24" s="10"/>
      <c r="BH24" s="10"/>
      <c r="BI24" s="10"/>
      <c r="BJ24" s="10"/>
      <c r="BK24" s="10"/>
      <c r="BL24" s="10"/>
      <c r="BM24" s="10"/>
      <c r="BN24" s="10"/>
      <c r="BO24" s="10"/>
      <c r="BP24" s="10"/>
      <c r="BQ24" s="10"/>
      <c r="BR24" s="10"/>
      <c r="BS24" s="10"/>
      <c r="BT24" s="10"/>
      <c r="BU24" s="10"/>
      <c r="BV24" s="10"/>
      <c r="BW24" s="10"/>
      <c r="BX24" s="10"/>
      <c r="BY24" s="10"/>
      <c r="BZ24" s="10"/>
      <c r="CA24" s="10"/>
      <c r="CB24" s="10"/>
      <c r="CC24" s="10"/>
      <c r="CD24" s="10"/>
      <c r="CE24" s="10"/>
      <c r="CF24" s="10"/>
      <c r="CG24" s="10"/>
      <c r="CH24" s="10"/>
      <c r="CI24" s="10"/>
    </row>
    <row r="25" spans="2:87" ht="24" customHeight="1" x14ac:dyDescent="0.2">
      <c r="B25" s="7">
        <f>B23+100</f>
        <v>201</v>
      </c>
      <c r="C25" s="7" t="s">
        <v>153</v>
      </c>
      <c r="D25" s="7">
        <v>12</v>
      </c>
      <c r="E25" s="7">
        <v>2</v>
      </c>
      <c r="F25" s="7">
        <v>3</v>
      </c>
      <c r="G25" s="7">
        <v>1</v>
      </c>
      <c r="H25" s="7">
        <v>1</v>
      </c>
      <c r="I25" s="7" t="s">
        <v>162</v>
      </c>
      <c r="J25" s="7"/>
      <c r="K25" s="7" t="s">
        <v>2</v>
      </c>
      <c r="L25" s="6">
        <v>86</v>
      </c>
      <c r="M25" s="6"/>
      <c r="N25" s="6">
        <v>86</v>
      </c>
      <c r="O25" s="6"/>
      <c r="P25" s="6">
        <v>95</v>
      </c>
      <c r="Q25" s="6">
        <v>85</v>
      </c>
      <c r="R25" s="6">
        <v>91</v>
      </c>
      <c r="S25" s="6">
        <v>90</v>
      </c>
      <c r="T25" s="6">
        <v>96</v>
      </c>
      <c r="U25" s="6">
        <v>89</v>
      </c>
      <c r="V25" s="6"/>
      <c r="W25" s="6">
        <v>85</v>
      </c>
      <c r="X25" s="6"/>
      <c r="Y25" s="6">
        <v>98</v>
      </c>
      <c r="Z25" s="6"/>
      <c r="AA25" s="4">
        <f t="shared" si="0"/>
        <v>91</v>
      </c>
      <c r="AB25" s="4">
        <f t="shared" si="1"/>
        <v>89.166666666666671</v>
      </c>
      <c r="AC25" s="4">
        <f t="shared" si="2"/>
        <v>1.9902540318037576</v>
      </c>
      <c r="AD25" s="3"/>
      <c r="AE25" s="3"/>
      <c r="AF25" s="3"/>
      <c r="AG25" s="3"/>
      <c r="AH25" s="3"/>
      <c r="AT25" s="12">
        <v>1</v>
      </c>
      <c r="AU25" s="12" t="s">
        <v>4</v>
      </c>
      <c r="AV25" s="12">
        <v>0</v>
      </c>
    </row>
    <row r="26" spans="2:87" ht="24" customHeight="1" thickBot="1" x14ac:dyDescent="0.25">
      <c r="B26" s="15">
        <f>B24+100</f>
        <v>201</v>
      </c>
      <c r="C26" s="15" t="s">
        <v>153</v>
      </c>
      <c r="D26" s="15">
        <v>12</v>
      </c>
      <c r="E26" s="15">
        <v>2</v>
      </c>
      <c r="F26" s="15">
        <v>3</v>
      </c>
      <c r="G26" s="15">
        <v>1</v>
      </c>
      <c r="H26" s="15">
        <v>1</v>
      </c>
      <c r="I26" s="15" t="s">
        <v>162</v>
      </c>
      <c r="J26" s="16"/>
      <c r="K26" s="15" t="s">
        <v>0</v>
      </c>
      <c r="L26" s="14">
        <v>72</v>
      </c>
      <c r="M26" s="13"/>
      <c r="N26" s="14">
        <v>72</v>
      </c>
      <c r="O26" s="13"/>
      <c r="P26" s="14">
        <v>68</v>
      </c>
      <c r="Q26" s="14">
        <v>67</v>
      </c>
      <c r="R26" s="14">
        <v>69</v>
      </c>
      <c r="S26" s="14">
        <v>78</v>
      </c>
      <c r="T26" s="14">
        <v>75</v>
      </c>
      <c r="U26" s="14">
        <v>75</v>
      </c>
      <c r="V26" s="13"/>
      <c r="W26" s="14">
        <v>73</v>
      </c>
      <c r="X26" s="13"/>
      <c r="Y26" s="14">
        <v>89</v>
      </c>
      <c r="Z26" s="13"/>
      <c r="AA26" s="4">
        <f t="shared" si="0"/>
        <v>72</v>
      </c>
      <c r="AB26" s="4">
        <f t="shared" si="1"/>
        <v>75.5</v>
      </c>
      <c r="AC26" s="4">
        <f t="shared" si="2"/>
        <v>2.7416540019970914</v>
      </c>
      <c r="AD26" s="3"/>
      <c r="AE26" s="3"/>
      <c r="AF26" s="3"/>
      <c r="AG26" s="3"/>
      <c r="AH26" s="3"/>
      <c r="AT26" s="12">
        <v>2</v>
      </c>
      <c r="AU26" s="12" t="s">
        <v>3</v>
      </c>
      <c r="AV26" s="11">
        <v>150</v>
      </c>
      <c r="AW26" s="10"/>
      <c r="AX26" s="10"/>
      <c r="AY26" s="10"/>
      <c r="AZ26" s="10"/>
      <c r="BA26" s="10"/>
      <c r="BB26" s="10"/>
      <c r="BC26" s="10"/>
      <c r="BD26" s="10"/>
      <c r="BE26" s="10"/>
      <c r="BF26" s="10"/>
      <c r="BG26" s="10"/>
      <c r="BH26" s="10"/>
      <c r="BI26" s="10"/>
      <c r="BJ26" s="10"/>
      <c r="BK26" s="10"/>
      <c r="BL26" s="10"/>
      <c r="BM26" s="10"/>
      <c r="BN26" s="10"/>
      <c r="BO26" s="10"/>
      <c r="BP26" s="10"/>
      <c r="BQ26" s="10"/>
      <c r="BR26" s="10"/>
      <c r="BS26" s="10"/>
      <c r="BT26" s="10"/>
      <c r="BU26" s="10"/>
      <c r="BV26" s="10"/>
      <c r="BW26" s="10"/>
      <c r="BX26" s="10"/>
      <c r="BY26" s="10"/>
      <c r="BZ26" s="10"/>
      <c r="CA26" s="10"/>
      <c r="CB26" s="10"/>
      <c r="CC26" s="10"/>
      <c r="CD26" s="10"/>
      <c r="CE26" s="10"/>
      <c r="CF26" s="10"/>
      <c r="CG26" s="10"/>
      <c r="CH26" s="10"/>
      <c r="CI26" s="10"/>
    </row>
    <row r="27" spans="2:87" ht="24" customHeight="1" x14ac:dyDescent="0.2">
      <c r="B27" s="7">
        <f t="shared" ref="B27:B40" si="4">B25+1</f>
        <v>202</v>
      </c>
      <c r="C27" s="7" t="s">
        <v>151</v>
      </c>
      <c r="D27" s="7">
        <v>9</v>
      </c>
      <c r="E27" s="7">
        <v>2</v>
      </c>
      <c r="F27" s="7">
        <v>2</v>
      </c>
      <c r="G27" s="7">
        <v>2</v>
      </c>
      <c r="H27" s="7">
        <v>1</v>
      </c>
      <c r="I27" s="7" t="s">
        <v>163</v>
      </c>
      <c r="J27" s="9"/>
      <c r="K27" s="7" t="s">
        <v>2</v>
      </c>
      <c r="L27" s="6">
        <v>81</v>
      </c>
      <c r="M27" s="6"/>
      <c r="N27" s="6">
        <v>69</v>
      </c>
      <c r="O27" s="6"/>
      <c r="P27" s="6">
        <v>79</v>
      </c>
      <c r="Q27" s="6">
        <v>75</v>
      </c>
      <c r="R27" s="6">
        <v>78</v>
      </c>
      <c r="S27" s="6">
        <v>73</v>
      </c>
      <c r="T27" s="6">
        <v>80</v>
      </c>
      <c r="U27" s="6">
        <v>69</v>
      </c>
      <c r="V27" s="6"/>
      <c r="W27" s="6">
        <v>77</v>
      </c>
      <c r="X27" s="6"/>
      <c r="Y27" s="6">
        <v>69</v>
      </c>
      <c r="Z27" s="6"/>
      <c r="AA27" s="4">
        <f t="shared" si="0"/>
        <v>75.666666666666671</v>
      </c>
      <c r="AB27" s="4">
        <f t="shared" si="1"/>
        <v>73.444444444444443</v>
      </c>
      <c r="AC27" s="4">
        <f t="shared" si="2"/>
        <v>2.1128647687119497</v>
      </c>
      <c r="AD27" s="3"/>
      <c r="AE27" s="3"/>
      <c r="AF27" s="3"/>
      <c r="AG27" s="3"/>
      <c r="AH27" s="3"/>
    </row>
    <row r="28" spans="2:87" ht="24" customHeight="1" thickBot="1" x14ac:dyDescent="0.25">
      <c r="B28" s="15">
        <f t="shared" si="4"/>
        <v>202</v>
      </c>
      <c r="C28" s="15" t="s">
        <v>151</v>
      </c>
      <c r="D28" s="15">
        <v>9</v>
      </c>
      <c r="E28" s="15">
        <v>2</v>
      </c>
      <c r="F28" s="15">
        <v>2</v>
      </c>
      <c r="G28" s="15">
        <v>2</v>
      </c>
      <c r="H28" s="15">
        <v>1</v>
      </c>
      <c r="I28" s="15" t="s">
        <v>163</v>
      </c>
      <c r="J28" s="16"/>
      <c r="K28" s="15" t="s">
        <v>0</v>
      </c>
      <c r="L28" s="14">
        <v>76</v>
      </c>
      <c r="M28" s="13"/>
      <c r="N28" s="14">
        <v>77</v>
      </c>
      <c r="O28" s="13"/>
      <c r="P28" s="14">
        <v>63</v>
      </c>
      <c r="Q28" s="14">
        <v>60</v>
      </c>
      <c r="R28" s="14">
        <v>61</v>
      </c>
      <c r="S28" s="14">
        <v>73</v>
      </c>
      <c r="T28" s="46">
        <v>72</v>
      </c>
      <c r="U28" s="46">
        <v>64</v>
      </c>
      <c r="V28" s="13"/>
      <c r="W28" s="14">
        <v>83</v>
      </c>
      <c r="X28" s="13"/>
      <c r="Y28" s="14">
        <v>76</v>
      </c>
      <c r="Z28" s="13"/>
      <c r="AA28" s="4">
        <f t="shared" si="0"/>
        <v>65.5</v>
      </c>
      <c r="AB28" s="4">
        <f t="shared" si="1"/>
        <v>73.583333333333329</v>
      </c>
      <c r="AC28" s="4">
        <f t="shared" si="2"/>
        <v>2.9955986231655127</v>
      </c>
      <c r="AD28" s="3"/>
      <c r="AE28" s="3"/>
      <c r="AF28" s="3"/>
      <c r="AG28" s="3"/>
      <c r="AH28" s="3"/>
      <c r="AT28" s="12"/>
      <c r="AU28" s="12"/>
      <c r="AV28" s="11"/>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row>
    <row r="29" spans="2:87" ht="24" customHeight="1" x14ac:dyDescent="0.2">
      <c r="B29" s="7">
        <f t="shared" si="4"/>
        <v>203</v>
      </c>
      <c r="C29" s="7" t="s">
        <v>147</v>
      </c>
      <c r="D29" s="7">
        <v>3</v>
      </c>
      <c r="E29" s="7">
        <v>1</v>
      </c>
      <c r="F29" s="7">
        <v>2</v>
      </c>
      <c r="G29" s="7">
        <v>2</v>
      </c>
      <c r="H29" s="7">
        <v>1</v>
      </c>
      <c r="I29" s="7" t="s">
        <v>164</v>
      </c>
      <c r="J29" s="9"/>
      <c r="K29" s="7" t="s">
        <v>2</v>
      </c>
      <c r="L29" s="6">
        <v>76</v>
      </c>
      <c r="M29" s="6"/>
      <c r="N29" s="6">
        <v>82</v>
      </c>
      <c r="O29" s="6"/>
      <c r="P29" s="6">
        <v>88</v>
      </c>
      <c r="Q29" s="6">
        <v>79</v>
      </c>
      <c r="R29" s="6">
        <v>79</v>
      </c>
      <c r="S29" s="6">
        <v>78</v>
      </c>
      <c r="T29" s="45">
        <v>83</v>
      </c>
      <c r="U29" s="45">
        <v>65</v>
      </c>
      <c r="V29" s="6"/>
      <c r="W29" s="6">
        <v>84</v>
      </c>
      <c r="X29" s="6"/>
      <c r="Y29" s="6">
        <v>74</v>
      </c>
      <c r="Z29" s="6"/>
      <c r="AA29" s="4">
        <f t="shared" si="0"/>
        <v>78.666666666666671</v>
      </c>
      <c r="AB29" s="4">
        <f t="shared" si="1"/>
        <v>76.611111111111114</v>
      </c>
      <c r="AC29" s="4">
        <f t="shared" si="2"/>
        <v>2.7680942323216433</v>
      </c>
      <c r="AD29" s="3"/>
      <c r="AE29" s="3"/>
      <c r="AF29" s="3"/>
      <c r="AG29" s="3"/>
      <c r="AH29" s="3"/>
    </row>
    <row r="30" spans="2:87" ht="24" customHeight="1" thickBot="1" x14ac:dyDescent="0.25">
      <c r="B30" s="15">
        <f t="shared" si="4"/>
        <v>203</v>
      </c>
      <c r="C30" s="15" t="s">
        <v>147</v>
      </c>
      <c r="D30" s="15">
        <v>3</v>
      </c>
      <c r="E30" s="15">
        <v>1</v>
      </c>
      <c r="F30" s="15">
        <v>2</v>
      </c>
      <c r="G30" s="15">
        <v>2</v>
      </c>
      <c r="H30" s="15">
        <v>1</v>
      </c>
      <c r="I30" s="15" t="s">
        <v>164</v>
      </c>
      <c r="J30" s="16"/>
      <c r="K30" s="15" t="s">
        <v>0</v>
      </c>
      <c r="L30" s="14">
        <v>67</v>
      </c>
      <c r="M30" s="13"/>
      <c r="N30" s="14">
        <v>82</v>
      </c>
      <c r="O30" s="13"/>
      <c r="P30" s="14">
        <v>74</v>
      </c>
      <c r="Q30" s="14">
        <v>86</v>
      </c>
      <c r="R30" s="14">
        <v>80</v>
      </c>
      <c r="S30" s="14">
        <v>76</v>
      </c>
      <c r="T30" s="46">
        <v>74</v>
      </c>
      <c r="U30" s="46">
        <v>83</v>
      </c>
      <c r="V30" s="13"/>
      <c r="W30" s="14">
        <v>78</v>
      </c>
      <c r="X30" s="13"/>
      <c r="Y30" s="14">
        <v>75</v>
      </c>
      <c r="Z30" s="13"/>
      <c r="AA30" s="4">
        <f t="shared" si="0"/>
        <v>78.833333333333329</v>
      </c>
      <c r="AB30" s="4">
        <f t="shared" si="1"/>
        <v>77.305555555555557</v>
      </c>
      <c r="AC30" s="4">
        <f t="shared" si="2"/>
        <v>2.3720660890591132</v>
      </c>
      <c r="AD30" s="3"/>
      <c r="AE30" s="3"/>
      <c r="AF30" s="3"/>
      <c r="AG30" s="3"/>
      <c r="AH30" s="3"/>
      <c r="AT30" s="12"/>
      <c r="AU30" s="12"/>
      <c r="AV30" s="11"/>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row>
    <row r="31" spans="2:87" ht="24" customHeight="1" x14ac:dyDescent="0.2">
      <c r="B31" s="7">
        <f t="shared" si="4"/>
        <v>204</v>
      </c>
      <c r="C31" s="7" t="s">
        <v>165</v>
      </c>
      <c r="D31" s="7">
        <v>11</v>
      </c>
      <c r="E31" s="7">
        <v>2</v>
      </c>
      <c r="F31" s="7">
        <v>3</v>
      </c>
      <c r="G31" s="7">
        <v>2</v>
      </c>
      <c r="H31" s="7">
        <v>1</v>
      </c>
      <c r="I31" s="7" t="s">
        <v>166</v>
      </c>
      <c r="J31" s="9"/>
      <c r="K31" s="7" t="s">
        <v>2</v>
      </c>
      <c r="L31" s="6">
        <v>92</v>
      </c>
      <c r="M31" s="6"/>
      <c r="N31" s="6">
        <v>91</v>
      </c>
      <c r="O31" s="6"/>
      <c r="P31" s="6">
        <v>95</v>
      </c>
      <c r="Q31" s="6">
        <v>89</v>
      </c>
      <c r="R31" s="6">
        <v>90</v>
      </c>
      <c r="S31" s="6">
        <v>88</v>
      </c>
      <c r="T31" s="45">
        <v>95</v>
      </c>
      <c r="U31" s="45">
        <v>96</v>
      </c>
      <c r="V31" s="6"/>
      <c r="W31" s="6">
        <v>97</v>
      </c>
      <c r="X31" s="6"/>
      <c r="Y31" s="6">
        <v>103</v>
      </c>
      <c r="Z31" s="6"/>
      <c r="AA31" s="4">
        <f t="shared" si="0"/>
        <v>92.166666666666671</v>
      </c>
      <c r="AB31" s="4">
        <f t="shared" si="1"/>
        <v>95.194444444444457</v>
      </c>
      <c r="AC31" s="4">
        <f t="shared" si="2"/>
        <v>1.842108628048537</v>
      </c>
      <c r="AD31" s="3"/>
      <c r="AE31" s="3"/>
      <c r="AF31" s="3"/>
      <c r="AG31" s="3"/>
      <c r="AH31" s="3"/>
    </row>
    <row r="32" spans="2:87" ht="24" customHeight="1" thickBot="1" x14ac:dyDescent="0.25">
      <c r="B32" s="15">
        <f t="shared" si="4"/>
        <v>204</v>
      </c>
      <c r="C32" s="15" t="s">
        <v>165</v>
      </c>
      <c r="D32" s="15">
        <v>11</v>
      </c>
      <c r="E32" s="15">
        <v>2</v>
      </c>
      <c r="F32" s="15">
        <v>3</v>
      </c>
      <c r="G32" s="15">
        <v>2</v>
      </c>
      <c r="H32" s="15">
        <v>1</v>
      </c>
      <c r="I32" s="15" t="s">
        <v>166</v>
      </c>
      <c r="J32" s="16"/>
      <c r="K32" s="15" t="s">
        <v>0</v>
      </c>
      <c r="L32" s="14">
        <v>81</v>
      </c>
      <c r="M32" s="13"/>
      <c r="N32" s="14">
        <v>78</v>
      </c>
      <c r="O32" s="13"/>
      <c r="P32" s="14">
        <v>73</v>
      </c>
      <c r="Q32" s="14">
        <v>76</v>
      </c>
      <c r="R32" s="14">
        <v>73</v>
      </c>
      <c r="S32" s="14">
        <v>74</v>
      </c>
      <c r="T32" s="46">
        <v>78</v>
      </c>
      <c r="U32" s="46">
        <v>90</v>
      </c>
      <c r="V32" s="13"/>
      <c r="W32" s="14">
        <v>85</v>
      </c>
      <c r="X32" s="13"/>
      <c r="Y32" s="14">
        <v>91</v>
      </c>
      <c r="Z32" s="13"/>
      <c r="AA32" s="4">
        <f t="shared" si="0"/>
        <v>77.333333333333329</v>
      </c>
      <c r="AB32" s="4">
        <f t="shared" si="1"/>
        <v>83.722222222222214</v>
      </c>
      <c r="AC32" s="4">
        <f t="shared" si="2"/>
        <v>2.4151016643989793</v>
      </c>
      <c r="AD32" s="3"/>
      <c r="AE32" s="3"/>
      <c r="AF32" s="3"/>
      <c r="AG32" s="3"/>
      <c r="AH32" s="3"/>
      <c r="AT32" s="12"/>
      <c r="AU32" s="12"/>
      <c r="AV32" s="11"/>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row>
    <row r="33" spans="2:87" ht="24" customHeight="1" x14ac:dyDescent="0.2">
      <c r="B33" s="7">
        <f t="shared" si="4"/>
        <v>205</v>
      </c>
      <c r="C33" s="7" t="s">
        <v>160</v>
      </c>
      <c r="D33" s="7">
        <v>1</v>
      </c>
      <c r="E33" s="7">
        <v>1</v>
      </c>
      <c r="F33" s="7">
        <v>1</v>
      </c>
      <c r="G33" s="7">
        <v>2</v>
      </c>
      <c r="H33" s="7">
        <v>2</v>
      </c>
      <c r="I33" s="7" t="s">
        <v>167</v>
      </c>
      <c r="J33" s="9"/>
      <c r="K33" s="7" t="s">
        <v>2</v>
      </c>
      <c r="L33" s="6">
        <v>80</v>
      </c>
      <c r="M33" s="6"/>
      <c r="N33" s="6">
        <v>81</v>
      </c>
      <c r="O33" s="6"/>
      <c r="P33" s="6">
        <v>88</v>
      </c>
      <c r="Q33" s="6">
        <v>80</v>
      </c>
      <c r="R33" s="6">
        <v>88</v>
      </c>
      <c r="S33" s="6">
        <v>82</v>
      </c>
      <c r="T33" s="45">
        <v>93</v>
      </c>
      <c r="U33" s="45">
        <v>78</v>
      </c>
      <c r="V33" s="6"/>
      <c r="W33" s="6">
        <v>87</v>
      </c>
      <c r="X33" s="6"/>
      <c r="Y33" s="6">
        <v>90</v>
      </c>
      <c r="Z33" s="6"/>
      <c r="AA33" s="4">
        <f t="shared" si="0"/>
        <v>84.833333333333329</v>
      </c>
      <c r="AB33" s="4">
        <f t="shared" si="1"/>
        <v>83.472222222222214</v>
      </c>
      <c r="AC33" s="4">
        <f t="shared" si="2"/>
        <v>1.8710349021165458</v>
      </c>
      <c r="AD33" s="3"/>
      <c r="AE33" s="3"/>
      <c r="AF33" s="3"/>
      <c r="AG33" s="3"/>
      <c r="AH33" s="3"/>
    </row>
    <row r="34" spans="2:87" ht="24" customHeight="1" thickBot="1" x14ac:dyDescent="0.25">
      <c r="B34" s="15">
        <f t="shared" si="4"/>
        <v>205</v>
      </c>
      <c r="C34" s="15" t="s">
        <v>160</v>
      </c>
      <c r="D34" s="15">
        <v>1</v>
      </c>
      <c r="E34" s="15">
        <v>1</v>
      </c>
      <c r="F34" s="15">
        <v>1</v>
      </c>
      <c r="G34" s="15">
        <v>2</v>
      </c>
      <c r="H34" s="15">
        <v>2</v>
      </c>
      <c r="I34" s="15" t="s">
        <v>167</v>
      </c>
      <c r="J34" s="16"/>
      <c r="K34" s="15" t="s">
        <v>0</v>
      </c>
      <c r="L34" s="14">
        <v>72</v>
      </c>
      <c r="M34" s="13"/>
      <c r="N34" s="14">
        <v>73</v>
      </c>
      <c r="O34" s="13"/>
      <c r="P34" s="14">
        <v>72</v>
      </c>
      <c r="Q34" s="14">
        <v>76</v>
      </c>
      <c r="R34" s="14">
        <v>79</v>
      </c>
      <c r="S34" s="14">
        <v>80</v>
      </c>
      <c r="T34" s="46">
        <v>81</v>
      </c>
      <c r="U34" s="46">
        <v>66</v>
      </c>
      <c r="V34" s="13"/>
      <c r="W34" s="14">
        <v>79</v>
      </c>
      <c r="X34" s="13"/>
      <c r="Y34" s="14">
        <v>89</v>
      </c>
      <c r="Z34" s="13"/>
      <c r="AA34" s="4">
        <f t="shared" si="0"/>
        <v>75.666666666666671</v>
      </c>
      <c r="AB34" s="4">
        <f t="shared" si="1"/>
        <v>75.777777777777786</v>
      </c>
      <c r="AC34" s="4">
        <f t="shared" si="2"/>
        <v>3.1770784001176029</v>
      </c>
      <c r="AD34" s="3"/>
      <c r="AE34" s="3"/>
      <c r="AF34" s="3"/>
      <c r="AG34" s="3"/>
      <c r="AH34" s="3"/>
      <c r="AT34" s="12"/>
      <c r="AU34" s="12"/>
      <c r="AV34" s="11"/>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row>
    <row r="35" spans="2:87" ht="24" customHeight="1" x14ac:dyDescent="0.2">
      <c r="B35" s="7">
        <f t="shared" si="4"/>
        <v>206</v>
      </c>
      <c r="C35" s="7" t="s">
        <v>168</v>
      </c>
      <c r="D35" s="7">
        <v>8</v>
      </c>
      <c r="E35" s="7">
        <v>2</v>
      </c>
      <c r="F35" s="7">
        <v>1</v>
      </c>
      <c r="G35" s="7">
        <v>1</v>
      </c>
      <c r="H35" s="7">
        <v>2</v>
      </c>
      <c r="I35" s="7" t="s">
        <v>169</v>
      </c>
      <c r="J35" s="9"/>
      <c r="K35" s="7" t="s">
        <v>2</v>
      </c>
      <c r="L35" s="6">
        <v>70</v>
      </c>
      <c r="M35" s="6"/>
      <c r="N35" s="6">
        <v>65</v>
      </c>
      <c r="O35" s="6"/>
      <c r="P35" s="6">
        <v>68</v>
      </c>
      <c r="Q35" s="6">
        <v>70</v>
      </c>
      <c r="R35" s="6">
        <v>67</v>
      </c>
      <c r="S35" s="6">
        <v>71</v>
      </c>
      <c r="T35" s="45">
        <v>72</v>
      </c>
      <c r="U35" s="45">
        <v>70</v>
      </c>
      <c r="V35" s="6"/>
      <c r="W35" s="6">
        <v>70</v>
      </c>
      <c r="X35" s="6"/>
      <c r="Y35" s="6">
        <v>63</v>
      </c>
      <c r="Z35" s="6"/>
      <c r="AA35" s="4">
        <f t="shared" si="0"/>
        <v>69.666666666666671</v>
      </c>
      <c r="AB35" s="4">
        <f t="shared" si="1"/>
        <v>67.944444444444443</v>
      </c>
      <c r="AC35" s="4">
        <f t="shared" si="2"/>
        <v>1.2748759319931133</v>
      </c>
      <c r="AD35" s="3"/>
      <c r="AE35" s="3"/>
      <c r="AF35" s="3"/>
      <c r="AG35" s="3"/>
      <c r="AH35" s="3"/>
    </row>
    <row r="36" spans="2:87" ht="24" customHeight="1" thickBot="1" x14ac:dyDescent="0.25">
      <c r="B36" s="15">
        <f t="shared" si="4"/>
        <v>206</v>
      </c>
      <c r="C36" s="15" t="s">
        <v>168</v>
      </c>
      <c r="D36" s="15">
        <v>8</v>
      </c>
      <c r="E36" s="15">
        <v>2</v>
      </c>
      <c r="F36" s="15">
        <v>1</v>
      </c>
      <c r="G36" s="15">
        <v>1</v>
      </c>
      <c r="H36" s="15">
        <v>2</v>
      </c>
      <c r="I36" s="15" t="s">
        <v>169</v>
      </c>
      <c r="J36" s="16"/>
      <c r="K36" s="15" t="s">
        <v>0</v>
      </c>
      <c r="L36" s="14">
        <v>73</v>
      </c>
      <c r="M36" s="13"/>
      <c r="N36" s="14">
        <v>66</v>
      </c>
      <c r="O36" s="13"/>
      <c r="P36" s="14">
        <v>68</v>
      </c>
      <c r="Q36" s="14">
        <v>60</v>
      </c>
      <c r="R36" s="14">
        <v>72</v>
      </c>
      <c r="S36" s="14">
        <v>62</v>
      </c>
      <c r="T36" s="46">
        <v>60</v>
      </c>
      <c r="U36" s="46">
        <v>66</v>
      </c>
      <c r="V36" s="13"/>
      <c r="W36" s="14">
        <v>63</v>
      </c>
      <c r="X36" s="13"/>
      <c r="Y36" s="14">
        <v>58</v>
      </c>
      <c r="Z36" s="13"/>
      <c r="AA36" s="4">
        <f t="shared" si="0"/>
        <v>64.666666666666671</v>
      </c>
      <c r="AB36" s="4">
        <f t="shared" si="1"/>
        <v>65.111111111111114</v>
      </c>
      <c r="AC36" s="4">
        <f t="shared" si="2"/>
        <v>1.9919591448039042</v>
      </c>
      <c r="AD36" s="3"/>
      <c r="AE36" s="3"/>
      <c r="AF36" s="3"/>
      <c r="AG36" s="3"/>
      <c r="AH36" s="3"/>
      <c r="AT36" s="12"/>
      <c r="AU36" s="12"/>
      <c r="AV36" s="11"/>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row>
    <row r="37" spans="2:87" ht="24" customHeight="1" x14ac:dyDescent="0.2">
      <c r="B37" s="7">
        <f t="shared" si="4"/>
        <v>207</v>
      </c>
      <c r="C37" s="7" t="s">
        <v>158</v>
      </c>
      <c r="D37" s="7">
        <v>4</v>
      </c>
      <c r="E37" s="7">
        <v>1</v>
      </c>
      <c r="F37" s="7">
        <v>2</v>
      </c>
      <c r="G37" s="7">
        <v>1</v>
      </c>
      <c r="H37" s="7">
        <v>2</v>
      </c>
      <c r="I37" s="7" t="s">
        <v>170</v>
      </c>
      <c r="J37" s="9"/>
      <c r="K37" s="7" t="s">
        <v>2</v>
      </c>
      <c r="L37" s="6">
        <v>83</v>
      </c>
      <c r="M37" s="6"/>
      <c r="N37" s="6">
        <v>83</v>
      </c>
      <c r="O37" s="6"/>
      <c r="P37" s="6">
        <v>79</v>
      </c>
      <c r="Q37" s="6">
        <v>70</v>
      </c>
      <c r="R37" s="6">
        <v>79</v>
      </c>
      <c r="S37" s="6">
        <v>78</v>
      </c>
      <c r="T37" s="45">
        <v>77</v>
      </c>
      <c r="U37" s="45">
        <v>87</v>
      </c>
      <c r="V37" s="6"/>
      <c r="W37" s="6">
        <v>85</v>
      </c>
      <c r="X37" s="6"/>
      <c r="Y37" s="6">
        <v>90</v>
      </c>
      <c r="Z37" s="6"/>
      <c r="AA37" s="4">
        <f t="shared" si="0"/>
        <v>78.333333333333329</v>
      </c>
      <c r="AB37" s="4">
        <f t="shared" si="1"/>
        <v>84.388888888888886</v>
      </c>
      <c r="AC37" s="4">
        <f t="shared" si="2"/>
        <v>1.6248456716839683</v>
      </c>
      <c r="AD37" s="3"/>
      <c r="AE37" s="3"/>
      <c r="AF37" s="3"/>
      <c r="AG37" s="3"/>
      <c r="AH37" s="3"/>
    </row>
    <row r="38" spans="2:87" ht="24" customHeight="1" thickBot="1" x14ac:dyDescent="0.25">
      <c r="B38" s="15">
        <f t="shared" si="4"/>
        <v>207</v>
      </c>
      <c r="C38" s="15" t="s">
        <v>158</v>
      </c>
      <c r="D38" s="15">
        <v>4</v>
      </c>
      <c r="E38" s="15">
        <v>1</v>
      </c>
      <c r="F38" s="15">
        <v>2</v>
      </c>
      <c r="G38" s="15">
        <v>1</v>
      </c>
      <c r="H38" s="15">
        <v>2</v>
      </c>
      <c r="I38" s="15" t="s">
        <v>170</v>
      </c>
      <c r="J38" s="16"/>
      <c r="K38" s="15" t="s">
        <v>0</v>
      </c>
      <c r="L38" s="14">
        <v>80</v>
      </c>
      <c r="M38" s="13"/>
      <c r="N38" s="14">
        <v>85</v>
      </c>
      <c r="O38" s="13"/>
      <c r="P38" s="14">
        <v>71</v>
      </c>
      <c r="Q38" s="14">
        <v>75</v>
      </c>
      <c r="R38" s="14">
        <v>76</v>
      </c>
      <c r="S38" s="14">
        <v>76</v>
      </c>
      <c r="T38" s="46">
        <v>75</v>
      </c>
      <c r="U38" s="46">
        <v>85</v>
      </c>
      <c r="V38" s="13"/>
      <c r="W38" s="14">
        <v>83</v>
      </c>
      <c r="X38" s="13"/>
      <c r="Y38" s="14">
        <v>82</v>
      </c>
      <c r="Z38" s="13"/>
      <c r="AA38" s="4">
        <f t="shared" si="0"/>
        <v>76.333333333333329</v>
      </c>
      <c r="AB38" s="4">
        <f t="shared" si="1"/>
        <v>81.888888888888886</v>
      </c>
      <c r="AC38" s="4">
        <f t="shared" si="2"/>
        <v>1.3544622184596256</v>
      </c>
      <c r="AD38" s="3"/>
      <c r="AE38" s="3"/>
      <c r="AF38" s="3"/>
      <c r="AG38" s="3"/>
      <c r="AH38" s="3"/>
      <c r="AT38" s="12"/>
      <c r="AU38" s="12"/>
      <c r="AV38" s="11"/>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row>
    <row r="39" spans="2:87" ht="24" customHeight="1" x14ac:dyDescent="0.2">
      <c r="B39" s="7">
        <f t="shared" si="4"/>
        <v>208</v>
      </c>
      <c r="C39" s="7" t="s">
        <v>171</v>
      </c>
      <c r="D39" s="7">
        <v>2</v>
      </c>
      <c r="E39" s="7">
        <v>1</v>
      </c>
      <c r="F39" s="7">
        <v>1</v>
      </c>
      <c r="G39" s="7">
        <v>1</v>
      </c>
      <c r="H39" s="7">
        <v>2</v>
      </c>
      <c r="I39" s="7" t="s">
        <v>172</v>
      </c>
      <c r="J39" s="9"/>
      <c r="K39" s="7" t="s">
        <v>2</v>
      </c>
      <c r="L39" s="6">
        <v>81</v>
      </c>
      <c r="M39" s="5"/>
      <c r="N39" s="6">
        <v>84</v>
      </c>
      <c r="O39" s="5"/>
      <c r="P39" s="6">
        <v>77</v>
      </c>
      <c r="Q39" s="6">
        <v>66</v>
      </c>
      <c r="R39" s="6">
        <v>70</v>
      </c>
      <c r="S39" s="6">
        <v>69</v>
      </c>
      <c r="T39" s="45">
        <v>70</v>
      </c>
      <c r="U39" s="45">
        <v>77</v>
      </c>
      <c r="V39" s="5"/>
      <c r="W39" s="6">
        <v>72</v>
      </c>
      <c r="X39" s="5"/>
      <c r="Y39" s="6">
        <v>76</v>
      </c>
      <c r="Z39" s="5"/>
      <c r="AA39" s="4">
        <f t="shared" si="0"/>
        <v>71.5</v>
      </c>
      <c r="AB39" s="4">
        <f t="shared" si="1"/>
        <v>76.916666666666671</v>
      </c>
      <c r="AC39" s="4">
        <f t="shared" si="2"/>
        <v>2.0100442228413233</v>
      </c>
      <c r="AD39" s="3"/>
      <c r="AE39" s="3"/>
      <c r="AF39" s="3"/>
      <c r="AG39" s="3"/>
      <c r="AH39" s="3"/>
    </row>
    <row r="40" spans="2:87" ht="24" customHeight="1" thickBot="1" x14ac:dyDescent="0.25">
      <c r="B40" s="15">
        <f t="shared" si="4"/>
        <v>208</v>
      </c>
      <c r="C40" s="15" t="s">
        <v>171</v>
      </c>
      <c r="D40" s="15">
        <v>2</v>
      </c>
      <c r="E40" s="15">
        <v>1</v>
      </c>
      <c r="F40" s="15">
        <v>1</v>
      </c>
      <c r="G40" s="15">
        <v>1</v>
      </c>
      <c r="H40" s="15">
        <v>2</v>
      </c>
      <c r="I40" s="15" t="s">
        <v>172</v>
      </c>
      <c r="J40" s="16"/>
      <c r="K40" s="15" t="s">
        <v>0</v>
      </c>
      <c r="L40" s="14">
        <v>73</v>
      </c>
      <c r="M40" s="13"/>
      <c r="N40" s="14">
        <v>70</v>
      </c>
      <c r="O40" s="13"/>
      <c r="P40" s="14">
        <v>63</v>
      </c>
      <c r="Q40" s="14">
        <v>62</v>
      </c>
      <c r="R40" s="14">
        <v>66</v>
      </c>
      <c r="S40" s="14">
        <v>55</v>
      </c>
      <c r="T40" s="46">
        <v>72</v>
      </c>
      <c r="U40" s="46">
        <v>66</v>
      </c>
      <c r="V40" s="13"/>
      <c r="W40" s="14">
        <v>69</v>
      </c>
      <c r="X40" s="13"/>
      <c r="Y40" s="14">
        <v>72</v>
      </c>
      <c r="Z40" s="13"/>
      <c r="AA40" s="4">
        <f t="shared" si="0"/>
        <v>64</v>
      </c>
      <c r="AB40" s="4">
        <f t="shared" si="1"/>
        <v>69</v>
      </c>
      <c r="AC40" s="4">
        <f t="shared" si="2"/>
        <v>1.4142135623730951</v>
      </c>
      <c r="AD40" s="3"/>
      <c r="AE40" s="3"/>
      <c r="AF40" s="3"/>
      <c r="AG40" s="3"/>
      <c r="AH40" s="3"/>
      <c r="AT40" s="12"/>
      <c r="AU40" s="12"/>
      <c r="AV40" s="11"/>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row>
    <row r="41" spans="2:87" ht="24" customHeight="1" x14ac:dyDescent="0.2">
      <c r="B41" s="7">
        <f>B39+700</f>
        <v>908</v>
      </c>
      <c r="C41" s="7" t="s">
        <v>173</v>
      </c>
      <c r="D41" s="7">
        <v>21</v>
      </c>
      <c r="E41" s="7">
        <v>3</v>
      </c>
      <c r="F41" s="7">
        <v>2</v>
      </c>
      <c r="G41" s="7">
        <v>2</v>
      </c>
      <c r="H41" s="7">
        <v>2</v>
      </c>
      <c r="I41" s="7" t="s">
        <v>174</v>
      </c>
      <c r="J41" s="7"/>
      <c r="K41" s="7" t="s">
        <v>2</v>
      </c>
      <c r="L41" s="6">
        <v>68</v>
      </c>
      <c r="M41" s="5"/>
      <c r="N41" s="6">
        <v>65</v>
      </c>
      <c r="O41" s="5"/>
      <c r="P41" s="6">
        <v>70</v>
      </c>
      <c r="Q41" s="6">
        <v>60</v>
      </c>
      <c r="R41" s="6">
        <v>65</v>
      </c>
      <c r="S41" s="6">
        <v>53</v>
      </c>
      <c r="T41" s="45">
        <v>47</v>
      </c>
      <c r="U41" s="45">
        <v>59</v>
      </c>
      <c r="V41" s="5"/>
      <c r="W41" s="6">
        <v>45</v>
      </c>
      <c r="X41" s="5"/>
      <c r="Y41" s="6">
        <v>59</v>
      </c>
      <c r="Z41" s="5"/>
      <c r="AA41" s="4">
        <f t="shared" ref="AA41:AA72" si="5">AVERAGE(P41:U41)</f>
        <v>59</v>
      </c>
      <c r="AB41" s="4">
        <f t="shared" ref="AB41:AB72" si="6">AVERAGE(AVERAGE(L41:M41),AVERAGE(N41:O41),AVERAGE(P41:U41),AVERAGE(U41:V41),AVERAGE(W41:X41),AVERAGE(Y41:Z41))</f>
        <v>59.166666666666664</v>
      </c>
      <c r="AC41" s="4">
        <f t="shared" ref="AC41:AC72" si="7">STDEV(AVERAGE(L41:M41),AVERAGE(N41:O41),AVERAGE(P41:U41),AVERAGE(U41:V41),AVERAGE(W41:X41),AVERAGE(Y41:Z41))/SQRT(6)</f>
        <v>3.2292069889955548</v>
      </c>
      <c r="AD41" s="3"/>
      <c r="AE41" s="3"/>
      <c r="AF41" s="3"/>
      <c r="AG41" s="3"/>
      <c r="AH41" s="3"/>
    </row>
    <row r="42" spans="2:87" ht="24" customHeight="1" thickBot="1" x14ac:dyDescent="0.25">
      <c r="B42" s="15">
        <f>B40+700</f>
        <v>908</v>
      </c>
      <c r="C42" s="15" t="s">
        <v>173</v>
      </c>
      <c r="D42" s="15">
        <v>21</v>
      </c>
      <c r="E42" s="15">
        <v>3</v>
      </c>
      <c r="F42" s="15">
        <v>2</v>
      </c>
      <c r="G42" s="15">
        <v>2</v>
      </c>
      <c r="H42" s="15">
        <v>2</v>
      </c>
      <c r="I42" s="15" t="s">
        <v>174</v>
      </c>
      <c r="J42" s="16"/>
      <c r="K42" s="15" t="s">
        <v>0</v>
      </c>
      <c r="L42" s="14">
        <v>50</v>
      </c>
      <c r="M42" s="13"/>
      <c r="N42" s="14">
        <v>53</v>
      </c>
      <c r="O42" s="13"/>
      <c r="P42" s="14">
        <v>57</v>
      </c>
      <c r="Q42" s="14">
        <v>48</v>
      </c>
      <c r="R42" s="14">
        <v>47</v>
      </c>
      <c r="S42" s="14">
        <v>50</v>
      </c>
      <c r="T42" s="46">
        <v>46</v>
      </c>
      <c r="U42" s="46">
        <v>49</v>
      </c>
      <c r="V42" s="13"/>
      <c r="W42" s="14">
        <v>38</v>
      </c>
      <c r="X42" s="13"/>
      <c r="Y42" s="14">
        <v>46</v>
      </c>
      <c r="Z42" s="13"/>
      <c r="AA42" s="4">
        <f t="shared" si="5"/>
        <v>49.5</v>
      </c>
      <c r="AB42" s="4">
        <f t="shared" si="6"/>
        <v>47.583333333333336</v>
      </c>
      <c r="AC42" s="4">
        <f t="shared" si="7"/>
        <v>2.1229565338094996</v>
      </c>
      <c r="AD42" s="3"/>
      <c r="AE42" s="3"/>
      <c r="AF42" s="3"/>
      <c r="AG42" s="3"/>
      <c r="AH42" s="3"/>
      <c r="AT42" s="12"/>
      <c r="AU42" s="12"/>
      <c r="AV42" s="11"/>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row>
    <row r="43" spans="2:87" ht="24" customHeight="1" x14ac:dyDescent="0.2">
      <c r="B43" s="7">
        <v>906</v>
      </c>
      <c r="C43" s="7" t="s">
        <v>175</v>
      </c>
      <c r="D43" s="7">
        <v>22</v>
      </c>
      <c r="E43" s="7">
        <v>4</v>
      </c>
      <c r="F43" s="7">
        <v>2</v>
      </c>
      <c r="G43" s="7">
        <v>2</v>
      </c>
      <c r="H43" s="7">
        <v>2</v>
      </c>
      <c r="I43" s="7" t="s">
        <v>176</v>
      </c>
      <c r="J43" s="9"/>
      <c r="K43" s="7" t="s">
        <v>2</v>
      </c>
      <c r="L43" s="6">
        <v>71</v>
      </c>
      <c r="M43" s="6"/>
      <c r="N43" s="6">
        <v>80</v>
      </c>
      <c r="O43" s="6"/>
      <c r="P43" s="6">
        <v>71</v>
      </c>
      <c r="Q43" s="6">
        <v>74</v>
      </c>
      <c r="R43" s="6">
        <v>74</v>
      </c>
      <c r="S43" s="6">
        <v>83</v>
      </c>
      <c r="T43" s="45">
        <v>73</v>
      </c>
      <c r="U43" s="45">
        <v>85</v>
      </c>
      <c r="V43" s="6"/>
      <c r="W43" s="6">
        <v>67</v>
      </c>
      <c r="X43" s="6"/>
      <c r="Y43" s="6">
        <v>79</v>
      </c>
      <c r="Z43" s="6"/>
      <c r="AA43" s="4">
        <f t="shared" si="5"/>
        <v>76.666666666666671</v>
      </c>
      <c r="AB43" s="4">
        <f t="shared" si="6"/>
        <v>76.444444444444443</v>
      </c>
      <c r="AC43" s="4">
        <f t="shared" si="7"/>
        <v>2.65367204240501</v>
      </c>
      <c r="AD43" s="3"/>
      <c r="AE43" s="3"/>
      <c r="AF43" s="3"/>
      <c r="AG43" s="3"/>
      <c r="AH43" s="3"/>
    </row>
    <row r="44" spans="2:87" ht="24" customHeight="1" thickBot="1" x14ac:dyDescent="0.25">
      <c r="B44" s="15">
        <v>906</v>
      </c>
      <c r="C44" s="15" t="s">
        <v>175</v>
      </c>
      <c r="D44" s="15">
        <v>22</v>
      </c>
      <c r="E44" s="15">
        <v>4</v>
      </c>
      <c r="F44" s="15">
        <v>2</v>
      </c>
      <c r="G44" s="15">
        <v>2</v>
      </c>
      <c r="H44" s="15">
        <v>2</v>
      </c>
      <c r="I44" s="15" t="s">
        <v>176</v>
      </c>
      <c r="J44" s="16"/>
      <c r="K44" s="15" t="s">
        <v>0</v>
      </c>
      <c r="L44" s="14">
        <v>70</v>
      </c>
      <c r="M44" s="13"/>
      <c r="N44" s="14">
        <v>69</v>
      </c>
      <c r="O44" s="13"/>
      <c r="P44" s="14">
        <v>63</v>
      </c>
      <c r="Q44" s="14">
        <v>68</v>
      </c>
      <c r="R44" s="14">
        <v>64</v>
      </c>
      <c r="S44" s="14">
        <v>69</v>
      </c>
      <c r="T44" s="46">
        <v>65</v>
      </c>
      <c r="U44" s="46">
        <v>73</v>
      </c>
      <c r="V44" s="13"/>
      <c r="W44" s="14">
        <v>59</v>
      </c>
      <c r="X44" s="13"/>
      <c r="Y44" s="14">
        <v>68</v>
      </c>
      <c r="Z44" s="13"/>
      <c r="AA44" s="4">
        <f t="shared" si="5"/>
        <v>67</v>
      </c>
      <c r="AB44" s="4">
        <f t="shared" si="6"/>
        <v>67.666666666666671</v>
      </c>
      <c r="AC44" s="4">
        <f t="shared" si="7"/>
        <v>1.9264244369066523</v>
      </c>
      <c r="AD44" s="3"/>
      <c r="AE44" s="3"/>
      <c r="AF44" s="3"/>
      <c r="AG44" s="3"/>
      <c r="AH44" s="3"/>
      <c r="AT44" s="12"/>
      <c r="AU44" s="12"/>
      <c r="AV44" s="11"/>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row>
    <row r="45" spans="2:87" ht="24" customHeight="1" x14ac:dyDescent="0.2">
      <c r="B45" s="7">
        <v>904</v>
      </c>
      <c r="C45" s="7" t="s">
        <v>173</v>
      </c>
      <c r="D45" s="7">
        <v>21</v>
      </c>
      <c r="E45" s="7">
        <v>3</v>
      </c>
      <c r="F45" s="7">
        <v>2</v>
      </c>
      <c r="G45" s="7">
        <v>2</v>
      </c>
      <c r="H45" s="7">
        <v>1</v>
      </c>
      <c r="I45" s="7" t="s">
        <v>177</v>
      </c>
      <c r="J45" s="9"/>
      <c r="K45" s="7" t="s">
        <v>2</v>
      </c>
      <c r="L45" s="6">
        <v>63</v>
      </c>
      <c r="M45" s="6"/>
      <c r="N45" s="6">
        <v>63</v>
      </c>
      <c r="O45" s="6"/>
      <c r="P45" s="6">
        <v>58</v>
      </c>
      <c r="Q45" s="6">
        <v>56</v>
      </c>
      <c r="R45" s="6">
        <v>58</v>
      </c>
      <c r="S45" s="6">
        <v>55</v>
      </c>
      <c r="T45" s="45">
        <v>58</v>
      </c>
      <c r="U45" s="45">
        <v>55</v>
      </c>
      <c r="V45" s="6"/>
      <c r="W45" s="6">
        <v>61</v>
      </c>
      <c r="X45" s="6"/>
      <c r="Y45" s="6">
        <v>53</v>
      </c>
      <c r="Z45" s="6"/>
      <c r="AA45" s="4">
        <f t="shared" si="5"/>
        <v>56.666666666666664</v>
      </c>
      <c r="AB45" s="4">
        <f t="shared" si="6"/>
        <v>58.611111111111107</v>
      </c>
      <c r="AC45" s="4">
        <f t="shared" si="7"/>
        <v>1.7562937969584043</v>
      </c>
      <c r="AD45" s="3"/>
      <c r="AE45" s="3"/>
      <c r="AF45" s="3"/>
      <c r="AG45" s="3"/>
      <c r="AH45" s="3"/>
    </row>
    <row r="46" spans="2:87" ht="24" customHeight="1" thickBot="1" x14ac:dyDescent="0.25">
      <c r="B46" s="15">
        <v>904</v>
      </c>
      <c r="C46" s="15" t="s">
        <v>173</v>
      </c>
      <c r="D46" s="15">
        <v>21</v>
      </c>
      <c r="E46" s="15">
        <v>3</v>
      </c>
      <c r="F46" s="15">
        <v>2</v>
      </c>
      <c r="G46" s="15">
        <v>2</v>
      </c>
      <c r="H46" s="15">
        <v>1</v>
      </c>
      <c r="I46" s="15" t="s">
        <v>177</v>
      </c>
      <c r="J46" s="16"/>
      <c r="K46" s="15" t="s">
        <v>0</v>
      </c>
      <c r="L46" s="14">
        <v>49</v>
      </c>
      <c r="M46" s="13"/>
      <c r="N46" s="14">
        <v>59</v>
      </c>
      <c r="O46" s="13"/>
      <c r="P46" s="14">
        <v>53</v>
      </c>
      <c r="Q46" s="14">
        <v>55</v>
      </c>
      <c r="R46" s="14">
        <v>50</v>
      </c>
      <c r="S46" s="14">
        <v>47</v>
      </c>
      <c r="T46" s="46">
        <v>40</v>
      </c>
      <c r="U46" s="46">
        <v>50</v>
      </c>
      <c r="V46" s="13"/>
      <c r="W46" s="14">
        <v>58</v>
      </c>
      <c r="X46" s="13"/>
      <c r="Y46" s="14">
        <v>41</v>
      </c>
      <c r="Z46" s="13"/>
      <c r="AA46" s="4">
        <f t="shared" si="5"/>
        <v>49.166666666666664</v>
      </c>
      <c r="AB46" s="4">
        <f t="shared" si="6"/>
        <v>51.027777777777771</v>
      </c>
      <c r="AC46" s="4">
        <f t="shared" si="7"/>
        <v>2.7163485385193451</v>
      </c>
      <c r="AD46" s="3"/>
      <c r="AE46" s="3"/>
      <c r="AF46" s="3"/>
      <c r="AG46" s="3"/>
      <c r="AH46" s="3"/>
      <c r="AT46" s="12"/>
      <c r="AU46" s="12"/>
      <c r="AV46" s="11"/>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row>
    <row r="47" spans="2:87" ht="24" customHeight="1" x14ac:dyDescent="0.2">
      <c r="B47" s="7">
        <v>902</v>
      </c>
      <c r="C47" s="7" t="s">
        <v>175</v>
      </c>
      <c r="D47" s="7">
        <v>22</v>
      </c>
      <c r="E47" s="7">
        <v>4</v>
      </c>
      <c r="F47" s="7">
        <v>2</v>
      </c>
      <c r="G47" s="7">
        <v>2</v>
      </c>
      <c r="H47" s="7">
        <v>1</v>
      </c>
      <c r="I47" s="7" t="s">
        <v>178</v>
      </c>
      <c r="J47" s="9"/>
      <c r="K47" s="7" t="s">
        <v>2</v>
      </c>
      <c r="L47" s="6">
        <v>69</v>
      </c>
      <c r="M47" s="6"/>
      <c r="N47" s="6">
        <v>77</v>
      </c>
      <c r="O47" s="6"/>
      <c r="P47" s="6">
        <v>75</v>
      </c>
      <c r="Q47" s="6">
        <v>67</v>
      </c>
      <c r="R47" s="6">
        <v>71</v>
      </c>
      <c r="S47" s="6">
        <v>71</v>
      </c>
      <c r="T47" s="45">
        <v>70</v>
      </c>
      <c r="U47" s="45">
        <v>83</v>
      </c>
      <c r="V47" s="6"/>
      <c r="W47" s="6">
        <v>66</v>
      </c>
      <c r="X47" s="6"/>
      <c r="Y47" s="6">
        <v>73</v>
      </c>
      <c r="Z47" s="6"/>
      <c r="AA47" s="4">
        <f t="shared" si="5"/>
        <v>72.833333333333329</v>
      </c>
      <c r="AB47" s="4">
        <f t="shared" si="6"/>
        <v>73.472222222222214</v>
      </c>
      <c r="AC47" s="4">
        <f t="shared" si="7"/>
        <v>2.4473782898904619</v>
      </c>
      <c r="AD47" s="3"/>
      <c r="AE47" s="3"/>
      <c r="AF47" s="3"/>
      <c r="AG47" s="3"/>
      <c r="AH47" s="3"/>
    </row>
    <row r="48" spans="2:87" ht="24" customHeight="1" thickBot="1" x14ac:dyDescent="0.25">
      <c r="B48" s="15">
        <v>902</v>
      </c>
      <c r="C48" s="15" t="s">
        <v>175</v>
      </c>
      <c r="D48" s="15">
        <v>22</v>
      </c>
      <c r="E48" s="15">
        <v>4</v>
      </c>
      <c r="F48" s="15">
        <v>2</v>
      </c>
      <c r="G48" s="15">
        <v>2</v>
      </c>
      <c r="H48" s="15">
        <v>1</v>
      </c>
      <c r="I48" s="15" t="s">
        <v>178</v>
      </c>
      <c r="J48" s="16"/>
      <c r="K48" s="15" t="s">
        <v>0</v>
      </c>
      <c r="L48" s="14">
        <v>66</v>
      </c>
      <c r="M48" s="13"/>
      <c r="N48" s="14">
        <v>64</v>
      </c>
      <c r="O48" s="13"/>
      <c r="P48" s="14">
        <v>67</v>
      </c>
      <c r="Q48" s="14">
        <v>56</v>
      </c>
      <c r="R48" s="14">
        <v>60</v>
      </c>
      <c r="S48" s="14">
        <v>57</v>
      </c>
      <c r="T48" s="46">
        <v>58</v>
      </c>
      <c r="U48" s="46">
        <v>62</v>
      </c>
      <c r="V48" s="13"/>
      <c r="W48" s="14">
        <v>60</v>
      </c>
      <c r="X48" s="13"/>
      <c r="Y48" s="14">
        <v>61</v>
      </c>
      <c r="Z48" s="13"/>
      <c r="AA48" s="4">
        <f t="shared" si="5"/>
        <v>60</v>
      </c>
      <c r="AB48" s="4">
        <f t="shared" si="6"/>
        <v>62.166666666666664</v>
      </c>
      <c r="AC48" s="4">
        <f t="shared" si="7"/>
        <v>0.98036274465684958</v>
      </c>
      <c r="AD48" s="3"/>
      <c r="AE48" s="3"/>
      <c r="AF48" s="3"/>
      <c r="AG48" s="3"/>
      <c r="AH48" s="3"/>
      <c r="AT48" s="12"/>
      <c r="AU48" s="12"/>
      <c r="AV48" s="11"/>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row>
    <row r="49" spans="2:87" ht="24" customHeight="1" x14ac:dyDescent="0.2">
      <c r="B49" s="7">
        <f>B47-601</f>
        <v>301</v>
      </c>
      <c r="C49" s="7" t="s">
        <v>149</v>
      </c>
      <c r="D49" s="7">
        <v>10</v>
      </c>
      <c r="E49" s="7">
        <v>2</v>
      </c>
      <c r="F49" s="7">
        <v>2</v>
      </c>
      <c r="G49" s="7">
        <v>1</v>
      </c>
      <c r="H49" s="7">
        <v>3</v>
      </c>
      <c r="I49" s="7" t="s">
        <v>179</v>
      </c>
      <c r="J49" s="7"/>
      <c r="K49" s="7" t="s">
        <v>2</v>
      </c>
      <c r="L49" s="6">
        <v>77</v>
      </c>
      <c r="M49" s="6"/>
      <c r="N49" s="6">
        <v>82</v>
      </c>
      <c r="O49" s="6"/>
      <c r="P49" s="6">
        <v>96</v>
      </c>
      <c r="Q49" s="6">
        <v>90</v>
      </c>
      <c r="R49" s="6">
        <v>88</v>
      </c>
      <c r="S49" s="6">
        <v>73</v>
      </c>
      <c r="T49" s="45">
        <v>74</v>
      </c>
      <c r="U49" s="45">
        <v>79</v>
      </c>
      <c r="V49" s="6"/>
      <c r="W49" s="6">
        <v>84</v>
      </c>
      <c r="X49" s="6"/>
      <c r="Y49" s="6">
        <v>82</v>
      </c>
      <c r="Z49" s="6"/>
      <c r="AA49" s="4">
        <f t="shared" si="5"/>
        <v>83.333333333333329</v>
      </c>
      <c r="AB49" s="4">
        <f t="shared" si="6"/>
        <v>81.222222222222214</v>
      </c>
      <c r="AC49" s="4">
        <f t="shared" si="7"/>
        <v>1.0976968031314194</v>
      </c>
      <c r="AT49" s="12">
        <v>2</v>
      </c>
      <c r="AU49" s="12" t="s">
        <v>3</v>
      </c>
      <c r="AV49" s="12">
        <v>150</v>
      </c>
    </row>
    <row r="50" spans="2:87" ht="24" customHeight="1" thickBot="1" x14ac:dyDescent="0.25">
      <c r="B50" s="15">
        <f>B48-601</f>
        <v>301</v>
      </c>
      <c r="C50" s="15" t="s">
        <v>149</v>
      </c>
      <c r="D50" s="15">
        <v>10</v>
      </c>
      <c r="E50" s="15">
        <v>2</v>
      </c>
      <c r="F50" s="15">
        <v>2</v>
      </c>
      <c r="G50" s="15">
        <v>1</v>
      </c>
      <c r="H50" s="15">
        <v>3</v>
      </c>
      <c r="I50" s="15" t="s">
        <v>179</v>
      </c>
      <c r="J50" s="16"/>
      <c r="K50" s="15" t="s">
        <v>0</v>
      </c>
      <c r="L50" s="14">
        <v>71</v>
      </c>
      <c r="M50" s="13"/>
      <c r="N50" s="14">
        <v>79</v>
      </c>
      <c r="O50" s="13"/>
      <c r="P50" s="14">
        <v>77</v>
      </c>
      <c r="Q50" s="14">
        <v>72</v>
      </c>
      <c r="R50" s="14">
        <v>78</v>
      </c>
      <c r="S50" s="14">
        <v>80</v>
      </c>
      <c r="T50" s="46">
        <v>70</v>
      </c>
      <c r="U50" s="46">
        <v>78</v>
      </c>
      <c r="V50" s="13"/>
      <c r="W50" s="14">
        <v>84</v>
      </c>
      <c r="X50" s="13"/>
      <c r="Y50" s="14">
        <v>76</v>
      </c>
      <c r="Z50" s="13"/>
      <c r="AA50" s="4">
        <f t="shared" si="5"/>
        <v>75.833333333333329</v>
      </c>
      <c r="AB50" s="4">
        <f t="shared" si="6"/>
        <v>77.305555555555557</v>
      </c>
      <c r="AC50" s="4">
        <f t="shared" si="7"/>
        <v>1.7492943903750255</v>
      </c>
      <c r="AD50" s="3"/>
      <c r="AE50" s="3"/>
      <c r="AF50" s="3"/>
      <c r="AG50" s="3"/>
      <c r="AH50" s="3"/>
      <c r="AT50" s="12"/>
      <c r="AU50" s="12"/>
      <c r="AV50" s="11"/>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row>
    <row r="51" spans="2:87" ht="24" customHeight="1" x14ac:dyDescent="0.2">
      <c r="B51" s="7">
        <f t="shared" ref="B51:B64" si="8">B49+1</f>
        <v>302</v>
      </c>
      <c r="C51" s="7" t="s">
        <v>158</v>
      </c>
      <c r="D51" s="7">
        <v>4</v>
      </c>
      <c r="E51" s="7">
        <v>1</v>
      </c>
      <c r="F51" s="7">
        <v>2</v>
      </c>
      <c r="G51" s="7">
        <v>1</v>
      </c>
      <c r="H51" s="7">
        <v>3</v>
      </c>
      <c r="I51" s="7" t="s">
        <v>180</v>
      </c>
      <c r="J51" s="9"/>
      <c r="K51" s="7" t="s">
        <v>2</v>
      </c>
      <c r="L51" s="6">
        <v>82</v>
      </c>
      <c r="M51" s="6"/>
      <c r="N51" s="6">
        <v>71</v>
      </c>
      <c r="O51" s="6"/>
      <c r="P51" s="6">
        <v>89</v>
      </c>
      <c r="Q51" s="6">
        <v>80</v>
      </c>
      <c r="R51" s="6">
        <v>81</v>
      </c>
      <c r="S51" s="6">
        <v>83</v>
      </c>
      <c r="T51" s="45">
        <v>80</v>
      </c>
      <c r="U51" s="45">
        <v>74</v>
      </c>
      <c r="V51" s="6"/>
      <c r="W51" s="6">
        <v>77</v>
      </c>
      <c r="X51" s="6"/>
      <c r="Y51" s="6">
        <v>72</v>
      </c>
      <c r="Z51" s="6"/>
      <c r="AA51" s="4">
        <f t="shared" si="5"/>
        <v>81.166666666666671</v>
      </c>
      <c r="AB51" s="4">
        <f t="shared" si="6"/>
        <v>76.194444444444443</v>
      </c>
      <c r="AC51" s="4">
        <f t="shared" si="7"/>
        <v>1.9014695421576144</v>
      </c>
      <c r="AD51" s="3"/>
      <c r="AE51" s="3"/>
      <c r="AF51" s="3"/>
      <c r="AG51" s="3"/>
      <c r="AH51" s="3"/>
    </row>
    <row r="52" spans="2:87" ht="24" customHeight="1" thickBot="1" x14ac:dyDescent="0.25">
      <c r="B52" s="15">
        <f t="shared" si="8"/>
        <v>302</v>
      </c>
      <c r="C52" s="15" t="s">
        <v>158</v>
      </c>
      <c r="D52" s="15">
        <v>4</v>
      </c>
      <c r="E52" s="15">
        <v>1</v>
      </c>
      <c r="F52" s="15">
        <v>2</v>
      </c>
      <c r="G52" s="15">
        <v>1</v>
      </c>
      <c r="H52" s="15">
        <v>3</v>
      </c>
      <c r="I52" s="15" t="s">
        <v>180</v>
      </c>
      <c r="J52" s="16"/>
      <c r="K52" s="15" t="s">
        <v>0</v>
      </c>
      <c r="L52" s="14">
        <v>74</v>
      </c>
      <c r="M52" s="13"/>
      <c r="N52" s="14">
        <v>83</v>
      </c>
      <c r="O52" s="13"/>
      <c r="P52" s="14">
        <v>76</v>
      </c>
      <c r="Q52" s="14">
        <v>80</v>
      </c>
      <c r="R52" s="14">
        <v>83</v>
      </c>
      <c r="S52" s="14">
        <v>74</v>
      </c>
      <c r="T52" s="46">
        <v>73</v>
      </c>
      <c r="U52" s="46">
        <v>77</v>
      </c>
      <c r="V52" s="13"/>
      <c r="W52" s="14">
        <v>77</v>
      </c>
      <c r="X52" s="13"/>
      <c r="Y52" s="14">
        <v>74</v>
      </c>
      <c r="Z52" s="13"/>
      <c r="AA52" s="4">
        <f t="shared" si="5"/>
        <v>77.166666666666671</v>
      </c>
      <c r="AB52" s="4">
        <f t="shared" si="6"/>
        <v>77.027777777777786</v>
      </c>
      <c r="AC52" s="4">
        <f t="shared" si="7"/>
        <v>1.3419283158717055</v>
      </c>
      <c r="AD52" s="3"/>
      <c r="AE52" s="3"/>
      <c r="AF52" s="3"/>
      <c r="AG52" s="3"/>
      <c r="AH52" s="3"/>
      <c r="AT52" s="12"/>
      <c r="AU52" s="12"/>
      <c r="AV52" s="11"/>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row>
    <row r="53" spans="2:87" ht="24" customHeight="1" x14ac:dyDescent="0.2">
      <c r="B53" s="7">
        <f t="shared" si="8"/>
        <v>303</v>
      </c>
      <c r="C53" s="7" t="s">
        <v>168</v>
      </c>
      <c r="D53" s="7">
        <v>8</v>
      </c>
      <c r="E53" s="7">
        <v>2</v>
      </c>
      <c r="F53" s="7">
        <v>1</v>
      </c>
      <c r="G53" s="7">
        <v>1</v>
      </c>
      <c r="H53" s="7">
        <v>3</v>
      </c>
      <c r="I53" s="7" t="s">
        <v>181</v>
      </c>
      <c r="J53" s="9"/>
      <c r="K53" s="7" t="s">
        <v>2</v>
      </c>
      <c r="L53" s="6">
        <v>80</v>
      </c>
      <c r="M53" s="6"/>
      <c r="N53" s="6">
        <v>73</v>
      </c>
      <c r="O53" s="6"/>
      <c r="P53" s="6">
        <v>75</v>
      </c>
      <c r="Q53" s="6">
        <v>66</v>
      </c>
      <c r="R53" s="6">
        <v>71</v>
      </c>
      <c r="S53" s="6">
        <v>72</v>
      </c>
      <c r="T53" s="45">
        <v>77</v>
      </c>
      <c r="U53" s="45">
        <v>83</v>
      </c>
      <c r="V53" s="6"/>
      <c r="W53" s="6">
        <v>93</v>
      </c>
      <c r="X53" s="6"/>
      <c r="Y53" s="6">
        <v>72</v>
      </c>
      <c r="Z53" s="6"/>
      <c r="AA53" s="4">
        <f t="shared" si="5"/>
        <v>74</v>
      </c>
      <c r="AB53" s="4">
        <f t="shared" si="6"/>
        <v>79.166666666666671</v>
      </c>
      <c r="AC53" s="4">
        <f t="shared" si="7"/>
        <v>3.2804132530995416</v>
      </c>
      <c r="AD53" s="3"/>
      <c r="AE53" s="3"/>
      <c r="AF53" s="3"/>
      <c r="AG53" s="3"/>
      <c r="AH53" s="3"/>
    </row>
    <row r="54" spans="2:87" ht="24" customHeight="1" thickBot="1" x14ac:dyDescent="0.25">
      <c r="B54" s="15">
        <f t="shared" si="8"/>
        <v>303</v>
      </c>
      <c r="C54" s="15" t="s">
        <v>168</v>
      </c>
      <c r="D54" s="15">
        <v>8</v>
      </c>
      <c r="E54" s="15">
        <v>2</v>
      </c>
      <c r="F54" s="15">
        <v>1</v>
      </c>
      <c r="G54" s="15">
        <v>1</v>
      </c>
      <c r="H54" s="15">
        <v>3</v>
      </c>
      <c r="I54" s="15" t="s">
        <v>181</v>
      </c>
      <c r="J54" s="16"/>
      <c r="K54" s="15" t="s">
        <v>0</v>
      </c>
      <c r="L54" s="14">
        <v>71</v>
      </c>
      <c r="M54" s="13"/>
      <c r="N54" s="14">
        <v>78</v>
      </c>
      <c r="O54" s="13"/>
      <c r="P54" s="14">
        <v>68</v>
      </c>
      <c r="Q54" s="14">
        <v>69</v>
      </c>
      <c r="R54" s="14">
        <v>68</v>
      </c>
      <c r="S54" s="14">
        <v>66</v>
      </c>
      <c r="T54" s="46">
        <v>68</v>
      </c>
      <c r="U54" s="46">
        <v>28</v>
      </c>
      <c r="V54" s="13"/>
      <c r="W54" s="14">
        <v>88</v>
      </c>
      <c r="X54" s="13"/>
      <c r="Y54" s="14">
        <v>70</v>
      </c>
      <c r="Z54" s="13"/>
      <c r="AA54" s="4">
        <f t="shared" si="5"/>
        <v>61.166666666666664</v>
      </c>
      <c r="AB54" s="4">
        <f t="shared" si="6"/>
        <v>66.027777777777771</v>
      </c>
      <c r="AC54" s="4">
        <f t="shared" si="7"/>
        <v>8.4387133329702291</v>
      </c>
      <c r="AD54" s="3"/>
      <c r="AE54" s="3"/>
      <c r="AF54" s="3"/>
      <c r="AG54" s="3"/>
      <c r="AH54" s="3"/>
      <c r="AT54" s="12"/>
      <c r="AU54" s="12"/>
      <c r="AV54" s="11"/>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row>
    <row r="55" spans="2:87" ht="24" customHeight="1" x14ac:dyDescent="0.2">
      <c r="B55" s="7">
        <f t="shared" si="8"/>
        <v>304</v>
      </c>
      <c r="C55" s="7" t="s">
        <v>171</v>
      </c>
      <c r="D55" s="7">
        <v>2</v>
      </c>
      <c r="E55" s="7">
        <v>1</v>
      </c>
      <c r="F55" s="7">
        <v>1</v>
      </c>
      <c r="G55" s="7">
        <v>1</v>
      </c>
      <c r="H55" s="7">
        <v>3</v>
      </c>
      <c r="I55" s="7" t="s">
        <v>182</v>
      </c>
      <c r="J55" s="9"/>
      <c r="K55" s="7" t="s">
        <v>2</v>
      </c>
      <c r="L55" s="6">
        <v>77</v>
      </c>
      <c r="M55" s="6"/>
      <c r="N55" s="6">
        <v>81</v>
      </c>
      <c r="O55" s="6"/>
      <c r="P55" s="6">
        <v>93</v>
      </c>
      <c r="Q55" s="6">
        <v>82</v>
      </c>
      <c r="R55" s="6">
        <v>89</v>
      </c>
      <c r="S55" s="6">
        <v>87</v>
      </c>
      <c r="T55" s="45">
        <v>76</v>
      </c>
      <c r="U55" s="45">
        <v>89</v>
      </c>
      <c r="V55" s="6"/>
      <c r="W55" s="6">
        <v>81</v>
      </c>
      <c r="X55" s="6"/>
      <c r="Y55" s="6">
        <v>72</v>
      </c>
      <c r="Z55" s="6"/>
      <c r="AA55" s="4">
        <f t="shared" si="5"/>
        <v>86</v>
      </c>
      <c r="AB55" s="4">
        <f t="shared" si="6"/>
        <v>81</v>
      </c>
      <c r="AC55" s="4">
        <f t="shared" si="7"/>
        <v>2.4899799195977468</v>
      </c>
      <c r="AD55" s="3"/>
      <c r="AE55" s="3"/>
      <c r="AF55" s="3"/>
      <c r="AG55" s="3"/>
      <c r="AH55" s="3"/>
    </row>
    <row r="56" spans="2:87" ht="24" customHeight="1" thickBot="1" x14ac:dyDescent="0.25">
      <c r="B56" s="15">
        <f t="shared" si="8"/>
        <v>304</v>
      </c>
      <c r="C56" s="15" t="s">
        <v>171</v>
      </c>
      <c r="D56" s="15">
        <v>2</v>
      </c>
      <c r="E56" s="15">
        <v>1</v>
      </c>
      <c r="F56" s="15">
        <v>1</v>
      </c>
      <c r="G56" s="15">
        <v>1</v>
      </c>
      <c r="H56" s="15">
        <v>3</v>
      </c>
      <c r="I56" s="15" t="s">
        <v>182</v>
      </c>
      <c r="J56" s="16"/>
      <c r="K56" s="15" t="s">
        <v>0</v>
      </c>
      <c r="L56" s="14">
        <v>76</v>
      </c>
      <c r="M56" s="13"/>
      <c r="N56" s="14">
        <v>72</v>
      </c>
      <c r="O56" s="13"/>
      <c r="P56" s="14">
        <v>74</v>
      </c>
      <c r="Q56" s="14">
        <v>66</v>
      </c>
      <c r="R56" s="14">
        <v>68</v>
      </c>
      <c r="S56" s="14">
        <v>83</v>
      </c>
      <c r="T56" s="46">
        <v>74</v>
      </c>
      <c r="U56" s="46">
        <v>80</v>
      </c>
      <c r="V56" s="13"/>
      <c r="W56" s="14">
        <v>73</v>
      </c>
      <c r="X56" s="13"/>
      <c r="Y56" s="14">
        <v>59</v>
      </c>
      <c r="Z56" s="13"/>
      <c r="AA56" s="4">
        <f t="shared" si="5"/>
        <v>74.166666666666671</v>
      </c>
      <c r="AB56" s="4">
        <f t="shared" si="6"/>
        <v>72.361111111111114</v>
      </c>
      <c r="AC56" s="4">
        <f t="shared" si="7"/>
        <v>2.9092498290626803</v>
      </c>
      <c r="AD56" s="3"/>
      <c r="AE56" s="3"/>
      <c r="AF56" s="3"/>
      <c r="AG56" s="3"/>
      <c r="AH56" s="3"/>
      <c r="AT56" s="12"/>
      <c r="AU56" s="12"/>
      <c r="AV56" s="11"/>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row>
    <row r="57" spans="2:87" ht="24" customHeight="1" thickBot="1" x14ac:dyDescent="0.25">
      <c r="B57" s="7">
        <f t="shared" si="8"/>
        <v>305</v>
      </c>
      <c r="C57" s="7" t="s">
        <v>165</v>
      </c>
      <c r="D57" s="7">
        <v>11</v>
      </c>
      <c r="E57" s="7">
        <v>2</v>
      </c>
      <c r="F57" s="7">
        <v>3</v>
      </c>
      <c r="G57" s="7">
        <v>2</v>
      </c>
      <c r="H57" s="7">
        <v>4</v>
      </c>
      <c r="I57" s="7" t="s">
        <v>183</v>
      </c>
      <c r="J57" s="16"/>
      <c r="K57" s="7" t="s">
        <v>2</v>
      </c>
      <c r="L57" s="6">
        <v>99</v>
      </c>
      <c r="M57" s="6"/>
      <c r="N57" s="6">
        <v>98</v>
      </c>
      <c r="O57" s="6"/>
      <c r="P57" s="6">
        <v>95</v>
      </c>
      <c r="Q57" s="6">
        <v>87</v>
      </c>
      <c r="R57" s="6">
        <v>91</v>
      </c>
      <c r="S57" s="6">
        <v>89</v>
      </c>
      <c r="T57" s="45">
        <v>89</v>
      </c>
      <c r="U57" s="45">
        <v>94</v>
      </c>
      <c r="V57" s="6"/>
      <c r="W57" s="6">
        <v>100</v>
      </c>
      <c r="X57" s="6"/>
      <c r="Y57" s="6">
        <v>94</v>
      </c>
      <c r="Z57" s="6"/>
      <c r="AA57" s="4">
        <f t="shared" si="5"/>
        <v>90.833333333333329</v>
      </c>
      <c r="AB57" s="4">
        <f t="shared" si="6"/>
        <v>95.972222222222214</v>
      </c>
      <c r="AC57" s="4">
        <f t="shared" si="7"/>
        <v>1.4570496996192324</v>
      </c>
      <c r="AD57" s="3"/>
      <c r="AE57" s="3"/>
      <c r="AF57" s="3"/>
      <c r="AG57" s="3"/>
      <c r="AH57" s="3"/>
    </row>
    <row r="58" spans="2:87" ht="24" customHeight="1" thickBot="1" x14ac:dyDescent="0.25">
      <c r="B58" s="15">
        <f t="shared" si="8"/>
        <v>305</v>
      </c>
      <c r="C58" s="15" t="s">
        <v>165</v>
      </c>
      <c r="D58" s="15">
        <v>11</v>
      </c>
      <c r="E58" s="15">
        <v>2</v>
      </c>
      <c r="F58" s="15">
        <v>3</v>
      </c>
      <c r="G58" s="15">
        <v>2</v>
      </c>
      <c r="H58" s="15">
        <v>4</v>
      </c>
      <c r="I58" s="15" t="s">
        <v>183</v>
      </c>
      <c r="J58" s="16"/>
      <c r="K58" s="15" t="s">
        <v>0</v>
      </c>
      <c r="L58" s="14">
        <v>82</v>
      </c>
      <c r="M58" s="13"/>
      <c r="N58" s="14">
        <v>81</v>
      </c>
      <c r="O58" s="13"/>
      <c r="P58" s="14">
        <v>80</v>
      </c>
      <c r="Q58" s="14">
        <v>74</v>
      </c>
      <c r="R58" s="14">
        <v>72</v>
      </c>
      <c r="S58" s="14">
        <v>79</v>
      </c>
      <c r="T58" s="46">
        <v>78</v>
      </c>
      <c r="U58" s="46">
        <v>81</v>
      </c>
      <c r="V58" s="13"/>
      <c r="W58" s="14">
        <v>76</v>
      </c>
      <c r="X58" s="13"/>
      <c r="Y58" s="14">
        <v>88</v>
      </c>
      <c r="Z58" s="13"/>
      <c r="AA58" s="4">
        <f t="shared" si="5"/>
        <v>77.333333333333329</v>
      </c>
      <c r="AB58" s="4">
        <f t="shared" si="6"/>
        <v>80.888888888888886</v>
      </c>
      <c r="AC58" s="4">
        <f t="shared" si="7"/>
        <v>1.7162980546355231</v>
      </c>
      <c r="AD58" s="3"/>
      <c r="AE58" s="3"/>
      <c r="AF58" s="3"/>
      <c r="AG58" s="3"/>
      <c r="AH58" s="3"/>
      <c r="AT58" s="12"/>
      <c r="AU58" s="12"/>
      <c r="AV58" s="11"/>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row>
    <row r="59" spans="2:87" ht="24" customHeight="1" x14ac:dyDescent="0.2">
      <c r="B59" s="7">
        <f t="shared" si="8"/>
        <v>306</v>
      </c>
      <c r="C59" s="7" t="s">
        <v>158</v>
      </c>
      <c r="D59" s="7">
        <v>4</v>
      </c>
      <c r="E59" s="7">
        <v>1</v>
      </c>
      <c r="F59" s="7">
        <v>2</v>
      </c>
      <c r="G59" s="7">
        <v>1</v>
      </c>
      <c r="H59" s="7">
        <v>4</v>
      </c>
      <c r="I59" s="7" t="s">
        <v>184</v>
      </c>
      <c r="J59" s="9"/>
      <c r="K59" s="7" t="s">
        <v>2</v>
      </c>
      <c r="L59" s="6">
        <v>81</v>
      </c>
      <c r="M59" s="6"/>
      <c r="N59" s="6">
        <v>76</v>
      </c>
      <c r="O59" s="6"/>
      <c r="P59" s="6">
        <v>80</v>
      </c>
      <c r="Q59" s="6">
        <v>79</v>
      </c>
      <c r="R59" s="6">
        <v>83</v>
      </c>
      <c r="S59" s="6">
        <v>69</v>
      </c>
      <c r="T59" s="45">
        <v>78</v>
      </c>
      <c r="U59" s="45">
        <v>81</v>
      </c>
      <c r="V59" s="6"/>
      <c r="W59" s="6">
        <v>72</v>
      </c>
      <c r="X59" s="6"/>
      <c r="Y59" s="6">
        <v>84</v>
      </c>
      <c r="Z59" s="6"/>
      <c r="AA59" s="4">
        <f t="shared" si="5"/>
        <v>78.333333333333329</v>
      </c>
      <c r="AB59" s="4">
        <f t="shared" si="6"/>
        <v>78.722222222222214</v>
      </c>
      <c r="AC59" s="4">
        <f t="shared" si="7"/>
        <v>1.7414695085997678</v>
      </c>
      <c r="AD59" s="3"/>
      <c r="AE59" s="3"/>
      <c r="AF59" s="3"/>
      <c r="AG59" s="3"/>
      <c r="AH59" s="3"/>
    </row>
    <row r="60" spans="2:87" ht="24" customHeight="1" thickBot="1" x14ac:dyDescent="0.25">
      <c r="B60" s="15">
        <f t="shared" si="8"/>
        <v>306</v>
      </c>
      <c r="C60" s="15" t="s">
        <v>158</v>
      </c>
      <c r="D60" s="15">
        <v>4</v>
      </c>
      <c r="E60" s="15">
        <v>1</v>
      </c>
      <c r="F60" s="15">
        <v>2</v>
      </c>
      <c r="G60" s="15">
        <v>1</v>
      </c>
      <c r="H60" s="15">
        <v>4</v>
      </c>
      <c r="I60" s="15" t="s">
        <v>184</v>
      </c>
      <c r="J60" s="16"/>
      <c r="K60" s="15" t="s">
        <v>0</v>
      </c>
      <c r="L60" s="14">
        <v>75</v>
      </c>
      <c r="M60" s="13"/>
      <c r="N60" s="14">
        <v>74</v>
      </c>
      <c r="O60" s="13"/>
      <c r="P60" s="14">
        <v>71</v>
      </c>
      <c r="Q60" s="14">
        <v>66</v>
      </c>
      <c r="R60" s="14">
        <v>68</v>
      </c>
      <c r="S60" s="14">
        <v>71</v>
      </c>
      <c r="T60" s="46">
        <v>69</v>
      </c>
      <c r="U60" s="46">
        <v>72</v>
      </c>
      <c r="V60" s="13"/>
      <c r="W60" s="14">
        <v>79</v>
      </c>
      <c r="X60" s="13"/>
      <c r="Y60" s="14">
        <v>75</v>
      </c>
      <c r="Z60" s="13"/>
      <c r="AA60" s="4">
        <f t="shared" si="5"/>
        <v>69.5</v>
      </c>
      <c r="AB60" s="4">
        <f t="shared" si="6"/>
        <v>74.083333333333329</v>
      </c>
      <c r="AC60" s="4">
        <f t="shared" si="7"/>
        <v>1.3065008398177342</v>
      </c>
      <c r="AD60" s="3"/>
      <c r="AE60" s="3"/>
      <c r="AF60" s="3"/>
      <c r="AG60" s="3"/>
      <c r="AH60" s="3"/>
      <c r="AT60" s="12"/>
      <c r="AU60" s="12"/>
      <c r="AV60" s="11"/>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row>
    <row r="61" spans="2:87" ht="24" customHeight="1" x14ac:dyDescent="0.2">
      <c r="B61" s="7">
        <f t="shared" si="8"/>
        <v>307</v>
      </c>
      <c r="C61" s="7" t="s">
        <v>151</v>
      </c>
      <c r="D61" s="7">
        <v>9</v>
      </c>
      <c r="E61" s="7">
        <v>2</v>
      </c>
      <c r="F61" s="7">
        <v>2</v>
      </c>
      <c r="G61" s="7">
        <v>2</v>
      </c>
      <c r="H61" s="7">
        <v>4</v>
      </c>
      <c r="I61" s="7" t="s">
        <v>185</v>
      </c>
      <c r="J61" s="9"/>
      <c r="K61" s="7" t="s">
        <v>2</v>
      </c>
      <c r="L61" s="6">
        <v>85</v>
      </c>
      <c r="M61" s="5"/>
      <c r="N61" s="6">
        <v>75</v>
      </c>
      <c r="O61" s="5"/>
      <c r="P61" s="6">
        <v>80</v>
      </c>
      <c r="Q61" s="6">
        <v>75</v>
      </c>
      <c r="R61" s="6">
        <v>77</v>
      </c>
      <c r="S61" s="6">
        <v>83</v>
      </c>
      <c r="T61" s="45">
        <v>67</v>
      </c>
      <c r="U61" s="45">
        <v>90</v>
      </c>
      <c r="V61" s="5"/>
      <c r="W61" s="6">
        <v>85</v>
      </c>
      <c r="X61" s="5"/>
      <c r="Y61" s="6">
        <v>85</v>
      </c>
      <c r="Z61" s="5"/>
      <c r="AA61" s="4">
        <f t="shared" si="5"/>
        <v>78.666666666666671</v>
      </c>
      <c r="AB61" s="4">
        <f t="shared" si="6"/>
        <v>83.111111111111114</v>
      </c>
      <c r="AC61" s="4">
        <f t="shared" si="7"/>
        <v>2.188635067065801</v>
      </c>
      <c r="AD61" s="3"/>
      <c r="AE61" s="3"/>
      <c r="AF61" s="3"/>
      <c r="AG61" s="3"/>
      <c r="AH61" s="3"/>
    </row>
    <row r="62" spans="2:87" ht="24" customHeight="1" thickBot="1" x14ac:dyDescent="0.25">
      <c r="B62" s="15">
        <f t="shared" si="8"/>
        <v>307</v>
      </c>
      <c r="C62" s="15" t="s">
        <v>151</v>
      </c>
      <c r="D62" s="15">
        <v>9</v>
      </c>
      <c r="E62" s="15">
        <v>2</v>
      </c>
      <c r="F62" s="15">
        <v>2</v>
      </c>
      <c r="G62" s="15">
        <v>2</v>
      </c>
      <c r="H62" s="15">
        <v>4</v>
      </c>
      <c r="I62" s="15" t="s">
        <v>185</v>
      </c>
      <c r="J62" s="16"/>
      <c r="K62" s="15" t="s">
        <v>0</v>
      </c>
      <c r="L62" s="14">
        <v>76</v>
      </c>
      <c r="M62" s="13"/>
      <c r="N62" s="14">
        <v>72</v>
      </c>
      <c r="O62" s="13"/>
      <c r="P62" s="14">
        <v>71</v>
      </c>
      <c r="Q62" s="14">
        <v>78</v>
      </c>
      <c r="R62" s="14">
        <v>83</v>
      </c>
      <c r="S62" s="14">
        <v>75</v>
      </c>
      <c r="T62" s="46">
        <v>81</v>
      </c>
      <c r="U62" s="46">
        <v>83</v>
      </c>
      <c r="V62" s="13"/>
      <c r="W62" s="14">
        <v>84</v>
      </c>
      <c r="X62" s="13"/>
      <c r="Y62" s="14">
        <v>87</v>
      </c>
      <c r="Z62" s="13"/>
      <c r="AA62" s="4">
        <f t="shared" si="5"/>
        <v>78.5</v>
      </c>
      <c r="AB62" s="4">
        <f t="shared" si="6"/>
        <v>80.083333333333329</v>
      </c>
      <c r="AC62" s="4">
        <f t="shared" si="7"/>
        <v>2.2818730123397413</v>
      </c>
      <c r="AD62" s="3"/>
      <c r="AE62" s="3"/>
      <c r="AF62" s="3"/>
      <c r="AG62" s="3"/>
      <c r="AH62" s="3"/>
      <c r="AT62" s="12"/>
      <c r="AU62" s="12"/>
      <c r="AV62" s="11"/>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row>
    <row r="63" spans="2:87" ht="24" customHeight="1" x14ac:dyDescent="0.2">
      <c r="B63" s="7">
        <f t="shared" si="8"/>
        <v>308</v>
      </c>
      <c r="C63" s="7" t="s">
        <v>156</v>
      </c>
      <c r="D63" s="7">
        <v>5</v>
      </c>
      <c r="E63" s="7">
        <v>1</v>
      </c>
      <c r="F63" s="7">
        <v>3</v>
      </c>
      <c r="G63" s="7">
        <v>2</v>
      </c>
      <c r="H63" s="7">
        <v>4</v>
      </c>
      <c r="I63" s="7" t="s">
        <v>186</v>
      </c>
      <c r="J63" s="9"/>
      <c r="K63" s="7" t="s">
        <v>2</v>
      </c>
      <c r="L63" s="6">
        <v>95</v>
      </c>
      <c r="M63" s="5"/>
      <c r="N63" s="6">
        <v>90</v>
      </c>
      <c r="O63" s="5"/>
      <c r="P63" s="6">
        <v>87</v>
      </c>
      <c r="Q63" s="6">
        <v>72</v>
      </c>
      <c r="R63" s="6">
        <v>73</v>
      </c>
      <c r="S63" s="6">
        <v>81</v>
      </c>
      <c r="T63" s="45">
        <v>87</v>
      </c>
      <c r="U63" s="45">
        <v>91</v>
      </c>
      <c r="V63" s="5"/>
      <c r="W63" s="6">
        <v>82</v>
      </c>
      <c r="X63" s="5"/>
      <c r="Y63" s="6">
        <v>92</v>
      </c>
      <c r="Z63" s="5"/>
      <c r="AA63" s="4">
        <f t="shared" si="5"/>
        <v>81.833333333333329</v>
      </c>
      <c r="AB63" s="4">
        <f t="shared" si="6"/>
        <v>88.638888888888872</v>
      </c>
      <c r="AC63" s="4">
        <f t="shared" si="7"/>
        <v>2.2329256123130166</v>
      </c>
      <c r="AD63" s="3"/>
      <c r="AE63" s="3"/>
      <c r="AF63" s="3"/>
      <c r="AG63" s="3"/>
      <c r="AH63" s="3"/>
    </row>
    <row r="64" spans="2:87" ht="24" customHeight="1" x14ac:dyDescent="0.2">
      <c r="B64" s="7">
        <f t="shared" si="8"/>
        <v>308</v>
      </c>
      <c r="C64" s="7" t="s">
        <v>156</v>
      </c>
      <c r="D64" s="7">
        <v>5</v>
      </c>
      <c r="E64" s="7">
        <v>1</v>
      </c>
      <c r="F64" s="7">
        <v>3</v>
      </c>
      <c r="G64" s="7">
        <v>2</v>
      </c>
      <c r="H64" s="7">
        <v>4</v>
      </c>
      <c r="I64" s="7" t="s">
        <v>186</v>
      </c>
      <c r="J64" s="9"/>
      <c r="K64" s="7" t="s">
        <v>0</v>
      </c>
      <c r="L64" s="6">
        <v>62</v>
      </c>
      <c r="M64" s="6"/>
      <c r="N64" s="6">
        <v>61</v>
      </c>
      <c r="O64" s="6"/>
      <c r="P64" s="6">
        <v>63</v>
      </c>
      <c r="Q64" s="6">
        <v>48</v>
      </c>
      <c r="R64" s="6">
        <v>57</v>
      </c>
      <c r="S64" s="6">
        <v>51</v>
      </c>
      <c r="T64" s="45">
        <v>48</v>
      </c>
      <c r="U64" s="45">
        <v>58</v>
      </c>
      <c r="V64" s="6"/>
      <c r="W64" s="6">
        <v>70</v>
      </c>
      <c r="X64" s="6"/>
      <c r="Y64" s="6">
        <v>69</v>
      </c>
      <c r="Z64" s="6"/>
      <c r="AA64" s="4">
        <f t="shared" si="5"/>
        <v>54.166666666666664</v>
      </c>
      <c r="AB64" s="4">
        <f t="shared" si="6"/>
        <v>62.361111111111107</v>
      </c>
      <c r="AC64" s="4">
        <f t="shared" si="7"/>
        <v>2.5204411234524255</v>
      </c>
      <c r="AD64" s="3"/>
      <c r="AE64" s="3"/>
      <c r="AF64" s="3"/>
      <c r="AG64" s="3"/>
      <c r="AH64" s="3"/>
    </row>
    <row r="65" spans="2:87" ht="24" customHeight="1" x14ac:dyDescent="0.2">
      <c r="B65" s="7">
        <f>B63+100</f>
        <v>408</v>
      </c>
      <c r="C65" s="7" t="s">
        <v>149</v>
      </c>
      <c r="D65" s="7">
        <v>10</v>
      </c>
      <c r="E65" s="7">
        <v>2</v>
      </c>
      <c r="F65" s="7">
        <v>2</v>
      </c>
      <c r="G65" s="7">
        <v>1</v>
      </c>
      <c r="H65" s="7">
        <v>4</v>
      </c>
      <c r="I65" s="7" t="s">
        <v>187</v>
      </c>
      <c r="J65" s="8">
        <v>0.52083333333333337</v>
      </c>
      <c r="K65" s="7" t="s">
        <v>2</v>
      </c>
      <c r="L65" s="6">
        <v>76</v>
      </c>
      <c r="M65" s="6"/>
      <c r="N65" s="6">
        <v>73</v>
      </c>
      <c r="O65" s="6"/>
      <c r="P65" s="6">
        <v>76</v>
      </c>
      <c r="Q65" s="6">
        <v>72</v>
      </c>
      <c r="R65" s="6">
        <v>77</v>
      </c>
      <c r="S65" s="6">
        <v>62</v>
      </c>
      <c r="T65" s="45">
        <v>60</v>
      </c>
      <c r="U65" s="45">
        <v>80</v>
      </c>
      <c r="V65" s="6"/>
      <c r="W65" s="6">
        <v>77</v>
      </c>
      <c r="X65" s="6"/>
      <c r="Y65" s="6">
        <v>73</v>
      </c>
      <c r="Z65" s="6"/>
      <c r="AA65" s="4">
        <f t="shared" si="5"/>
        <v>71.166666666666671</v>
      </c>
      <c r="AB65" s="4">
        <f t="shared" si="6"/>
        <v>75.027777777777786</v>
      </c>
      <c r="AC65" s="4">
        <f t="shared" si="7"/>
        <v>1.3252649397361367</v>
      </c>
      <c r="AT65" s="12">
        <v>2</v>
      </c>
      <c r="AU65" s="12" t="s">
        <v>3</v>
      </c>
      <c r="AV65" s="12">
        <v>150</v>
      </c>
    </row>
    <row r="66" spans="2:87" ht="24" customHeight="1" thickBot="1" x14ac:dyDescent="0.25">
      <c r="B66" s="7">
        <f>B64+100</f>
        <v>408</v>
      </c>
      <c r="C66" s="15" t="s">
        <v>149</v>
      </c>
      <c r="D66" s="15">
        <v>10</v>
      </c>
      <c r="E66" s="15">
        <v>2</v>
      </c>
      <c r="F66" s="15">
        <v>2</v>
      </c>
      <c r="G66" s="15">
        <v>1</v>
      </c>
      <c r="H66" s="15">
        <v>4</v>
      </c>
      <c r="I66" s="15" t="s">
        <v>187</v>
      </c>
      <c r="J66" s="16"/>
      <c r="K66" s="15" t="s">
        <v>0</v>
      </c>
      <c r="L66" s="14">
        <v>82</v>
      </c>
      <c r="M66" s="13"/>
      <c r="N66" s="14">
        <v>77</v>
      </c>
      <c r="O66" s="13"/>
      <c r="P66" s="14">
        <v>68</v>
      </c>
      <c r="Q66" s="14">
        <v>69</v>
      </c>
      <c r="R66" s="14">
        <v>76</v>
      </c>
      <c r="S66" s="14">
        <v>68</v>
      </c>
      <c r="T66" s="46">
        <v>58</v>
      </c>
      <c r="U66" s="46">
        <v>73</v>
      </c>
      <c r="V66" s="13"/>
      <c r="W66" s="14">
        <v>71</v>
      </c>
      <c r="X66" s="13"/>
      <c r="Y66" s="14">
        <v>68</v>
      </c>
      <c r="Z66" s="13"/>
      <c r="AA66" s="4">
        <f t="shared" si="5"/>
        <v>68.666666666666671</v>
      </c>
      <c r="AB66" s="4">
        <f t="shared" si="6"/>
        <v>73.277777777777786</v>
      </c>
      <c r="AC66" s="4">
        <f t="shared" si="7"/>
        <v>2.1932837999585222</v>
      </c>
      <c r="AD66" s="3"/>
      <c r="AE66" s="3"/>
      <c r="AF66" s="3"/>
      <c r="AG66" s="3"/>
      <c r="AH66" s="3"/>
      <c r="AT66" s="12"/>
      <c r="AU66" s="12"/>
      <c r="AV66" s="11"/>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row>
    <row r="67" spans="2:87" ht="24" customHeight="1" x14ac:dyDescent="0.2">
      <c r="B67" s="7">
        <f t="shared" ref="B67:B80" si="9">B65-1</f>
        <v>407</v>
      </c>
      <c r="C67" s="7" t="s">
        <v>188</v>
      </c>
      <c r="D67" s="7">
        <v>7</v>
      </c>
      <c r="E67" s="7">
        <v>2</v>
      </c>
      <c r="F67" s="7">
        <v>1</v>
      </c>
      <c r="G67" s="7">
        <v>2</v>
      </c>
      <c r="H67" s="7">
        <v>4</v>
      </c>
      <c r="I67" s="7" t="s">
        <v>189</v>
      </c>
      <c r="J67" s="9"/>
      <c r="K67" s="7" t="s">
        <v>2</v>
      </c>
      <c r="L67" s="6">
        <v>57</v>
      </c>
      <c r="M67" s="6"/>
      <c r="N67" s="6">
        <v>70</v>
      </c>
      <c r="O67" s="6"/>
      <c r="P67" s="6">
        <v>61</v>
      </c>
      <c r="Q67" s="6">
        <v>73</v>
      </c>
      <c r="R67" s="6">
        <v>60</v>
      </c>
      <c r="S67" s="6">
        <v>69</v>
      </c>
      <c r="T67" s="45">
        <v>69</v>
      </c>
      <c r="U67" s="45">
        <v>72</v>
      </c>
      <c r="V67" s="6"/>
      <c r="W67" s="6">
        <v>69</v>
      </c>
      <c r="X67" s="6"/>
      <c r="Y67" s="6">
        <v>73</v>
      </c>
      <c r="Z67" s="6"/>
      <c r="AA67" s="4">
        <f t="shared" si="5"/>
        <v>67.333333333333329</v>
      </c>
      <c r="AB67" s="4">
        <f t="shared" si="6"/>
        <v>68.055555555555557</v>
      </c>
      <c r="AC67" s="4">
        <f t="shared" si="7"/>
        <v>2.3623852771152434</v>
      </c>
      <c r="AD67" s="3"/>
      <c r="AE67" s="3"/>
      <c r="AF67" s="3"/>
      <c r="AG67" s="3"/>
      <c r="AH67" s="3"/>
    </row>
    <row r="68" spans="2:87" ht="24" customHeight="1" thickBot="1" x14ac:dyDescent="0.25">
      <c r="B68" s="7">
        <f t="shared" si="9"/>
        <v>407</v>
      </c>
      <c r="C68" s="15" t="s">
        <v>188</v>
      </c>
      <c r="D68" s="15">
        <v>7</v>
      </c>
      <c r="E68" s="15">
        <v>2</v>
      </c>
      <c r="F68" s="15">
        <v>1</v>
      </c>
      <c r="G68" s="15">
        <v>2</v>
      </c>
      <c r="H68" s="15">
        <v>4</v>
      </c>
      <c r="I68" s="15" t="s">
        <v>189</v>
      </c>
      <c r="J68" s="16"/>
      <c r="K68" s="15" t="s">
        <v>0</v>
      </c>
      <c r="L68" s="14">
        <v>54</v>
      </c>
      <c r="M68" s="13"/>
      <c r="N68" s="14">
        <v>63</v>
      </c>
      <c r="O68" s="13"/>
      <c r="P68" s="14">
        <v>60</v>
      </c>
      <c r="Q68" s="14">
        <v>55</v>
      </c>
      <c r="R68" s="14">
        <v>48</v>
      </c>
      <c r="S68" s="14">
        <v>56</v>
      </c>
      <c r="T68" s="46">
        <v>61</v>
      </c>
      <c r="U68" s="46">
        <v>63</v>
      </c>
      <c r="V68" s="13"/>
      <c r="W68" s="14">
        <v>57</v>
      </c>
      <c r="X68" s="13"/>
      <c r="Y68" s="14">
        <v>68</v>
      </c>
      <c r="Z68" s="13"/>
      <c r="AA68" s="4">
        <f t="shared" si="5"/>
        <v>57.166666666666664</v>
      </c>
      <c r="AB68" s="4">
        <f t="shared" si="6"/>
        <v>60.361111111111107</v>
      </c>
      <c r="AC68" s="4">
        <f t="shared" si="7"/>
        <v>2.115383104549232</v>
      </c>
      <c r="AD68" s="3"/>
      <c r="AE68" s="3"/>
      <c r="AF68" s="3"/>
      <c r="AG68" s="3"/>
      <c r="AH68" s="3"/>
      <c r="AT68" s="12"/>
      <c r="AU68" s="12"/>
      <c r="AV68" s="11"/>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row>
    <row r="69" spans="2:87" ht="24" customHeight="1" x14ac:dyDescent="0.2">
      <c r="B69" s="7">
        <f t="shared" si="9"/>
        <v>406</v>
      </c>
      <c r="C69" s="7" t="s">
        <v>147</v>
      </c>
      <c r="D69" s="7">
        <v>3</v>
      </c>
      <c r="E69" s="7">
        <v>1</v>
      </c>
      <c r="F69" s="7">
        <v>2</v>
      </c>
      <c r="G69" s="7">
        <v>2</v>
      </c>
      <c r="H69" s="7">
        <v>4</v>
      </c>
      <c r="I69" s="7" t="s">
        <v>190</v>
      </c>
      <c r="J69" s="9"/>
      <c r="K69" s="7" t="s">
        <v>2</v>
      </c>
      <c r="L69" s="6">
        <v>79</v>
      </c>
      <c r="M69" s="6"/>
      <c r="N69" s="6">
        <v>86</v>
      </c>
      <c r="O69" s="6"/>
      <c r="P69" s="6">
        <v>87</v>
      </c>
      <c r="Q69" s="6">
        <v>89</v>
      </c>
      <c r="R69" s="6">
        <v>81</v>
      </c>
      <c r="S69" s="6">
        <v>81</v>
      </c>
      <c r="T69" s="45">
        <v>76</v>
      </c>
      <c r="U69" s="45">
        <v>89</v>
      </c>
      <c r="V69" s="6"/>
      <c r="W69" s="6">
        <v>81</v>
      </c>
      <c r="X69" s="6"/>
      <c r="Y69" s="6">
        <v>77</v>
      </c>
      <c r="Z69" s="6"/>
      <c r="AA69" s="4">
        <f t="shared" si="5"/>
        <v>83.833333333333329</v>
      </c>
      <c r="AB69" s="4">
        <f t="shared" si="6"/>
        <v>82.638888888888886</v>
      </c>
      <c r="AC69" s="4">
        <f t="shared" si="7"/>
        <v>1.834048681987813</v>
      </c>
      <c r="AD69" s="3"/>
      <c r="AE69" s="3"/>
      <c r="AF69" s="3"/>
      <c r="AG69" s="3"/>
      <c r="AH69" s="3"/>
    </row>
    <row r="70" spans="2:87" ht="24" customHeight="1" thickBot="1" x14ac:dyDescent="0.25">
      <c r="B70" s="7">
        <f t="shared" si="9"/>
        <v>406</v>
      </c>
      <c r="C70" s="15" t="s">
        <v>147</v>
      </c>
      <c r="D70" s="15">
        <v>3</v>
      </c>
      <c r="E70" s="15">
        <v>1</v>
      </c>
      <c r="F70" s="15">
        <v>2</v>
      </c>
      <c r="G70" s="15">
        <v>2</v>
      </c>
      <c r="H70" s="15">
        <v>4</v>
      </c>
      <c r="I70" s="15" t="s">
        <v>190</v>
      </c>
      <c r="J70" s="16"/>
      <c r="K70" s="15" t="s">
        <v>0</v>
      </c>
      <c r="L70" s="14">
        <v>77</v>
      </c>
      <c r="M70" s="13"/>
      <c r="N70" s="14">
        <v>87</v>
      </c>
      <c r="O70" s="13"/>
      <c r="P70" s="14">
        <v>81</v>
      </c>
      <c r="Q70" s="14">
        <v>82</v>
      </c>
      <c r="R70" s="14">
        <v>72</v>
      </c>
      <c r="S70" s="14">
        <v>69</v>
      </c>
      <c r="T70" s="46">
        <v>66</v>
      </c>
      <c r="U70" s="46">
        <v>81</v>
      </c>
      <c r="V70" s="13"/>
      <c r="W70" s="14">
        <v>78</v>
      </c>
      <c r="X70" s="13"/>
      <c r="Y70" s="14">
        <v>78</v>
      </c>
      <c r="Z70" s="13"/>
      <c r="AA70" s="4">
        <f t="shared" si="5"/>
        <v>75.166666666666671</v>
      </c>
      <c r="AB70" s="4">
        <f t="shared" si="6"/>
        <v>79.361111111111114</v>
      </c>
      <c r="AC70" s="4">
        <f t="shared" si="7"/>
        <v>1.7118414747189352</v>
      </c>
      <c r="AD70" s="3"/>
      <c r="AE70" s="3"/>
      <c r="AF70" s="3"/>
      <c r="AG70" s="3"/>
      <c r="AH70" s="3"/>
      <c r="AT70" s="12"/>
      <c r="AU70" s="12"/>
      <c r="AV70" s="11"/>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row>
    <row r="71" spans="2:87" ht="24" customHeight="1" x14ac:dyDescent="0.2">
      <c r="B71" s="7">
        <f t="shared" si="9"/>
        <v>405</v>
      </c>
      <c r="C71" s="7" t="s">
        <v>191</v>
      </c>
      <c r="D71" s="7">
        <v>6</v>
      </c>
      <c r="E71" s="7">
        <v>1</v>
      </c>
      <c r="F71" s="7">
        <v>3</v>
      </c>
      <c r="G71" s="7">
        <v>1</v>
      </c>
      <c r="H71" s="7">
        <v>4</v>
      </c>
      <c r="I71" s="7" t="s">
        <v>192</v>
      </c>
      <c r="J71" s="9"/>
      <c r="K71" s="7" t="s">
        <v>2</v>
      </c>
      <c r="L71" s="6">
        <v>78</v>
      </c>
      <c r="M71" s="6"/>
      <c r="N71" s="6">
        <v>87</v>
      </c>
      <c r="O71" s="6"/>
      <c r="P71" s="6">
        <v>87</v>
      </c>
      <c r="Q71" s="6">
        <v>82</v>
      </c>
      <c r="R71" s="6">
        <v>93</v>
      </c>
      <c r="S71" s="6">
        <v>87</v>
      </c>
      <c r="T71" s="45">
        <v>82</v>
      </c>
      <c r="U71" s="45">
        <v>87</v>
      </c>
      <c r="V71" s="6"/>
      <c r="W71" s="6">
        <v>82</v>
      </c>
      <c r="X71" s="6"/>
      <c r="Y71" s="6">
        <v>82</v>
      </c>
      <c r="Z71" s="6"/>
      <c r="AA71" s="4">
        <f t="shared" si="5"/>
        <v>86.333333333333329</v>
      </c>
      <c r="AB71" s="4">
        <f t="shared" si="6"/>
        <v>83.722222222222214</v>
      </c>
      <c r="AC71" s="4">
        <f t="shared" si="7"/>
        <v>1.494227576168609</v>
      </c>
      <c r="AD71" s="3"/>
      <c r="AE71" s="3"/>
      <c r="AF71" s="3"/>
      <c r="AG71" s="3"/>
      <c r="AH71" s="3"/>
    </row>
    <row r="72" spans="2:87" ht="24" customHeight="1" thickBot="1" x14ac:dyDescent="0.25">
      <c r="B72" s="7">
        <f t="shared" si="9"/>
        <v>405</v>
      </c>
      <c r="C72" s="15" t="s">
        <v>191</v>
      </c>
      <c r="D72" s="15">
        <v>6</v>
      </c>
      <c r="E72" s="15">
        <v>1</v>
      </c>
      <c r="F72" s="15">
        <v>3</v>
      </c>
      <c r="G72" s="15">
        <v>1</v>
      </c>
      <c r="H72" s="15">
        <v>4</v>
      </c>
      <c r="I72" s="15" t="s">
        <v>192</v>
      </c>
      <c r="J72" s="16"/>
      <c r="K72" s="15" t="s">
        <v>0</v>
      </c>
      <c r="L72" s="14">
        <v>64</v>
      </c>
      <c r="M72" s="13"/>
      <c r="N72" s="14">
        <v>69</v>
      </c>
      <c r="O72" s="13"/>
      <c r="P72" s="14">
        <v>62</v>
      </c>
      <c r="Q72" s="14">
        <v>59</v>
      </c>
      <c r="R72" s="14">
        <v>59</v>
      </c>
      <c r="S72" s="14">
        <v>62</v>
      </c>
      <c r="T72" s="46">
        <v>59</v>
      </c>
      <c r="U72" s="46">
        <v>70</v>
      </c>
      <c r="V72" s="13"/>
      <c r="W72" s="14">
        <v>69</v>
      </c>
      <c r="X72" s="13"/>
      <c r="Y72" s="14">
        <v>64</v>
      </c>
      <c r="Z72" s="13"/>
      <c r="AA72" s="4">
        <f t="shared" si="5"/>
        <v>61.833333333333336</v>
      </c>
      <c r="AB72" s="4">
        <f t="shared" si="6"/>
        <v>66.305555555555557</v>
      </c>
      <c r="AC72" s="4">
        <f t="shared" si="7"/>
        <v>1.4000110228842952</v>
      </c>
      <c r="AD72" s="3"/>
      <c r="AE72" s="3"/>
      <c r="AF72" s="3"/>
      <c r="AG72" s="3"/>
      <c r="AH72" s="3"/>
      <c r="AT72" s="12"/>
      <c r="AU72" s="12"/>
      <c r="AV72" s="11"/>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row>
    <row r="73" spans="2:87" ht="24" customHeight="1" thickBot="1" x14ac:dyDescent="0.25">
      <c r="B73" s="7">
        <f t="shared" si="9"/>
        <v>404</v>
      </c>
      <c r="C73" s="7" t="s">
        <v>147</v>
      </c>
      <c r="D73" s="7">
        <v>3</v>
      </c>
      <c r="E73" s="7">
        <v>1</v>
      </c>
      <c r="F73" s="7">
        <v>2</v>
      </c>
      <c r="G73" s="7">
        <v>2</v>
      </c>
      <c r="H73" s="7">
        <v>3</v>
      </c>
      <c r="I73" s="7" t="s">
        <v>193</v>
      </c>
      <c r="J73" s="16"/>
      <c r="K73" s="7" t="s">
        <v>2</v>
      </c>
      <c r="L73" s="6">
        <v>89</v>
      </c>
      <c r="M73" s="6"/>
      <c r="N73" s="6">
        <v>80</v>
      </c>
      <c r="O73" s="6"/>
      <c r="P73" s="6">
        <v>76</v>
      </c>
      <c r="Q73" s="6">
        <v>71</v>
      </c>
      <c r="R73" s="6">
        <v>72</v>
      </c>
      <c r="S73" s="6">
        <v>78</v>
      </c>
      <c r="T73" s="45">
        <v>72</v>
      </c>
      <c r="U73" s="45">
        <v>87</v>
      </c>
      <c r="V73" s="6"/>
      <c r="W73" s="6">
        <v>78</v>
      </c>
      <c r="X73" s="6"/>
      <c r="Y73" s="6">
        <v>80</v>
      </c>
      <c r="Z73" s="6"/>
      <c r="AA73" s="4">
        <f t="shared" ref="AA73:AA80" si="10">AVERAGE(P73:U73)</f>
        <v>76</v>
      </c>
      <c r="AB73" s="4">
        <f t="shared" ref="AB73:AB80" si="11">AVERAGE(AVERAGE(L73:M73),AVERAGE(N73:O73),AVERAGE(P73:U73),AVERAGE(U73:V73),AVERAGE(W73:X73),AVERAGE(Y73:Z73))</f>
        <v>81.666666666666671</v>
      </c>
      <c r="AC73" s="4">
        <f t="shared" ref="AC73:AC80" si="12">STDEV(AVERAGE(L73:M73),AVERAGE(N73:O73),AVERAGE(P73:U73),AVERAGE(U73:V73),AVERAGE(W73:X73),AVERAGE(Y73:Z73))/SQRT(6)</f>
        <v>2.1081851067789197</v>
      </c>
      <c r="AD73" s="3"/>
      <c r="AE73" s="3"/>
      <c r="AF73" s="3"/>
      <c r="AG73" s="3"/>
      <c r="AH73" s="3"/>
    </row>
    <row r="74" spans="2:87" ht="24" customHeight="1" thickBot="1" x14ac:dyDescent="0.25">
      <c r="B74" s="7">
        <f t="shared" si="9"/>
        <v>404</v>
      </c>
      <c r="C74" s="15" t="s">
        <v>147</v>
      </c>
      <c r="D74" s="15">
        <v>3</v>
      </c>
      <c r="E74" s="15">
        <v>1</v>
      </c>
      <c r="F74" s="15">
        <v>2</v>
      </c>
      <c r="G74" s="15">
        <v>2</v>
      </c>
      <c r="H74" s="15">
        <v>3</v>
      </c>
      <c r="I74" s="15" t="s">
        <v>193</v>
      </c>
      <c r="J74" s="16"/>
      <c r="K74" s="15" t="s">
        <v>0</v>
      </c>
      <c r="L74" s="14">
        <v>78</v>
      </c>
      <c r="M74" s="13"/>
      <c r="N74" s="14">
        <v>72</v>
      </c>
      <c r="O74" s="13"/>
      <c r="P74" s="14">
        <v>72</v>
      </c>
      <c r="Q74" s="14">
        <v>75</v>
      </c>
      <c r="R74" s="14">
        <v>84</v>
      </c>
      <c r="S74" s="14">
        <v>76</v>
      </c>
      <c r="T74" s="46">
        <v>74</v>
      </c>
      <c r="U74" s="46">
        <v>82</v>
      </c>
      <c r="V74" s="13"/>
      <c r="W74" s="14">
        <v>75</v>
      </c>
      <c r="X74" s="13"/>
      <c r="Y74" s="14">
        <v>71</v>
      </c>
      <c r="Z74" s="13"/>
      <c r="AA74" s="4">
        <f t="shared" si="10"/>
        <v>77.166666666666671</v>
      </c>
      <c r="AB74" s="4">
        <f t="shared" si="11"/>
        <v>75.861111111111114</v>
      </c>
      <c r="AC74" s="4">
        <f t="shared" si="12"/>
        <v>1.6657868047899607</v>
      </c>
      <c r="AD74" s="3"/>
      <c r="AE74" s="3"/>
      <c r="AF74" s="3"/>
      <c r="AG74" s="3"/>
      <c r="AH74" s="3"/>
      <c r="AT74" s="12"/>
      <c r="AU74" s="12"/>
      <c r="AV74" s="11"/>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row>
    <row r="75" spans="2:87" ht="24" customHeight="1" x14ac:dyDescent="0.2">
      <c r="B75" s="7">
        <f t="shared" si="9"/>
        <v>403</v>
      </c>
      <c r="C75" s="7" t="s">
        <v>191</v>
      </c>
      <c r="D75" s="7">
        <v>6</v>
      </c>
      <c r="E75" s="7">
        <v>1</v>
      </c>
      <c r="F75" s="7">
        <v>3</v>
      </c>
      <c r="G75" s="7">
        <v>1</v>
      </c>
      <c r="H75" s="7">
        <v>3</v>
      </c>
      <c r="I75" s="7" t="s">
        <v>194</v>
      </c>
      <c r="J75" s="9"/>
      <c r="K75" s="7" t="s">
        <v>2</v>
      </c>
      <c r="L75" s="6">
        <v>88</v>
      </c>
      <c r="M75" s="6"/>
      <c r="N75" s="6">
        <v>85</v>
      </c>
      <c r="O75" s="6"/>
      <c r="P75" s="6">
        <v>90</v>
      </c>
      <c r="Q75" s="6">
        <v>80</v>
      </c>
      <c r="R75" s="6">
        <v>94</v>
      </c>
      <c r="S75" s="6">
        <v>81</v>
      </c>
      <c r="T75" s="45">
        <v>84</v>
      </c>
      <c r="U75" s="45">
        <v>81</v>
      </c>
      <c r="V75" s="6"/>
      <c r="W75" s="6">
        <v>73</v>
      </c>
      <c r="X75" s="6"/>
      <c r="Y75" s="6">
        <v>86</v>
      </c>
      <c r="Z75" s="6"/>
      <c r="AA75" s="4">
        <f t="shared" si="10"/>
        <v>85</v>
      </c>
      <c r="AB75" s="4">
        <f t="shared" si="11"/>
        <v>83</v>
      </c>
      <c r="AC75" s="4">
        <f t="shared" si="12"/>
        <v>2.2060522810365732</v>
      </c>
      <c r="AD75" s="3"/>
      <c r="AE75" s="3"/>
      <c r="AF75" s="3"/>
      <c r="AG75" s="3"/>
      <c r="AH75" s="3"/>
    </row>
    <row r="76" spans="2:87" ht="24" customHeight="1" thickBot="1" x14ac:dyDescent="0.25">
      <c r="B76" s="7">
        <f t="shared" si="9"/>
        <v>403</v>
      </c>
      <c r="C76" s="15" t="s">
        <v>191</v>
      </c>
      <c r="D76" s="15">
        <v>6</v>
      </c>
      <c r="E76" s="15">
        <v>1</v>
      </c>
      <c r="F76" s="15">
        <v>3</v>
      </c>
      <c r="G76" s="15">
        <v>1</v>
      </c>
      <c r="H76" s="15">
        <v>3</v>
      </c>
      <c r="I76" s="15" t="s">
        <v>194</v>
      </c>
      <c r="J76" s="16"/>
      <c r="K76" s="15" t="s">
        <v>0</v>
      </c>
      <c r="L76" s="14">
        <v>75</v>
      </c>
      <c r="M76" s="13"/>
      <c r="N76" s="14">
        <v>73</v>
      </c>
      <c r="O76" s="13"/>
      <c r="P76" s="14">
        <v>63</v>
      </c>
      <c r="Q76" s="14">
        <v>61</v>
      </c>
      <c r="R76" s="14">
        <v>63</v>
      </c>
      <c r="S76" s="14">
        <v>70</v>
      </c>
      <c r="T76" s="46">
        <v>74</v>
      </c>
      <c r="U76" s="46">
        <v>60</v>
      </c>
      <c r="V76" s="13"/>
      <c r="W76" s="14">
        <v>65</v>
      </c>
      <c r="X76" s="13"/>
      <c r="Y76" s="14">
        <v>74</v>
      </c>
      <c r="Z76" s="13"/>
      <c r="AA76" s="4">
        <f t="shared" si="10"/>
        <v>65.166666666666671</v>
      </c>
      <c r="AB76" s="4">
        <f t="shared" si="11"/>
        <v>68.694444444444443</v>
      </c>
      <c r="AC76" s="4">
        <f t="shared" si="12"/>
        <v>2.5042248252320798</v>
      </c>
      <c r="AD76" s="3"/>
      <c r="AE76" s="3"/>
      <c r="AF76" s="3"/>
      <c r="AG76" s="3"/>
      <c r="AH76" s="3"/>
      <c r="AT76" s="12"/>
      <c r="AU76" s="12"/>
      <c r="AV76" s="11"/>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row>
    <row r="77" spans="2:87" ht="24" customHeight="1" x14ac:dyDescent="0.2">
      <c r="B77" s="7">
        <f t="shared" si="9"/>
        <v>402</v>
      </c>
      <c r="C77" s="7" t="s">
        <v>151</v>
      </c>
      <c r="D77" s="7">
        <v>9</v>
      </c>
      <c r="E77" s="7">
        <v>2</v>
      </c>
      <c r="F77" s="7">
        <v>2</v>
      </c>
      <c r="G77" s="7">
        <v>2</v>
      </c>
      <c r="H77" s="7">
        <v>3</v>
      </c>
      <c r="I77" s="7" t="s">
        <v>195</v>
      </c>
      <c r="J77" s="9"/>
      <c r="K77" s="7" t="s">
        <v>2</v>
      </c>
      <c r="L77" s="6">
        <v>74</v>
      </c>
      <c r="M77" s="5"/>
      <c r="N77" s="6">
        <v>72</v>
      </c>
      <c r="O77" s="5"/>
      <c r="P77" s="6">
        <v>76</v>
      </c>
      <c r="Q77" s="6">
        <v>80</v>
      </c>
      <c r="R77" s="6">
        <v>75</v>
      </c>
      <c r="S77" s="6" t="s">
        <v>1</v>
      </c>
      <c r="T77" s="45"/>
      <c r="U77" s="45">
        <v>82</v>
      </c>
      <c r="V77" s="5"/>
      <c r="W77" s="6">
        <v>74</v>
      </c>
      <c r="X77" s="5"/>
      <c r="Y77" s="6">
        <v>70</v>
      </c>
      <c r="Z77" s="5"/>
      <c r="AA77" s="4">
        <f t="shared" si="10"/>
        <v>78.25</v>
      </c>
      <c r="AB77" s="4">
        <f t="shared" si="11"/>
        <v>75.041666666666671</v>
      </c>
      <c r="AC77" s="4">
        <f t="shared" si="12"/>
        <v>1.7846762856172111</v>
      </c>
      <c r="AD77" s="3"/>
      <c r="AE77" s="3"/>
      <c r="AF77" s="3"/>
      <c r="AG77" s="3"/>
      <c r="AH77" s="3"/>
    </row>
    <row r="78" spans="2:87" ht="24" customHeight="1" thickBot="1" x14ac:dyDescent="0.25">
      <c r="B78" s="7">
        <f t="shared" si="9"/>
        <v>402</v>
      </c>
      <c r="C78" s="15" t="s">
        <v>151</v>
      </c>
      <c r="D78" s="15">
        <v>9</v>
      </c>
      <c r="E78" s="15">
        <v>2</v>
      </c>
      <c r="F78" s="15">
        <v>2</v>
      </c>
      <c r="G78" s="15">
        <v>2</v>
      </c>
      <c r="H78" s="15">
        <v>3</v>
      </c>
      <c r="I78" s="15" t="s">
        <v>195</v>
      </c>
      <c r="J78" s="16"/>
      <c r="K78" s="15" t="s">
        <v>0</v>
      </c>
      <c r="L78" s="14">
        <v>68</v>
      </c>
      <c r="M78" s="13"/>
      <c r="N78" s="14">
        <v>71</v>
      </c>
      <c r="O78" s="13"/>
      <c r="P78" s="14">
        <v>61</v>
      </c>
      <c r="Q78" s="14">
        <v>71</v>
      </c>
      <c r="R78" s="14">
        <v>76</v>
      </c>
      <c r="S78" s="14"/>
      <c r="T78" s="46"/>
      <c r="U78" s="46">
        <v>68</v>
      </c>
      <c r="V78" s="13"/>
      <c r="W78" s="14">
        <v>61</v>
      </c>
      <c r="X78" s="13"/>
      <c r="Y78" s="14">
        <v>65</v>
      </c>
      <c r="Z78" s="13"/>
      <c r="AA78" s="4">
        <f t="shared" si="10"/>
        <v>69</v>
      </c>
      <c r="AB78" s="4">
        <f t="shared" si="11"/>
        <v>67</v>
      </c>
      <c r="AC78" s="4">
        <f t="shared" si="12"/>
        <v>1.4375905768565218</v>
      </c>
      <c r="AD78" s="3"/>
      <c r="AE78" s="3"/>
      <c r="AF78" s="3"/>
      <c r="AG78" s="3"/>
      <c r="AH78" s="3"/>
      <c r="AT78" s="12"/>
      <c r="AU78" s="12"/>
      <c r="AV78" s="11"/>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row>
    <row r="79" spans="2:87" ht="24" customHeight="1" x14ac:dyDescent="0.2">
      <c r="B79" s="7">
        <f t="shared" si="9"/>
        <v>401</v>
      </c>
      <c r="C79" s="7" t="s">
        <v>188</v>
      </c>
      <c r="D79" s="7">
        <v>7</v>
      </c>
      <c r="E79" s="7">
        <v>2</v>
      </c>
      <c r="F79" s="7">
        <v>1</v>
      </c>
      <c r="G79" s="7">
        <v>2</v>
      </c>
      <c r="H79" s="7">
        <v>3</v>
      </c>
      <c r="I79" s="7" t="s">
        <v>196</v>
      </c>
      <c r="J79" s="9"/>
      <c r="K79" s="7" t="s">
        <v>2</v>
      </c>
      <c r="L79" s="6">
        <v>59</v>
      </c>
      <c r="M79" s="5"/>
      <c r="N79" s="6">
        <v>59</v>
      </c>
      <c r="O79" s="5"/>
      <c r="P79" s="6">
        <v>60</v>
      </c>
      <c r="Q79" s="6">
        <v>61</v>
      </c>
      <c r="R79" s="6">
        <v>63</v>
      </c>
      <c r="S79" s="6">
        <v>61</v>
      </c>
      <c r="T79" s="45">
        <v>68</v>
      </c>
      <c r="U79" s="45">
        <v>61</v>
      </c>
      <c r="V79" s="5"/>
      <c r="W79" s="6">
        <v>73</v>
      </c>
      <c r="X79" s="5"/>
      <c r="Y79" s="6">
        <v>58</v>
      </c>
      <c r="Z79" s="5"/>
      <c r="AA79" s="4">
        <f t="shared" si="10"/>
        <v>62.333333333333336</v>
      </c>
      <c r="AB79" s="4">
        <f t="shared" si="11"/>
        <v>62.055555555555564</v>
      </c>
      <c r="AC79" s="4">
        <f t="shared" si="12"/>
        <v>2.2810274921081262</v>
      </c>
      <c r="AD79" s="3"/>
      <c r="AE79" s="3"/>
      <c r="AF79" s="3"/>
      <c r="AG79" s="3"/>
      <c r="AH79" s="3"/>
    </row>
    <row r="80" spans="2:87" ht="24" customHeight="1" x14ac:dyDescent="0.2">
      <c r="B80" s="7">
        <f t="shared" si="9"/>
        <v>401</v>
      </c>
      <c r="C80" s="7" t="s">
        <v>188</v>
      </c>
      <c r="D80" s="7">
        <v>7</v>
      </c>
      <c r="E80" s="7">
        <v>2</v>
      </c>
      <c r="F80" s="7">
        <v>1</v>
      </c>
      <c r="G80" s="7">
        <v>2</v>
      </c>
      <c r="H80" s="7">
        <v>3</v>
      </c>
      <c r="I80" s="7" t="s">
        <v>196</v>
      </c>
      <c r="J80" s="7"/>
      <c r="K80" s="7" t="s">
        <v>0</v>
      </c>
      <c r="L80" s="6">
        <v>54</v>
      </c>
      <c r="M80" s="5"/>
      <c r="N80" s="6">
        <v>53</v>
      </c>
      <c r="O80" s="5"/>
      <c r="P80" s="6">
        <v>49</v>
      </c>
      <c r="Q80" s="6">
        <v>55</v>
      </c>
      <c r="R80" s="6">
        <v>54</v>
      </c>
      <c r="S80" s="6">
        <v>60</v>
      </c>
      <c r="T80" s="45">
        <v>51</v>
      </c>
      <c r="U80" s="45">
        <v>57</v>
      </c>
      <c r="V80" s="5"/>
      <c r="W80" s="6">
        <v>68</v>
      </c>
      <c r="X80" s="5"/>
      <c r="Y80" s="6">
        <v>59</v>
      </c>
      <c r="Z80" s="5"/>
      <c r="AA80" s="4">
        <f t="shared" si="10"/>
        <v>54.333333333333336</v>
      </c>
      <c r="AB80" s="4">
        <f t="shared" si="11"/>
        <v>57.555555555555564</v>
      </c>
      <c r="AC80" s="4">
        <f t="shared" si="12"/>
        <v>2.2749304697012853</v>
      </c>
      <c r="AD80" s="3"/>
      <c r="AE80" s="3"/>
      <c r="AF80" s="3"/>
      <c r="AG80" s="3"/>
      <c r="AH80" s="3"/>
    </row>
    <row r="81" spans="11:11" x14ac:dyDescent="0.2">
      <c r="K81" s="2"/>
    </row>
    <row r="82" spans="11:11" x14ac:dyDescent="0.2">
      <c r="K82" s="2"/>
    </row>
    <row r="83" spans="11:11" x14ac:dyDescent="0.2">
      <c r="K83" s="2"/>
    </row>
    <row r="84" spans="11:11" x14ac:dyDescent="0.2">
      <c r="K84" s="2"/>
    </row>
    <row r="85" spans="11:11" x14ac:dyDescent="0.2">
      <c r="K85" s="2"/>
    </row>
    <row r="86" spans="11:11" x14ac:dyDescent="0.2">
      <c r="K86" s="2"/>
    </row>
    <row r="87" spans="11:11" x14ac:dyDescent="0.2">
      <c r="K87" s="2"/>
    </row>
  </sheetData>
  <mergeCells count="12">
    <mergeCell ref="AT5:AV5"/>
    <mergeCell ref="J7:K7"/>
    <mergeCell ref="B7:H7"/>
    <mergeCell ref="AA6:AA7"/>
    <mergeCell ref="AB6:AB7"/>
    <mergeCell ref="AC6:AC7"/>
    <mergeCell ref="L6:M6"/>
    <mergeCell ref="N6:O6"/>
    <mergeCell ref="W6:X6"/>
    <mergeCell ref="Y6:Z6"/>
    <mergeCell ref="P6:T6"/>
    <mergeCell ref="U6:V6"/>
  </mergeCells>
  <pageMargins left="0.51" right="0" top="0.85" bottom="0" header="0.64" footer="0"/>
  <pageSetup paperSize="512" scale="30" orientation="landscape" r:id="rId1"/>
  <headerFooter alignWithMargins="0">
    <oddHeader xml:space="preserve">&amp;L&amp;"Comic Sans MS,Bold"&amp;14FISE2003 ---Cotton Plant Cover and Heights in North 1 m of Harvest Area&amp;C&amp;"Comic Sans MS,Bold"&amp;12       </oddHeader>
    <oddFooter>&amp;L&amp;F   USWCL Remote Sensing&amp;R&amp;D</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41B5F-A4C9-44A1-A9E6-19C3EA07DD7E}">
  <sheetPr>
    <pageSetUpPr fitToPage="1"/>
  </sheetPr>
  <dimension ref="A1:CI87"/>
  <sheetViews>
    <sheetView zoomScale="90" workbookViewId="0">
      <selection activeCell="N2" sqref="N2"/>
    </sheetView>
  </sheetViews>
  <sheetFormatPr defaultRowHeight="12.75" x14ac:dyDescent="0.2"/>
  <cols>
    <col min="1" max="1" width="9.140625" style="1"/>
    <col min="2" max="2" width="4.85546875" style="1" customWidth="1"/>
    <col min="3" max="3" width="5.7109375" style="1" customWidth="1"/>
    <col min="4" max="8" width="5.28515625" style="1" hidden="1" customWidth="1"/>
    <col min="9" max="9" width="7" style="1" hidden="1" customWidth="1"/>
    <col min="10" max="11" width="9" style="1" customWidth="1"/>
    <col min="12" max="13" width="9.140625" style="1"/>
    <col min="14" max="14" width="9.7109375" style="1" customWidth="1"/>
    <col min="15" max="24" width="9.140625" style="1"/>
    <col min="25" max="25" width="12.140625" style="1" bestFit="1" customWidth="1"/>
    <col min="26" max="26" width="10.140625" style="1" customWidth="1"/>
    <col min="27" max="27" width="12.7109375" style="1" customWidth="1"/>
    <col min="28" max="29" width="11.5703125" style="1" bestFit="1" customWidth="1"/>
    <col min="30" max="35" width="9.140625" style="1"/>
    <col min="36" max="36" width="7.5703125" style="1" customWidth="1"/>
    <col min="37" max="46" width="7.7109375" style="1" customWidth="1"/>
    <col min="47" max="16384" width="9.140625" style="1"/>
  </cols>
  <sheetData>
    <row r="1" spans="1:87" ht="15" customHeight="1" x14ac:dyDescent="0.25">
      <c r="A1" s="44" t="s">
        <v>82</v>
      </c>
    </row>
    <row r="2" spans="1:87" ht="15" customHeight="1" thickBot="1" x14ac:dyDescent="0.3">
      <c r="A2" s="44"/>
      <c r="N2" s="43"/>
      <c r="X2" s="20" t="s">
        <v>81</v>
      </c>
      <c r="Y2" s="48">
        <v>37830</v>
      </c>
      <c r="Z2" s="39"/>
    </row>
    <row r="3" spans="1:87" ht="15" customHeight="1" thickBot="1" x14ac:dyDescent="0.25">
      <c r="B3" s="1" t="s">
        <v>80</v>
      </c>
      <c r="D3" s="41"/>
      <c r="E3" s="41"/>
      <c r="F3" s="41"/>
      <c r="G3" s="41"/>
      <c r="H3" s="41"/>
      <c r="I3" s="41"/>
      <c r="J3" s="41" t="s">
        <v>131</v>
      </c>
      <c r="K3" s="41"/>
      <c r="L3" s="41"/>
      <c r="M3" s="41"/>
      <c r="N3" s="41"/>
      <c r="O3" s="41"/>
      <c r="P3" s="41"/>
      <c r="Q3" s="41"/>
      <c r="R3" s="41"/>
      <c r="S3" s="41"/>
      <c r="T3" s="41"/>
      <c r="U3" s="41"/>
      <c r="V3" s="41"/>
    </row>
    <row r="4" spans="1:87" ht="13.5" thickBot="1" x14ac:dyDescent="0.25">
      <c r="D4" s="40"/>
      <c r="E4" s="40"/>
      <c r="F4" s="40"/>
      <c r="G4" s="40"/>
      <c r="H4" s="40"/>
      <c r="I4" s="40"/>
      <c r="J4" s="40" t="s">
        <v>130</v>
      </c>
      <c r="K4" s="40"/>
      <c r="L4" s="40"/>
      <c r="M4" s="40"/>
      <c r="N4" s="40"/>
      <c r="O4" s="40"/>
      <c r="P4" s="40"/>
      <c r="Q4" s="40"/>
      <c r="R4" s="40"/>
      <c r="S4" s="40"/>
      <c r="T4" s="40"/>
      <c r="U4" s="40"/>
      <c r="V4" s="40"/>
      <c r="X4" s="20" t="s">
        <v>78</v>
      </c>
      <c r="Y4" s="39" t="s">
        <v>129</v>
      </c>
      <c r="Z4" s="39"/>
    </row>
    <row r="5" spans="1:87" ht="18" x14ac:dyDescent="0.2">
      <c r="J5" s="1" t="s">
        <v>128</v>
      </c>
      <c r="AS5" s="38"/>
      <c r="AT5" s="56" t="s">
        <v>76</v>
      </c>
      <c r="AU5" s="56"/>
      <c r="AV5" s="56"/>
    </row>
    <row r="6" spans="1:87" ht="25.5" customHeight="1" x14ac:dyDescent="0.2">
      <c r="B6" s="36" t="s">
        <v>51</v>
      </c>
      <c r="C6" s="37" t="s">
        <v>50</v>
      </c>
      <c r="D6" s="37" t="s">
        <v>75</v>
      </c>
      <c r="E6" s="36" t="s">
        <v>74</v>
      </c>
      <c r="F6" s="37" t="s">
        <v>73</v>
      </c>
      <c r="G6" s="36" t="s">
        <v>72</v>
      </c>
      <c r="H6" s="36" t="s">
        <v>45</v>
      </c>
      <c r="I6" s="36" t="s">
        <v>71</v>
      </c>
      <c r="J6" s="36" t="s">
        <v>43</v>
      </c>
      <c r="K6" s="35" t="s">
        <v>70</v>
      </c>
      <c r="L6" s="65" t="s">
        <v>69</v>
      </c>
      <c r="M6" s="66"/>
      <c r="N6" s="65" t="s">
        <v>68</v>
      </c>
      <c r="O6" s="66"/>
      <c r="P6" s="65" t="s">
        <v>67</v>
      </c>
      <c r="Q6" s="67"/>
      <c r="R6" s="67"/>
      <c r="S6" s="67"/>
      <c r="T6" s="66"/>
      <c r="U6" s="65" t="s">
        <v>66</v>
      </c>
      <c r="V6" s="66"/>
      <c r="W6" s="65" t="s">
        <v>65</v>
      </c>
      <c r="X6" s="66"/>
      <c r="Y6" s="65" t="s">
        <v>64</v>
      </c>
      <c r="Z6" s="66"/>
      <c r="AA6" s="61" t="s">
        <v>63</v>
      </c>
      <c r="AB6" s="61" t="s">
        <v>62</v>
      </c>
      <c r="AC6" s="63" t="s">
        <v>61</v>
      </c>
      <c r="AS6" s="34"/>
      <c r="AT6" s="2" t="s">
        <v>60</v>
      </c>
      <c r="AU6" s="2"/>
    </row>
    <row r="7" spans="1:87" ht="15.75" customHeight="1" x14ac:dyDescent="0.2">
      <c r="B7" s="59"/>
      <c r="C7" s="60"/>
      <c r="D7" s="60"/>
      <c r="E7" s="60"/>
      <c r="F7" s="60"/>
      <c r="G7" s="60"/>
      <c r="H7" s="60"/>
      <c r="I7" s="33"/>
      <c r="J7" s="57" t="s">
        <v>59</v>
      </c>
      <c r="K7" s="58"/>
      <c r="L7" s="32" t="s">
        <v>55</v>
      </c>
      <c r="M7" s="31" t="s">
        <v>54</v>
      </c>
      <c r="N7" s="32" t="s">
        <v>55</v>
      </c>
      <c r="O7" s="31" t="s">
        <v>54</v>
      </c>
      <c r="P7" s="32" t="s">
        <v>58</v>
      </c>
      <c r="Q7" s="31" t="s">
        <v>55</v>
      </c>
      <c r="R7" s="31" t="s">
        <v>57</v>
      </c>
      <c r="S7" s="31" t="s">
        <v>54</v>
      </c>
      <c r="T7" s="31" t="s">
        <v>56</v>
      </c>
      <c r="U7" s="32" t="s">
        <v>55</v>
      </c>
      <c r="V7" s="31" t="s">
        <v>54</v>
      </c>
      <c r="W7" s="32" t="s">
        <v>55</v>
      </c>
      <c r="X7" s="31" t="s">
        <v>54</v>
      </c>
      <c r="Y7" s="32" t="s">
        <v>55</v>
      </c>
      <c r="Z7" s="31" t="s">
        <v>54</v>
      </c>
      <c r="AA7" s="62"/>
      <c r="AB7" s="62"/>
      <c r="AC7" s="64"/>
      <c r="AT7" s="12" t="s">
        <v>7</v>
      </c>
      <c r="AU7" s="12" t="s">
        <v>53</v>
      </c>
      <c r="AV7" s="12" t="s">
        <v>52</v>
      </c>
    </row>
    <row r="8" spans="1:87" ht="15.75" hidden="1" customHeight="1" x14ac:dyDescent="0.2">
      <c r="B8" s="28" t="s">
        <v>51</v>
      </c>
      <c r="C8" s="30" t="s">
        <v>50</v>
      </c>
      <c r="D8" s="30" t="s">
        <v>49</v>
      </c>
      <c r="E8" s="28" t="s">
        <v>48</v>
      </c>
      <c r="F8" s="30" t="s">
        <v>47</v>
      </c>
      <c r="G8" s="28" t="s">
        <v>46</v>
      </c>
      <c r="H8" s="28" t="s">
        <v>45</v>
      </c>
      <c r="I8" s="28" t="s">
        <v>44</v>
      </c>
      <c r="J8" s="27" t="s">
        <v>43</v>
      </c>
      <c r="K8" s="27" t="s">
        <v>42</v>
      </c>
      <c r="L8" s="29" t="s">
        <v>41</v>
      </c>
      <c r="M8" s="29" t="s">
        <v>40</v>
      </c>
      <c r="N8" s="29" t="s">
        <v>39</v>
      </c>
      <c r="O8" s="29" t="s">
        <v>38</v>
      </c>
      <c r="P8" s="29" t="s">
        <v>37</v>
      </c>
      <c r="Q8" s="29" t="s">
        <v>36</v>
      </c>
      <c r="R8" s="29" t="s">
        <v>35</v>
      </c>
      <c r="S8" s="29" t="s">
        <v>34</v>
      </c>
      <c r="T8" s="29" t="s">
        <v>33</v>
      </c>
      <c r="U8" s="29" t="s">
        <v>32</v>
      </c>
      <c r="V8" s="29" t="s">
        <v>31</v>
      </c>
      <c r="W8" s="29" t="s">
        <v>30</v>
      </c>
      <c r="X8" s="29" t="s">
        <v>29</v>
      </c>
      <c r="Y8" s="29" t="s">
        <v>28</v>
      </c>
      <c r="Z8" s="29" t="s">
        <v>27</v>
      </c>
      <c r="AA8" s="28" t="s">
        <v>26</v>
      </c>
      <c r="AB8" s="28" t="s">
        <v>25</v>
      </c>
      <c r="AC8" s="27" t="s">
        <v>24</v>
      </c>
      <c r="AT8" s="12"/>
      <c r="AU8" s="12"/>
      <c r="AV8" s="12"/>
    </row>
    <row r="9" spans="1:87" ht="24" customHeight="1" x14ac:dyDescent="0.2">
      <c r="B9" s="7">
        <v>108</v>
      </c>
      <c r="C9" s="7" t="s">
        <v>147</v>
      </c>
      <c r="D9" s="7">
        <v>3</v>
      </c>
      <c r="E9" s="7">
        <v>1</v>
      </c>
      <c r="F9" s="7">
        <v>2</v>
      </c>
      <c r="G9" s="7">
        <v>2</v>
      </c>
      <c r="H9" s="7">
        <v>2</v>
      </c>
      <c r="I9" s="7" t="s">
        <v>148</v>
      </c>
      <c r="J9" s="8">
        <v>0.4604166666666667</v>
      </c>
      <c r="K9" s="7" t="s">
        <v>2</v>
      </c>
      <c r="L9" s="6">
        <v>92</v>
      </c>
      <c r="M9" s="5"/>
      <c r="N9" s="6">
        <v>102</v>
      </c>
      <c r="O9" s="5"/>
      <c r="P9" s="6">
        <v>86</v>
      </c>
      <c r="Q9" s="6">
        <v>79</v>
      </c>
      <c r="R9" s="6">
        <v>100</v>
      </c>
      <c r="S9" s="6"/>
      <c r="T9" s="5"/>
      <c r="U9" s="6">
        <v>98</v>
      </c>
      <c r="V9" s="5"/>
      <c r="W9" s="6">
        <v>82</v>
      </c>
      <c r="X9" s="5"/>
      <c r="Y9" s="6">
        <v>87</v>
      </c>
      <c r="Z9" s="5"/>
      <c r="AA9" s="4">
        <f t="shared" ref="AA9:AA40" si="0">AVERAGE(P9:U9)</f>
        <v>90.75</v>
      </c>
      <c r="AB9" s="4">
        <f t="shared" ref="AB9:AB40" si="1">AVERAGE(AVERAGE(L9:M9),AVERAGE(N9:O9),AVERAGE(P9:U9),AVERAGE(U9:V9),AVERAGE(W9:X9),AVERAGE(Y9:Z9))</f>
        <v>91.958333333333329</v>
      </c>
      <c r="AC9" s="4">
        <f t="shared" ref="AC9:AC40" si="2">STDEV(AVERAGE(L9:M9),AVERAGE(N9:O9),AVERAGE(P9:U9),AVERAGE(U9:V9),AVERAGE(W9:X9),AVERAGE(Y9:Z9))/SQRT(6)</f>
        <v>2.9583333333333335</v>
      </c>
      <c r="AD9" s="3"/>
      <c r="AE9" s="3"/>
      <c r="AF9" s="3"/>
      <c r="AG9" s="3"/>
      <c r="AH9" s="3"/>
      <c r="AT9" s="12">
        <v>1</v>
      </c>
      <c r="AU9" s="12" t="s">
        <v>23</v>
      </c>
      <c r="AV9" s="11"/>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row>
    <row r="10" spans="1:87" ht="24" customHeight="1" thickBot="1" x14ac:dyDescent="0.25">
      <c r="B10" s="15">
        <v>108</v>
      </c>
      <c r="C10" s="15" t="s">
        <v>147</v>
      </c>
      <c r="D10" s="15">
        <v>3</v>
      </c>
      <c r="E10" s="15">
        <v>1</v>
      </c>
      <c r="F10" s="15">
        <v>2</v>
      </c>
      <c r="G10" s="15">
        <v>2</v>
      </c>
      <c r="H10" s="15">
        <v>2</v>
      </c>
      <c r="I10" s="15" t="s">
        <v>148</v>
      </c>
      <c r="J10" s="16"/>
      <c r="K10" s="15" t="s">
        <v>0</v>
      </c>
      <c r="L10" s="14">
        <v>91</v>
      </c>
      <c r="M10" s="13"/>
      <c r="N10" s="14">
        <v>86</v>
      </c>
      <c r="O10" s="13"/>
      <c r="P10" s="14">
        <v>78</v>
      </c>
      <c r="Q10" s="14">
        <v>81</v>
      </c>
      <c r="R10" s="14">
        <v>102</v>
      </c>
      <c r="S10" s="14"/>
      <c r="T10" s="13"/>
      <c r="U10" s="14">
        <v>94</v>
      </c>
      <c r="V10" s="13"/>
      <c r="W10" s="14">
        <v>101</v>
      </c>
      <c r="X10" s="13"/>
      <c r="Y10" s="14">
        <v>84</v>
      </c>
      <c r="Z10" s="13"/>
      <c r="AA10" s="4">
        <f t="shared" si="0"/>
        <v>88.75</v>
      </c>
      <c r="AB10" s="4">
        <f t="shared" si="1"/>
        <v>90.791666666666671</v>
      </c>
      <c r="AC10" s="4">
        <f t="shared" si="2"/>
        <v>2.5020130783919665</v>
      </c>
      <c r="AD10" s="3"/>
      <c r="AE10" s="3"/>
      <c r="AF10" s="3"/>
      <c r="AG10" s="3"/>
      <c r="AH10" s="3"/>
      <c r="AT10" s="12">
        <v>2</v>
      </c>
      <c r="AU10" s="12" t="s">
        <v>22</v>
      </c>
      <c r="AV10" s="11"/>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row>
    <row r="11" spans="1:87" ht="24" customHeight="1" x14ac:dyDescent="0.2">
      <c r="B11" s="25">
        <f t="shared" ref="B11:B24" si="3">B9-1</f>
        <v>107</v>
      </c>
      <c r="C11" s="25" t="s">
        <v>149</v>
      </c>
      <c r="D11" s="25">
        <v>10</v>
      </c>
      <c r="E11" s="25">
        <v>2</v>
      </c>
      <c r="F11" s="25">
        <v>2</v>
      </c>
      <c r="G11" s="25">
        <v>1</v>
      </c>
      <c r="H11" s="25">
        <v>2</v>
      </c>
      <c r="I11" s="25" t="s">
        <v>150</v>
      </c>
      <c r="J11" s="26"/>
      <c r="K11" s="25" t="s">
        <v>2</v>
      </c>
      <c r="L11" s="24">
        <v>70</v>
      </c>
      <c r="M11" s="23"/>
      <c r="N11" s="24">
        <v>110</v>
      </c>
      <c r="O11" s="23"/>
      <c r="P11" s="24">
        <v>79</v>
      </c>
      <c r="Q11" s="24">
        <v>83</v>
      </c>
      <c r="R11" s="24">
        <v>92</v>
      </c>
      <c r="S11" s="24"/>
      <c r="T11" s="23"/>
      <c r="U11" s="24">
        <v>101</v>
      </c>
      <c r="V11" s="23"/>
      <c r="W11" s="24">
        <v>88</v>
      </c>
      <c r="X11" s="23"/>
      <c r="Y11" s="24">
        <v>89</v>
      </c>
      <c r="Z11" s="23"/>
      <c r="AA11" s="4">
        <f t="shared" si="0"/>
        <v>88.75</v>
      </c>
      <c r="AB11" s="4">
        <f t="shared" si="1"/>
        <v>91.125</v>
      </c>
      <c r="AC11" s="4">
        <f t="shared" si="2"/>
        <v>5.5376551896989765</v>
      </c>
      <c r="AD11" s="3"/>
      <c r="AE11" s="22"/>
      <c r="AF11" s="3"/>
      <c r="AG11" s="21"/>
      <c r="AH11" s="3"/>
      <c r="AT11" s="12">
        <v>3</v>
      </c>
      <c r="AU11" s="12" t="s">
        <v>21</v>
      </c>
      <c r="AV11" s="12" t="s">
        <v>19</v>
      </c>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row>
    <row r="12" spans="1:87" ht="24" customHeight="1" thickBot="1" x14ac:dyDescent="0.25">
      <c r="B12" s="15">
        <f t="shared" si="3"/>
        <v>107</v>
      </c>
      <c r="C12" s="15" t="s">
        <v>149</v>
      </c>
      <c r="D12" s="15">
        <v>10</v>
      </c>
      <c r="E12" s="15">
        <v>2</v>
      </c>
      <c r="F12" s="15">
        <v>2</v>
      </c>
      <c r="G12" s="15">
        <v>1</v>
      </c>
      <c r="H12" s="15">
        <v>2</v>
      </c>
      <c r="I12" s="15" t="s">
        <v>150</v>
      </c>
      <c r="J12" s="16"/>
      <c r="K12" s="15" t="s">
        <v>0</v>
      </c>
      <c r="L12" s="14">
        <v>90</v>
      </c>
      <c r="M12" s="13"/>
      <c r="N12" s="14">
        <v>103</v>
      </c>
      <c r="O12" s="13"/>
      <c r="P12" s="14">
        <v>90</v>
      </c>
      <c r="Q12" s="14">
        <v>84</v>
      </c>
      <c r="R12" s="14">
        <v>91</v>
      </c>
      <c r="S12" s="14"/>
      <c r="T12" s="13"/>
      <c r="U12" s="14">
        <v>88</v>
      </c>
      <c r="V12" s="13"/>
      <c r="W12" s="14">
        <v>94</v>
      </c>
      <c r="X12" s="13"/>
      <c r="Y12" s="14">
        <v>93</v>
      </c>
      <c r="Z12" s="13"/>
      <c r="AA12" s="4">
        <f t="shared" si="0"/>
        <v>88.25</v>
      </c>
      <c r="AB12" s="4">
        <f t="shared" si="1"/>
        <v>92.708333333333329</v>
      </c>
      <c r="AC12" s="4">
        <f t="shared" si="2"/>
        <v>2.2880274133944387</v>
      </c>
      <c r="AD12" s="3"/>
      <c r="AE12" s="3"/>
      <c r="AF12" s="3"/>
      <c r="AG12" s="3"/>
      <c r="AH12" s="3"/>
      <c r="AT12" s="12">
        <v>4</v>
      </c>
      <c r="AU12" s="12" t="s">
        <v>20</v>
      </c>
      <c r="AV12" s="11" t="s">
        <v>19</v>
      </c>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row>
    <row r="13" spans="1:87" ht="24" customHeight="1" x14ac:dyDescent="0.2">
      <c r="B13" s="7">
        <f t="shared" si="3"/>
        <v>106</v>
      </c>
      <c r="C13" s="7" t="s">
        <v>151</v>
      </c>
      <c r="D13" s="7">
        <v>9</v>
      </c>
      <c r="E13" s="7">
        <v>2</v>
      </c>
      <c r="F13" s="7">
        <v>2</v>
      </c>
      <c r="G13" s="7">
        <v>2</v>
      </c>
      <c r="H13" s="7">
        <v>2</v>
      </c>
      <c r="I13" s="7" t="s">
        <v>152</v>
      </c>
      <c r="J13" s="9"/>
      <c r="K13" s="7" t="s">
        <v>2</v>
      </c>
      <c r="L13" s="6">
        <v>87</v>
      </c>
      <c r="M13" s="5"/>
      <c r="N13" s="6">
        <v>86</v>
      </c>
      <c r="O13" s="5"/>
      <c r="P13" s="6">
        <v>108</v>
      </c>
      <c r="Q13" s="6">
        <v>106</v>
      </c>
      <c r="R13" s="6">
        <v>109</v>
      </c>
      <c r="S13" s="6"/>
      <c r="T13" s="5"/>
      <c r="U13" s="6">
        <v>88</v>
      </c>
      <c r="V13" s="5"/>
      <c r="W13" s="6">
        <v>100</v>
      </c>
      <c r="X13" s="5"/>
      <c r="Y13" s="6">
        <v>84</v>
      </c>
      <c r="Z13" s="5"/>
      <c r="AA13" s="4">
        <f t="shared" si="0"/>
        <v>102.75</v>
      </c>
      <c r="AB13" s="4">
        <f t="shared" si="1"/>
        <v>91.291666666666671</v>
      </c>
      <c r="AC13" s="4">
        <f t="shared" si="2"/>
        <v>3.2534703693816618</v>
      </c>
      <c r="AD13" s="3"/>
      <c r="AE13" s="3"/>
      <c r="AF13" s="3"/>
      <c r="AG13" s="3"/>
      <c r="AH13" s="3"/>
      <c r="AT13" s="12">
        <v>8</v>
      </c>
      <c r="AU13" s="12" t="s">
        <v>18</v>
      </c>
      <c r="AV13" s="12" t="s">
        <v>17</v>
      </c>
    </row>
    <row r="14" spans="1:87" ht="24" customHeight="1" thickBot="1" x14ac:dyDescent="0.25">
      <c r="B14" s="15">
        <f t="shared" si="3"/>
        <v>106</v>
      </c>
      <c r="C14" s="15" t="s">
        <v>151</v>
      </c>
      <c r="D14" s="15">
        <v>9</v>
      </c>
      <c r="E14" s="15">
        <v>2</v>
      </c>
      <c r="F14" s="15">
        <v>2</v>
      </c>
      <c r="G14" s="15">
        <v>2</v>
      </c>
      <c r="H14" s="15">
        <v>2</v>
      </c>
      <c r="I14" s="15" t="s">
        <v>152</v>
      </c>
      <c r="J14" s="16"/>
      <c r="K14" s="15" t="s">
        <v>0</v>
      </c>
      <c r="L14" s="14">
        <v>102</v>
      </c>
      <c r="M14" s="13"/>
      <c r="N14" s="14">
        <v>99</v>
      </c>
      <c r="O14" s="13"/>
      <c r="P14" s="14">
        <v>99</v>
      </c>
      <c r="Q14" s="14">
        <v>101</v>
      </c>
      <c r="R14" s="14">
        <v>102</v>
      </c>
      <c r="S14" s="14"/>
      <c r="T14" s="13"/>
      <c r="U14" s="14">
        <v>105</v>
      </c>
      <c r="V14" s="13"/>
      <c r="W14" s="14">
        <v>95</v>
      </c>
      <c r="X14" s="13"/>
      <c r="Y14" s="14">
        <v>94</v>
      </c>
      <c r="Z14" s="13"/>
      <c r="AA14" s="4">
        <f t="shared" si="0"/>
        <v>101.75</v>
      </c>
      <c r="AB14" s="4">
        <f t="shared" si="1"/>
        <v>99.458333333333329</v>
      </c>
      <c r="AC14" s="4">
        <f t="shared" si="2"/>
        <v>1.7540627443484202</v>
      </c>
      <c r="AD14" s="3"/>
      <c r="AE14" s="3"/>
      <c r="AF14" s="3"/>
      <c r="AG14" s="3"/>
      <c r="AH14" s="3"/>
      <c r="AT14" s="12">
        <v>9</v>
      </c>
      <c r="AU14" s="12" t="s">
        <v>16</v>
      </c>
      <c r="AV14" s="11" t="s">
        <v>15</v>
      </c>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row>
    <row r="15" spans="1:87" ht="24" customHeight="1" x14ac:dyDescent="0.2">
      <c r="B15" s="7">
        <f t="shared" si="3"/>
        <v>105</v>
      </c>
      <c r="C15" s="7" t="s">
        <v>153</v>
      </c>
      <c r="D15" s="7">
        <v>12</v>
      </c>
      <c r="E15" s="7">
        <v>2</v>
      </c>
      <c r="F15" s="7">
        <v>3</v>
      </c>
      <c r="G15" s="7">
        <v>1</v>
      </c>
      <c r="H15" s="7">
        <v>2</v>
      </c>
      <c r="I15" s="7" t="s">
        <v>154</v>
      </c>
      <c r="J15" s="9"/>
      <c r="K15" s="7" t="s">
        <v>2</v>
      </c>
      <c r="L15" s="6">
        <v>99</v>
      </c>
      <c r="M15" s="5"/>
      <c r="N15" s="6">
        <v>103</v>
      </c>
      <c r="O15" s="5"/>
      <c r="P15" s="6">
        <v>98</v>
      </c>
      <c r="Q15" s="6">
        <v>107</v>
      </c>
      <c r="R15" s="6">
        <v>98</v>
      </c>
      <c r="S15" s="6"/>
      <c r="T15" s="5"/>
      <c r="U15" s="6">
        <v>102</v>
      </c>
      <c r="V15" s="5"/>
      <c r="W15" s="6">
        <v>90</v>
      </c>
      <c r="X15" s="5"/>
      <c r="Y15" s="6">
        <v>83</v>
      </c>
      <c r="Z15" s="5"/>
      <c r="AA15" s="4">
        <f t="shared" si="0"/>
        <v>101.25</v>
      </c>
      <c r="AB15" s="4">
        <f t="shared" si="1"/>
        <v>96.375</v>
      </c>
      <c r="AC15" s="4">
        <f t="shared" si="2"/>
        <v>3.2950404651030722</v>
      </c>
      <c r="AD15" s="3"/>
      <c r="AE15" s="3"/>
      <c r="AF15" s="3"/>
      <c r="AG15" s="3"/>
      <c r="AH15" s="3"/>
    </row>
    <row r="16" spans="1:87" ht="24" customHeight="1" thickBot="1" x14ac:dyDescent="0.25">
      <c r="B16" s="15">
        <f t="shared" si="3"/>
        <v>105</v>
      </c>
      <c r="C16" s="15" t="s">
        <v>153</v>
      </c>
      <c r="D16" s="15">
        <v>12</v>
      </c>
      <c r="E16" s="15">
        <v>2</v>
      </c>
      <c r="F16" s="15">
        <v>3</v>
      </c>
      <c r="G16" s="15">
        <v>1</v>
      </c>
      <c r="H16" s="15">
        <v>2</v>
      </c>
      <c r="I16" s="15" t="s">
        <v>154</v>
      </c>
      <c r="J16" s="16"/>
      <c r="K16" s="15" t="s">
        <v>0</v>
      </c>
      <c r="L16" s="14">
        <v>98</v>
      </c>
      <c r="M16" s="13"/>
      <c r="N16" s="14">
        <v>88</v>
      </c>
      <c r="O16" s="13"/>
      <c r="P16" s="14">
        <v>86</v>
      </c>
      <c r="Q16" s="14">
        <v>84</v>
      </c>
      <c r="R16" s="14">
        <v>85</v>
      </c>
      <c r="S16" s="14"/>
      <c r="T16" s="13"/>
      <c r="U16" s="14">
        <v>89</v>
      </c>
      <c r="V16" s="13"/>
      <c r="W16" s="14">
        <v>74</v>
      </c>
      <c r="X16" s="13"/>
      <c r="Y16" s="14">
        <v>77</v>
      </c>
      <c r="Z16" s="13"/>
      <c r="AA16" s="4">
        <f t="shared" si="0"/>
        <v>86</v>
      </c>
      <c r="AB16" s="4">
        <f t="shared" si="1"/>
        <v>85.333333333333329</v>
      </c>
      <c r="AC16" s="4">
        <f t="shared" si="2"/>
        <v>3.5559027608252238</v>
      </c>
      <c r="AD16" s="3"/>
      <c r="AE16" s="3"/>
      <c r="AF16" s="3"/>
      <c r="AG16" s="3"/>
      <c r="AH16" s="3"/>
      <c r="AT16" s="12" t="s">
        <v>14</v>
      </c>
      <c r="AU16" s="12"/>
      <c r="AV16" s="11"/>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row>
    <row r="17" spans="2:87" ht="24" customHeight="1" x14ac:dyDescent="0.2">
      <c r="B17" s="7">
        <f t="shared" si="3"/>
        <v>104</v>
      </c>
      <c r="C17" s="7" t="s">
        <v>149</v>
      </c>
      <c r="D17" s="7">
        <v>10</v>
      </c>
      <c r="E17" s="7">
        <v>2</v>
      </c>
      <c r="F17" s="7">
        <v>2</v>
      </c>
      <c r="G17" s="7">
        <v>1</v>
      </c>
      <c r="H17" s="7">
        <v>1</v>
      </c>
      <c r="I17" s="7" t="s">
        <v>155</v>
      </c>
      <c r="J17" s="9"/>
      <c r="K17" s="7" t="s">
        <v>2</v>
      </c>
      <c r="L17" s="18">
        <v>88</v>
      </c>
      <c r="M17" s="5"/>
      <c r="N17" s="18">
        <v>107</v>
      </c>
      <c r="O17" s="5"/>
      <c r="P17" s="18">
        <v>95</v>
      </c>
      <c r="Q17" s="18">
        <v>91</v>
      </c>
      <c r="R17" s="18">
        <v>100</v>
      </c>
      <c r="S17" s="18"/>
      <c r="T17" s="5"/>
      <c r="U17" s="18">
        <v>89</v>
      </c>
      <c r="V17" s="5"/>
      <c r="W17" s="18">
        <v>98</v>
      </c>
      <c r="X17" s="5"/>
      <c r="Y17" s="18">
        <v>97</v>
      </c>
      <c r="Z17" s="5"/>
      <c r="AA17" s="4">
        <f t="shared" si="0"/>
        <v>93.75</v>
      </c>
      <c r="AB17" s="4">
        <f t="shared" si="1"/>
        <v>95.458333333333329</v>
      </c>
      <c r="AC17" s="4">
        <f t="shared" si="2"/>
        <v>2.8419599066684795</v>
      </c>
      <c r="AD17" s="3"/>
      <c r="AE17" s="3"/>
      <c r="AF17" s="3"/>
      <c r="AG17" s="3"/>
      <c r="AH17" s="3"/>
      <c r="AT17" s="12" t="s">
        <v>7</v>
      </c>
      <c r="AU17" s="12" t="s">
        <v>13</v>
      </c>
      <c r="AV17" s="12" t="s">
        <v>12</v>
      </c>
    </row>
    <row r="18" spans="2:87" ht="24" customHeight="1" thickBot="1" x14ac:dyDescent="0.25">
      <c r="B18" s="15">
        <f t="shared" si="3"/>
        <v>104</v>
      </c>
      <c r="C18" s="15" t="s">
        <v>149</v>
      </c>
      <c r="D18" s="15">
        <v>10</v>
      </c>
      <c r="E18" s="15">
        <v>2</v>
      </c>
      <c r="F18" s="15">
        <v>2</v>
      </c>
      <c r="G18" s="15">
        <v>1</v>
      </c>
      <c r="H18" s="15">
        <v>1</v>
      </c>
      <c r="I18" s="15" t="s">
        <v>155</v>
      </c>
      <c r="J18" s="16"/>
      <c r="K18" s="15" t="s">
        <v>0</v>
      </c>
      <c r="L18" s="14">
        <v>93</v>
      </c>
      <c r="M18" s="13"/>
      <c r="N18" s="14">
        <v>89</v>
      </c>
      <c r="O18" s="13"/>
      <c r="P18" s="14">
        <v>92</v>
      </c>
      <c r="Q18" s="14">
        <v>87</v>
      </c>
      <c r="R18" s="14">
        <v>102</v>
      </c>
      <c r="S18" s="14"/>
      <c r="T18" s="13"/>
      <c r="U18" s="14">
        <v>88</v>
      </c>
      <c r="V18" s="13"/>
      <c r="W18" s="14">
        <v>108</v>
      </c>
      <c r="X18" s="13"/>
      <c r="Y18" s="14">
        <v>99</v>
      </c>
      <c r="Z18" s="13"/>
      <c r="AA18" s="4">
        <f t="shared" si="0"/>
        <v>92.25</v>
      </c>
      <c r="AB18" s="4">
        <f t="shared" si="1"/>
        <v>94.875</v>
      </c>
      <c r="AC18" s="4">
        <f t="shared" si="2"/>
        <v>3.0630526712197863</v>
      </c>
      <c r="AD18" s="3"/>
      <c r="AE18" s="3"/>
      <c r="AF18" s="3"/>
      <c r="AG18" s="3"/>
      <c r="AH18" s="3"/>
      <c r="AT18" s="12">
        <v>0</v>
      </c>
      <c r="AU18" s="12">
        <v>0</v>
      </c>
      <c r="AV18" s="11" t="s">
        <v>11</v>
      </c>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row>
    <row r="19" spans="2:87" ht="24" customHeight="1" x14ac:dyDescent="0.2">
      <c r="B19" s="7">
        <f t="shared" si="3"/>
        <v>103</v>
      </c>
      <c r="C19" s="7" t="s">
        <v>156</v>
      </c>
      <c r="D19" s="7">
        <v>5</v>
      </c>
      <c r="E19" s="7">
        <v>1</v>
      </c>
      <c r="F19" s="7">
        <v>3</v>
      </c>
      <c r="G19" s="7">
        <v>2</v>
      </c>
      <c r="H19" s="7">
        <v>1</v>
      </c>
      <c r="I19" s="7" t="s">
        <v>157</v>
      </c>
      <c r="J19" s="9"/>
      <c r="K19" s="7" t="s">
        <v>2</v>
      </c>
      <c r="L19" s="18">
        <v>104</v>
      </c>
      <c r="M19" s="5"/>
      <c r="N19" s="18">
        <v>105</v>
      </c>
      <c r="O19" s="5"/>
      <c r="P19" s="18">
        <v>103</v>
      </c>
      <c r="Q19" s="18">
        <v>87</v>
      </c>
      <c r="R19" s="18">
        <v>102</v>
      </c>
      <c r="S19" s="18"/>
      <c r="T19" s="5"/>
      <c r="U19" s="18">
        <v>98</v>
      </c>
      <c r="V19" s="5"/>
      <c r="W19" s="18">
        <v>92</v>
      </c>
      <c r="X19" s="5"/>
      <c r="Y19" s="18">
        <v>99</v>
      </c>
      <c r="Z19" s="5"/>
      <c r="AA19" s="4">
        <f t="shared" si="0"/>
        <v>97.5</v>
      </c>
      <c r="AB19" s="4">
        <f t="shared" si="1"/>
        <v>99.25</v>
      </c>
      <c r="AC19" s="4">
        <f t="shared" si="2"/>
        <v>1.9397164741270825</v>
      </c>
      <c r="AD19" s="3"/>
      <c r="AE19" s="3"/>
      <c r="AF19" s="3"/>
      <c r="AG19" s="3"/>
      <c r="AH19" s="3"/>
      <c r="AT19" s="12">
        <v>1</v>
      </c>
      <c r="AU19" s="12">
        <v>5</v>
      </c>
      <c r="AV19" s="12" t="s">
        <v>10</v>
      </c>
    </row>
    <row r="20" spans="2:87" ht="24" customHeight="1" thickBot="1" x14ac:dyDescent="0.25">
      <c r="B20" s="15">
        <f t="shared" si="3"/>
        <v>103</v>
      </c>
      <c r="C20" s="15" t="s">
        <v>156</v>
      </c>
      <c r="D20" s="15">
        <v>5</v>
      </c>
      <c r="E20" s="15">
        <v>1</v>
      </c>
      <c r="F20" s="15">
        <v>3</v>
      </c>
      <c r="G20" s="15">
        <v>2</v>
      </c>
      <c r="H20" s="15">
        <v>1</v>
      </c>
      <c r="I20" s="15" t="s">
        <v>157</v>
      </c>
      <c r="J20" s="16"/>
      <c r="K20" s="15" t="s">
        <v>0</v>
      </c>
      <c r="L20" s="14">
        <v>84</v>
      </c>
      <c r="M20" s="13"/>
      <c r="N20" s="14">
        <v>91</v>
      </c>
      <c r="O20" s="13"/>
      <c r="P20" s="14">
        <v>81</v>
      </c>
      <c r="Q20" s="14">
        <v>84</v>
      </c>
      <c r="R20" s="14">
        <v>83</v>
      </c>
      <c r="S20" s="14"/>
      <c r="T20" s="13"/>
      <c r="U20" s="14">
        <v>83</v>
      </c>
      <c r="V20" s="13"/>
      <c r="W20" s="14">
        <v>73</v>
      </c>
      <c r="X20" s="13"/>
      <c r="Y20" s="14">
        <v>77</v>
      </c>
      <c r="Z20" s="13"/>
      <c r="AA20" s="4">
        <f t="shared" si="0"/>
        <v>82.75</v>
      </c>
      <c r="AB20" s="4">
        <f t="shared" si="1"/>
        <v>81.791666666666671</v>
      </c>
      <c r="AC20" s="4">
        <f t="shared" si="2"/>
        <v>2.5318114946505093</v>
      </c>
      <c r="AD20" s="3"/>
      <c r="AE20" s="3"/>
      <c r="AF20" s="3"/>
      <c r="AG20" s="3"/>
      <c r="AH20" s="3"/>
      <c r="AT20" s="12">
        <v>2</v>
      </c>
      <c r="AU20" s="12">
        <v>10</v>
      </c>
      <c r="AV20" s="11" t="s">
        <v>10</v>
      </c>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row>
    <row r="21" spans="2:87" ht="24" customHeight="1" x14ac:dyDescent="0.2">
      <c r="B21" s="7">
        <f t="shared" si="3"/>
        <v>102</v>
      </c>
      <c r="C21" s="7" t="s">
        <v>158</v>
      </c>
      <c r="D21" s="7">
        <v>4</v>
      </c>
      <c r="E21" s="7">
        <v>1</v>
      </c>
      <c r="F21" s="7">
        <v>2</v>
      </c>
      <c r="G21" s="7">
        <v>1</v>
      </c>
      <c r="H21" s="7">
        <v>1</v>
      </c>
      <c r="I21" s="7" t="s">
        <v>159</v>
      </c>
      <c r="J21" s="9"/>
      <c r="K21" s="7" t="s">
        <v>2</v>
      </c>
      <c r="L21" s="6">
        <v>94</v>
      </c>
      <c r="M21" s="5"/>
      <c r="N21" s="6">
        <v>93</v>
      </c>
      <c r="O21" s="5"/>
      <c r="P21" s="6">
        <v>62</v>
      </c>
      <c r="Q21" s="6">
        <v>64</v>
      </c>
      <c r="R21" s="6">
        <v>77</v>
      </c>
      <c r="S21" s="6"/>
      <c r="T21" s="5"/>
      <c r="U21" s="6">
        <v>79</v>
      </c>
      <c r="V21" s="5"/>
      <c r="W21" s="6">
        <v>80</v>
      </c>
      <c r="X21" s="5"/>
      <c r="Y21" s="6">
        <v>99</v>
      </c>
      <c r="Z21" s="5"/>
      <c r="AA21" s="4">
        <f t="shared" si="0"/>
        <v>70.5</v>
      </c>
      <c r="AB21" s="4">
        <f t="shared" si="1"/>
        <v>85.916666666666671</v>
      </c>
      <c r="AC21" s="4">
        <f t="shared" si="2"/>
        <v>4.498919623396028</v>
      </c>
      <c r="AD21" s="3"/>
      <c r="AE21" s="3"/>
      <c r="AF21" s="3"/>
      <c r="AG21" s="3"/>
      <c r="AH21" s="3"/>
      <c r="AT21" s="12">
        <v>3</v>
      </c>
      <c r="AU21" s="12">
        <v>20</v>
      </c>
      <c r="AV21" s="12" t="s">
        <v>9</v>
      </c>
    </row>
    <row r="22" spans="2:87" ht="24" customHeight="1" thickBot="1" x14ac:dyDescent="0.25">
      <c r="B22" s="15">
        <f t="shared" si="3"/>
        <v>102</v>
      </c>
      <c r="C22" s="15" t="s">
        <v>158</v>
      </c>
      <c r="D22" s="15">
        <v>4</v>
      </c>
      <c r="E22" s="15">
        <v>1</v>
      </c>
      <c r="F22" s="15">
        <v>2</v>
      </c>
      <c r="G22" s="15">
        <v>1</v>
      </c>
      <c r="H22" s="15">
        <v>1</v>
      </c>
      <c r="I22" s="15" t="s">
        <v>159</v>
      </c>
      <c r="J22" s="16"/>
      <c r="K22" s="15" t="s">
        <v>0</v>
      </c>
      <c r="L22" s="14">
        <v>82</v>
      </c>
      <c r="M22" s="13"/>
      <c r="N22" s="14">
        <v>80</v>
      </c>
      <c r="O22" s="13"/>
      <c r="P22" s="14">
        <v>79</v>
      </c>
      <c r="Q22" s="14">
        <v>77</v>
      </c>
      <c r="R22" s="14">
        <v>80</v>
      </c>
      <c r="S22" s="14"/>
      <c r="T22" s="13"/>
      <c r="U22" s="14">
        <v>86</v>
      </c>
      <c r="V22" s="13"/>
      <c r="W22" s="14">
        <v>75</v>
      </c>
      <c r="X22" s="13"/>
      <c r="Y22" s="14">
        <v>86</v>
      </c>
      <c r="Z22" s="13"/>
      <c r="AA22" s="4">
        <f t="shared" si="0"/>
        <v>80.5</v>
      </c>
      <c r="AB22" s="4">
        <f t="shared" si="1"/>
        <v>81.583333333333329</v>
      </c>
      <c r="AC22" s="4">
        <f t="shared" si="2"/>
        <v>1.695172885316159</v>
      </c>
      <c r="AD22" s="3"/>
      <c r="AE22" s="3"/>
      <c r="AF22" s="3"/>
      <c r="AG22" s="3"/>
      <c r="AH22" s="3"/>
      <c r="AT22" s="12"/>
      <c r="AU22" s="12"/>
      <c r="AV22" s="11"/>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row>
    <row r="23" spans="2:87" ht="24" customHeight="1" x14ac:dyDescent="0.2">
      <c r="B23" s="7">
        <f t="shared" si="3"/>
        <v>101</v>
      </c>
      <c r="C23" s="7" t="s">
        <v>160</v>
      </c>
      <c r="D23" s="7">
        <v>1</v>
      </c>
      <c r="E23" s="7">
        <v>1</v>
      </c>
      <c r="F23" s="7">
        <v>1</v>
      </c>
      <c r="G23" s="7">
        <v>2</v>
      </c>
      <c r="H23" s="7">
        <v>1</v>
      </c>
      <c r="I23" s="7" t="s">
        <v>161</v>
      </c>
      <c r="J23" s="9"/>
      <c r="K23" s="7" t="s">
        <v>2</v>
      </c>
      <c r="L23" s="6">
        <v>85</v>
      </c>
      <c r="M23" s="5"/>
      <c r="N23" s="6">
        <v>94</v>
      </c>
      <c r="O23" s="5"/>
      <c r="P23" s="6">
        <v>87</v>
      </c>
      <c r="Q23" s="6">
        <v>94</v>
      </c>
      <c r="R23" s="6">
        <v>103</v>
      </c>
      <c r="S23" s="6"/>
      <c r="T23" s="5"/>
      <c r="U23" s="6">
        <v>98</v>
      </c>
      <c r="V23" s="5"/>
      <c r="W23" s="6">
        <v>89</v>
      </c>
      <c r="X23" s="5"/>
      <c r="Y23" s="6">
        <v>82</v>
      </c>
      <c r="Z23" s="5"/>
      <c r="AA23" s="4">
        <f t="shared" si="0"/>
        <v>95.5</v>
      </c>
      <c r="AB23" s="4">
        <f t="shared" si="1"/>
        <v>90.583333333333329</v>
      </c>
      <c r="AC23" s="4">
        <f t="shared" si="2"/>
        <v>2.570397721062724</v>
      </c>
      <c r="AD23" s="3"/>
      <c r="AE23" s="3"/>
      <c r="AF23" s="3"/>
      <c r="AG23" s="3"/>
      <c r="AH23" s="3"/>
      <c r="AT23" s="2" t="s">
        <v>8</v>
      </c>
      <c r="AU23" s="2"/>
      <c r="AV23" s="2"/>
    </row>
    <row r="24" spans="2:87" ht="24" customHeight="1" thickBot="1" x14ac:dyDescent="0.25">
      <c r="B24" s="15">
        <f t="shared" si="3"/>
        <v>101</v>
      </c>
      <c r="C24" s="15" t="s">
        <v>160</v>
      </c>
      <c r="D24" s="15">
        <v>1</v>
      </c>
      <c r="E24" s="15">
        <v>1</v>
      </c>
      <c r="F24" s="15">
        <v>1</v>
      </c>
      <c r="G24" s="15">
        <v>2</v>
      </c>
      <c r="H24" s="15">
        <v>1</v>
      </c>
      <c r="I24" s="15" t="s">
        <v>161</v>
      </c>
      <c r="J24" s="16"/>
      <c r="K24" s="15" t="s">
        <v>0</v>
      </c>
      <c r="L24" s="14">
        <v>79</v>
      </c>
      <c r="M24" s="13"/>
      <c r="N24" s="14">
        <v>89</v>
      </c>
      <c r="O24" s="13"/>
      <c r="P24" s="14">
        <v>94</v>
      </c>
      <c r="Q24" s="14">
        <v>85</v>
      </c>
      <c r="R24" s="14">
        <v>80</v>
      </c>
      <c r="S24" s="14"/>
      <c r="T24" s="13"/>
      <c r="U24" s="14">
        <v>83</v>
      </c>
      <c r="V24" s="13"/>
      <c r="W24" s="14">
        <v>76</v>
      </c>
      <c r="X24" s="13"/>
      <c r="Y24" s="14">
        <v>96</v>
      </c>
      <c r="Z24" s="13"/>
      <c r="AA24" s="4">
        <f t="shared" si="0"/>
        <v>85.5</v>
      </c>
      <c r="AB24" s="4">
        <f t="shared" si="1"/>
        <v>84.75</v>
      </c>
      <c r="AC24" s="4">
        <f t="shared" si="2"/>
        <v>2.9318651628840873</v>
      </c>
      <c r="AD24" s="3"/>
      <c r="AE24" s="3"/>
      <c r="AF24" s="3"/>
      <c r="AG24" s="3"/>
      <c r="AH24" s="3"/>
      <c r="AT24" s="12" t="s">
        <v>7</v>
      </c>
      <c r="AU24" s="12" t="s">
        <v>6</v>
      </c>
      <c r="AV24" s="11" t="s">
        <v>5</v>
      </c>
      <c r="AW24" s="10"/>
      <c r="AX24" s="10"/>
      <c r="AY24" s="10"/>
      <c r="AZ24" s="10"/>
      <c r="BA24" s="10"/>
      <c r="BB24" s="10"/>
      <c r="BC24" s="10"/>
      <c r="BD24" s="10"/>
      <c r="BE24" s="10"/>
      <c r="BF24" s="10"/>
      <c r="BG24" s="10"/>
      <c r="BH24" s="10"/>
      <c r="BI24" s="10"/>
      <c r="BJ24" s="10"/>
      <c r="BK24" s="10"/>
      <c r="BL24" s="10"/>
      <c r="BM24" s="10"/>
      <c r="BN24" s="10"/>
      <c r="BO24" s="10"/>
      <c r="BP24" s="10"/>
      <c r="BQ24" s="10"/>
      <c r="BR24" s="10"/>
      <c r="BS24" s="10"/>
      <c r="BT24" s="10"/>
      <c r="BU24" s="10"/>
      <c r="BV24" s="10"/>
      <c r="BW24" s="10"/>
      <c r="BX24" s="10"/>
      <c r="BY24" s="10"/>
      <c r="BZ24" s="10"/>
      <c r="CA24" s="10"/>
      <c r="CB24" s="10"/>
      <c r="CC24" s="10"/>
      <c r="CD24" s="10"/>
      <c r="CE24" s="10"/>
      <c r="CF24" s="10"/>
      <c r="CG24" s="10"/>
      <c r="CH24" s="10"/>
      <c r="CI24" s="10"/>
    </row>
    <row r="25" spans="2:87" ht="24" customHeight="1" x14ac:dyDescent="0.2">
      <c r="B25" s="7">
        <f>B23+100</f>
        <v>201</v>
      </c>
      <c r="C25" s="7" t="s">
        <v>153</v>
      </c>
      <c r="D25" s="7">
        <v>12</v>
      </c>
      <c r="E25" s="7">
        <v>2</v>
      </c>
      <c r="F25" s="7">
        <v>3</v>
      </c>
      <c r="G25" s="7">
        <v>1</v>
      </c>
      <c r="H25" s="7">
        <v>1</v>
      </c>
      <c r="I25" s="7" t="s">
        <v>162</v>
      </c>
      <c r="J25" s="8">
        <v>0.47569444444444442</v>
      </c>
      <c r="K25" s="7" t="s">
        <v>2</v>
      </c>
      <c r="L25" s="6">
        <v>93</v>
      </c>
      <c r="M25" s="6"/>
      <c r="N25" s="6">
        <v>107</v>
      </c>
      <c r="O25" s="6"/>
      <c r="P25" s="6">
        <v>105</v>
      </c>
      <c r="Q25" s="6">
        <v>93</v>
      </c>
      <c r="R25" s="6">
        <v>110</v>
      </c>
      <c r="S25" s="6"/>
      <c r="T25" s="6"/>
      <c r="U25" s="6">
        <v>103</v>
      </c>
      <c r="V25" s="6"/>
      <c r="W25" s="6">
        <v>104</v>
      </c>
      <c r="X25" s="6"/>
      <c r="Y25" s="6">
        <v>102</v>
      </c>
      <c r="Z25" s="6"/>
      <c r="AA25" s="4">
        <f t="shared" si="0"/>
        <v>102.75</v>
      </c>
      <c r="AB25" s="4">
        <f t="shared" si="1"/>
        <v>101.95833333333333</v>
      </c>
      <c r="AC25" s="4">
        <f t="shared" si="2"/>
        <v>1.9283160471711527</v>
      </c>
      <c r="AD25" s="3"/>
      <c r="AE25" s="3"/>
      <c r="AF25" s="3"/>
      <c r="AG25" s="3"/>
      <c r="AH25" s="3"/>
      <c r="AT25" s="12">
        <v>1</v>
      </c>
      <c r="AU25" s="12" t="s">
        <v>4</v>
      </c>
      <c r="AV25" s="12">
        <v>0</v>
      </c>
    </row>
    <row r="26" spans="2:87" ht="24" customHeight="1" thickBot="1" x14ac:dyDescent="0.25">
      <c r="B26" s="15">
        <f>B24+100</f>
        <v>201</v>
      </c>
      <c r="C26" s="15" t="s">
        <v>153</v>
      </c>
      <c r="D26" s="15">
        <v>12</v>
      </c>
      <c r="E26" s="15">
        <v>2</v>
      </c>
      <c r="F26" s="15">
        <v>3</v>
      </c>
      <c r="G26" s="15">
        <v>1</v>
      </c>
      <c r="H26" s="15">
        <v>1</v>
      </c>
      <c r="I26" s="15" t="s">
        <v>162</v>
      </c>
      <c r="J26" s="16"/>
      <c r="K26" s="15" t="s">
        <v>0</v>
      </c>
      <c r="L26" s="14">
        <v>91</v>
      </c>
      <c r="M26" s="13"/>
      <c r="N26" s="14">
        <v>87</v>
      </c>
      <c r="O26" s="13"/>
      <c r="P26" s="14">
        <v>78</v>
      </c>
      <c r="Q26" s="14">
        <v>74</v>
      </c>
      <c r="R26" s="14">
        <v>85</v>
      </c>
      <c r="S26" s="14"/>
      <c r="T26" s="13"/>
      <c r="U26" s="14">
        <v>86</v>
      </c>
      <c r="V26" s="13"/>
      <c r="W26" s="14">
        <v>83</v>
      </c>
      <c r="X26" s="13"/>
      <c r="Y26" s="14">
        <v>83</v>
      </c>
      <c r="Z26" s="13"/>
      <c r="AA26" s="4">
        <f t="shared" si="0"/>
        <v>80.75</v>
      </c>
      <c r="AB26" s="4">
        <f t="shared" si="1"/>
        <v>85.125</v>
      </c>
      <c r="AC26" s="4">
        <f t="shared" si="2"/>
        <v>1.4940855620300555</v>
      </c>
      <c r="AD26" s="3"/>
      <c r="AE26" s="3"/>
      <c r="AF26" s="3"/>
      <c r="AG26" s="3"/>
      <c r="AH26" s="3"/>
      <c r="AT26" s="12">
        <v>2</v>
      </c>
      <c r="AU26" s="12" t="s">
        <v>3</v>
      </c>
      <c r="AV26" s="11">
        <v>150</v>
      </c>
      <c r="AW26" s="10"/>
      <c r="AX26" s="10"/>
      <c r="AY26" s="10"/>
      <c r="AZ26" s="10"/>
      <c r="BA26" s="10"/>
      <c r="BB26" s="10"/>
      <c r="BC26" s="10"/>
      <c r="BD26" s="10"/>
      <c r="BE26" s="10"/>
      <c r="BF26" s="10"/>
      <c r="BG26" s="10"/>
      <c r="BH26" s="10"/>
      <c r="BI26" s="10"/>
      <c r="BJ26" s="10"/>
      <c r="BK26" s="10"/>
      <c r="BL26" s="10"/>
      <c r="BM26" s="10"/>
      <c r="BN26" s="10"/>
      <c r="BO26" s="10"/>
      <c r="BP26" s="10"/>
      <c r="BQ26" s="10"/>
      <c r="BR26" s="10"/>
      <c r="BS26" s="10"/>
      <c r="BT26" s="10"/>
      <c r="BU26" s="10"/>
      <c r="BV26" s="10"/>
      <c r="BW26" s="10"/>
      <c r="BX26" s="10"/>
      <c r="BY26" s="10"/>
      <c r="BZ26" s="10"/>
      <c r="CA26" s="10"/>
      <c r="CB26" s="10"/>
      <c r="CC26" s="10"/>
      <c r="CD26" s="10"/>
      <c r="CE26" s="10"/>
      <c r="CF26" s="10"/>
      <c r="CG26" s="10"/>
      <c r="CH26" s="10"/>
      <c r="CI26" s="10"/>
    </row>
    <row r="27" spans="2:87" ht="24" customHeight="1" x14ac:dyDescent="0.2">
      <c r="B27" s="7">
        <f t="shared" ref="B27:B40" si="4">B25+1</f>
        <v>202</v>
      </c>
      <c r="C27" s="7" t="s">
        <v>151</v>
      </c>
      <c r="D27" s="7">
        <v>9</v>
      </c>
      <c r="E27" s="7">
        <v>2</v>
      </c>
      <c r="F27" s="7">
        <v>2</v>
      </c>
      <c r="G27" s="7">
        <v>2</v>
      </c>
      <c r="H27" s="7">
        <v>1</v>
      </c>
      <c r="I27" s="7" t="s">
        <v>163</v>
      </c>
      <c r="J27" s="9"/>
      <c r="K27" s="7" t="s">
        <v>2</v>
      </c>
      <c r="L27" s="6">
        <v>96</v>
      </c>
      <c r="M27" s="6"/>
      <c r="N27" s="6">
        <v>89</v>
      </c>
      <c r="O27" s="6"/>
      <c r="P27" s="6">
        <v>93</v>
      </c>
      <c r="Q27" s="6">
        <v>79</v>
      </c>
      <c r="R27" s="6">
        <v>99</v>
      </c>
      <c r="S27" s="6"/>
      <c r="T27" s="6"/>
      <c r="U27" s="6">
        <v>66</v>
      </c>
      <c r="V27" s="6"/>
      <c r="W27" s="6">
        <v>87</v>
      </c>
      <c r="X27" s="6"/>
      <c r="Y27" s="6">
        <v>102</v>
      </c>
      <c r="Z27" s="6"/>
      <c r="AA27" s="4">
        <f t="shared" si="0"/>
        <v>84.25</v>
      </c>
      <c r="AB27" s="4">
        <f t="shared" si="1"/>
        <v>87.375</v>
      </c>
      <c r="AC27" s="4">
        <f t="shared" si="2"/>
        <v>5.0256633061384717</v>
      </c>
      <c r="AD27" s="3"/>
      <c r="AE27" s="3"/>
      <c r="AF27" s="3"/>
      <c r="AG27" s="3"/>
      <c r="AH27" s="3"/>
    </row>
    <row r="28" spans="2:87" ht="24" customHeight="1" thickBot="1" x14ac:dyDescent="0.25">
      <c r="B28" s="15">
        <f t="shared" si="4"/>
        <v>202</v>
      </c>
      <c r="C28" s="15" t="s">
        <v>151</v>
      </c>
      <c r="D28" s="15">
        <v>9</v>
      </c>
      <c r="E28" s="15">
        <v>2</v>
      </c>
      <c r="F28" s="15">
        <v>2</v>
      </c>
      <c r="G28" s="15">
        <v>2</v>
      </c>
      <c r="H28" s="15">
        <v>1</v>
      </c>
      <c r="I28" s="15" t="s">
        <v>163</v>
      </c>
      <c r="J28" s="16"/>
      <c r="K28" s="15" t="s">
        <v>0</v>
      </c>
      <c r="L28" s="14">
        <v>79</v>
      </c>
      <c r="M28" s="13"/>
      <c r="N28" s="14">
        <v>94</v>
      </c>
      <c r="O28" s="13"/>
      <c r="P28" s="14">
        <v>77</v>
      </c>
      <c r="Q28" s="14">
        <v>73</v>
      </c>
      <c r="R28" s="14">
        <v>75</v>
      </c>
      <c r="S28" s="14"/>
      <c r="T28" s="13"/>
      <c r="U28" s="14">
        <v>88</v>
      </c>
      <c r="V28" s="13"/>
      <c r="W28" s="14">
        <v>90</v>
      </c>
      <c r="X28" s="13"/>
      <c r="Y28" s="14">
        <v>91</v>
      </c>
      <c r="Z28" s="13"/>
      <c r="AA28" s="4">
        <f t="shared" si="0"/>
        <v>78.25</v>
      </c>
      <c r="AB28" s="4">
        <f t="shared" si="1"/>
        <v>86.708333333333329</v>
      </c>
      <c r="AC28" s="4">
        <f t="shared" si="2"/>
        <v>2.6773873044028913</v>
      </c>
      <c r="AD28" s="3"/>
      <c r="AE28" s="3"/>
      <c r="AF28" s="3"/>
      <c r="AG28" s="3"/>
      <c r="AH28" s="3"/>
      <c r="AT28" s="12"/>
      <c r="AU28" s="12"/>
      <c r="AV28" s="11"/>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row>
    <row r="29" spans="2:87" ht="24" customHeight="1" x14ac:dyDescent="0.2">
      <c r="B29" s="7">
        <f t="shared" si="4"/>
        <v>203</v>
      </c>
      <c r="C29" s="7" t="s">
        <v>147</v>
      </c>
      <c r="D29" s="7">
        <v>3</v>
      </c>
      <c r="E29" s="7">
        <v>1</v>
      </c>
      <c r="F29" s="7">
        <v>2</v>
      </c>
      <c r="G29" s="7">
        <v>2</v>
      </c>
      <c r="H29" s="7">
        <v>1</v>
      </c>
      <c r="I29" s="7" t="s">
        <v>164</v>
      </c>
      <c r="J29" s="9"/>
      <c r="K29" s="7" t="s">
        <v>2</v>
      </c>
      <c r="L29" s="6">
        <v>81</v>
      </c>
      <c r="M29" s="6"/>
      <c r="N29" s="6">
        <v>97</v>
      </c>
      <c r="O29" s="6"/>
      <c r="P29" s="6">
        <v>105</v>
      </c>
      <c r="Q29" s="6">
        <v>92</v>
      </c>
      <c r="R29" s="6">
        <v>96</v>
      </c>
      <c r="S29" s="6"/>
      <c r="T29" s="6"/>
      <c r="U29" s="6">
        <v>68</v>
      </c>
      <c r="V29" s="6"/>
      <c r="W29" s="6">
        <v>110</v>
      </c>
      <c r="X29" s="6"/>
      <c r="Y29" s="6">
        <v>99</v>
      </c>
      <c r="Z29" s="6"/>
      <c r="AA29" s="4">
        <f t="shared" si="0"/>
        <v>90.25</v>
      </c>
      <c r="AB29" s="4">
        <f t="shared" si="1"/>
        <v>90.875</v>
      </c>
      <c r="AC29" s="4">
        <f t="shared" si="2"/>
        <v>6.0290097307379877</v>
      </c>
      <c r="AD29" s="3"/>
      <c r="AE29" s="3"/>
      <c r="AF29" s="3"/>
      <c r="AG29" s="3"/>
      <c r="AH29" s="3"/>
    </row>
    <row r="30" spans="2:87" ht="24" customHeight="1" thickBot="1" x14ac:dyDescent="0.25">
      <c r="B30" s="15">
        <f t="shared" si="4"/>
        <v>203</v>
      </c>
      <c r="C30" s="15" t="s">
        <v>147</v>
      </c>
      <c r="D30" s="15">
        <v>3</v>
      </c>
      <c r="E30" s="15">
        <v>1</v>
      </c>
      <c r="F30" s="15">
        <v>2</v>
      </c>
      <c r="G30" s="15">
        <v>2</v>
      </c>
      <c r="H30" s="15">
        <v>1</v>
      </c>
      <c r="I30" s="15" t="s">
        <v>164</v>
      </c>
      <c r="J30" s="16"/>
      <c r="K30" s="15" t="s">
        <v>0</v>
      </c>
      <c r="L30" s="14">
        <v>78</v>
      </c>
      <c r="M30" s="13"/>
      <c r="N30" s="14">
        <v>97</v>
      </c>
      <c r="O30" s="13"/>
      <c r="P30" s="14">
        <v>101</v>
      </c>
      <c r="Q30" s="14">
        <v>98</v>
      </c>
      <c r="R30" s="14">
        <v>91</v>
      </c>
      <c r="S30" s="14"/>
      <c r="T30" s="13"/>
      <c r="U30" s="14">
        <v>85</v>
      </c>
      <c r="V30" s="13"/>
      <c r="W30" s="14">
        <v>90</v>
      </c>
      <c r="X30" s="13"/>
      <c r="Y30" s="14">
        <v>98</v>
      </c>
      <c r="Z30" s="13"/>
      <c r="AA30" s="4">
        <f t="shared" si="0"/>
        <v>93.75</v>
      </c>
      <c r="AB30" s="4">
        <f t="shared" si="1"/>
        <v>90.291666666666671</v>
      </c>
      <c r="AC30" s="4">
        <f t="shared" si="2"/>
        <v>3.1387475386069381</v>
      </c>
      <c r="AD30" s="3"/>
      <c r="AE30" s="3"/>
      <c r="AF30" s="3"/>
      <c r="AG30" s="3"/>
      <c r="AH30" s="3"/>
      <c r="AT30" s="12"/>
      <c r="AU30" s="12"/>
      <c r="AV30" s="11"/>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row>
    <row r="31" spans="2:87" ht="24" customHeight="1" x14ac:dyDescent="0.2">
      <c r="B31" s="7">
        <f t="shared" si="4"/>
        <v>204</v>
      </c>
      <c r="C31" s="7" t="s">
        <v>165</v>
      </c>
      <c r="D31" s="7">
        <v>11</v>
      </c>
      <c r="E31" s="7">
        <v>2</v>
      </c>
      <c r="F31" s="7">
        <v>3</v>
      </c>
      <c r="G31" s="7">
        <v>2</v>
      </c>
      <c r="H31" s="7">
        <v>1</v>
      </c>
      <c r="I31" s="7" t="s">
        <v>166</v>
      </c>
      <c r="J31" s="9"/>
      <c r="K31" s="7" t="s">
        <v>2</v>
      </c>
      <c r="L31" s="6">
        <v>110</v>
      </c>
      <c r="M31" s="6"/>
      <c r="N31" s="6">
        <v>122</v>
      </c>
      <c r="O31" s="6"/>
      <c r="P31" s="6">
        <v>109</v>
      </c>
      <c r="Q31" s="6">
        <v>103</v>
      </c>
      <c r="R31" s="6">
        <v>99</v>
      </c>
      <c r="S31" s="6"/>
      <c r="T31" s="6"/>
      <c r="U31" s="6">
        <v>121</v>
      </c>
      <c r="V31" s="6"/>
      <c r="W31" s="6">
        <v>106</v>
      </c>
      <c r="X31" s="6"/>
      <c r="Y31" s="6">
        <v>109</v>
      </c>
      <c r="Z31" s="6"/>
      <c r="AA31" s="4">
        <f t="shared" si="0"/>
        <v>108</v>
      </c>
      <c r="AB31" s="4">
        <f t="shared" si="1"/>
        <v>112.66666666666667</v>
      </c>
      <c r="AC31" s="4">
        <f t="shared" si="2"/>
        <v>2.8480012484391772</v>
      </c>
      <c r="AD31" s="3"/>
      <c r="AE31" s="3"/>
      <c r="AF31" s="3"/>
      <c r="AG31" s="3"/>
      <c r="AH31" s="3"/>
    </row>
    <row r="32" spans="2:87" ht="24" customHeight="1" thickBot="1" x14ac:dyDescent="0.25">
      <c r="B32" s="15">
        <f t="shared" si="4"/>
        <v>204</v>
      </c>
      <c r="C32" s="15" t="s">
        <v>165</v>
      </c>
      <c r="D32" s="15">
        <v>11</v>
      </c>
      <c r="E32" s="15">
        <v>2</v>
      </c>
      <c r="F32" s="15">
        <v>3</v>
      </c>
      <c r="G32" s="15">
        <v>2</v>
      </c>
      <c r="H32" s="15">
        <v>1</v>
      </c>
      <c r="I32" s="15" t="s">
        <v>166</v>
      </c>
      <c r="J32" s="16"/>
      <c r="K32" s="15" t="s">
        <v>0</v>
      </c>
      <c r="L32" s="14">
        <v>103</v>
      </c>
      <c r="M32" s="13"/>
      <c r="N32" s="14">
        <v>96</v>
      </c>
      <c r="O32" s="13"/>
      <c r="P32" s="14">
        <v>99</v>
      </c>
      <c r="Q32" s="14">
        <v>96</v>
      </c>
      <c r="R32" s="14">
        <v>95</v>
      </c>
      <c r="S32" s="14"/>
      <c r="T32" s="13"/>
      <c r="U32" s="14">
        <v>112</v>
      </c>
      <c r="V32" s="13"/>
      <c r="W32" s="14">
        <v>102</v>
      </c>
      <c r="X32" s="13"/>
      <c r="Y32" s="14">
        <v>98</v>
      </c>
      <c r="Z32" s="13"/>
      <c r="AA32" s="4">
        <f t="shared" si="0"/>
        <v>100.5</v>
      </c>
      <c r="AB32" s="4">
        <f t="shared" si="1"/>
        <v>101.91666666666667</v>
      </c>
      <c r="AC32" s="4">
        <f t="shared" si="2"/>
        <v>2.2745573439926976</v>
      </c>
      <c r="AD32" s="3"/>
      <c r="AE32" s="3"/>
      <c r="AF32" s="3"/>
      <c r="AG32" s="3"/>
      <c r="AH32" s="3"/>
      <c r="AT32" s="12"/>
      <c r="AU32" s="12"/>
      <c r="AV32" s="11"/>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row>
    <row r="33" spans="2:87" ht="24" customHeight="1" x14ac:dyDescent="0.2">
      <c r="B33" s="7">
        <f t="shared" si="4"/>
        <v>205</v>
      </c>
      <c r="C33" s="7" t="s">
        <v>160</v>
      </c>
      <c r="D33" s="7">
        <v>1</v>
      </c>
      <c r="E33" s="7">
        <v>1</v>
      </c>
      <c r="F33" s="7">
        <v>1</v>
      </c>
      <c r="G33" s="7">
        <v>2</v>
      </c>
      <c r="H33" s="7">
        <v>2</v>
      </c>
      <c r="I33" s="7" t="s">
        <v>167</v>
      </c>
      <c r="J33" s="9"/>
      <c r="K33" s="7" t="s">
        <v>2</v>
      </c>
      <c r="L33" s="6">
        <v>94</v>
      </c>
      <c r="M33" s="6"/>
      <c r="N33" s="6">
        <v>98</v>
      </c>
      <c r="O33" s="6"/>
      <c r="P33" s="6">
        <v>105</v>
      </c>
      <c r="Q33" s="6">
        <v>115</v>
      </c>
      <c r="R33" s="6">
        <v>97</v>
      </c>
      <c r="S33" s="6"/>
      <c r="T33" s="6"/>
      <c r="U33" s="6">
        <v>93</v>
      </c>
      <c r="V33" s="6"/>
      <c r="W33" s="6">
        <v>124</v>
      </c>
      <c r="X33" s="6"/>
      <c r="Y33" s="6">
        <v>92</v>
      </c>
      <c r="Z33" s="6"/>
      <c r="AA33" s="4">
        <f t="shared" si="0"/>
        <v>102.5</v>
      </c>
      <c r="AB33" s="4">
        <f t="shared" si="1"/>
        <v>100.58333333333333</v>
      </c>
      <c r="AC33" s="4">
        <f t="shared" si="2"/>
        <v>4.943710931858563</v>
      </c>
      <c r="AD33" s="3"/>
      <c r="AE33" s="3"/>
      <c r="AF33" s="3"/>
      <c r="AG33" s="3"/>
      <c r="AH33" s="3"/>
    </row>
    <row r="34" spans="2:87" ht="24" customHeight="1" thickBot="1" x14ac:dyDescent="0.25">
      <c r="B34" s="15">
        <f t="shared" si="4"/>
        <v>205</v>
      </c>
      <c r="C34" s="15" t="s">
        <v>160</v>
      </c>
      <c r="D34" s="15">
        <v>1</v>
      </c>
      <c r="E34" s="15">
        <v>1</v>
      </c>
      <c r="F34" s="15">
        <v>1</v>
      </c>
      <c r="G34" s="15">
        <v>2</v>
      </c>
      <c r="H34" s="15">
        <v>2</v>
      </c>
      <c r="I34" s="15" t="s">
        <v>167</v>
      </c>
      <c r="J34" s="16"/>
      <c r="K34" s="15" t="s">
        <v>0</v>
      </c>
      <c r="L34" s="14">
        <v>87</v>
      </c>
      <c r="M34" s="13"/>
      <c r="N34" s="14">
        <v>101</v>
      </c>
      <c r="O34" s="13"/>
      <c r="P34" s="14">
        <v>98</v>
      </c>
      <c r="Q34" s="14">
        <v>102</v>
      </c>
      <c r="R34" s="14">
        <v>97</v>
      </c>
      <c r="S34" s="14"/>
      <c r="T34" s="13"/>
      <c r="U34" s="14">
        <v>95</v>
      </c>
      <c r="V34" s="13"/>
      <c r="W34" s="14">
        <v>105</v>
      </c>
      <c r="X34" s="13"/>
      <c r="Y34" s="14">
        <v>93</v>
      </c>
      <c r="Z34" s="13"/>
      <c r="AA34" s="4">
        <f t="shared" si="0"/>
        <v>98</v>
      </c>
      <c r="AB34" s="4">
        <f t="shared" si="1"/>
        <v>96.5</v>
      </c>
      <c r="AC34" s="4">
        <f t="shared" si="2"/>
        <v>2.5787593916455256</v>
      </c>
      <c r="AD34" s="3"/>
      <c r="AE34" s="3"/>
      <c r="AF34" s="3"/>
      <c r="AG34" s="3"/>
      <c r="AH34" s="3"/>
      <c r="AT34" s="12"/>
      <c r="AU34" s="12"/>
      <c r="AV34" s="11"/>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row>
    <row r="35" spans="2:87" ht="24" customHeight="1" x14ac:dyDescent="0.2">
      <c r="B35" s="7">
        <f t="shared" si="4"/>
        <v>206</v>
      </c>
      <c r="C35" s="7" t="s">
        <v>168</v>
      </c>
      <c r="D35" s="7">
        <v>8</v>
      </c>
      <c r="E35" s="7">
        <v>2</v>
      </c>
      <c r="F35" s="7">
        <v>1</v>
      </c>
      <c r="G35" s="7">
        <v>1</v>
      </c>
      <c r="H35" s="7">
        <v>2</v>
      </c>
      <c r="I35" s="7" t="s">
        <v>169</v>
      </c>
      <c r="J35" s="9"/>
      <c r="K35" s="7" t="s">
        <v>2</v>
      </c>
      <c r="L35" s="6">
        <v>85</v>
      </c>
      <c r="M35" s="6"/>
      <c r="N35" s="6">
        <v>64</v>
      </c>
      <c r="O35" s="6"/>
      <c r="P35" s="6">
        <v>78</v>
      </c>
      <c r="Q35" s="6">
        <v>94</v>
      </c>
      <c r="R35" s="6">
        <v>80</v>
      </c>
      <c r="S35" s="6"/>
      <c r="T35" s="6"/>
      <c r="U35" s="6">
        <v>88</v>
      </c>
      <c r="V35" s="6"/>
      <c r="W35" s="6">
        <v>76</v>
      </c>
      <c r="X35" s="6"/>
      <c r="Y35" s="6">
        <v>81</v>
      </c>
      <c r="Z35" s="6"/>
      <c r="AA35" s="4">
        <f t="shared" si="0"/>
        <v>85</v>
      </c>
      <c r="AB35" s="4">
        <f t="shared" si="1"/>
        <v>79.833333333333329</v>
      </c>
      <c r="AC35" s="4">
        <f t="shared" si="2"/>
        <v>3.5908835186405765</v>
      </c>
      <c r="AD35" s="3"/>
      <c r="AE35" s="3"/>
      <c r="AF35" s="3"/>
      <c r="AG35" s="3"/>
      <c r="AH35" s="3"/>
    </row>
    <row r="36" spans="2:87" ht="24" customHeight="1" thickBot="1" x14ac:dyDescent="0.25">
      <c r="B36" s="15">
        <f t="shared" si="4"/>
        <v>206</v>
      </c>
      <c r="C36" s="15" t="s">
        <v>168</v>
      </c>
      <c r="D36" s="15">
        <v>8</v>
      </c>
      <c r="E36" s="15">
        <v>2</v>
      </c>
      <c r="F36" s="15">
        <v>1</v>
      </c>
      <c r="G36" s="15">
        <v>1</v>
      </c>
      <c r="H36" s="15">
        <v>2</v>
      </c>
      <c r="I36" s="15" t="s">
        <v>169</v>
      </c>
      <c r="J36" s="16"/>
      <c r="K36" s="15" t="s">
        <v>0</v>
      </c>
      <c r="L36" s="14">
        <v>89</v>
      </c>
      <c r="M36" s="13"/>
      <c r="N36" s="14">
        <v>71</v>
      </c>
      <c r="O36" s="13"/>
      <c r="P36" s="14">
        <v>78</v>
      </c>
      <c r="Q36" s="14">
        <v>68</v>
      </c>
      <c r="R36" s="14">
        <v>81</v>
      </c>
      <c r="S36" s="14"/>
      <c r="T36" s="13"/>
      <c r="U36" s="14">
        <v>84</v>
      </c>
      <c r="V36" s="13"/>
      <c r="W36" s="14">
        <v>74</v>
      </c>
      <c r="X36" s="13"/>
      <c r="Y36" s="14">
        <v>83</v>
      </c>
      <c r="Z36" s="13"/>
      <c r="AA36" s="4">
        <f t="shared" si="0"/>
        <v>77.75</v>
      </c>
      <c r="AB36" s="4">
        <f t="shared" si="1"/>
        <v>79.791666666666671</v>
      </c>
      <c r="AC36" s="4">
        <f t="shared" si="2"/>
        <v>2.7556129586314873</v>
      </c>
      <c r="AD36" s="3"/>
      <c r="AE36" s="3"/>
      <c r="AF36" s="3"/>
      <c r="AG36" s="3"/>
      <c r="AH36" s="3"/>
      <c r="AT36" s="12"/>
      <c r="AU36" s="12"/>
      <c r="AV36" s="11"/>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row>
    <row r="37" spans="2:87" ht="24" customHeight="1" x14ac:dyDescent="0.2">
      <c r="B37" s="7">
        <f t="shared" si="4"/>
        <v>207</v>
      </c>
      <c r="C37" s="7" t="s">
        <v>158</v>
      </c>
      <c r="D37" s="7">
        <v>4</v>
      </c>
      <c r="E37" s="7">
        <v>1</v>
      </c>
      <c r="F37" s="7">
        <v>2</v>
      </c>
      <c r="G37" s="7">
        <v>1</v>
      </c>
      <c r="H37" s="7">
        <v>2</v>
      </c>
      <c r="I37" s="7" t="s">
        <v>170</v>
      </c>
      <c r="J37" s="9"/>
      <c r="K37" s="7" t="s">
        <v>2</v>
      </c>
      <c r="L37" s="6">
        <v>104</v>
      </c>
      <c r="M37" s="6"/>
      <c r="N37" s="6">
        <v>101</v>
      </c>
      <c r="O37" s="6"/>
      <c r="P37" s="6">
        <v>84</v>
      </c>
      <c r="Q37" s="6">
        <v>90</v>
      </c>
      <c r="R37" s="6">
        <v>100</v>
      </c>
      <c r="S37" s="6"/>
      <c r="T37" s="6"/>
      <c r="U37" s="6">
        <v>104</v>
      </c>
      <c r="V37" s="6"/>
      <c r="W37" s="6">
        <v>88</v>
      </c>
      <c r="X37" s="6"/>
      <c r="Y37" s="6">
        <v>112</v>
      </c>
      <c r="Z37" s="6"/>
      <c r="AA37" s="4">
        <f t="shared" si="0"/>
        <v>94.5</v>
      </c>
      <c r="AB37" s="4">
        <f t="shared" si="1"/>
        <v>100.58333333333333</v>
      </c>
      <c r="AC37" s="4">
        <f t="shared" si="2"/>
        <v>3.4117851306578175</v>
      </c>
      <c r="AD37" s="3"/>
      <c r="AE37" s="3"/>
      <c r="AF37" s="3"/>
      <c r="AG37" s="3"/>
      <c r="AH37" s="3"/>
    </row>
    <row r="38" spans="2:87" ht="24" customHeight="1" thickBot="1" x14ac:dyDescent="0.25">
      <c r="B38" s="15">
        <f t="shared" si="4"/>
        <v>207</v>
      </c>
      <c r="C38" s="15" t="s">
        <v>158</v>
      </c>
      <c r="D38" s="15">
        <v>4</v>
      </c>
      <c r="E38" s="15">
        <v>1</v>
      </c>
      <c r="F38" s="15">
        <v>2</v>
      </c>
      <c r="G38" s="15">
        <v>1</v>
      </c>
      <c r="H38" s="15">
        <v>2</v>
      </c>
      <c r="I38" s="15" t="s">
        <v>170</v>
      </c>
      <c r="J38" s="16"/>
      <c r="K38" s="15" t="s">
        <v>0</v>
      </c>
      <c r="L38" s="14">
        <v>87</v>
      </c>
      <c r="M38" s="13"/>
      <c r="N38" s="14">
        <v>90</v>
      </c>
      <c r="O38" s="13"/>
      <c r="P38" s="14">
        <v>88</v>
      </c>
      <c r="Q38" s="14">
        <v>96</v>
      </c>
      <c r="R38" s="14">
        <v>96</v>
      </c>
      <c r="S38" s="14"/>
      <c r="T38" s="13"/>
      <c r="U38" s="14">
        <v>98</v>
      </c>
      <c r="V38" s="13"/>
      <c r="W38" s="14">
        <v>93</v>
      </c>
      <c r="X38" s="13"/>
      <c r="Y38" s="14">
        <v>84</v>
      </c>
      <c r="Z38" s="13"/>
      <c r="AA38" s="4">
        <f t="shared" si="0"/>
        <v>94.5</v>
      </c>
      <c r="AB38" s="4">
        <f t="shared" si="1"/>
        <v>91.083333333333329</v>
      </c>
      <c r="AC38" s="4">
        <f t="shared" si="2"/>
        <v>2.0913180320341311</v>
      </c>
      <c r="AD38" s="3"/>
      <c r="AE38" s="3"/>
      <c r="AF38" s="3"/>
      <c r="AG38" s="3"/>
      <c r="AH38" s="3"/>
      <c r="AT38" s="12"/>
      <c r="AU38" s="12"/>
      <c r="AV38" s="11"/>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row>
    <row r="39" spans="2:87" ht="24" customHeight="1" x14ac:dyDescent="0.2">
      <c r="B39" s="7">
        <f t="shared" si="4"/>
        <v>208</v>
      </c>
      <c r="C39" s="7" t="s">
        <v>171</v>
      </c>
      <c r="D39" s="7">
        <v>2</v>
      </c>
      <c r="E39" s="7">
        <v>1</v>
      </c>
      <c r="F39" s="7">
        <v>1</v>
      </c>
      <c r="G39" s="7">
        <v>1</v>
      </c>
      <c r="H39" s="7">
        <v>2</v>
      </c>
      <c r="I39" s="7" t="s">
        <v>172</v>
      </c>
      <c r="J39" s="9"/>
      <c r="K39" s="7" t="s">
        <v>2</v>
      </c>
      <c r="L39" s="6">
        <v>97</v>
      </c>
      <c r="M39" s="5"/>
      <c r="N39" s="6">
        <v>95</v>
      </c>
      <c r="O39" s="5"/>
      <c r="P39" s="6">
        <v>87</v>
      </c>
      <c r="Q39" s="6">
        <v>83</v>
      </c>
      <c r="R39" s="6">
        <v>83</v>
      </c>
      <c r="S39" s="6"/>
      <c r="T39" s="5"/>
      <c r="U39" s="6">
        <v>86</v>
      </c>
      <c r="V39" s="5"/>
      <c r="W39" s="6">
        <v>89</v>
      </c>
      <c r="X39" s="5"/>
      <c r="Y39" s="6">
        <v>97</v>
      </c>
      <c r="Z39" s="5"/>
      <c r="AA39" s="4">
        <f t="shared" si="0"/>
        <v>84.75</v>
      </c>
      <c r="AB39" s="4">
        <f t="shared" si="1"/>
        <v>91.458333333333329</v>
      </c>
      <c r="AC39" s="4">
        <f t="shared" si="2"/>
        <v>2.2715786238746931</v>
      </c>
      <c r="AD39" s="3"/>
      <c r="AE39" s="3"/>
      <c r="AF39" s="3"/>
      <c r="AG39" s="3"/>
      <c r="AH39" s="3"/>
    </row>
    <row r="40" spans="2:87" ht="24" customHeight="1" thickBot="1" x14ac:dyDescent="0.25">
      <c r="B40" s="15">
        <f t="shared" si="4"/>
        <v>208</v>
      </c>
      <c r="C40" s="15" t="s">
        <v>171</v>
      </c>
      <c r="D40" s="15">
        <v>2</v>
      </c>
      <c r="E40" s="15">
        <v>1</v>
      </c>
      <c r="F40" s="15">
        <v>1</v>
      </c>
      <c r="G40" s="15">
        <v>1</v>
      </c>
      <c r="H40" s="15">
        <v>2</v>
      </c>
      <c r="I40" s="15" t="s">
        <v>172</v>
      </c>
      <c r="J40" s="16"/>
      <c r="K40" s="15" t="s">
        <v>0</v>
      </c>
      <c r="L40" s="14">
        <v>83</v>
      </c>
      <c r="M40" s="13"/>
      <c r="N40" s="14">
        <v>81</v>
      </c>
      <c r="O40" s="13"/>
      <c r="P40" s="14">
        <v>77</v>
      </c>
      <c r="Q40" s="14">
        <v>81</v>
      </c>
      <c r="R40" s="14">
        <v>85</v>
      </c>
      <c r="S40" s="14"/>
      <c r="T40" s="13"/>
      <c r="U40" s="14">
        <v>76</v>
      </c>
      <c r="V40" s="13"/>
      <c r="W40" s="14">
        <v>84</v>
      </c>
      <c r="X40" s="13"/>
      <c r="Y40" s="14">
        <v>76</v>
      </c>
      <c r="Z40" s="13"/>
      <c r="AA40" s="4">
        <f t="shared" si="0"/>
        <v>79.75</v>
      </c>
      <c r="AB40" s="4">
        <f t="shared" si="1"/>
        <v>79.958333333333329</v>
      </c>
      <c r="AC40" s="4">
        <f t="shared" si="2"/>
        <v>1.3910677353904966</v>
      </c>
      <c r="AD40" s="3"/>
      <c r="AE40" s="3"/>
      <c r="AF40" s="3"/>
      <c r="AG40" s="3"/>
      <c r="AH40" s="3"/>
      <c r="AT40" s="12"/>
      <c r="AU40" s="12"/>
      <c r="AV40" s="11"/>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row>
    <row r="41" spans="2:87" ht="24" customHeight="1" x14ac:dyDescent="0.2">
      <c r="B41" s="7">
        <f>B39+700</f>
        <v>908</v>
      </c>
      <c r="C41" s="7" t="s">
        <v>173</v>
      </c>
      <c r="D41" s="7">
        <v>21</v>
      </c>
      <c r="E41" s="7">
        <v>3</v>
      </c>
      <c r="F41" s="7">
        <v>2</v>
      </c>
      <c r="G41" s="7">
        <v>2</v>
      </c>
      <c r="H41" s="7">
        <v>2</v>
      </c>
      <c r="I41" s="7" t="s">
        <v>174</v>
      </c>
      <c r="J41" s="8"/>
      <c r="K41" s="7" t="s">
        <v>2</v>
      </c>
      <c r="L41" s="6"/>
      <c r="M41" s="5"/>
      <c r="N41" s="6"/>
      <c r="O41" s="5"/>
      <c r="P41" s="6"/>
      <c r="Q41" s="6"/>
      <c r="R41" s="6"/>
      <c r="S41" s="6"/>
      <c r="T41" s="5"/>
      <c r="U41" s="6"/>
      <c r="V41" s="5"/>
      <c r="W41" s="6"/>
      <c r="X41" s="5"/>
      <c r="Y41" s="6"/>
      <c r="Z41" s="5"/>
      <c r="AA41" s="4" t="e">
        <f t="shared" ref="AA41:AA48" si="5">AVERAGE(P41:T41)</f>
        <v>#DIV/0!</v>
      </c>
      <c r="AB41" s="4" t="e">
        <f t="shared" ref="AB41:AB48" si="6">AVERAGE(AVERAGE(L41:M41),AVERAGE(N41:O41),AVERAGE(P41:T41),AVERAGE(U41:V41),AVERAGE(W41:X41),AVERAGE(Y41:Z41))</f>
        <v>#DIV/0!</v>
      </c>
      <c r="AC41" s="4" t="e">
        <f t="shared" ref="AC41:AC48" si="7">STDEV(AVERAGE(L41:M41),AVERAGE(N41:O41),AVERAGE(P41:T41),AVERAGE(U41:V41),AVERAGE(W41:X41),AVERAGE(Y41:Z41))/SQRT(6)</f>
        <v>#DIV/0!</v>
      </c>
      <c r="AD41" s="3"/>
      <c r="AE41" s="3"/>
      <c r="AF41" s="3"/>
      <c r="AG41" s="3"/>
      <c r="AH41" s="3"/>
    </row>
    <row r="42" spans="2:87" ht="24" customHeight="1" thickBot="1" x14ac:dyDescent="0.25">
      <c r="B42" s="15">
        <f>B40+700</f>
        <v>908</v>
      </c>
      <c r="C42" s="15" t="s">
        <v>173</v>
      </c>
      <c r="D42" s="15">
        <v>21</v>
      </c>
      <c r="E42" s="15">
        <v>3</v>
      </c>
      <c r="F42" s="15">
        <v>2</v>
      </c>
      <c r="G42" s="15">
        <v>2</v>
      </c>
      <c r="H42" s="15">
        <v>2</v>
      </c>
      <c r="I42" s="15" t="s">
        <v>174</v>
      </c>
      <c r="J42" s="16"/>
      <c r="K42" s="15" t="s">
        <v>0</v>
      </c>
      <c r="L42" s="14"/>
      <c r="M42" s="13"/>
      <c r="N42" s="14"/>
      <c r="O42" s="13"/>
      <c r="P42" s="14"/>
      <c r="Q42" s="14"/>
      <c r="R42" s="14"/>
      <c r="S42" s="14"/>
      <c r="T42" s="13"/>
      <c r="U42" s="14"/>
      <c r="V42" s="13"/>
      <c r="W42" s="14"/>
      <c r="X42" s="13"/>
      <c r="Y42" s="14"/>
      <c r="Z42" s="13"/>
      <c r="AA42" s="4" t="e">
        <f t="shared" si="5"/>
        <v>#DIV/0!</v>
      </c>
      <c r="AB42" s="4" t="e">
        <f t="shared" si="6"/>
        <v>#DIV/0!</v>
      </c>
      <c r="AC42" s="4" t="e">
        <f t="shared" si="7"/>
        <v>#DIV/0!</v>
      </c>
      <c r="AD42" s="3"/>
      <c r="AE42" s="3"/>
      <c r="AF42" s="3"/>
      <c r="AG42" s="3"/>
      <c r="AH42" s="3"/>
      <c r="AT42" s="12"/>
      <c r="AU42" s="12"/>
      <c r="AV42" s="11"/>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row>
    <row r="43" spans="2:87" ht="24" customHeight="1" x14ac:dyDescent="0.2">
      <c r="B43" s="7">
        <v>906</v>
      </c>
      <c r="C43" s="7" t="s">
        <v>175</v>
      </c>
      <c r="D43" s="7">
        <v>22</v>
      </c>
      <c r="E43" s="7">
        <v>4</v>
      </c>
      <c r="F43" s="7">
        <v>2</v>
      </c>
      <c r="G43" s="7">
        <v>2</v>
      </c>
      <c r="H43" s="7">
        <v>2</v>
      </c>
      <c r="I43" s="7" t="s">
        <v>176</v>
      </c>
      <c r="J43" s="9"/>
      <c r="K43" s="7" t="s">
        <v>2</v>
      </c>
      <c r="L43" s="6"/>
      <c r="M43" s="6"/>
      <c r="N43" s="6"/>
      <c r="O43" s="6"/>
      <c r="P43" s="6"/>
      <c r="Q43" s="6"/>
      <c r="R43" s="6"/>
      <c r="S43" s="6"/>
      <c r="T43" s="6"/>
      <c r="U43" s="6"/>
      <c r="V43" s="6"/>
      <c r="W43" s="6"/>
      <c r="X43" s="6"/>
      <c r="Y43" s="6"/>
      <c r="Z43" s="6"/>
      <c r="AA43" s="4" t="e">
        <f t="shared" si="5"/>
        <v>#DIV/0!</v>
      </c>
      <c r="AB43" s="4" t="e">
        <f t="shared" si="6"/>
        <v>#DIV/0!</v>
      </c>
      <c r="AC43" s="4" t="e">
        <f t="shared" si="7"/>
        <v>#DIV/0!</v>
      </c>
      <c r="AD43" s="3"/>
      <c r="AE43" s="3"/>
      <c r="AF43" s="3"/>
      <c r="AG43" s="3"/>
      <c r="AH43" s="3"/>
    </row>
    <row r="44" spans="2:87" ht="24" customHeight="1" thickBot="1" x14ac:dyDescent="0.25">
      <c r="B44" s="15">
        <v>906</v>
      </c>
      <c r="C44" s="15" t="s">
        <v>175</v>
      </c>
      <c r="D44" s="15">
        <v>22</v>
      </c>
      <c r="E44" s="15">
        <v>4</v>
      </c>
      <c r="F44" s="15">
        <v>2</v>
      </c>
      <c r="G44" s="15">
        <v>2</v>
      </c>
      <c r="H44" s="15">
        <v>2</v>
      </c>
      <c r="I44" s="15" t="s">
        <v>176</v>
      </c>
      <c r="J44" s="16"/>
      <c r="K44" s="15" t="s">
        <v>0</v>
      </c>
      <c r="L44" s="14"/>
      <c r="M44" s="13"/>
      <c r="N44" s="14"/>
      <c r="O44" s="13"/>
      <c r="P44" s="14"/>
      <c r="Q44" s="14"/>
      <c r="R44" s="14"/>
      <c r="S44" s="14"/>
      <c r="T44" s="13"/>
      <c r="U44" s="14"/>
      <c r="V44" s="13"/>
      <c r="W44" s="14"/>
      <c r="X44" s="13"/>
      <c r="Y44" s="14"/>
      <c r="Z44" s="13"/>
      <c r="AA44" s="4" t="e">
        <f t="shared" si="5"/>
        <v>#DIV/0!</v>
      </c>
      <c r="AB44" s="4" t="e">
        <f t="shared" si="6"/>
        <v>#DIV/0!</v>
      </c>
      <c r="AC44" s="4" t="e">
        <f t="shared" si="7"/>
        <v>#DIV/0!</v>
      </c>
      <c r="AD44" s="3"/>
      <c r="AE44" s="3"/>
      <c r="AF44" s="3"/>
      <c r="AG44" s="3"/>
      <c r="AH44" s="3"/>
      <c r="AT44" s="12"/>
      <c r="AU44" s="12"/>
      <c r="AV44" s="11"/>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row>
    <row r="45" spans="2:87" ht="24" customHeight="1" x14ac:dyDescent="0.2">
      <c r="B45" s="7">
        <v>904</v>
      </c>
      <c r="C45" s="7" t="s">
        <v>173</v>
      </c>
      <c r="D45" s="7">
        <v>21</v>
      </c>
      <c r="E45" s="7">
        <v>3</v>
      </c>
      <c r="F45" s="7">
        <v>2</v>
      </c>
      <c r="G45" s="7">
        <v>2</v>
      </c>
      <c r="H45" s="7">
        <v>1</v>
      </c>
      <c r="I45" s="7" t="s">
        <v>177</v>
      </c>
      <c r="J45" s="9"/>
      <c r="K45" s="7" t="s">
        <v>2</v>
      </c>
      <c r="L45" s="6"/>
      <c r="M45" s="6"/>
      <c r="N45" s="6"/>
      <c r="O45" s="6"/>
      <c r="P45" s="6"/>
      <c r="Q45" s="6"/>
      <c r="R45" s="6"/>
      <c r="S45" s="6"/>
      <c r="T45" s="6"/>
      <c r="U45" s="6"/>
      <c r="V45" s="6"/>
      <c r="W45" s="6"/>
      <c r="X45" s="6"/>
      <c r="Y45" s="6"/>
      <c r="Z45" s="6"/>
      <c r="AA45" s="4" t="e">
        <f t="shared" si="5"/>
        <v>#DIV/0!</v>
      </c>
      <c r="AB45" s="4" t="e">
        <f t="shared" si="6"/>
        <v>#DIV/0!</v>
      </c>
      <c r="AC45" s="4" t="e">
        <f t="shared" si="7"/>
        <v>#DIV/0!</v>
      </c>
      <c r="AD45" s="3"/>
      <c r="AE45" s="3"/>
      <c r="AF45" s="3"/>
      <c r="AG45" s="3"/>
      <c r="AH45" s="3"/>
    </row>
    <row r="46" spans="2:87" ht="24" customHeight="1" thickBot="1" x14ac:dyDescent="0.25">
      <c r="B46" s="15">
        <v>904</v>
      </c>
      <c r="C46" s="15" t="s">
        <v>173</v>
      </c>
      <c r="D46" s="15">
        <v>21</v>
      </c>
      <c r="E46" s="15">
        <v>3</v>
      </c>
      <c r="F46" s="15">
        <v>2</v>
      </c>
      <c r="G46" s="15">
        <v>2</v>
      </c>
      <c r="H46" s="15">
        <v>1</v>
      </c>
      <c r="I46" s="15" t="s">
        <v>177</v>
      </c>
      <c r="J46" s="16"/>
      <c r="K46" s="15" t="s">
        <v>0</v>
      </c>
      <c r="L46" s="14"/>
      <c r="M46" s="13"/>
      <c r="N46" s="14"/>
      <c r="O46" s="13"/>
      <c r="P46" s="14"/>
      <c r="Q46" s="14"/>
      <c r="R46" s="14"/>
      <c r="S46" s="14"/>
      <c r="T46" s="13"/>
      <c r="U46" s="14"/>
      <c r="V46" s="13"/>
      <c r="W46" s="14"/>
      <c r="X46" s="13"/>
      <c r="Y46" s="14"/>
      <c r="Z46" s="13"/>
      <c r="AA46" s="4" t="e">
        <f t="shared" si="5"/>
        <v>#DIV/0!</v>
      </c>
      <c r="AB46" s="4" t="e">
        <f t="shared" si="6"/>
        <v>#DIV/0!</v>
      </c>
      <c r="AC46" s="4" t="e">
        <f t="shared" si="7"/>
        <v>#DIV/0!</v>
      </c>
      <c r="AD46" s="3"/>
      <c r="AE46" s="3"/>
      <c r="AF46" s="3"/>
      <c r="AG46" s="3"/>
      <c r="AH46" s="3"/>
      <c r="AT46" s="12"/>
      <c r="AU46" s="12"/>
      <c r="AV46" s="11"/>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row>
    <row r="47" spans="2:87" ht="24" customHeight="1" x14ac:dyDescent="0.2">
      <c r="B47" s="7">
        <v>902</v>
      </c>
      <c r="C47" s="7" t="s">
        <v>175</v>
      </c>
      <c r="D47" s="7">
        <v>22</v>
      </c>
      <c r="E47" s="7">
        <v>4</v>
      </c>
      <c r="F47" s="7">
        <v>2</v>
      </c>
      <c r="G47" s="7">
        <v>2</v>
      </c>
      <c r="H47" s="7">
        <v>1</v>
      </c>
      <c r="I47" s="7" t="s">
        <v>178</v>
      </c>
      <c r="J47" s="9"/>
      <c r="K47" s="7" t="s">
        <v>2</v>
      </c>
      <c r="L47" s="6"/>
      <c r="M47" s="6"/>
      <c r="N47" s="6"/>
      <c r="O47" s="6"/>
      <c r="P47" s="6"/>
      <c r="Q47" s="6"/>
      <c r="R47" s="6"/>
      <c r="S47" s="6"/>
      <c r="T47" s="6"/>
      <c r="U47" s="6"/>
      <c r="V47" s="6"/>
      <c r="W47" s="6"/>
      <c r="X47" s="6"/>
      <c r="Y47" s="6"/>
      <c r="Z47" s="6"/>
      <c r="AA47" s="4" t="e">
        <f t="shared" si="5"/>
        <v>#DIV/0!</v>
      </c>
      <c r="AB47" s="4" t="e">
        <f t="shared" si="6"/>
        <v>#DIV/0!</v>
      </c>
      <c r="AC47" s="4" t="e">
        <f t="shared" si="7"/>
        <v>#DIV/0!</v>
      </c>
      <c r="AD47" s="3"/>
      <c r="AE47" s="3"/>
      <c r="AF47" s="3"/>
      <c r="AG47" s="3"/>
      <c r="AH47" s="3"/>
    </row>
    <row r="48" spans="2:87" ht="24" customHeight="1" thickBot="1" x14ac:dyDescent="0.25">
      <c r="B48" s="15">
        <v>902</v>
      </c>
      <c r="C48" s="15" t="s">
        <v>175</v>
      </c>
      <c r="D48" s="15">
        <v>22</v>
      </c>
      <c r="E48" s="15">
        <v>4</v>
      </c>
      <c r="F48" s="15">
        <v>2</v>
      </c>
      <c r="G48" s="15">
        <v>2</v>
      </c>
      <c r="H48" s="15">
        <v>1</v>
      </c>
      <c r="I48" s="15" t="s">
        <v>178</v>
      </c>
      <c r="J48" s="16"/>
      <c r="K48" s="15" t="s">
        <v>0</v>
      </c>
      <c r="L48" s="14"/>
      <c r="M48" s="13"/>
      <c r="N48" s="14"/>
      <c r="O48" s="13"/>
      <c r="P48" s="14"/>
      <c r="Q48" s="14"/>
      <c r="R48" s="14"/>
      <c r="S48" s="14"/>
      <c r="T48" s="13"/>
      <c r="U48" s="14"/>
      <c r="V48" s="13"/>
      <c r="W48" s="14"/>
      <c r="X48" s="13"/>
      <c r="Y48" s="14"/>
      <c r="Z48" s="13"/>
      <c r="AA48" s="4" t="e">
        <f t="shared" si="5"/>
        <v>#DIV/0!</v>
      </c>
      <c r="AB48" s="4" t="e">
        <f t="shared" si="6"/>
        <v>#DIV/0!</v>
      </c>
      <c r="AC48" s="4" t="e">
        <f t="shared" si="7"/>
        <v>#DIV/0!</v>
      </c>
      <c r="AD48" s="3"/>
      <c r="AE48" s="3"/>
      <c r="AF48" s="3"/>
      <c r="AG48" s="3"/>
      <c r="AH48" s="3"/>
      <c r="AT48" s="12"/>
      <c r="AU48" s="12"/>
      <c r="AV48" s="11"/>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row>
    <row r="49" spans="2:87" ht="24" customHeight="1" x14ac:dyDescent="0.2">
      <c r="B49" s="7">
        <f>B47-601</f>
        <v>301</v>
      </c>
      <c r="C49" s="7" t="s">
        <v>149</v>
      </c>
      <c r="D49" s="7">
        <v>10</v>
      </c>
      <c r="E49" s="7">
        <v>2</v>
      </c>
      <c r="F49" s="7">
        <v>2</v>
      </c>
      <c r="G49" s="7">
        <v>1</v>
      </c>
      <c r="H49" s="7">
        <v>3</v>
      </c>
      <c r="I49" s="7" t="s">
        <v>179</v>
      </c>
      <c r="J49" s="8">
        <v>0.48888888888888887</v>
      </c>
      <c r="K49" s="7" t="s">
        <v>2</v>
      </c>
      <c r="L49" s="6">
        <v>102</v>
      </c>
      <c r="M49" s="6"/>
      <c r="N49" s="6">
        <v>101</v>
      </c>
      <c r="O49" s="6"/>
      <c r="P49" s="6">
        <v>111</v>
      </c>
      <c r="Q49" s="6">
        <v>104</v>
      </c>
      <c r="R49" s="6">
        <v>102</v>
      </c>
      <c r="S49" s="6"/>
      <c r="T49" s="6"/>
      <c r="U49" s="6">
        <v>96</v>
      </c>
      <c r="V49" s="6"/>
      <c r="W49" s="6">
        <v>109</v>
      </c>
      <c r="X49" s="6"/>
      <c r="Y49" s="6">
        <v>97</v>
      </c>
      <c r="Z49" s="6"/>
      <c r="AA49" s="4">
        <f t="shared" ref="AA49:AA80" si="8">AVERAGE(P49:U49)</f>
        <v>103.25</v>
      </c>
      <c r="AB49" s="4">
        <f t="shared" ref="AB49:AB72" si="9">AVERAGE(AVERAGE(L49:M49),AVERAGE(N49:O49),AVERAGE(P49:U49),AVERAGE(U49:V49),AVERAGE(W49:X49),AVERAGE(Y49:Z49))</f>
        <v>101.375</v>
      </c>
      <c r="AC49" s="4">
        <f t="shared" ref="AC49:AC80" si="10">STDEV(AVERAGE(L49:M49),AVERAGE(N49:O49),AVERAGE(P49:U49),AVERAGE(U49:V49),AVERAGE(W49:X49),AVERAGE(Y49:Z49))/SQRT(6)</f>
        <v>1.9167572442365606</v>
      </c>
      <c r="AT49" s="12">
        <v>2</v>
      </c>
      <c r="AU49" s="12" t="s">
        <v>3</v>
      </c>
      <c r="AV49" s="12">
        <v>150</v>
      </c>
    </row>
    <row r="50" spans="2:87" ht="24" customHeight="1" thickBot="1" x14ac:dyDescent="0.25">
      <c r="B50" s="15">
        <f>B48-601</f>
        <v>301</v>
      </c>
      <c r="C50" s="15" t="s">
        <v>149</v>
      </c>
      <c r="D50" s="15">
        <v>10</v>
      </c>
      <c r="E50" s="15">
        <v>2</v>
      </c>
      <c r="F50" s="15">
        <v>2</v>
      </c>
      <c r="G50" s="15">
        <v>1</v>
      </c>
      <c r="H50" s="15">
        <v>3</v>
      </c>
      <c r="I50" s="15" t="s">
        <v>179</v>
      </c>
      <c r="J50" s="16"/>
      <c r="K50" s="15" t="s">
        <v>0</v>
      </c>
      <c r="L50" s="14">
        <v>89</v>
      </c>
      <c r="M50" s="13"/>
      <c r="N50" s="14">
        <v>87</v>
      </c>
      <c r="O50" s="13"/>
      <c r="P50" s="14">
        <v>85</v>
      </c>
      <c r="Q50" s="14">
        <v>90</v>
      </c>
      <c r="R50" s="14">
        <v>92</v>
      </c>
      <c r="S50" s="14"/>
      <c r="T50" s="13"/>
      <c r="U50" s="14">
        <v>95</v>
      </c>
      <c r="V50" s="13"/>
      <c r="W50" s="14">
        <v>89</v>
      </c>
      <c r="X50" s="13"/>
      <c r="Y50" s="14">
        <v>85</v>
      </c>
      <c r="Z50" s="13"/>
      <c r="AA50" s="4">
        <f t="shared" si="8"/>
        <v>90.5</v>
      </c>
      <c r="AB50" s="4">
        <f t="shared" si="9"/>
        <v>89.25</v>
      </c>
      <c r="AC50" s="4">
        <f t="shared" si="10"/>
        <v>1.3889444433333777</v>
      </c>
      <c r="AD50" s="3"/>
      <c r="AE50" s="3"/>
      <c r="AF50" s="3"/>
      <c r="AG50" s="3"/>
      <c r="AH50" s="3"/>
      <c r="AT50" s="12"/>
      <c r="AU50" s="12"/>
      <c r="AV50" s="11"/>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row>
    <row r="51" spans="2:87" ht="24" customHeight="1" x14ac:dyDescent="0.2">
      <c r="B51" s="7">
        <f t="shared" ref="B51:B64" si="11">B49+1</f>
        <v>302</v>
      </c>
      <c r="C51" s="7" t="s">
        <v>158</v>
      </c>
      <c r="D51" s="7">
        <v>4</v>
      </c>
      <c r="E51" s="7">
        <v>1</v>
      </c>
      <c r="F51" s="7">
        <v>2</v>
      </c>
      <c r="G51" s="7">
        <v>1</v>
      </c>
      <c r="H51" s="7">
        <v>3</v>
      </c>
      <c r="I51" s="7" t="s">
        <v>180</v>
      </c>
      <c r="J51" s="9"/>
      <c r="K51" s="7" t="s">
        <v>2</v>
      </c>
      <c r="L51" s="6">
        <v>84</v>
      </c>
      <c r="M51" s="6"/>
      <c r="N51" s="6">
        <v>94</v>
      </c>
      <c r="O51" s="6"/>
      <c r="P51" s="6">
        <v>105</v>
      </c>
      <c r="Q51" s="6">
        <v>93</v>
      </c>
      <c r="R51" s="6">
        <v>97</v>
      </c>
      <c r="S51" s="6"/>
      <c r="T51" s="6"/>
      <c r="U51" s="6">
        <v>76</v>
      </c>
      <c r="V51" s="6"/>
      <c r="W51" s="6">
        <v>84</v>
      </c>
      <c r="X51" s="6"/>
      <c r="Y51" s="6">
        <v>73</v>
      </c>
      <c r="Z51" s="6"/>
      <c r="AA51" s="4">
        <f t="shared" si="8"/>
        <v>92.75</v>
      </c>
      <c r="AB51" s="4">
        <f t="shared" si="9"/>
        <v>83.958333333333329</v>
      </c>
      <c r="AC51" s="4">
        <f t="shared" si="10"/>
        <v>3.4715610481613477</v>
      </c>
      <c r="AD51" s="3"/>
      <c r="AE51" s="3"/>
      <c r="AF51" s="3"/>
      <c r="AG51" s="3"/>
      <c r="AH51" s="3"/>
    </row>
    <row r="52" spans="2:87" ht="24" customHeight="1" thickBot="1" x14ac:dyDescent="0.25">
      <c r="B52" s="15">
        <f t="shared" si="11"/>
        <v>302</v>
      </c>
      <c r="C52" s="15" t="s">
        <v>158</v>
      </c>
      <c r="D52" s="15">
        <v>4</v>
      </c>
      <c r="E52" s="15">
        <v>1</v>
      </c>
      <c r="F52" s="15">
        <v>2</v>
      </c>
      <c r="G52" s="15">
        <v>1</v>
      </c>
      <c r="H52" s="15">
        <v>3</v>
      </c>
      <c r="I52" s="15" t="s">
        <v>180</v>
      </c>
      <c r="J52" s="16"/>
      <c r="K52" s="15" t="s">
        <v>0</v>
      </c>
      <c r="L52" s="14">
        <v>83</v>
      </c>
      <c r="M52" s="13"/>
      <c r="N52" s="14">
        <v>96</v>
      </c>
      <c r="O52" s="13"/>
      <c r="P52" s="14">
        <v>87</v>
      </c>
      <c r="Q52" s="14">
        <v>89</v>
      </c>
      <c r="R52" s="14">
        <v>83</v>
      </c>
      <c r="S52" s="14"/>
      <c r="T52" s="13"/>
      <c r="U52" s="14">
        <v>78</v>
      </c>
      <c r="V52" s="13"/>
      <c r="W52" s="14">
        <v>82</v>
      </c>
      <c r="X52" s="13"/>
      <c r="Y52" s="14">
        <v>79</v>
      </c>
      <c r="Z52" s="13"/>
      <c r="AA52" s="4">
        <f t="shared" si="8"/>
        <v>84.25</v>
      </c>
      <c r="AB52" s="4">
        <f t="shared" si="9"/>
        <v>83.708333333333329</v>
      </c>
      <c r="AC52" s="4">
        <f t="shared" si="10"/>
        <v>2.6429281950980901</v>
      </c>
      <c r="AD52" s="3"/>
      <c r="AE52" s="3"/>
      <c r="AF52" s="3"/>
      <c r="AG52" s="3"/>
      <c r="AH52" s="3"/>
      <c r="AT52" s="12"/>
      <c r="AU52" s="12"/>
      <c r="AV52" s="11"/>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row>
    <row r="53" spans="2:87" ht="24" customHeight="1" x14ac:dyDescent="0.2">
      <c r="B53" s="7">
        <f t="shared" si="11"/>
        <v>303</v>
      </c>
      <c r="C53" s="7" t="s">
        <v>168</v>
      </c>
      <c r="D53" s="7">
        <v>8</v>
      </c>
      <c r="E53" s="7">
        <v>2</v>
      </c>
      <c r="F53" s="7">
        <v>1</v>
      </c>
      <c r="G53" s="7">
        <v>1</v>
      </c>
      <c r="H53" s="7">
        <v>3</v>
      </c>
      <c r="I53" s="7" t="s">
        <v>181</v>
      </c>
      <c r="J53" s="9"/>
      <c r="K53" s="7" t="s">
        <v>2</v>
      </c>
      <c r="L53" s="6">
        <v>95</v>
      </c>
      <c r="M53" s="6"/>
      <c r="N53" s="6">
        <v>79</v>
      </c>
      <c r="O53" s="6"/>
      <c r="P53" s="6">
        <v>95</v>
      </c>
      <c r="Q53" s="6">
        <v>75</v>
      </c>
      <c r="R53" s="6">
        <v>83</v>
      </c>
      <c r="S53" s="6"/>
      <c r="T53" s="6"/>
      <c r="U53" s="6">
        <v>78</v>
      </c>
      <c r="V53" s="6"/>
      <c r="W53" s="6">
        <v>87</v>
      </c>
      <c r="X53" s="6"/>
      <c r="Y53" s="6">
        <v>92</v>
      </c>
      <c r="Z53" s="6"/>
      <c r="AA53" s="4">
        <f t="shared" si="8"/>
        <v>82.75</v>
      </c>
      <c r="AB53" s="4">
        <f t="shared" si="9"/>
        <v>85.625</v>
      </c>
      <c r="AC53" s="4">
        <f t="shared" si="10"/>
        <v>2.8326592335353955</v>
      </c>
      <c r="AD53" s="3"/>
      <c r="AE53" s="3"/>
      <c r="AF53" s="3"/>
      <c r="AG53" s="3"/>
      <c r="AH53" s="3"/>
    </row>
    <row r="54" spans="2:87" ht="24" customHeight="1" thickBot="1" x14ac:dyDescent="0.25">
      <c r="B54" s="15">
        <f t="shared" si="11"/>
        <v>303</v>
      </c>
      <c r="C54" s="15" t="s">
        <v>168</v>
      </c>
      <c r="D54" s="15">
        <v>8</v>
      </c>
      <c r="E54" s="15">
        <v>2</v>
      </c>
      <c r="F54" s="15">
        <v>1</v>
      </c>
      <c r="G54" s="15">
        <v>1</v>
      </c>
      <c r="H54" s="15">
        <v>3</v>
      </c>
      <c r="I54" s="15" t="s">
        <v>181</v>
      </c>
      <c r="J54" s="16"/>
      <c r="K54" s="15" t="s">
        <v>0</v>
      </c>
      <c r="L54" s="14">
        <v>89</v>
      </c>
      <c r="M54" s="13"/>
      <c r="N54" s="14">
        <v>78</v>
      </c>
      <c r="O54" s="13"/>
      <c r="P54" s="14">
        <v>78</v>
      </c>
      <c r="Q54" s="14">
        <v>76</v>
      </c>
      <c r="R54" s="14">
        <v>77</v>
      </c>
      <c r="S54" s="14"/>
      <c r="T54" s="13"/>
      <c r="U54" s="14">
        <v>85</v>
      </c>
      <c r="V54" s="13"/>
      <c r="W54" s="14">
        <v>98</v>
      </c>
      <c r="X54" s="13"/>
      <c r="Y54" s="14">
        <v>81</v>
      </c>
      <c r="Z54" s="13"/>
      <c r="AA54" s="4">
        <f t="shared" si="8"/>
        <v>79</v>
      </c>
      <c r="AB54" s="4">
        <f t="shared" si="9"/>
        <v>85</v>
      </c>
      <c r="AC54" s="4">
        <f t="shared" si="10"/>
        <v>3.0876096471758436</v>
      </c>
      <c r="AD54" s="3"/>
      <c r="AE54" s="3"/>
      <c r="AF54" s="3"/>
      <c r="AG54" s="3"/>
      <c r="AH54" s="3"/>
      <c r="AT54" s="12"/>
      <c r="AU54" s="12"/>
      <c r="AV54" s="11"/>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row>
    <row r="55" spans="2:87" ht="24" customHeight="1" x14ac:dyDescent="0.2">
      <c r="B55" s="7">
        <f t="shared" si="11"/>
        <v>304</v>
      </c>
      <c r="C55" s="7" t="s">
        <v>171</v>
      </c>
      <c r="D55" s="7">
        <v>2</v>
      </c>
      <c r="E55" s="7">
        <v>1</v>
      </c>
      <c r="F55" s="7">
        <v>1</v>
      </c>
      <c r="G55" s="7">
        <v>1</v>
      </c>
      <c r="H55" s="7">
        <v>3</v>
      </c>
      <c r="I55" s="7" t="s">
        <v>182</v>
      </c>
      <c r="J55" s="9"/>
      <c r="K55" s="7" t="s">
        <v>2</v>
      </c>
      <c r="L55" s="6">
        <v>104</v>
      </c>
      <c r="M55" s="6"/>
      <c r="N55" s="6">
        <v>82</v>
      </c>
      <c r="O55" s="6"/>
      <c r="P55" s="6">
        <v>99</v>
      </c>
      <c r="Q55" s="6">
        <v>96</v>
      </c>
      <c r="R55" s="6">
        <v>96</v>
      </c>
      <c r="S55" s="6"/>
      <c r="T55" s="6"/>
      <c r="U55" s="6">
        <v>98</v>
      </c>
      <c r="V55" s="6"/>
      <c r="W55" s="6">
        <v>82</v>
      </c>
      <c r="X55" s="6"/>
      <c r="Y55" s="6">
        <v>84</v>
      </c>
      <c r="Z55" s="6"/>
      <c r="AA55" s="4">
        <f t="shared" si="8"/>
        <v>97.25</v>
      </c>
      <c r="AB55" s="4">
        <f t="shared" si="9"/>
        <v>91.208333333333329</v>
      </c>
      <c r="AC55" s="4">
        <f t="shared" si="10"/>
        <v>3.948848284978518</v>
      </c>
      <c r="AD55" s="3"/>
      <c r="AE55" s="3"/>
      <c r="AF55" s="3"/>
      <c r="AG55" s="3"/>
      <c r="AH55" s="3"/>
    </row>
    <row r="56" spans="2:87" ht="24" customHeight="1" thickBot="1" x14ac:dyDescent="0.25">
      <c r="B56" s="15">
        <f t="shared" si="11"/>
        <v>304</v>
      </c>
      <c r="C56" s="15" t="s">
        <v>171</v>
      </c>
      <c r="D56" s="15">
        <v>2</v>
      </c>
      <c r="E56" s="15">
        <v>1</v>
      </c>
      <c r="F56" s="15">
        <v>1</v>
      </c>
      <c r="G56" s="15">
        <v>1</v>
      </c>
      <c r="H56" s="15">
        <v>3</v>
      </c>
      <c r="I56" s="15" t="s">
        <v>182</v>
      </c>
      <c r="J56" s="16"/>
      <c r="K56" s="15" t="s">
        <v>0</v>
      </c>
      <c r="L56" s="14">
        <v>86</v>
      </c>
      <c r="M56" s="13"/>
      <c r="N56" s="14">
        <v>87</v>
      </c>
      <c r="O56" s="13"/>
      <c r="P56" s="14">
        <v>83</v>
      </c>
      <c r="Q56" s="14">
        <v>81</v>
      </c>
      <c r="R56" s="14">
        <v>92</v>
      </c>
      <c r="S56" s="14"/>
      <c r="T56" s="13"/>
      <c r="U56" s="14">
        <v>92</v>
      </c>
      <c r="V56" s="13"/>
      <c r="W56" s="14">
        <v>82</v>
      </c>
      <c r="X56" s="13"/>
      <c r="Y56" s="14">
        <v>73</v>
      </c>
      <c r="Z56" s="13"/>
      <c r="AA56" s="4">
        <f t="shared" si="8"/>
        <v>87</v>
      </c>
      <c r="AB56" s="4">
        <f t="shared" si="9"/>
        <v>84.5</v>
      </c>
      <c r="AC56" s="4">
        <f t="shared" si="10"/>
        <v>2.6425997300638127</v>
      </c>
      <c r="AD56" s="3"/>
      <c r="AE56" s="3"/>
      <c r="AF56" s="3"/>
      <c r="AG56" s="3"/>
      <c r="AH56" s="3"/>
      <c r="AT56" s="12"/>
      <c r="AU56" s="12"/>
      <c r="AV56" s="11"/>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row>
    <row r="57" spans="2:87" ht="24" customHeight="1" thickBot="1" x14ac:dyDescent="0.25">
      <c r="B57" s="7">
        <f t="shared" si="11"/>
        <v>305</v>
      </c>
      <c r="C57" s="7" t="s">
        <v>165</v>
      </c>
      <c r="D57" s="7">
        <v>11</v>
      </c>
      <c r="E57" s="7">
        <v>2</v>
      </c>
      <c r="F57" s="7">
        <v>3</v>
      </c>
      <c r="G57" s="7">
        <v>2</v>
      </c>
      <c r="H57" s="7">
        <v>4</v>
      </c>
      <c r="I57" s="7" t="s">
        <v>183</v>
      </c>
      <c r="J57" s="16"/>
      <c r="K57" s="7" t="s">
        <v>2</v>
      </c>
      <c r="L57" s="6">
        <v>118</v>
      </c>
      <c r="M57" s="6"/>
      <c r="N57" s="6">
        <v>114</v>
      </c>
      <c r="O57" s="6"/>
      <c r="P57" s="6">
        <v>106</v>
      </c>
      <c r="Q57" s="6">
        <v>100</v>
      </c>
      <c r="R57" s="6">
        <v>97</v>
      </c>
      <c r="S57" s="6"/>
      <c r="T57" s="6"/>
      <c r="U57" s="6">
        <v>104</v>
      </c>
      <c r="V57" s="6"/>
      <c r="W57" s="6">
        <v>99</v>
      </c>
      <c r="X57" s="6"/>
      <c r="Y57" s="6">
        <v>106</v>
      </c>
      <c r="Z57" s="6"/>
      <c r="AA57" s="4">
        <f t="shared" si="8"/>
        <v>101.75</v>
      </c>
      <c r="AB57" s="4">
        <f t="shared" si="9"/>
        <v>107.125</v>
      </c>
      <c r="AC57" s="4">
        <f t="shared" si="10"/>
        <v>3.0081486554579273</v>
      </c>
      <c r="AD57" s="3"/>
      <c r="AE57" s="3"/>
      <c r="AF57" s="3"/>
      <c r="AG57" s="3"/>
      <c r="AH57" s="3"/>
    </row>
    <row r="58" spans="2:87" ht="24" customHeight="1" thickBot="1" x14ac:dyDescent="0.25">
      <c r="B58" s="15">
        <f t="shared" si="11"/>
        <v>305</v>
      </c>
      <c r="C58" s="15" t="s">
        <v>165</v>
      </c>
      <c r="D58" s="15">
        <v>11</v>
      </c>
      <c r="E58" s="15">
        <v>2</v>
      </c>
      <c r="F58" s="15">
        <v>3</v>
      </c>
      <c r="G58" s="15">
        <v>2</v>
      </c>
      <c r="H58" s="15">
        <v>4</v>
      </c>
      <c r="I58" s="15" t="s">
        <v>183</v>
      </c>
      <c r="J58" s="16"/>
      <c r="K58" s="15" t="s">
        <v>0</v>
      </c>
      <c r="L58" s="14">
        <v>108</v>
      </c>
      <c r="M58" s="13"/>
      <c r="N58" s="14">
        <v>96</v>
      </c>
      <c r="O58" s="13"/>
      <c r="P58" s="14">
        <v>87</v>
      </c>
      <c r="Q58" s="14">
        <v>88</v>
      </c>
      <c r="R58" s="14">
        <v>91</v>
      </c>
      <c r="S58" s="14"/>
      <c r="T58" s="13"/>
      <c r="U58" s="14">
        <v>97</v>
      </c>
      <c r="V58" s="13"/>
      <c r="W58" s="14">
        <v>80</v>
      </c>
      <c r="X58" s="13"/>
      <c r="Y58" s="14">
        <v>92</v>
      </c>
      <c r="Z58" s="13"/>
      <c r="AA58" s="4">
        <f t="shared" si="8"/>
        <v>90.75</v>
      </c>
      <c r="AB58" s="4">
        <f t="shared" si="9"/>
        <v>93.958333333333329</v>
      </c>
      <c r="AC58" s="4">
        <f t="shared" si="10"/>
        <v>3.7396616751311136</v>
      </c>
      <c r="AD58" s="3"/>
      <c r="AE58" s="3"/>
      <c r="AF58" s="3"/>
      <c r="AG58" s="3"/>
      <c r="AH58" s="3"/>
      <c r="AT58" s="12"/>
      <c r="AU58" s="12"/>
      <c r="AV58" s="11"/>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row>
    <row r="59" spans="2:87" ht="24" customHeight="1" x14ac:dyDescent="0.2">
      <c r="B59" s="7">
        <f t="shared" si="11"/>
        <v>306</v>
      </c>
      <c r="C59" s="7" t="s">
        <v>158</v>
      </c>
      <c r="D59" s="7">
        <v>4</v>
      </c>
      <c r="E59" s="7">
        <v>1</v>
      </c>
      <c r="F59" s="7">
        <v>2</v>
      </c>
      <c r="G59" s="7">
        <v>1</v>
      </c>
      <c r="H59" s="7">
        <v>4</v>
      </c>
      <c r="I59" s="7" t="s">
        <v>184</v>
      </c>
      <c r="J59" s="9"/>
      <c r="K59" s="7" t="s">
        <v>2</v>
      </c>
      <c r="L59" s="6">
        <v>99</v>
      </c>
      <c r="M59" s="6"/>
      <c r="N59" s="6">
        <v>84</v>
      </c>
      <c r="O59" s="6"/>
      <c r="P59" s="6">
        <v>105</v>
      </c>
      <c r="Q59" s="6">
        <v>93</v>
      </c>
      <c r="R59" s="6">
        <v>96</v>
      </c>
      <c r="S59" s="6"/>
      <c r="T59" s="6"/>
      <c r="U59" s="6">
        <v>104</v>
      </c>
      <c r="V59" s="6"/>
      <c r="W59" s="6">
        <v>76</v>
      </c>
      <c r="X59" s="6"/>
      <c r="Y59" s="6">
        <v>96</v>
      </c>
      <c r="Z59" s="6"/>
      <c r="AA59" s="4">
        <f t="shared" si="8"/>
        <v>99.5</v>
      </c>
      <c r="AB59" s="4">
        <f t="shared" si="9"/>
        <v>93.083333333333329</v>
      </c>
      <c r="AC59" s="4">
        <f t="shared" si="10"/>
        <v>4.3901721049534261</v>
      </c>
      <c r="AD59" s="3"/>
      <c r="AE59" s="3"/>
      <c r="AF59" s="3"/>
      <c r="AG59" s="3"/>
      <c r="AH59" s="3"/>
    </row>
    <row r="60" spans="2:87" ht="24" customHeight="1" thickBot="1" x14ac:dyDescent="0.25">
      <c r="B60" s="15">
        <f t="shared" si="11"/>
        <v>306</v>
      </c>
      <c r="C60" s="15" t="s">
        <v>158</v>
      </c>
      <c r="D60" s="15">
        <v>4</v>
      </c>
      <c r="E60" s="15">
        <v>1</v>
      </c>
      <c r="F60" s="15">
        <v>2</v>
      </c>
      <c r="G60" s="15">
        <v>1</v>
      </c>
      <c r="H60" s="15">
        <v>4</v>
      </c>
      <c r="I60" s="15" t="s">
        <v>184</v>
      </c>
      <c r="J60" s="16"/>
      <c r="K60" s="15" t="s">
        <v>0</v>
      </c>
      <c r="L60" s="14">
        <v>88</v>
      </c>
      <c r="M60" s="13"/>
      <c r="N60" s="14">
        <v>91</v>
      </c>
      <c r="O60" s="13"/>
      <c r="P60" s="14">
        <v>77</v>
      </c>
      <c r="Q60" s="14">
        <v>94</v>
      </c>
      <c r="R60" s="14">
        <v>74</v>
      </c>
      <c r="S60" s="14"/>
      <c r="T60" s="13"/>
      <c r="U60" s="14">
        <v>84</v>
      </c>
      <c r="V60" s="13"/>
      <c r="W60" s="14">
        <v>93</v>
      </c>
      <c r="X60" s="13"/>
      <c r="Y60" s="14">
        <v>91</v>
      </c>
      <c r="Z60" s="13"/>
      <c r="AA60" s="4">
        <f t="shared" si="8"/>
        <v>82.25</v>
      </c>
      <c r="AB60" s="4">
        <f t="shared" si="9"/>
        <v>88.208333333333329</v>
      </c>
      <c r="AC60" s="4">
        <f t="shared" si="10"/>
        <v>1.7493054177142551</v>
      </c>
      <c r="AD60" s="3"/>
      <c r="AE60" s="3"/>
      <c r="AF60" s="3"/>
      <c r="AG60" s="3"/>
      <c r="AH60" s="3"/>
      <c r="AT60" s="12"/>
      <c r="AU60" s="12"/>
      <c r="AV60" s="11"/>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row>
    <row r="61" spans="2:87" ht="24" customHeight="1" x14ac:dyDescent="0.2">
      <c r="B61" s="7">
        <f t="shared" si="11"/>
        <v>307</v>
      </c>
      <c r="C61" s="7" t="s">
        <v>151</v>
      </c>
      <c r="D61" s="7">
        <v>9</v>
      </c>
      <c r="E61" s="7">
        <v>2</v>
      </c>
      <c r="F61" s="7">
        <v>2</v>
      </c>
      <c r="G61" s="7">
        <v>2</v>
      </c>
      <c r="H61" s="7">
        <v>4</v>
      </c>
      <c r="I61" s="7" t="s">
        <v>185</v>
      </c>
      <c r="J61" s="9"/>
      <c r="K61" s="7" t="s">
        <v>2</v>
      </c>
      <c r="L61" s="6">
        <v>98</v>
      </c>
      <c r="M61" s="5"/>
      <c r="N61" s="6">
        <v>96</v>
      </c>
      <c r="O61" s="5"/>
      <c r="P61" s="6">
        <v>98</v>
      </c>
      <c r="Q61" s="6">
        <v>97</v>
      </c>
      <c r="R61" s="6">
        <v>93</v>
      </c>
      <c r="S61" s="6"/>
      <c r="T61" s="5"/>
      <c r="U61" s="6">
        <v>101</v>
      </c>
      <c r="V61" s="5"/>
      <c r="W61" s="6">
        <v>98</v>
      </c>
      <c r="X61" s="5"/>
      <c r="Y61" s="6">
        <v>101</v>
      </c>
      <c r="Z61" s="5"/>
      <c r="AA61" s="4">
        <f t="shared" si="8"/>
        <v>97.25</v>
      </c>
      <c r="AB61" s="4">
        <f t="shared" si="9"/>
        <v>98.541666666666671</v>
      </c>
      <c r="AC61" s="4">
        <f t="shared" si="10"/>
        <v>0.83270809878238716</v>
      </c>
      <c r="AD61" s="3"/>
      <c r="AE61" s="3"/>
      <c r="AF61" s="3"/>
      <c r="AG61" s="3"/>
      <c r="AH61" s="3"/>
    </row>
    <row r="62" spans="2:87" ht="24" customHeight="1" thickBot="1" x14ac:dyDescent="0.25">
      <c r="B62" s="15">
        <f t="shared" si="11"/>
        <v>307</v>
      </c>
      <c r="C62" s="15" t="s">
        <v>151</v>
      </c>
      <c r="D62" s="15">
        <v>9</v>
      </c>
      <c r="E62" s="15">
        <v>2</v>
      </c>
      <c r="F62" s="15">
        <v>2</v>
      </c>
      <c r="G62" s="15">
        <v>2</v>
      </c>
      <c r="H62" s="15">
        <v>4</v>
      </c>
      <c r="I62" s="15" t="s">
        <v>185</v>
      </c>
      <c r="J62" s="16"/>
      <c r="K62" s="15" t="s">
        <v>0</v>
      </c>
      <c r="L62" s="14">
        <v>93</v>
      </c>
      <c r="M62" s="13"/>
      <c r="N62" s="14">
        <v>92</v>
      </c>
      <c r="O62" s="13"/>
      <c r="P62" s="14">
        <v>93</v>
      </c>
      <c r="Q62" s="14">
        <v>101</v>
      </c>
      <c r="R62" s="14">
        <v>97</v>
      </c>
      <c r="S62" s="14"/>
      <c r="T62" s="13"/>
      <c r="U62" s="14">
        <v>93</v>
      </c>
      <c r="V62" s="13"/>
      <c r="W62" s="14">
        <v>94</v>
      </c>
      <c r="X62" s="13"/>
      <c r="Y62" s="14">
        <v>96</v>
      </c>
      <c r="Z62" s="13"/>
      <c r="AA62" s="4">
        <f t="shared" si="8"/>
        <v>96</v>
      </c>
      <c r="AB62" s="4">
        <f t="shared" si="9"/>
        <v>94</v>
      </c>
      <c r="AC62" s="4">
        <f t="shared" si="10"/>
        <v>0.68313005106397329</v>
      </c>
      <c r="AD62" s="3"/>
      <c r="AE62" s="3"/>
      <c r="AF62" s="3"/>
      <c r="AG62" s="3"/>
      <c r="AH62" s="3"/>
      <c r="AT62" s="12"/>
      <c r="AU62" s="12"/>
      <c r="AV62" s="11"/>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row>
    <row r="63" spans="2:87" ht="24" customHeight="1" x14ac:dyDescent="0.2">
      <c r="B63" s="7">
        <f t="shared" si="11"/>
        <v>308</v>
      </c>
      <c r="C63" s="7" t="s">
        <v>156</v>
      </c>
      <c r="D63" s="7">
        <v>5</v>
      </c>
      <c r="E63" s="7">
        <v>1</v>
      </c>
      <c r="F63" s="7">
        <v>3</v>
      </c>
      <c r="G63" s="7">
        <v>2</v>
      </c>
      <c r="H63" s="7">
        <v>4</v>
      </c>
      <c r="I63" s="7" t="s">
        <v>186</v>
      </c>
      <c r="J63" s="9"/>
      <c r="K63" s="7" t="s">
        <v>2</v>
      </c>
      <c r="L63" s="6">
        <v>109</v>
      </c>
      <c r="M63" s="5"/>
      <c r="N63" s="6">
        <v>96</v>
      </c>
      <c r="O63" s="5"/>
      <c r="P63" s="6">
        <v>93</v>
      </c>
      <c r="Q63" s="6">
        <v>109</v>
      </c>
      <c r="R63" s="6">
        <v>94</v>
      </c>
      <c r="S63" s="6"/>
      <c r="T63" s="5"/>
      <c r="U63" s="6">
        <v>106</v>
      </c>
      <c r="V63" s="5"/>
      <c r="W63" s="6">
        <v>107</v>
      </c>
      <c r="X63" s="5"/>
      <c r="Y63" s="6">
        <v>98</v>
      </c>
      <c r="Z63" s="5"/>
      <c r="AA63" s="4">
        <f t="shared" si="8"/>
        <v>100.5</v>
      </c>
      <c r="AB63" s="4">
        <f t="shared" si="9"/>
        <v>102.75</v>
      </c>
      <c r="AC63" s="4">
        <f t="shared" si="10"/>
        <v>2.166987155784116</v>
      </c>
      <c r="AD63" s="3"/>
      <c r="AE63" s="3"/>
      <c r="AF63" s="3"/>
      <c r="AG63" s="3"/>
      <c r="AH63" s="3"/>
    </row>
    <row r="64" spans="2:87" ht="24" customHeight="1" x14ac:dyDescent="0.2">
      <c r="B64" s="7">
        <f t="shared" si="11"/>
        <v>308</v>
      </c>
      <c r="C64" s="7" t="s">
        <v>156</v>
      </c>
      <c r="D64" s="7">
        <v>5</v>
      </c>
      <c r="E64" s="7">
        <v>1</v>
      </c>
      <c r="F64" s="7">
        <v>3</v>
      </c>
      <c r="G64" s="7">
        <v>2</v>
      </c>
      <c r="H64" s="7">
        <v>4</v>
      </c>
      <c r="I64" s="7" t="s">
        <v>186</v>
      </c>
      <c r="J64" s="9"/>
      <c r="K64" s="7" t="s">
        <v>0</v>
      </c>
      <c r="L64" s="6">
        <v>74</v>
      </c>
      <c r="M64" s="6"/>
      <c r="N64" s="6">
        <v>81</v>
      </c>
      <c r="O64" s="6"/>
      <c r="P64" s="6">
        <v>75</v>
      </c>
      <c r="Q64" s="6">
        <v>68</v>
      </c>
      <c r="R64" s="6">
        <v>78</v>
      </c>
      <c r="S64" s="6"/>
      <c r="T64" s="6"/>
      <c r="U64" s="6">
        <v>76</v>
      </c>
      <c r="V64" s="6"/>
      <c r="W64" s="6">
        <v>82</v>
      </c>
      <c r="X64" s="6"/>
      <c r="Y64" s="6">
        <v>72</v>
      </c>
      <c r="Z64" s="6"/>
      <c r="AA64" s="4">
        <f t="shared" si="8"/>
        <v>74.25</v>
      </c>
      <c r="AB64" s="4">
        <f t="shared" si="9"/>
        <v>76.541666666666671</v>
      </c>
      <c r="AC64" s="4">
        <f t="shared" si="10"/>
        <v>1.6563220634217783</v>
      </c>
      <c r="AD64" s="3"/>
      <c r="AE64" s="3"/>
      <c r="AF64" s="3"/>
      <c r="AG64" s="3"/>
      <c r="AH64" s="3"/>
    </row>
    <row r="65" spans="2:87" ht="24" customHeight="1" x14ac:dyDescent="0.2">
      <c r="B65" s="7">
        <f>B63+100</f>
        <v>408</v>
      </c>
      <c r="C65" s="7" t="s">
        <v>149</v>
      </c>
      <c r="D65" s="7">
        <v>10</v>
      </c>
      <c r="E65" s="7">
        <v>2</v>
      </c>
      <c r="F65" s="7">
        <v>2</v>
      </c>
      <c r="G65" s="7">
        <v>1</v>
      </c>
      <c r="H65" s="7">
        <v>4</v>
      </c>
      <c r="I65" s="7" t="s">
        <v>187</v>
      </c>
      <c r="J65" s="8">
        <v>0.50138888888888888</v>
      </c>
      <c r="K65" s="7" t="s">
        <v>2</v>
      </c>
      <c r="L65" s="6">
        <v>86</v>
      </c>
      <c r="M65" s="6"/>
      <c r="N65" s="6">
        <v>87</v>
      </c>
      <c r="O65" s="6"/>
      <c r="P65" s="6">
        <v>86</v>
      </c>
      <c r="Q65" s="6">
        <v>92</v>
      </c>
      <c r="R65" s="6">
        <v>97</v>
      </c>
      <c r="S65" s="6">
        <v>73</v>
      </c>
      <c r="T65" s="6">
        <v>67</v>
      </c>
      <c r="U65" s="6">
        <v>83</v>
      </c>
      <c r="V65" s="6"/>
      <c r="W65" s="6">
        <v>100</v>
      </c>
      <c r="X65" s="6"/>
      <c r="Y65" s="6">
        <v>92</v>
      </c>
      <c r="Z65" s="6"/>
      <c r="AA65" s="4">
        <f t="shared" si="8"/>
        <v>83</v>
      </c>
      <c r="AB65" s="4">
        <f t="shared" si="9"/>
        <v>88.5</v>
      </c>
      <c r="AC65" s="4">
        <f t="shared" si="10"/>
        <v>2.6677081299622469</v>
      </c>
      <c r="AT65" s="12">
        <v>2</v>
      </c>
      <c r="AU65" s="12" t="s">
        <v>3</v>
      </c>
      <c r="AV65" s="12">
        <v>150</v>
      </c>
    </row>
    <row r="66" spans="2:87" ht="24" customHeight="1" thickBot="1" x14ac:dyDescent="0.25">
      <c r="B66" s="7">
        <f>B64+100</f>
        <v>408</v>
      </c>
      <c r="C66" s="15" t="s">
        <v>149</v>
      </c>
      <c r="D66" s="15">
        <v>10</v>
      </c>
      <c r="E66" s="15">
        <v>2</v>
      </c>
      <c r="F66" s="15">
        <v>2</v>
      </c>
      <c r="G66" s="15">
        <v>1</v>
      </c>
      <c r="H66" s="15">
        <v>4</v>
      </c>
      <c r="I66" s="15" t="s">
        <v>187</v>
      </c>
      <c r="J66" s="16"/>
      <c r="K66" s="15" t="s">
        <v>0</v>
      </c>
      <c r="L66" s="14">
        <v>88</v>
      </c>
      <c r="M66" s="13"/>
      <c r="N66" s="14">
        <v>83</v>
      </c>
      <c r="O66" s="13"/>
      <c r="P66" s="14">
        <v>77</v>
      </c>
      <c r="Q66" s="14">
        <v>89</v>
      </c>
      <c r="R66" s="14">
        <v>89</v>
      </c>
      <c r="S66" s="14">
        <v>85</v>
      </c>
      <c r="T66" s="13">
        <v>90</v>
      </c>
      <c r="U66" s="14">
        <v>72</v>
      </c>
      <c r="V66" s="13"/>
      <c r="W66" s="14">
        <v>79</v>
      </c>
      <c r="X66" s="13"/>
      <c r="Y66" s="14">
        <v>78</v>
      </c>
      <c r="Z66" s="13"/>
      <c r="AA66" s="4">
        <f t="shared" si="8"/>
        <v>83.666666666666671</v>
      </c>
      <c r="AB66" s="4">
        <f t="shared" si="9"/>
        <v>80.611111111111114</v>
      </c>
      <c r="AC66" s="4">
        <f t="shared" si="10"/>
        <v>2.2598208166703824</v>
      </c>
      <c r="AD66" s="3"/>
      <c r="AE66" s="3"/>
      <c r="AF66" s="3"/>
      <c r="AG66" s="3"/>
      <c r="AH66" s="3"/>
      <c r="AT66" s="12"/>
      <c r="AU66" s="12"/>
      <c r="AV66" s="11"/>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row>
    <row r="67" spans="2:87" ht="24" customHeight="1" x14ac:dyDescent="0.2">
      <c r="B67" s="7">
        <f t="shared" ref="B67:B80" si="12">B65-1</f>
        <v>407</v>
      </c>
      <c r="C67" s="7" t="s">
        <v>188</v>
      </c>
      <c r="D67" s="7">
        <v>7</v>
      </c>
      <c r="E67" s="7">
        <v>2</v>
      </c>
      <c r="F67" s="7">
        <v>1</v>
      </c>
      <c r="G67" s="7">
        <v>2</v>
      </c>
      <c r="H67" s="7">
        <v>4</v>
      </c>
      <c r="I67" s="7" t="s">
        <v>189</v>
      </c>
      <c r="J67" s="9"/>
      <c r="K67" s="7" t="s">
        <v>2</v>
      </c>
      <c r="L67" s="6">
        <v>78</v>
      </c>
      <c r="M67" s="6"/>
      <c r="N67" s="6">
        <v>85</v>
      </c>
      <c r="O67" s="6"/>
      <c r="P67" s="6">
        <v>78</v>
      </c>
      <c r="Q67" s="6">
        <v>81</v>
      </c>
      <c r="R67" s="6">
        <v>76</v>
      </c>
      <c r="S67" s="6"/>
      <c r="T67" s="6"/>
      <c r="U67" s="6">
        <v>93</v>
      </c>
      <c r="V67" s="6"/>
      <c r="W67" s="6">
        <v>98</v>
      </c>
      <c r="X67" s="6"/>
      <c r="Y67" s="6">
        <v>102</v>
      </c>
      <c r="Z67" s="6"/>
      <c r="AA67" s="4">
        <f t="shared" si="8"/>
        <v>82</v>
      </c>
      <c r="AB67" s="4">
        <f t="shared" si="9"/>
        <v>89.666666666666671</v>
      </c>
      <c r="AC67" s="4">
        <f t="shared" si="10"/>
        <v>3.870113406319998</v>
      </c>
      <c r="AD67" s="3"/>
      <c r="AE67" s="3"/>
      <c r="AF67" s="3"/>
      <c r="AG67" s="3"/>
      <c r="AH67" s="3"/>
    </row>
    <row r="68" spans="2:87" ht="24" customHeight="1" thickBot="1" x14ac:dyDescent="0.25">
      <c r="B68" s="7">
        <f t="shared" si="12"/>
        <v>407</v>
      </c>
      <c r="C68" s="15" t="s">
        <v>188</v>
      </c>
      <c r="D68" s="15">
        <v>7</v>
      </c>
      <c r="E68" s="15">
        <v>2</v>
      </c>
      <c r="F68" s="15">
        <v>1</v>
      </c>
      <c r="G68" s="15">
        <v>2</v>
      </c>
      <c r="H68" s="15">
        <v>4</v>
      </c>
      <c r="I68" s="15" t="s">
        <v>189</v>
      </c>
      <c r="J68" s="16"/>
      <c r="K68" s="15" t="s">
        <v>0</v>
      </c>
      <c r="L68" s="14">
        <v>76</v>
      </c>
      <c r="M68" s="13"/>
      <c r="N68" s="14">
        <v>80</v>
      </c>
      <c r="O68" s="13"/>
      <c r="P68" s="14">
        <v>64</v>
      </c>
      <c r="Q68" s="14">
        <v>66</v>
      </c>
      <c r="R68" s="14">
        <v>70</v>
      </c>
      <c r="S68" s="14"/>
      <c r="T68" s="13"/>
      <c r="U68" s="14">
        <v>68</v>
      </c>
      <c r="V68" s="13"/>
      <c r="W68" s="14">
        <v>74</v>
      </c>
      <c r="X68" s="13"/>
      <c r="Y68" s="14">
        <v>86</v>
      </c>
      <c r="Z68" s="13"/>
      <c r="AA68" s="4">
        <f t="shared" si="8"/>
        <v>67</v>
      </c>
      <c r="AB68" s="4">
        <f t="shared" si="9"/>
        <v>75.166666666666671</v>
      </c>
      <c r="AC68" s="4">
        <f t="shared" si="10"/>
        <v>2.9486343354923554</v>
      </c>
      <c r="AD68" s="3"/>
      <c r="AE68" s="3"/>
      <c r="AF68" s="3"/>
      <c r="AG68" s="3"/>
      <c r="AH68" s="3"/>
      <c r="AT68" s="12"/>
      <c r="AU68" s="12"/>
      <c r="AV68" s="11"/>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row>
    <row r="69" spans="2:87" ht="24" customHeight="1" x14ac:dyDescent="0.2">
      <c r="B69" s="7">
        <f t="shared" si="12"/>
        <v>406</v>
      </c>
      <c r="C69" s="7" t="s">
        <v>147</v>
      </c>
      <c r="D69" s="7">
        <v>3</v>
      </c>
      <c r="E69" s="7">
        <v>1</v>
      </c>
      <c r="F69" s="7">
        <v>2</v>
      </c>
      <c r="G69" s="7">
        <v>2</v>
      </c>
      <c r="H69" s="7">
        <v>4</v>
      </c>
      <c r="I69" s="7" t="s">
        <v>190</v>
      </c>
      <c r="J69" s="9"/>
      <c r="K69" s="7" t="s">
        <v>2</v>
      </c>
      <c r="L69" s="6">
        <v>99</v>
      </c>
      <c r="M69" s="6"/>
      <c r="N69" s="6">
        <v>105</v>
      </c>
      <c r="O69" s="6"/>
      <c r="P69" s="6">
        <v>90</v>
      </c>
      <c r="Q69" s="6">
        <v>108</v>
      </c>
      <c r="R69" s="6">
        <v>98</v>
      </c>
      <c r="S69" s="6"/>
      <c r="T69" s="6"/>
      <c r="U69" s="6">
        <v>98</v>
      </c>
      <c r="V69" s="6"/>
      <c r="W69" s="6">
        <v>113</v>
      </c>
      <c r="X69" s="6"/>
      <c r="Y69" s="6">
        <v>107</v>
      </c>
      <c r="Z69" s="6"/>
      <c r="AA69" s="4">
        <f t="shared" si="8"/>
        <v>98.5</v>
      </c>
      <c r="AB69" s="4">
        <f t="shared" si="9"/>
        <v>103.41666666666667</v>
      </c>
      <c r="AC69" s="4">
        <f t="shared" si="10"/>
        <v>2.4509068616421241</v>
      </c>
      <c r="AD69" s="3"/>
      <c r="AE69" s="3"/>
      <c r="AF69" s="3"/>
      <c r="AG69" s="3"/>
      <c r="AH69" s="3"/>
    </row>
    <row r="70" spans="2:87" ht="24" customHeight="1" thickBot="1" x14ac:dyDescent="0.25">
      <c r="B70" s="7">
        <f t="shared" si="12"/>
        <v>406</v>
      </c>
      <c r="C70" s="15" t="s">
        <v>147</v>
      </c>
      <c r="D70" s="15">
        <v>3</v>
      </c>
      <c r="E70" s="15">
        <v>1</v>
      </c>
      <c r="F70" s="15">
        <v>2</v>
      </c>
      <c r="G70" s="15">
        <v>2</v>
      </c>
      <c r="H70" s="15">
        <v>4</v>
      </c>
      <c r="I70" s="15" t="s">
        <v>190</v>
      </c>
      <c r="J70" s="16"/>
      <c r="K70" s="15" t="s">
        <v>0</v>
      </c>
      <c r="L70" s="14">
        <v>91</v>
      </c>
      <c r="M70" s="13"/>
      <c r="N70" s="14">
        <v>87</v>
      </c>
      <c r="O70" s="13"/>
      <c r="P70" s="14">
        <v>93</v>
      </c>
      <c r="Q70" s="14">
        <v>105</v>
      </c>
      <c r="R70" s="14">
        <v>84</v>
      </c>
      <c r="S70" s="14"/>
      <c r="T70" s="13"/>
      <c r="U70" s="14">
        <v>78</v>
      </c>
      <c r="V70" s="13"/>
      <c r="W70" s="14">
        <v>92</v>
      </c>
      <c r="X70" s="13"/>
      <c r="Y70" s="14">
        <v>97</v>
      </c>
      <c r="Z70" s="13"/>
      <c r="AA70" s="4">
        <f t="shared" si="8"/>
        <v>90</v>
      </c>
      <c r="AB70" s="4">
        <f t="shared" si="9"/>
        <v>89.166666666666671</v>
      </c>
      <c r="AC70" s="4">
        <f t="shared" si="10"/>
        <v>2.6002136664341857</v>
      </c>
      <c r="AD70" s="3"/>
      <c r="AE70" s="3"/>
      <c r="AF70" s="3"/>
      <c r="AG70" s="3"/>
      <c r="AH70" s="3"/>
      <c r="AT70" s="12"/>
      <c r="AU70" s="12"/>
      <c r="AV70" s="11"/>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row>
    <row r="71" spans="2:87" ht="24" customHeight="1" x14ac:dyDescent="0.2">
      <c r="B71" s="7">
        <f t="shared" si="12"/>
        <v>405</v>
      </c>
      <c r="C71" s="7" t="s">
        <v>191</v>
      </c>
      <c r="D71" s="7">
        <v>6</v>
      </c>
      <c r="E71" s="7">
        <v>1</v>
      </c>
      <c r="F71" s="7">
        <v>3</v>
      </c>
      <c r="G71" s="7">
        <v>1</v>
      </c>
      <c r="H71" s="7">
        <v>4</v>
      </c>
      <c r="I71" s="7" t="s">
        <v>192</v>
      </c>
      <c r="J71" s="9"/>
      <c r="K71" s="7" t="s">
        <v>2</v>
      </c>
      <c r="L71" s="6">
        <v>113</v>
      </c>
      <c r="M71" s="6"/>
      <c r="N71" s="6">
        <v>95</v>
      </c>
      <c r="O71" s="6"/>
      <c r="P71" s="6">
        <v>112</v>
      </c>
      <c r="Q71" s="6">
        <v>96</v>
      </c>
      <c r="R71" s="6">
        <v>109</v>
      </c>
      <c r="S71" s="6"/>
      <c r="T71" s="6"/>
      <c r="U71" s="6">
        <v>98</v>
      </c>
      <c r="V71" s="6"/>
      <c r="W71" s="6">
        <v>98</v>
      </c>
      <c r="X71" s="6"/>
      <c r="Y71" s="6">
        <v>85</v>
      </c>
      <c r="Z71" s="6"/>
      <c r="AA71" s="4">
        <f t="shared" si="8"/>
        <v>103.75</v>
      </c>
      <c r="AB71" s="4">
        <f t="shared" si="9"/>
        <v>98.791666666666671</v>
      </c>
      <c r="AC71" s="4">
        <f t="shared" si="10"/>
        <v>3.7960597261429441</v>
      </c>
      <c r="AD71" s="3"/>
      <c r="AE71" s="3"/>
      <c r="AF71" s="3"/>
      <c r="AG71" s="3"/>
      <c r="AH71" s="3"/>
    </row>
    <row r="72" spans="2:87" ht="24" customHeight="1" thickBot="1" x14ac:dyDescent="0.25">
      <c r="B72" s="7">
        <f t="shared" si="12"/>
        <v>405</v>
      </c>
      <c r="C72" s="15" t="s">
        <v>191</v>
      </c>
      <c r="D72" s="15">
        <v>6</v>
      </c>
      <c r="E72" s="15">
        <v>1</v>
      </c>
      <c r="F72" s="15">
        <v>3</v>
      </c>
      <c r="G72" s="15">
        <v>1</v>
      </c>
      <c r="H72" s="15">
        <v>4</v>
      </c>
      <c r="I72" s="15" t="s">
        <v>192</v>
      </c>
      <c r="J72" s="16"/>
      <c r="K72" s="15" t="s">
        <v>0</v>
      </c>
      <c r="L72" s="14">
        <v>68</v>
      </c>
      <c r="M72" s="13"/>
      <c r="N72" s="14">
        <v>74</v>
      </c>
      <c r="O72" s="13"/>
      <c r="P72" s="14">
        <v>70</v>
      </c>
      <c r="Q72" s="14">
        <v>68</v>
      </c>
      <c r="R72" s="14">
        <v>71</v>
      </c>
      <c r="S72" s="14"/>
      <c r="T72" s="13"/>
      <c r="U72" s="14">
        <v>76</v>
      </c>
      <c r="V72" s="13"/>
      <c r="W72" s="14">
        <v>81</v>
      </c>
      <c r="X72" s="13"/>
      <c r="Y72" s="14">
        <v>69</v>
      </c>
      <c r="Z72" s="13"/>
      <c r="AA72" s="4">
        <f t="shared" si="8"/>
        <v>71.25</v>
      </c>
      <c r="AB72" s="4">
        <f t="shared" si="9"/>
        <v>73.208333333333329</v>
      </c>
      <c r="AC72" s="4">
        <f t="shared" si="10"/>
        <v>1.9815993820929374</v>
      </c>
      <c r="AD72" s="3"/>
      <c r="AE72" s="3"/>
      <c r="AF72" s="3"/>
      <c r="AG72" s="3"/>
      <c r="AH72" s="3"/>
      <c r="AT72" s="12"/>
      <c r="AU72" s="12"/>
      <c r="AV72" s="11"/>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row>
    <row r="73" spans="2:87" ht="24" customHeight="1" thickBot="1" x14ac:dyDescent="0.25">
      <c r="B73" s="7">
        <f t="shared" si="12"/>
        <v>404</v>
      </c>
      <c r="C73" s="7" t="s">
        <v>147</v>
      </c>
      <c r="D73" s="7">
        <v>3</v>
      </c>
      <c r="E73" s="7">
        <v>1</v>
      </c>
      <c r="F73" s="7">
        <v>2</v>
      </c>
      <c r="G73" s="7">
        <v>2</v>
      </c>
      <c r="H73" s="7">
        <v>3</v>
      </c>
      <c r="I73" s="7" t="s">
        <v>193</v>
      </c>
      <c r="J73" s="16"/>
      <c r="K73" s="7" t="s">
        <v>2</v>
      </c>
      <c r="L73" s="6">
        <v>103</v>
      </c>
      <c r="M73" s="6"/>
      <c r="N73" s="6">
        <v>98</v>
      </c>
      <c r="O73" s="6"/>
      <c r="P73" s="6">
        <v>95</v>
      </c>
      <c r="Q73" s="6">
        <v>87</v>
      </c>
      <c r="R73" s="6">
        <v>96</v>
      </c>
      <c r="S73" s="6"/>
      <c r="T73" s="6"/>
      <c r="U73" s="6">
        <v>111</v>
      </c>
      <c r="V73" s="6"/>
      <c r="W73" s="6">
        <v>102</v>
      </c>
      <c r="X73" s="6"/>
      <c r="Y73" s="6">
        <v>98</v>
      </c>
      <c r="Z73" s="6"/>
      <c r="AA73" s="4">
        <f t="shared" si="8"/>
        <v>97.25</v>
      </c>
      <c r="AB73" s="4">
        <f>AVERAGE(AVERAGE(L73:M73),AVERAGE(N73:O73),AVERAGE(P73:T73),AVERAGE(U73:V73),AVERAGE(W73:X73),AVERAGE(Y73:Z73))</f>
        <v>100.77777777777779</v>
      </c>
      <c r="AC73" s="4">
        <f t="shared" si="10"/>
        <v>2.123692408152472</v>
      </c>
      <c r="AD73" s="3"/>
      <c r="AE73" s="3"/>
      <c r="AF73" s="3"/>
      <c r="AG73" s="3"/>
      <c r="AH73" s="3"/>
    </row>
    <row r="74" spans="2:87" ht="24" customHeight="1" thickBot="1" x14ac:dyDescent="0.25">
      <c r="B74" s="7">
        <f t="shared" si="12"/>
        <v>404</v>
      </c>
      <c r="C74" s="15" t="s">
        <v>147</v>
      </c>
      <c r="D74" s="15">
        <v>3</v>
      </c>
      <c r="E74" s="15">
        <v>1</v>
      </c>
      <c r="F74" s="15">
        <v>2</v>
      </c>
      <c r="G74" s="15">
        <v>2</v>
      </c>
      <c r="H74" s="15">
        <v>3</v>
      </c>
      <c r="I74" s="15" t="s">
        <v>193</v>
      </c>
      <c r="J74" s="16"/>
      <c r="K74" s="15" t="s">
        <v>0</v>
      </c>
      <c r="L74" s="14">
        <v>79</v>
      </c>
      <c r="M74" s="13"/>
      <c r="N74" s="14">
        <v>85</v>
      </c>
      <c r="O74" s="13"/>
      <c r="P74" s="14">
        <v>79</v>
      </c>
      <c r="Q74" s="14">
        <v>84</v>
      </c>
      <c r="R74" s="14">
        <v>102</v>
      </c>
      <c r="S74" s="14"/>
      <c r="T74" s="13"/>
      <c r="U74" s="14">
        <v>92</v>
      </c>
      <c r="V74" s="13"/>
      <c r="W74" s="14">
        <v>94</v>
      </c>
      <c r="X74" s="13"/>
      <c r="Y74" s="14">
        <v>86</v>
      </c>
      <c r="Z74" s="13"/>
      <c r="AA74" s="4">
        <f t="shared" si="8"/>
        <v>89.25</v>
      </c>
      <c r="AB74" s="4">
        <f t="shared" ref="AB74:AB80" si="13">AVERAGE(AVERAGE(L74:M74),AVERAGE(N74:O74),AVERAGE(P74:U74),AVERAGE(U74:V74),AVERAGE(W74:X74),AVERAGE(Y74:Z74))</f>
        <v>87.541666666666671</v>
      </c>
      <c r="AC74" s="4">
        <f t="shared" si="10"/>
        <v>2.2083333333333335</v>
      </c>
      <c r="AD74" s="3"/>
      <c r="AE74" s="3"/>
      <c r="AF74" s="3"/>
      <c r="AG74" s="3"/>
      <c r="AH74" s="3"/>
      <c r="AT74" s="12"/>
      <c r="AU74" s="12"/>
      <c r="AV74" s="11"/>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row>
    <row r="75" spans="2:87" ht="24" customHeight="1" x14ac:dyDescent="0.2">
      <c r="B75" s="7">
        <f t="shared" si="12"/>
        <v>403</v>
      </c>
      <c r="C75" s="7" t="s">
        <v>191</v>
      </c>
      <c r="D75" s="7">
        <v>6</v>
      </c>
      <c r="E75" s="7">
        <v>1</v>
      </c>
      <c r="F75" s="7">
        <v>3</v>
      </c>
      <c r="G75" s="7">
        <v>1</v>
      </c>
      <c r="H75" s="7">
        <v>3</v>
      </c>
      <c r="I75" s="7" t="s">
        <v>194</v>
      </c>
      <c r="J75" s="9"/>
      <c r="K75" s="7" t="s">
        <v>2</v>
      </c>
      <c r="L75" s="6">
        <v>104</v>
      </c>
      <c r="M75" s="6"/>
      <c r="N75" s="6">
        <v>105</v>
      </c>
      <c r="O75" s="6"/>
      <c r="P75" s="6">
        <v>108</v>
      </c>
      <c r="Q75" s="6">
        <v>98</v>
      </c>
      <c r="R75" s="6">
        <v>101</v>
      </c>
      <c r="S75" s="6"/>
      <c r="T75" s="6"/>
      <c r="U75" s="6">
        <v>98</v>
      </c>
      <c r="V75" s="6"/>
      <c r="W75" s="6">
        <v>106</v>
      </c>
      <c r="X75" s="6"/>
      <c r="Y75" s="6">
        <v>99</v>
      </c>
      <c r="Z75" s="6"/>
      <c r="AA75" s="4">
        <f t="shared" si="8"/>
        <v>101.25</v>
      </c>
      <c r="AB75" s="4">
        <f t="shared" si="13"/>
        <v>102.20833333333333</v>
      </c>
      <c r="AC75" s="4">
        <f t="shared" si="10"/>
        <v>1.345388213284346</v>
      </c>
      <c r="AD75" s="3"/>
      <c r="AE75" s="3"/>
      <c r="AF75" s="3"/>
      <c r="AG75" s="3"/>
      <c r="AH75" s="3"/>
    </row>
    <row r="76" spans="2:87" ht="24" customHeight="1" thickBot="1" x14ac:dyDescent="0.25">
      <c r="B76" s="7">
        <f t="shared" si="12"/>
        <v>403</v>
      </c>
      <c r="C76" s="15" t="s">
        <v>191</v>
      </c>
      <c r="D76" s="15">
        <v>6</v>
      </c>
      <c r="E76" s="15">
        <v>1</v>
      </c>
      <c r="F76" s="15">
        <v>3</v>
      </c>
      <c r="G76" s="15">
        <v>1</v>
      </c>
      <c r="H76" s="15">
        <v>3</v>
      </c>
      <c r="I76" s="15" t="s">
        <v>194</v>
      </c>
      <c r="J76" s="16"/>
      <c r="K76" s="15" t="s">
        <v>0</v>
      </c>
      <c r="L76" s="14">
        <v>82</v>
      </c>
      <c r="M76" s="13"/>
      <c r="N76" s="14">
        <v>83</v>
      </c>
      <c r="O76" s="13"/>
      <c r="P76" s="14">
        <v>76</v>
      </c>
      <c r="Q76" s="14">
        <v>72</v>
      </c>
      <c r="R76" s="14">
        <v>70</v>
      </c>
      <c r="S76" s="14"/>
      <c r="T76" s="13"/>
      <c r="U76" s="14">
        <v>76</v>
      </c>
      <c r="V76" s="13"/>
      <c r="W76" s="14">
        <v>89</v>
      </c>
      <c r="X76" s="13"/>
      <c r="Y76" s="14">
        <v>74</v>
      </c>
      <c r="Z76" s="13"/>
      <c r="AA76" s="4">
        <f t="shared" si="8"/>
        <v>73.5</v>
      </c>
      <c r="AB76" s="4">
        <f t="shared" si="13"/>
        <v>79.583333333333329</v>
      </c>
      <c r="AC76" s="4">
        <f t="shared" si="10"/>
        <v>2.4980547987940094</v>
      </c>
      <c r="AD76" s="3"/>
      <c r="AE76" s="3"/>
      <c r="AF76" s="3"/>
      <c r="AG76" s="3"/>
      <c r="AH76" s="3"/>
      <c r="AT76" s="12"/>
      <c r="AU76" s="12"/>
      <c r="AV76" s="11"/>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row>
    <row r="77" spans="2:87" ht="24" customHeight="1" x14ac:dyDescent="0.2">
      <c r="B77" s="7">
        <f t="shared" si="12"/>
        <v>402</v>
      </c>
      <c r="C77" s="7" t="s">
        <v>151</v>
      </c>
      <c r="D77" s="7">
        <v>9</v>
      </c>
      <c r="E77" s="7">
        <v>2</v>
      </c>
      <c r="F77" s="7">
        <v>2</v>
      </c>
      <c r="G77" s="7">
        <v>2</v>
      </c>
      <c r="H77" s="7">
        <v>3</v>
      </c>
      <c r="I77" s="7" t="s">
        <v>195</v>
      </c>
      <c r="J77" s="9"/>
      <c r="K77" s="7" t="s">
        <v>2</v>
      </c>
      <c r="L77" s="6">
        <v>94</v>
      </c>
      <c r="M77" s="5"/>
      <c r="N77" s="6">
        <v>78</v>
      </c>
      <c r="O77" s="5"/>
      <c r="P77" s="6">
        <v>102</v>
      </c>
      <c r="Q77" s="6">
        <v>91</v>
      </c>
      <c r="R77" s="6">
        <v>72</v>
      </c>
      <c r="S77" s="6">
        <v>89</v>
      </c>
      <c r="T77" s="5">
        <v>77</v>
      </c>
      <c r="U77" s="6">
        <v>91</v>
      </c>
      <c r="V77" s="5"/>
      <c r="W77" s="6">
        <v>77</v>
      </c>
      <c r="X77" s="5"/>
      <c r="Y77" s="6">
        <v>92</v>
      </c>
      <c r="Z77" s="5"/>
      <c r="AA77" s="4">
        <f t="shared" si="8"/>
        <v>87</v>
      </c>
      <c r="AB77" s="4">
        <f t="shared" si="13"/>
        <v>86.5</v>
      </c>
      <c r="AC77" s="4">
        <f t="shared" si="10"/>
        <v>2.9972209350218639</v>
      </c>
      <c r="AD77" s="3"/>
      <c r="AE77" s="3"/>
      <c r="AF77" s="3"/>
      <c r="AG77" s="3"/>
      <c r="AH77" s="3"/>
    </row>
    <row r="78" spans="2:87" ht="24" customHeight="1" thickBot="1" x14ac:dyDescent="0.25">
      <c r="B78" s="7">
        <f t="shared" si="12"/>
        <v>402</v>
      </c>
      <c r="C78" s="15" t="s">
        <v>151</v>
      </c>
      <c r="D78" s="15">
        <v>9</v>
      </c>
      <c r="E78" s="15">
        <v>2</v>
      </c>
      <c r="F78" s="15">
        <v>2</v>
      </c>
      <c r="G78" s="15">
        <v>2</v>
      </c>
      <c r="H78" s="15">
        <v>3</v>
      </c>
      <c r="I78" s="15" t="s">
        <v>195</v>
      </c>
      <c r="J78" s="16"/>
      <c r="K78" s="15" t="s">
        <v>0</v>
      </c>
      <c r="L78" s="14">
        <v>73</v>
      </c>
      <c r="M78" s="13"/>
      <c r="N78" s="14">
        <v>75</v>
      </c>
      <c r="O78" s="13"/>
      <c r="P78" s="14">
        <v>76</v>
      </c>
      <c r="Q78" s="14">
        <v>80</v>
      </c>
      <c r="R78" s="14">
        <v>86</v>
      </c>
      <c r="S78" s="14">
        <v>96</v>
      </c>
      <c r="T78" s="13">
        <v>84</v>
      </c>
      <c r="U78" s="14">
        <v>86</v>
      </c>
      <c r="V78" s="13"/>
      <c r="W78" s="14">
        <v>78</v>
      </c>
      <c r="X78" s="13"/>
      <c r="Y78" s="14">
        <v>83</v>
      </c>
      <c r="Z78" s="13"/>
      <c r="AA78" s="4">
        <f t="shared" si="8"/>
        <v>84.666666666666671</v>
      </c>
      <c r="AB78" s="4">
        <f t="shared" si="13"/>
        <v>79.944444444444443</v>
      </c>
      <c r="AC78" s="4">
        <f t="shared" si="10"/>
        <v>2.1966585173793653</v>
      </c>
      <c r="AD78" s="3"/>
      <c r="AE78" s="3"/>
      <c r="AF78" s="3"/>
      <c r="AG78" s="3"/>
      <c r="AH78" s="3"/>
      <c r="AT78" s="12"/>
      <c r="AU78" s="12"/>
      <c r="AV78" s="11"/>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row>
    <row r="79" spans="2:87" ht="24" customHeight="1" x14ac:dyDescent="0.2">
      <c r="B79" s="7">
        <f t="shared" si="12"/>
        <v>401</v>
      </c>
      <c r="C79" s="7" t="s">
        <v>188</v>
      </c>
      <c r="D79" s="7">
        <v>7</v>
      </c>
      <c r="E79" s="7">
        <v>2</v>
      </c>
      <c r="F79" s="7">
        <v>1</v>
      </c>
      <c r="G79" s="7">
        <v>2</v>
      </c>
      <c r="H79" s="7">
        <v>3</v>
      </c>
      <c r="I79" s="7" t="s">
        <v>196</v>
      </c>
      <c r="J79" s="9"/>
      <c r="K79" s="7" t="s">
        <v>2</v>
      </c>
      <c r="L79" s="6">
        <v>60</v>
      </c>
      <c r="M79" s="5"/>
      <c r="N79" s="6">
        <v>65</v>
      </c>
      <c r="O79" s="5"/>
      <c r="P79" s="6">
        <v>77</v>
      </c>
      <c r="Q79" s="6">
        <v>62</v>
      </c>
      <c r="R79" s="6">
        <v>69</v>
      </c>
      <c r="S79" s="6">
        <v>62</v>
      </c>
      <c r="T79" s="5">
        <v>83</v>
      </c>
      <c r="U79" s="6">
        <v>64</v>
      </c>
      <c r="V79" s="5"/>
      <c r="W79" s="6">
        <v>79</v>
      </c>
      <c r="X79" s="5"/>
      <c r="Y79" s="6">
        <v>62</v>
      </c>
      <c r="Z79" s="5"/>
      <c r="AA79" s="4">
        <f t="shared" si="8"/>
        <v>69.5</v>
      </c>
      <c r="AB79" s="4">
        <f t="shared" si="13"/>
        <v>66.583333333333329</v>
      </c>
      <c r="AC79" s="4">
        <f t="shared" si="10"/>
        <v>2.805995565055496</v>
      </c>
      <c r="AD79" s="3"/>
      <c r="AE79" s="3"/>
      <c r="AF79" s="3"/>
      <c r="AG79" s="3"/>
      <c r="AH79" s="3"/>
    </row>
    <row r="80" spans="2:87" ht="24" customHeight="1" x14ac:dyDescent="0.2">
      <c r="B80" s="7">
        <f t="shared" si="12"/>
        <v>401</v>
      </c>
      <c r="C80" s="7" t="s">
        <v>188</v>
      </c>
      <c r="D80" s="7">
        <v>7</v>
      </c>
      <c r="E80" s="7">
        <v>2</v>
      </c>
      <c r="F80" s="7">
        <v>1</v>
      </c>
      <c r="G80" s="7">
        <v>2</v>
      </c>
      <c r="H80" s="7">
        <v>3</v>
      </c>
      <c r="I80" s="7" t="s">
        <v>196</v>
      </c>
      <c r="J80" s="7"/>
      <c r="K80" s="7" t="s">
        <v>0</v>
      </c>
      <c r="L80" s="6">
        <v>61</v>
      </c>
      <c r="M80" s="5"/>
      <c r="N80" s="6">
        <v>66</v>
      </c>
      <c r="O80" s="5"/>
      <c r="P80" s="6">
        <v>58</v>
      </c>
      <c r="Q80" s="6">
        <v>65</v>
      </c>
      <c r="R80" s="6">
        <v>60</v>
      </c>
      <c r="S80" s="6">
        <v>72</v>
      </c>
      <c r="T80" s="5">
        <v>64</v>
      </c>
      <c r="U80" s="6">
        <v>66</v>
      </c>
      <c r="V80" s="5"/>
      <c r="W80" s="6">
        <v>71</v>
      </c>
      <c r="X80" s="5"/>
      <c r="Y80" s="6">
        <v>74</v>
      </c>
      <c r="Z80" s="5"/>
      <c r="AA80" s="4">
        <f t="shared" si="8"/>
        <v>64.166666666666671</v>
      </c>
      <c r="AB80" s="4">
        <f t="shared" si="13"/>
        <v>67.027777777777786</v>
      </c>
      <c r="AC80" s="4">
        <f t="shared" si="10"/>
        <v>1.9237389648645866</v>
      </c>
      <c r="AD80" s="3"/>
      <c r="AE80" s="3"/>
      <c r="AF80" s="3"/>
      <c r="AG80" s="3"/>
      <c r="AH80" s="3"/>
    </row>
    <row r="81" spans="11:11" x14ac:dyDescent="0.2">
      <c r="K81" s="2"/>
    </row>
    <row r="82" spans="11:11" x14ac:dyDescent="0.2">
      <c r="K82" s="2"/>
    </row>
    <row r="83" spans="11:11" x14ac:dyDescent="0.2">
      <c r="K83" s="2"/>
    </row>
    <row r="84" spans="11:11" x14ac:dyDescent="0.2">
      <c r="K84" s="2"/>
    </row>
    <row r="85" spans="11:11" x14ac:dyDescent="0.2">
      <c r="K85" s="2"/>
    </row>
    <row r="86" spans="11:11" x14ac:dyDescent="0.2">
      <c r="K86" s="2"/>
    </row>
    <row r="87" spans="11:11" x14ac:dyDescent="0.2">
      <c r="K87" s="2"/>
    </row>
  </sheetData>
  <mergeCells count="12">
    <mergeCell ref="AT5:AV5"/>
    <mergeCell ref="J7:K7"/>
    <mergeCell ref="B7:H7"/>
    <mergeCell ref="AA6:AA7"/>
    <mergeCell ref="AB6:AB7"/>
    <mergeCell ref="AC6:AC7"/>
    <mergeCell ref="L6:M6"/>
    <mergeCell ref="N6:O6"/>
    <mergeCell ref="W6:X6"/>
    <mergeCell ref="Y6:Z6"/>
    <mergeCell ref="P6:T6"/>
    <mergeCell ref="U6:V6"/>
  </mergeCells>
  <pageMargins left="0.51" right="0" top="0.85" bottom="0" header="0.64" footer="0"/>
  <pageSetup paperSize="512" scale="30" orientation="landscape" r:id="rId1"/>
  <headerFooter alignWithMargins="0">
    <oddHeader xml:space="preserve">&amp;L&amp;"Comic Sans MS,Bold"&amp;14FISE2003 ---Cotton Plant Cover and Heights in North 1 m of Harvest Area&amp;C&amp;"Comic Sans MS,Bold"&amp;12       </oddHeader>
    <oddFooter>&amp;L&amp;F   USWCL Remote Sensing&amp;R&amp;D</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4346E8-47FD-4E7D-9F8A-5C9E510770E2}">
  <sheetPr>
    <pageSetUpPr fitToPage="1"/>
  </sheetPr>
  <dimension ref="A1:CI87"/>
  <sheetViews>
    <sheetView workbookViewId="0">
      <selection activeCell="N2" sqref="N2"/>
    </sheetView>
  </sheetViews>
  <sheetFormatPr defaultRowHeight="12.75" x14ac:dyDescent="0.2"/>
  <cols>
    <col min="1" max="1" width="9.140625" style="1"/>
    <col min="2" max="2" width="4.85546875" style="1" customWidth="1"/>
    <col min="3" max="3" width="5.7109375" style="1" customWidth="1"/>
    <col min="4" max="8" width="5.28515625" style="1" hidden="1" customWidth="1"/>
    <col min="9" max="9" width="7" style="1" hidden="1" customWidth="1"/>
    <col min="10" max="11" width="9" style="1" customWidth="1"/>
    <col min="12" max="13" width="9.140625" style="1"/>
    <col min="14" max="14" width="9.7109375" style="1" customWidth="1"/>
    <col min="15" max="25" width="9.140625" style="1"/>
    <col min="26" max="26" width="10.140625" style="1" customWidth="1"/>
    <col min="27" max="27" width="12.7109375" style="1" customWidth="1"/>
    <col min="28" max="35" width="9.140625" style="1"/>
    <col min="36" max="36" width="7.5703125" style="1" customWidth="1"/>
    <col min="37" max="46" width="7.7109375" style="1" customWidth="1"/>
    <col min="47" max="16384" width="9.140625" style="1"/>
  </cols>
  <sheetData>
    <row r="1" spans="1:87" ht="15" customHeight="1" x14ac:dyDescent="0.25">
      <c r="A1" s="44" t="s">
        <v>82</v>
      </c>
    </row>
    <row r="2" spans="1:87" ht="15" customHeight="1" thickBot="1" x14ac:dyDescent="0.3">
      <c r="A2" s="44"/>
      <c r="N2" s="43"/>
      <c r="X2" s="20" t="s">
        <v>81</v>
      </c>
      <c r="Y2" s="42">
        <v>37838</v>
      </c>
      <c r="Z2" s="39"/>
    </row>
    <row r="3" spans="1:87" ht="15" customHeight="1" thickBot="1" x14ac:dyDescent="0.25">
      <c r="B3" s="1" t="s">
        <v>80</v>
      </c>
      <c r="D3" s="41"/>
      <c r="E3" s="41"/>
      <c r="F3" s="41"/>
      <c r="G3" s="41"/>
      <c r="H3" s="41"/>
      <c r="I3" s="41"/>
      <c r="J3" s="41"/>
      <c r="K3" s="41"/>
      <c r="L3" s="41"/>
      <c r="M3" s="41"/>
      <c r="N3" s="41"/>
      <c r="O3" s="41"/>
      <c r="P3" s="41"/>
      <c r="Q3" s="41"/>
      <c r="R3" s="41"/>
      <c r="S3" s="41"/>
      <c r="T3" s="41"/>
      <c r="U3" s="41"/>
      <c r="V3" s="41"/>
    </row>
    <row r="4" spans="1:87" ht="13.5" thickBot="1" x14ac:dyDescent="0.25">
      <c r="D4" s="40"/>
      <c r="E4" s="40"/>
      <c r="F4" s="40"/>
      <c r="G4" s="40"/>
      <c r="H4" s="40"/>
      <c r="I4" s="40"/>
      <c r="J4" s="40"/>
      <c r="K4" s="40"/>
      <c r="L4" s="40"/>
      <c r="M4" s="40"/>
      <c r="N4" s="40"/>
      <c r="O4" s="40"/>
      <c r="P4" s="40"/>
      <c r="Q4" s="40"/>
      <c r="R4" s="40"/>
      <c r="S4" s="40"/>
      <c r="T4" s="40"/>
      <c r="U4" s="40"/>
      <c r="V4" s="40"/>
      <c r="X4" s="20" t="s">
        <v>78</v>
      </c>
      <c r="Y4" s="39" t="s">
        <v>133</v>
      </c>
      <c r="Z4" s="39"/>
    </row>
    <row r="5" spans="1:87" ht="18" x14ac:dyDescent="0.2">
      <c r="AS5" s="38"/>
      <c r="AT5" s="56" t="s">
        <v>76</v>
      </c>
      <c r="AU5" s="56"/>
      <c r="AV5" s="56"/>
    </row>
    <row r="6" spans="1:87" ht="25.5" customHeight="1" x14ac:dyDescent="0.2">
      <c r="B6" s="36" t="s">
        <v>51</v>
      </c>
      <c r="C6" s="37" t="s">
        <v>50</v>
      </c>
      <c r="D6" s="37" t="s">
        <v>75</v>
      </c>
      <c r="E6" s="36" t="s">
        <v>74</v>
      </c>
      <c r="F6" s="37" t="s">
        <v>73</v>
      </c>
      <c r="G6" s="36" t="s">
        <v>72</v>
      </c>
      <c r="H6" s="36" t="s">
        <v>45</v>
      </c>
      <c r="I6" s="36" t="s">
        <v>71</v>
      </c>
      <c r="J6" s="36" t="s">
        <v>43</v>
      </c>
      <c r="K6" s="35" t="s">
        <v>70</v>
      </c>
      <c r="L6" s="65" t="s">
        <v>69</v>
      </c>
      <c r="M6" s="66"/>
      <c r="N6" s="65" t="s">
        <v>68</v>
      </c>
      <c r="O6" s="66"/>
      <c r="P6" s="65" t="s">
        <v>67</v>
      </c>
      <c r="Q6" s="67"/>
      <c r="R6" s="67"/>
      <c r="S6" s="67"/>
      <c r="T6" s="66"/>
      <c r="U6" s="65" t="s">
        <v>66</v>
      </c>
      <c r="V6" s="66"/>
      <c r="W6" s="65" t="s">
        <v>65</v>
      </c>
      <c r="X6" s="66"/>
      <c r="Y6" s="65" t="s">
        <v>64</v>
      </c>
      <c r="Z6" s="66"/>
      <c r="AA6" s="61" t="s">
        <v>63</v>
      </c>
      <c r="AB6" s="61" t="s">
        <v>62</v>
      </c>
      <c r="AC6" s="63" t="s">
        <v>61</v>
      </c>
      <c r="AS6" s="34"/>
      <c r="AT6" s="2" t="s">
        <v>60</v>
      </c>
      <c r="AU6" s="2"/>
    </row>
    <row r="7" spans="1:87" ht="15.75" customHeight="1" x14ac:dyDescent="0.2">
      <c r="B7" s="59"/>
      <c r="C7" s="60"/>
      <c r="D7" s="60"/>
      <c r="E7" s="60"/>
      <c r="F7" s="60"/>
      <c r="G7" s="60"/>
      <c r="H7" s="60"/>
      <c r="I7" s="33"/>
      <c r="J7" s="57" t="s">
        <v>59</v>
      </c>
      <c r="K7" s="58"/>
      <c r="L7" s="32" t="s">
        <v>55</v>
      </c>
      <c r="M7" s="31" t="s">
        <v>54</v>
      </c>
      <c r="N7" s="32" t="s">
        <v>55</v>
      </c>
      <c r="O7" s="31" t="s">
        <v>54</v>
      </c>
      <c r="P7" s="32" t="s">
        <v>58</v>
      </c>
      <c r="Q7" s="31" t="s">
        <v>55</v>
      </c>
      <c r="R7" s="31" t="s">
        <v>57</v>
      </c>
      <c r="S7" s="31" t="s">
        <v>54</v>
      </c>
      <c r="T7" s="31" t="s">
        <v>56</v>
      </c>
      <c r="U7" s="32" t="s">
        <v>55</v>
      </c>
      <c r="V7" s="31" t="s">
        <v>54</v>
      </c>
      <c r="W7" s="32" t="s">
        <v>55</v>
      </c>
      <c r="X7" s="31" t="s">
        <v>54</v>
      </c>
      <c r="Y7" s="32" t="s">
        <v>55</v>
      </c>
      <c r="Z7" s="31" t="s">
        <v>54</v>
      </c>
      <c r="AA7" s="62"/>
      <c r="AB7" s="62"/>
      <c r="AC7" s="64"/>
      <c r="AT7" s="12" t="s">
        <v>7</v>
      </c>
      <c r="AU7" s="12" t="s">
        <v>53</v>
      </c>
      <c r="AV7" s="12" t="s">
        <v>52</v>
      </c>
    </row>
    <row r="8" spans="1:87" ht="15.75" hidden="1" customHeight="1" x14ac:dyDescent="0.2">
      <c r="B8" s="28" t="s">
        <v>51</v>
      </c>
      <c r="C8" s="30" t="s">
        <v>50</v>
      </c>
      <c r="D8" s="30" t="s">
        <v>49</v>
      </c>
      <c r="E8" s="28" t="s">
        <v>48</v>
      </c>
      <c r="F8" s="30" t="s">
        <v>47</v>
      </c>
      <c r="G8" s="28" t="s">
        <v>46</v>
      </c>
      <c r="H8" s="28" t="s">
        <v>45</v>
      </c>
      <c r="I8" s="28" t="s">
        <v>44</v>
      </c>
      <c r="J8" s="27" t="s">
        <v>43</v>
      </c>
      <c r="K8" s="27" t="s">
        <v>42</v>
      </c>
      <c r="L8" s="29" t="s">
        <v>41</v>
      </c>
      <c r="M8" s="29" t="s">
        <v>40</v>
      </c>
      <c r="N8" s="29" t="s">
        <v>39</v>
      </c>
      <c r="O8" s="29" t="s">
        <v>38</v>
      </c>
      <c r="P8" s="29" t="s">
        <v>37</v>
      </c>
      <c r="Q8" s="29" t="s">
        <v>36</v>
      </c>
      <c r="R8" s="29" t="s">
        <v>35</v>
      </c>
      <c r="S8" s="29" t="s">
        <v>34</v>
      </c>
      <c r="T8" s="29" t="s">
        <v>33</v>
      </c>
      <c r="U8" s="29" t="s">
        <v>32</v>
      </c>
      <c r="V8" s="29" t="s">
        <v>31</v>
      </c>
      <c r="W8" s="29" t="s">
        <v>30</v>
      </c>
      <c r="X8" s="29" t="s">
        <v>29</v>
      </c>
      <c r="Y8" s="29" t="s">
        <v>28</v>
      </c>
      <c r="Z8" s="29" t="s">
        <v>27</v>
      </c>
      <c r="AA8" s="28" t="s">
        <v>26</v>
      </c>
      <c r="AB8" s="28" t="s">
        <v>25</v>
      </c>
      <c r="AC8" s="27" t="s">
        <v>24</v>
      </c>
      <c r="AT8" s="12"/>
      <c r="AU8" s="12"/>
      <c r="AV8" s="12"/>
    </row>
    <row r="9" spans="1:87" ht="24" customHeight="1" x14ac:dyDescent="0.2">
      <c r="B9" s="7">
        <v>108</v>
      </c>
      <c r="C9" s="7" t="s">
        <v>147</v>
      </c>
      <c r="D9" s="7">
        <v>3</v>
      </c>
      <c r="E9" s="7">
        <v>1</v>
      </c>
      <c r="F9" s="7">
        <v>2</v>
      </c>
      <c r="G9" s="7">
        <v>2</v>
      </c>
      <c r="H9" s="7">
        <v>2</v>
      </c>
      <c r="I9" s="7" t="s">
        <v>148</v>
      </c>
      <c r="J9" s="7"/>
      <c r="K9" s="7" t="s">
        <v>2</v>
      </c>
      <c r="L9" s="6">
        <v>97</v>
      </c>
      <c r="M9" s="5"/>
      <c r="N9" s="6">
        <v>100</v>
      </c>
      <c r="O9" s="5"/>
      <c r="P9" s="6">
        <v>87</v>
      </c>
      <c r="Q9" s="6">
        <v>91</v>
      </c>
      <c r="R9" s="6">
        <v>97</v>
      </c>
      <c r="S9" s="6">
        <v>93</v>
      </c>
      <c r="T9" s="5">
        <v>91</v>
      </c>
      <c r="U9" s="6">
        <v>94</v>
      </c>
      <c r="V9" s="5"/>
      <c r="W9" s="6">
        <v>92</v>
      </c>
      <c r="X9" s="5"/>
      <c r="Y9" s="6">
        <v>94</v>
      </c>
      <c r="Z9" s="5"/>
      <c r="AA9" s="4">
        <f t="shared" ref="AA9:AA40" si="0">AVERAGE(P9:U9)</f>
        <v>92.166666666666671</v>
      </c>
      <c r="AB9" s="4">
        <f t="shared" ref="AB9:AB40" si="1">AVERAGE(AVERAGE(L9:M9),AVERAGE(N9:O9),AVERAGE(P9:U9),AVERAGE(U9:V9),AVERAGE(W9:X9),AVERAGE(Y9:Z9))</f>
        <v>94.861111111111128</v>
      </c>
      <c r="AC9" s="4">
        <f t="shared" ref="AC9:AC40" si="2">STDEV(AVERAGE(L9:M9),AVERAGE(N9:O9),AVERAGE(P9:U9),AVERAGE(U9:V9),AVERAGE(W9:X9),AVERAGE(Y9:Z9))/SQRT(6)</f>
        <v>1.2637515187862554</v>
      </c>
      <c r="AD9" s="3"/>
      <c r="AE9" s="3"/>
      <c r="AF9" s="3"/>
      <c r="AG9" s="3"/>
      <c r="AH9" s="3"/>
      <c r="AT9" s="12">
        <v>1</v>
      </c>
      <c r="AU9" s="12" t="s">
        <v>23</v>
      </c>
      <c r="AV9" s="11"/>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row>
    <row r="10" spans="1:87" ht="24" customHeight="1" thickBot="1" x14ac:dyDescent="0.25">
      <c r="B10" s="15">
        <v>108</v>
      </c>
      <c r="C10" s="15" t="s">
        <v>147</v>
      </c>
      <c r="D10" s="15">
        <v>3</v>
      </c>
      <c r="E10" s="15">
        <v>1</v>
      </c>
      <c r="F10" s="15">
        <v>2</v>
      </c>
      <c r="G10" s="15">
        <v>2</v>
      </c>
      <c r="H10" s="15">
        <v>2</v>
      </c>
      <c r="I10" s="15" t="s">
        <v>148</v>
      </c>
      <c r="J10" s="16"/>
      <c r="K10" s="15" t="s">
        <v>0</v>
      </c>
      <c r="L10" s="14">
        <v>103</v>
      </c>
      <c r="M10" s="13"/>
      <c r="N10" s="14">
        <v>94</v>
      </c>
      <c r="O10" s="13"/>
      <c r="P10" s="14">
        <v>89</v>
      </c>
      <c r="Q10" s="14">
        <v>82</v>
      </c>
      <c r="R10" s="14">
        <v>102</v>
      </c>
      <c r="S10" s="14">
        <v>90</v>
      </c>
      <c r="T10" s="13">
        <v>87</v>
      </c>
      <c r="U10" s="14">
        <v>97.5</v>
      </c>
      <c r="V10" s="13"/>
      <c r="W10" s="14">
        <v>103</v>
      </c>
      <c r="X10" s="13"/>
      <c r="Y10" s="14">
        <v>99.6</v>
      </c>
      <c r="Z10" s="13"/>
      <c r="AA10" s="4">
        <f t="shared" si="0"/>
        <v>91.25</v>
      </c>
      <c r="AB10" s="4">
        <f t="shared" si="1"/>
        <v>98.058333333333337</v>
      </c>
      <c r="AC10" s="4">
        <f t="shared" si="2"/>
        <v>1.9523667972773742</v>
      </c>
      <c r="AD10" s="3"/>
      <c r="AE10" s="3"/>
      <c r="AF10" s="3"/>
      <c r="AG10" s="3"/>
      <c r="AH10" s="3"/>
      <c r="AT10" s="12">
        <v>2</v>
      </c>
      <c r="AU10" s="12" t="s">
        <v>22</v>
      </c>
      <c r="AV10" s="11"/>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row>
    <row r="11" spans="1:87" ht="24" customHeight="1" x14ac:dyDescent="0.2">
      <c r="B11" s="25">
        <f t="shared" ref="B11:B24" si="3">B9-1</f>
        <v>107</v>
      </c>
      <c r="C11" s="25" t="s">
        <v>149</v>
      </c>
      <c r="D11" s="25">
        <v>10</v>
      </c>
      <c r="E11" s="25">
        <v>2</v>
      </c>
      <c r="F11" s="25">
        <v>2</v>
      </c>
      <c r="G11" s="25">
        <v>1</v>
      </c>
      <c r="H11" s="25">
        <v>2</v>
      </c>
      <c r="I11" s="25" t="s">
        <v>150</v>
      </c>
      <c r="J11" s="26"/>
      <c r="K11" s="25" t="s">
        <v>2</v>
      </c>
      <c r="L11" s="24">
        <v>74</v>
      </c>
      <c r="M11" s="23"/>
      <c r="N11" s="24">
        <v>96</v>
      </c>
      <c r="O11" s="23"/>
      <c r="P11" s="24">
        <v>86</v>
      </c>
      <c r="Q11" s="24">
        <v>79</v>
      </c>
      <c r="R11" s="24">
        <v>87</v>
      </c>
      <c r="S11" s="24">
        <v>98</v>
      </c>
      <c r="T11" s="23">
        <v>82</v>
      </c>
      <c r="U11" s="24">
        <v>100</v>
      </c>
      <c r="V11" s="23"/>
      <c r="W11" s="24">
        <v>88</v>
      </c>
      <c r="X11" s="23"/>
      <c r="Y11" s="24">
        <v>94</v>
      </c>
      <c r="Z11" s="23"/>
      <c r="AA11" s="4">
        <f t="shared" si="0"/>
        <v>88.666666666666671</v>
      </c>
      <c r="AB11" s="4">
        <f t="shared" si="1"/>
        <v>90.111111111111128</v>
      </c>
      <c r="AC11" s="4">
        <f t="shared" si="2"/>
        <v>3.7135055482374235</v>
      </c>
      <c r="AD11" s="3"/>
      <c r="AE11" s="22"/>
      <c r="AF11" s="3"/>
      <c r="AG11" s="21"/>
      <c r="AH11" s="3"/>
      <c r="AT11" s="12">
        <v>3</v>
      </c>
      <c r="AU11" s="12" t="s">
        <v>21</v>
      </c>
      <c r="AV11" s="12" t="s">
        <v>19</v>
      </c>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row>
    <row r="12" spans="1:87" ht="24" customHeight="1" thickBot="1" x14ac:dyDescent="0.25">
      <c r="B12" s="15">
        <f t="shared" si="3"/>
        <v>107</v>
      </c>
      <c r="C12" s="15" t="s">
        <v>149</v>
      </c>
      <c r="D12" s="15">
        <v>10</v>
      </c>
      <c r="E12" s="15">
        <v>2</v>
      </c>
      <c r="F12" s="15">
        <v>2</v>
      </c>
      <c r="G12" s="15">
        <v>1</v>
      </c>
      <c r="H12" s="15">
        <v>2</v>
      </c>
      <c r="I12" s="15" t="s">
        <v>150</v>
      </c>
      <c r="J12" s="16"/>
      <c r="K12" s="15" t="s">
        <v>0</v>
      </c>
      <c r="L12" s="14">
        <v>97</v>
      </c>
      <c r="M12" s="13"/>
      <c r="N12" s="14">
        <v>111</v>
      </c>
      <c r="O12" s="13"/>
      <c r="P12" s="14">
        <v>87</v>
      </c>
      <c r="Q12" s="14">
        <v>86</v>
      </c>
      <c r="R12" s="14">
        <v>94</v>
      </c>
      <c r="S12" s="14">
        <v>93</v>
      </c>
      <c r="T12" s="13">
        <v>99</v>
      </c>
      <c r="U12" s="14">
        <v>96</v>
      </c>
      <c r="V12" s="13"/>
      <c r="W12" s="14">
        <v>110</v>
      </c>
      <c r="X12" s="13"/>
      <c r="Y12" s="14">
        <v>105</v>
      </c>
      <c r="Z12" s="13"/>
      <c r="AA12" s="4">
        <f t="shared" si="0"/>
        <v>92.5</v>
      </c>
      <c r="AB12" s="4">
        <f t="shared" si="1"/>
        <v>101.91666666666667</v>
      </c>
      <c r="AC12" s="4">
        <f t="shared" si="2"/>
        <v>3.1896098681674396</v>
      </c>
      <c r="AD12" s="3"/>
      <c r="AE12" s="3"/>
      <c r="AF12" s="3"/>
      <c r="AG12" s="3"/>
      <c r="AH12" s="3"/>
      <c r="AT12" s="12">
        <v>4</v>
      </c>
      <c r="AU12" s="12" t="s">
        <v>20</v>
      </c>
      <c r="AV12" s="11" t="s">
        <v>19</v>
      </c>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row>
    <row r="13" spans="1:87" ht="24" customHeight="1" x14ac:dyDescent="0.2">
      <c r="B13" s="7">
        <f t="shared" si="3"/>
        <v>106</v>
      </c>
      <c r="C13" s="7" t="s">
        <v>151</v>
      </c>
      <c r="D13" s="7">
        <v>9</v>
      </c>
      <c r="E13" s="7">
        <v>2</v>
      </c>
      <c r="F13" s="7">
        <v>2</v>
      </c>
      <c r="G13" s="7">
        <v>2</v>
      </c>
      <c r="H13" s="7">
        <v>2</v>
      </c>
      <c r="I13" s="7" t="s">
        <v>152</v>
      </c>
      <c r="J13" s="9"/>
      <c r="K13" s="7" t="s">
        <v>2</v>
      </c>
      <c r="L13" s="6">
        <v>102</v>
      </c>
      <c r="M13" s="5"/>
      <c r="N13" s="6">
        <v>100</v>
      </c>
      <c r="O13" s="5"/>
      <c r="P13" s="6">
        <v>104</v>
      </c>
      <c r="Q13" s="6">
        <v>113</v>
      </c>
      <c r="R13" s="6">
        <v>96</v>
      </c>
      <c r="S13" s="6">
        <v>84</v>
      </c>
      <c r="T13" s="5">
        <v>100</v>
      </c>
      <c r="U13" s="6">
        <v>94</v>
      </c>
      <c r="V13" s="5"/>
      <c r="W13" s="6">
        <v>108</v>
      </c>
      <c r="X13" s="5"/>
      <c r="Y13" s="6">
        <v>97</v>
      </c>
      <c r="Z13" s="5"/>
      <c r="AA13" s="4">
        <f t="shared" si="0"/>
        <v>98.5</v>
      </c>
      <c r="AB13" s="4">
        <f t="shared" si="1"/>
        <v>99.916666666666671</v>
      </c>
      <c r="AC13" s="4">
        <f t="shared" si="2"/>
        <v>1.9596626693841412</v>
      </c>
      <c r="AD13" s="3"/>
      <c r="AE13" s="3"/>
      <c r="AF13" s="3"/>
      <c r="AG13" s="3"/>
      <c r="AH13" s="3"/>
      <c r="AT13" s="12">
        <v>8</v>
      </c>
      <c r="AU13" s="12" t="s">
        <v>18</v>
      </c>
      <c r="AV13" s="12" t="s">
        <v>17</v>
      </c>
    </row>
    <row r="14" spans="1:87" ht="24" customHeight="1" thickBot="1" x14ac:dyDescent="0.25">
      <c r="B14" s="15">
        <f t="shared" si="3"/>
        <v>106</v>
      </c>
      <c r="C14" s="15" t="s">
        <v>151</v>
      </c>
      <c r="D14" s="15">
        <v>9</v>
      </c>
      <c r="E14" s="15">
        <v>2</v>
      </c>
      <c r="F14" s="15">
        <v>2</v>
      </c>
      <c r="G14" s="15">
        <v>2</v>
      </c>
      <c r="H14" s="15">
        <v>2</v>
      </c>
      <c r="I14" s="15" t="s">
        <v>152</v>
      </c>
      <c r="J14" s="16"/>
      <c r="K14" s="15" t="s">
        <v>0</v>
      </c>
      <c r="L14" s="14">
        <v>116</v>
      </c>
      <c r="M14" s="13"/>
      <c r="N14" s="14">
        <v>112</v>
      </c>
      <c r="O14" s="13"/>
      <c r="P14" s="14">
        <v>107</v>
      </c>
      <c r="Q14" s="14">
        <v>110</v>
      </c>
      <c r="R14" s="14">
        <v>112</v>
      </c>
      <c r="S14" s="14">
        <v>113</v>
      </c>
      <c r="T14" s="13">
        <v>108</v>
      </c>
      <c r="U14" s="14">
        <v>103</v>
      </c>
      <c r="V14" s="13"/>
      <c r="W14" s="14">
        <v>108</v>
      </c>
      <c r="X14" s="13"/>
      <c r="Y14" s="14">
        <v>104</v>
      </c>
      <c r="Z14" s="13"/>
      <c r="AA14" s="4">
        <f t="shared" si="0"/>
        <v>108.83333333333333</v>
      </c>
      <c r="AB14" s="4">
        <f t="shared" si="1"/>
        <v>108.63888888888887</v>
      </c>
      <c r="AC14" s="4">
        <f t="shared" si="2"/>
        <v>1.9937015019837714</v>
      </c>
      <c r="AD14" s="3"/>
      <c r="AE14" s="3"/>
      <c r="AF14" s="3"/>
      <c r="AG14" s="3"/>
      <c r="AH14" s="3"/>
      <c r="AT14" s="12">
        <v>9</v>
      </c>
      <c r="AU14" s="12" t="s">
        <v>16</v>
      </c>
      <c r="AV14" s="11" t="s">
        <v>15</v>
      </c>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row>
    <row r="15" spans="1:87" ht="24" customHeight="1" x14ac:dyDescent="0.2">
      <c r="B15" s="7">
        <f t="shared" si="3"/>
        <v>105</v>
      </c>
      <c r="C15" s="7" t="s">
        <v>153</v>
      </c>
      <c r="D15" s="7">
        <v>12</v>
      </c>
      <c r="E15" s="7">
        <v>2</v>
      </c>
      <c r="F15" s="7">
        <v>3</v>
      </c>
      <c r="G15" s="7">
        <v>1</v>
      </c>
      <c r="H15" s="7">
        <v>2</v>
      </c>
      <c r="I15" s="7" t="s">
        <v>154</v>
      </c>
      <c r="J15" s="9"/>
      <c r="K15" s="7" t="s">
        <v>2</v>
      </c>
      <c r="L15" s="6">
        <v>99</v>
      </c>
      <c r="M15" s="5"/>
      <c r="N15" s="6">
        <v>98</v>
      </c>
      <c r="O15" s="5"/>
      <c r="P15" s="6">
        <v>98</v>
      </c>
      <c r="Q15" s="6">
        <v>106</v>
      </c>
      <c r="R15" s="6">
        <v>100</v>
      </c>
      <c r="S15" s="6">
        <v>100</v>
      </c>
      <c r="T15" s="5">
        <v>102</v>
      </c>
      <c r="U15" s="6">
        <v>102</v>
      </c>
      <c r="V15" s="5"/>
      <c r="W15" s="6">
        <v>96</v>
      </c>
      <c r="X15" s="5"/>
      <c r="Y15" s="6">
        <v>96</v>
      </c>
      <c r="Z15" s="5"/>
      <c r="AA15" s="4">
        <f t="shared" si="0"/>
        <v>101.33333333333333</v>
      </c>
      <c r="AB15" s="4">
        <f t="shared" si="1"/>
        <v>98.722222222222214</v>
      </c>
      <c r="AC15" s="4">
        <f t="shared" si="2"/>
        <v>1.0485145282967625</v>
      </c>
      <c r="AD15" s="3"/>
      <c r="AE15" s="3"/>
      <c r="AF15" s="3"/>
      <c r="AG15" s="3"/>
      <c r="AH15" s="3"/>
    </row>
    <row r="16" spans="1:87" ht="24" customHeight="1" thickBot="1" x14ac:dyDescent="0.25">
      <c r="B16" s="15">
        <f t="shared" si="3"/>
        <v>105</v>
      </c>
      <c r="C16" s="15" t="s">
        <v>153</v>
      </c>
      <c r="D16" s="15">
        <v>12</v>
      </c>
      <c r="E16" s="15">
        <v>2</v>
      </c>
      <c r="F16" s="15">
        <v>3</v>
      </c>
      <c r="G16" s="15">
        <v>1</v>
      </c>
      <c r="H16" s="15">
        <v>2</v>
      </c>
      <c r="I16" s="15" t="s">
        <v>154</v>
      </c>
      <c r="J16" s="16"/>
      <c r="K16" s="15" t="s">
        <v>0</v>
      </c>
      <c r="L16" s="14">
        <v>93</v>
      </c>
      <c r="M16" s="13"/>
      <c r="N16" s="14">
        <v>100</v>
      </c>
      <c r="O16" s="13"/>
      <c r="P16" s="14">
        <v>94</v>
      </c>
      <c r="Q16" s="14">
        <v>78</v>
      </c>
      <c r="R16" s="14">
        <v>84</v>
      </c>
      <c r="S16" s="14">
        <v>89</v>
      </c>
      <c r="T16" s="13">
        <v>83</v>
      </c>
      <c r="U16" s="14">
        <v>98</v>
      </c>
      <c r="V16" s="13"/>
      <c r="W16" s="14">
        <v>79</v>
      </c>
      <c r="X16" s="13"/>
      <c r="Y16" s="14">
        <v>86</v>
      </c>
      <c r="Z16" s="13"/>
      <c r="AA16" s="4">
        <f t="shared" si="0"/>
        <v>87.666666666666671</v>
      </c>
      <c r="AB16" s="4">
        <f t="shared" si="1"/>
        <v>90.611111111111128</v>
      </c>
      <c r="AC16" s="4">
        <f t="shared" si="2"/>
        <v>3.2311179886828838</v>
      </c>
      <c r="AD16" s="3"/>
      <c r="AE16" s="3"/>
      <c r="AF16" s="3"/>
      <c r="AG16" s="3"/>
      <c r="AH16" s="3"/>
      <c r="AT16" s="12" t="s">
        <v>14</v>
      </c>
      <c r="AU16" s="12"/>
      <c r="AV16" s="11"/>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row>
    <row r="17" spans="2:87" ht="24" customHeight="1" x14ac:dyDescent="0.2">
      <c r="B17" s="7">
        <f t="shared" si="3"/>
        <v>104</v>
      </c>
      <c r="C17" s="7" t="s">
        <v>149</v>
      </c>
      <c r="D17" s="7">
        <v>10</v>
      </c>
      <c r="E17" s="7">
        <v>2</v>
      </c>
      <c r="F17" s="7">
        <v>2</v>
      </c>
      <c r="G17" s="7">
        <v>1</v>
      </c>
      <c r="H17" s="7">
        <v>1</v>
      </c>
      <c r="I17" s="7" t="s">
        <v>155</v>
      </c>
      <c r="J17" s="9"/>
      <c r="K17" s="7" t="s">
        <v>2</v>
      </c>
      <c r="L17" s="18">
        <v>87</v>
      </c>
      <c r="M17" s="5"/>
      <c r="N17" s="18">
        <v>105</v>
      </c>
      <c r="O17" s="5"/>
      <c r="P17" s="18">
        <v>99</v>
      </c>
      <c r="Q17" s="18">
        <v>101</v>
      </c>
      <c r="R17" s="18">
        <v>101</v>
      </c>
      <c r="S17" s="18">
        <v>97</v>
      </c>
      <c r="T17" s="5">
        <v>93</v>
      </c>
      <c r="U17" s="18">
        <v>86</v>
      </c>
      <c r="V17" s="5"/>
      <c r="W17" s="18">
        <v>96</v>
      </c>
      <c r="X17" s="5"/>
      <c r="Y17" s="18">
        <v>97</v>
      </c>
      <c r="Z17" s="5"/>
      <c r="AA17" s="4">
        <f t="shared" si="0"/>
        <v>96.166666666666671</v>
      </c>
      <c r="AB17" s="4">
        <f t="shared" si="1"/>
        <v>94.527777777777786</v>
      </c>
      <c r="AC17" s="4">
        <f t="shared" si="2"/>
        <v>2.8868849887502628</v>
      </c>
      <c r="AD17" s="3"/>
      <c r="AE17" s="3"/>
      <c r="AF17" s="3"/>
      <c r="AG17" s="3"/>
      <c r="AH17" s="3"/>
      <c r="AT17" s="12" t="s">
        <v>7</v>
      </c>
      <c r="AU17" s="12" t="s">
        <v>13</v>
      </c>
      <c r="AV17" s="12" t="s">
        <v>12</v>
      </c>
    </row>
    <row r="18" spans="2:87" ht="24" customHeight="1" thickBot="1" x14ac:dyDescent="0.25">
      <c r="B18" s="15">
        <f t="shared" si="3"/>
        <v>104</v>
      </c>
      <c r="C18" s="15" t="s">
        <v>149</v>
      </c>
      <c r="D18" s="15">
        <v>10</v>
      </c>
      <c r="E18" s="15">
        <v>2</v>
      </c>
      <c r="F18" s="15">
        <v>2</v>
      </c>
      <c r="G18" s="15">
        <v>1</v>
      </c>
      <c r="H18" s="15">
        <v>1</v>
      </c>
      <c r="I18" s="15" t="s">
        <v>155</v>
      </c>
      <c r="J18" s="16"/>
      <c r="K18" s="15" t="s">
        <v>0</v>
      </c>
      <c r="L18" s="14">
        <v>96</v>
      </c>
      <c r="M18" s="13"/>
      <c r="N18" s="14">
        <v>84</v>
      </c>
      <c r="O18" s="13"/>
      <c r="P18" s="14">
        <v>90</v>
      </c>
      <c r="Q18" s="14">
        <v>98</v>
      </c>
      <c r="R18" s="14">
        <v>105</v>
      </c>
      <c r="S18" s="14">
        <v>84</v>
      </c>
      <c r="T18" s="13">
        <v>93</v>
      </c>
      <c r="U18" s="14">
        <v>98</v>
      </c>
      <c r="V18" s="13"/>
      <c r="W18" s="14">
        <v>112</v>
      </c>
      <c r="X18" s="13"/>
      <c r="Y18" s="14">
        <v>100</v>
      </c>
      <c r="Z18" s="13"/>
      <c r="AA18" s="4">
        <f t="shared" si="0"/>
        <v>94.666666666666671</v>
      </c>
      <c r="AB18" s="4">
        <f t="shared" si="1"/>
        <v>97.444444444444457</v>
      </c>
      <c r="AC18" s="4">
        <f t="shared" si="2"/>
        <v>3.6935044752432584</v>
      </c>
      <c r="AD18" s="3"/>
      <c r="AE18" s="3"/>
      <c r="AF18" s="3"/>
      <c r="AG18" s="3"/>
      <c r="AH18" s="3"/>
      <c r="AT18" s="12">
        <v>0</v>
      </c>
      <c r="AU18" s="12">
        <v>0</v>
      </c>
      <c r="AV18" s="11" t="s">
        <v>11</v>
      </c>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row>
    <row r="19" spans="2:87" ht="24" customHeight="1" x14ac:dyDescent="0.2">
      <c r="B19" s="7">
        <f t="shared" si="3"/>
        <v>103</v>
      </c>
      <c r="C19" s="7" t="s">
        <v>156</v>
      </c>
      <c r="D19" s="7">
        <v>5</v>
      </c>
      <c r="E19" s="7">
        <v>1</v>
      </c>
      <c r="F19" s="7">
        <v>3</v>
      </c>
      <c r="G19" s="7">
        <v>2</v>
      </c>
      <c r="H19" s="7">
        <v>1</v>
      </c>
      <c r="I19" s="7" t="s">
        <v>157</v>
      </c>
      <c r="J19" s="9"/>
      <c r="K19" s="7" t="s">
        <v>2</v>
      </c>
      <c r="L19" s="18">
        <v>107</v>
      </c>
      <c r="M19" s="5"/>
      <c r="N19" s="18">
        <v>94</v>
      </c>
      <c r="O19" s="5"/>
      <c r="P19" s="18">
        <v>105</v>
      </c>
      <c r="Q19" s="18">
        <v>107</v>
      </c>
      <c r="R19" s="18">
        <v>98</v>
      </c>
      <c r="S19" s="18">
        <v>94</v>
      </c>
      <c r="T19" s="5">
        <v>96</v>
      </c>
      <c r="U19" s="18">
        <v>102</v>
      </c>
      <c r="V19" s="5"/>
      <c r="W19" s="18">
        <v>91</v>
      </c>
      <c r="X19" s="5"/>
      <c r="Y19" s="18">
        <v>100</v>
      </c>
      <c r="Z19" s="5"/>
      <c r="AA19" s="4">
        <f t="shared" si="0"/>
        <v>100.33333333333333</v>
      </c>
      <c r="AB19" s="4">
        <f t="shared" si="1"/>
        <v>99.055555555555543</v>
      </c>
      <c r="AC19" s="4">
        <f t="shared" si="2"/>
        <v>2.3434963854552833</v>
      </c>
      <c r="AD19" s="3"/>
      <c r="AE19" s="3"/>
      <c r="AF19" s="3"/>
      <c r="AG19" s="3"/>
      <c r="AH19" s="3"/>
      <c r="AT19" s="12">
        <v>1</v>
      </c>
      <c r="AU19" s="12">
        <v>5</v>
      </c>
      <c r="AV19" s="12" t="s">
        <v>10</v>
      </c>
    </row>
    <row r="20" spans="2:87" ht="24" customHeight="1" thickBot="1" x14ac:dyDescent="0.25">
      <c r="B20" s="15">
        <f t="shared" si="3"/>
        <v>103</v>
      </c>
      <c r="C20" s="15" t="s">
        <v>156</v>
      </c>
      <c r="D20" s="15">
        <v>5</v>
      </c>
      <c r="E20" s="15">
        <v>1</v>
      </c>
      <c r="F20" s="15">
        <v>3</v>
      </c>
      <c r="G20" s="15">
        <v>2</v>
      </c>
      <c r="H20" s="15">
        <v>1</v>
      </c>
      <c r="I20" s="15" t="s">
        <v>157</v>
      </c>
      <c r="J20" s="16"/>
      <c r="K20" s="15" t="s">
        <v>0</v>
      </c>
      <c r="L20" s="14">
        <v>89</v>
      </c>
      <c r="M20" s="13"/>
      <c r="N20" s="14">
        <v>106</v>
      </c>
      <c r="O20" s="13"/>
      <c r="P20" s="14">
        <v>94</v>
      </c>
      <c r="Q20" s="14">
        <v>92</v>
      </c>
      <c r="R20" s="14">
        <v>94</v>
      </c>
      <c r="S20" s="14">
        <v>98</v>
      </c>
      <c r="T20" s="13">
        <v>83</v>
      </c>
      <c r="U20" s="14">
        <v>91</v>
      </c>
      <c r="V20" s="13"/>
      <c r="W20" s="14">
        <v>80</v>
      </c>
      <c r="X20" s="13"/>
      <c r="Y20" s="14">
        <v>85</v>
      </c>
      <c r="Z20" s="13"/>
      <c r="AA20" s="4">
        <f t="shared" si="0"/>
        <v>92</v>
      </c>
      <c r="AB20" s="4">
        <f t="shared" si="1"/>
        <v>90.5</v>
      </c>
      <c r="AC20" s="4">
        <f t="shared" si="2"/>
        <v>3.5846896657869847</v>
      </c>
      <c r="AD20" s="3"/>
      <c r="AE20" s="3"/>
      <c r="AF20" s="3"/>
      <c r="AG20" s="3"/>
      <c r="AH20" s="3"/>
      <c r="AT20" s="12">
        <v>2</v>
      </c>
      <c r="AU20" s="12">
        <v>10</v>
      </c>
      <c r="AV20" s="11" t="s">
        <v>10</v>
      </c>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row>
    <row r="21" spans="2:87" ht="24" customHeight="1" x14ac:dyDescent="0.2">
      <c r="B21" s="7">
        <f t="shared" si="3"/>
        <v>102</v>
      </c>
      <c r="C21" s="7" t="s">
        <v>158</v>
      </c>
      <c r="D21" s="7">
        <v>4</v>
      </c>
      <c r="E21" s="7">
        <v>1</v>
      </c>
      <c r="F21" s="7">
        <v>2</v>
      </c>
      <c r="G21" s="7">
        <v>1</v>
      </c>
      <c r="H21" s="7">
        <v>1</v>
      </c>
      <c r="I21" s="7" t="s">
        <v>159</v>
      </c>
      <c r="J21" s="9"/>
      <c r="K21" s="7" t="s">
        <v>2</v>
      </c>
      <c r="L21" s="6">
        <v>84</v>
      </c>
      <c r="M21" s="5"/>
      <c r="N21" s="6">
        <v>87</v>
      </c>
      <c r="O21" s="5"/>
      <c r="P21" s="6">
        <v>73</v>
      </c>
      <c r="Q21" s="6">
        <v>80</v>
      </c>
      <c r="R21" s="6">
        <v>83</v>
      </c>
      <c r="S21" s="6">
        <v>92</v>
      </c>
      <c r="T21" s="5">
        <v>85</v>
      </c>
      <c r="U21" s="6">
        <v>79</v>
      </c>
      <c r="V21" s="5"/>
      <c r="W21" s="6">
        <v>85</v>
      </c>
      <c r="X21" s="5"/>
      <c r="Y21" s="6">
        <v>105</v>
      </c>
      <c r="Z21" s="5"/>
      <c r="AA21" s="4">
        <f t="shared" si="0"/>
        <v>82</v>
      </c>
      <c r="AB21" s="4">
        <f t="shared" si="1"/>
        <v>87</v>
      </c>
      <c r="AC21" s="4">
        <f t="shared" si="2"/>
        <v>3.7682887362833544</v>
      </c>
      <c r="AD21" s="3"/>
      <c r="AE21" s="3"/>
      <c r="AF21" s="3"/>
      <c r="AG21" s="3"/>
      <c r="AH21" s="3"/>
      <c r="AT21" s="12">
        <v>3</v>
      </c>
      <c r="AU21" s="12">
        <v>20</v>
      </c>
      <c r="AV21" s="12" t="s">
        <v>9</v>
      </c>
    </row>
    <row r="22" spans="2:87" ht="24" customHeight="1" thickBot="1" x14ac:dyDescent="0.25">
      <c r="B22" s="15">
        <f t="shared" si="3"/>
        <v>102</v>
      </c>
      <c r="C22" s="15" t="s">
        <v>158</v>
      </c>
      <c r="D22" s="15">
        <v>4</v>
      </c>
      <c r="E22" s="15">
        <v>1</v>
      </c>
      <c r="F22" s="15">
        <v>2</v>
      </c>
      <c r="G22" s="15">
        <v>1</v>
      </c>
      <c r="H22" s="15">
        <v>1</v>
      </c>
      <c r="I22" s="15" t="s">
        <v>159</v>
      </c>
      <c r="J22" s="16"/>
      <c r="K22" s="15" t="s">
        <v>0</v>
      </c>
      <c r="L22" s="14">
        <v>90</v>
      </c>
      <c r="M22" s="13"/>
      <c r="N22" s="14">
        <v>87</v>
      </c>
      <c r="O22" s="13"/>
      <c r="P22" s="14">
        <v>91</v>
      </c>
      <c r="Q22" s="14">
        <v>80</v>
      </c>
      <c r="R22" s="14">
        <v>82</v>
      </c>
      <c r="S22" s="14">
        <v>92</v>
      </c>
      <c r="T22" s="13">
        <v>88</v>
      </c>
      <c r="U22" s="14">
        <v>90</v>
      </c>
      <c r="V22" s="13"/>
      <c r="W22" s="14">
        <v>102</v>
      </c>
      <c r="X22" s="13"/>
      <c r="Y22" s="14">
        <v>91</v>
      </c>
      <c r="Z22" s="13"/>
      <c r="AA22" s="4">
        <f t="shared" si="0"/>
        <v>87.166666666666671</v>
      </c>
      <c r="AB22" s="4">
        <f t="shared" si="1"/>
        <v>91.194444444444457</v>
      </c>
      <c r="AC22" s="4">
        <f t="shared" si="2"/>
        <v>2.261766216865281</v>
      </c>
      <c r="AD22" s="3"/>
      <c r="AE22" s="3"/>
      <c r="AF22" s="3"/>
      <c r="AG22" s="3"/>
      <c r="AH22" s="3"/>
      <c r="AT22" s="12"/>
      <c r="AU22" s="12"/>
      <c r="AV22" s="11"/>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row>
    <row r="23" spans="2:87" ht="24" customHeight="1" x14ac:dyDescent="0.2">
      <c r="B23" s="7">
        <f t="shared" si="3"/>
        <v>101</v>
      </c>
      <c r="C23" s="7" t="s">
        <v>160</v>
      </c>
      <c r="D23" s="7">
        <v>1</v>
      </c>
      <c r="E23" s="7">
        <v>1</v>
      </c>
      <c r="F23" s="7">
        <v>1</v>
      </c>
      <c r="G23" s="7">
        <v>2</v>
      </c>
      <c r="H23" s="7">
        <v>1</v>
      </c>
      <c r="I23" s="7" t="s">
        <v>161</v>
      </c>
      <c r="J23" s="9"/>
      <c r="K23" s="7" t="s">
        <v>2</v>
      </c>
      <c r="L23" s="6">
        <v>83</v>
      </c>
      <c r="M23" s="5"/>
      <c r="N23" s="6">
        <v>93</v>
      </c>
      <c r="O23" s="5"/>
      <c r="P23" s="6">
        <v>82</v>
      </c>
      <c r="Q23" s="6">
        <v>95</v>
      </c>
      <c r="R23" s="6">
        <v>99</v>
      </c>
      <c r="S23" s="6">
        <v>92</v>
      </c>
      <c r="T23" s="5">
        <v>95</v>
      </c>
      <c r="U23" s="6">
        <v>86</v>
      </c>
      <c r="V23" s="5"/>
      <c r="W23" s="6">
        <v>83</v>
      </c>
      <c r="X23" s="5"/>
      <c r="Y23" s="6">
        <v>95</v>
      </c>
      <c r="Z23" s="5"/>
      <c r="AA23" s="4">
        <f t="shared" si="0"/>
        <v>91.5</v>
      </c>
      <c r="AB23" s="4">
        <f t="shared" si="1"/>
        <v>88.583333333333329</v>
      </c>
      <c r="AC23" s="4">
        <f t="shared" si="2"/>
        <v>2.1463793803622986</v>
      </c>
      <c r="AD23" s="3"/>
      <c r="AE23" s="3"/>
      <c r="AF23" s="3"/>
      <c r="AG23" s="3"/>
      <c r="AH23" s="3"/>
      <c r="AT23" s="2" t="s">
        <v>8</v>
      </c>
      <c r="AU23" s="2"/>
      <c r="AV23" s="2"/>
    </row>
    <row r="24" spans="2:87" ht="24" customHeight="1" thickBot="1" x14ac:dyDescent="0.25">
      <c r="B24" s="15">
        <f t="shared" si="3"/>
        <v>101</v>
      </c>
      <c r="C24" s="15" t="s">
        <v>160</v>
      </c>
      <c r="D24" s="15">
        <v>1</v>
      </c>
      <c r="E24" s="15">
        <v>1</v>
      </c>
      <c r="F24" s="15">
        <v>1</v>
      </c>
      <c r="G24" s="15">
        <v>2</v>
      </c>
      <c r="H24" s="15">
        <v>1</v>
      </c>
      <c r="I24" s="15" t="s">
        <v>161</v>
      </c>
      <c r="J24" s="16"/>
      <c r="K24" s="15" t="s">
        <v>0</v>
      </c>
      <c r="L24" s="14">
        <v>96</v>
      </c>
      <c r="M24" s="13"/>
      <c r="N24" s="14">
        <v>104</v>
      </c>
      <c r="O24" s="13"/>
      <c r="P24" s="14">
        <v>91</v>
      </c>
      <c r="Q24" s="14">
        <v>86</v>
      </c>
      <c r="R24" s="14">
        <v>88</v>
      </c>
      <c r="S24" s="14">
        <v>90</v>
      </c>
      <c r="T24" s="13">
        <v>91</v>
      </c>
      <c r="U24" s="14">
        <v>92</v>
      </c>
      <c r="V24" s="13"/>
      <c r="W24" s="14">
        <v>87</v>
      </c>
      <c r="X24" s="13"/>
      <c r="Y24" s="14">
        <v>76</v>
      </c>
      <c r="Z24" s="13"/>
      <c r="AA24" s="4">
        <f t="shared" si="0"/>
        <v>89.666666666666671</v>
      </c>
      <c r="AB24" s="4">
        <f t="shared" si="1"/>
        <v>90.777777777777786</v>
      </c>
      <c r="AC24" s="4">
        <f t="shared" si="2"/>
        <v>3.8187322568337674</v>
      </c>
      <c r="AD24" s="3"/>
      <c r="AE24" s="3"/>
      <c r="AF24" s="3"/>
      <c r="AG24" s="3"/>
      <c r="AH24" s="3"/>
      <c r="AT24" s="12" t="s">
        <v>7</v>
      </c>
      <c r="AU24" s="12" t="s">
        <v>6</v>
      </c>
      <c r="AV24" s="11" t="s">
        <v>5</v>
      </c>
      <c r="AW24" s="10"/>
      <c r="AX24" s="10"/>
      <c r="AY24" s="10"/>
      <c r="AZ24" s="10"/>
      <c r="BA24" s="10"/>
      <c r="BB24" s="10"/>
      <c r="BC24" s="10"/>
      <c r="BD24" s="10"/>
      <c r="BE24" s="10"/>
      <c r="BF24" s="10"/>
      <c r="BG24" s="10"/>
      <c r="BH24" s="10"/>
      <c r="BI24" s="10"/>
      <c r="BJ24" s="10"/>
      <c r="BK24" s="10"/>
      <c r="BL24" s="10"/>
      <c r="BM24" s="10"/>
      <c r="BN24" s="10"/>
      <c r="BO24" s="10"/>
      <c r="BP24" s="10"/>
      <c r="BQ24" s="10"/>
      <c r="BR24" s="10"/>
      <c r="BS24" s="10"/>
      <c r="BT24" s="10"/>
      <c r="BU24" s="10"/>
      <c r="BV24" s="10"/>
      <c r="BW24" s="10"/>
      <c r="BX24" s="10"/>
      <c r="BY24" s="10"/>
      <c r="BZ24" s="10"/>
      <c r="CA24" s="10"/>
      <c r="CB24" s="10"/>
      <c r="CC24" s="10"/>
      <c r="CD24" s="10"/>
      <c r="CE24" s="10"/>
      <c r="CF24" s="10"/>
      <c r="CG24" s="10"/>
      <c r="CH24" s="10"/>
      <c r="CI24" s="10"/>
    </row>
    <row r="25" spans="2:87" ht="24" customHeight="1" x14ac:dyDescent="0.2">
      <c r="B25" s="7">
        <f>B23+100</f>
        <v>201</v>
      </c>
      <c r="C25" s="7" t="s">
        <v>153</v>
      </c>
      <c r="D25" s="7">
        <v>12</v>
      </c>
      <c r="E25" s="7">
        <v>2</v>
      </c>
      <c r="F25" s="7">
        <v>3</v>
      </c>
      <c r="G25" s="7">
        <v>1</v>
      </c>
      <c r="H25" s="7">
        <v>1</v>
      </c>
      <c r="I25" s="7" t="s">
        <v>162</v>
      </c>
      <c r="J25" s="7"/>
      <c r="K25" s="7" t="s">
        <v>2</v>
      </c>
      <c r="L25" s="6">
        <v>103</v>
      </c>
      <c r="M25" s="6"/>
      <c r="N25" s="6">
        <v>110</v>
      </c>
      <c r="O25" s="6"/>
      <c r="P25" s="6">
        <v>105</v>
      </c>
      <c r="Q25" s="6">
        <v>108</v>
      </c>
      <c r="R25" s="6">
        <v>99</v>
      </c>
      <c r="S25" s="6">
        <v>102</v>
      </c>
      <c r="T25" s="6">
        <v>99</v>
      </c>
      <c r="U25" s="6">
        <v>101</v>
      </c>
      <c r="V25" s="6"/>
      <c r="W25" s="6">
        <v>91</v>
      </c>
      <c r="X25" s="6"/>
      <c r="Y25" s="6">
        <v>98</v>
      </c>
      <c r="Z25" s="6"/>
      <c r="AA25" s="4">
        <f t="shared" si="0"/>
        <v>102.33333333333333</v>
      </c>
      <c r="AB25" s="4">
        <f t="shared" si="1"/>
        <v>100.88888888888887</v>
      </c>
      <c r="AC25" s="4">
        <f t="shared" si="2"/>
        <v>2.5541058690123748</v>
      </c>
      <c r="AD25" s="3"/>
      <c r="AE25" s="3"/>
      <c r="AF25" s="3"/>
      <c r="AG25" s="3"/>
      <c r="AH25" s="3"/>
      <c r="AT25" s="12">
        <v>1</v>
      </c>
      <c r="AU25" s="12" t="s">
        <v>4</v>
      </c>
      <c r="AV25" s="12">
        <v>0</v>
      </c>
    </row>
    <row r="26" spans="2:87" ht="24" customHeight="1" thickBot="1" x14ac:dyDescent="0.25">
      <c r="B26" s="15">
        <f>B24+100</f>
        <v>201</v>
      </c>
      <c r="C26" s="15" t="s">
        <v>153</v>
      </c>
      <c r="D26" s="15">
        <v>12</v>
      </c>
      <c r="E26" s="15">
        <v>2</v>
      </c>
      <c r="F26" s="15">
        <v>3</v>
      </c>
      <c r="G26" s="15">
        <v>1</v>
      </c>
      <c r="H26" s="15">
        <v>1</v>
      </c>
      <c r="I26" s="15" t="s">
        <v>162</v>
      </c>
      <c r="J26" s="16"/>
      <c r="K26" s="15" t="s">
        <v>0</v>
      </c>
      <c r="L26" s="14">
        <v>93</v>
      </c>
      <c r="M26" s="13"/>
      <c r="N26" s="14">
        <v>96</v>
      </c>
      <c r="O26" s="13"/>
      <c r="P26" s="14">
        <v>94</v>
      </c>
      <c r="Q26" s="14">
        <v>79</v>
      </c>
      <c r="R26" s="14">
        <v>91</v>
      </c>
      <c r="S26" s="14">
        <v>83</v>
      </c>
      <c r="T26" s="13">
        <v>79</v>
      </c>
      <c r="U26" s="14">
        <v>80</v>
      </c>
      <c r="V26" s="13"/>
      <c r="W26" s="14">
        <v>92</v>
      </c>
      <c r="X26" s="13"/>
      <c r="Y26" s="14">
        <v>94</v>
      </c>
      <c r="Z26" s="13"/>
      <c r="AA26" s="4">
        <f t="shared" si="0"/>
        <v>84.333333333333329</v>
      </c>
      <c r="AB26" s="4">
        <f t="shared" si="1"/>
        <v>89.888888888888872</v>
      </c>
      <c r="AC26" s="4">
        <f t="shared" si="2"/>
        <v>2.5627916877046224</v>
      </c>
      <c r="AD26" s="3"/>
      <c r="AE26" s="3"/>
      <c r="AF26" s="3"/>
      <c r="AG26" s="3"/>
      <c r="AH26" s="3"/>
      <c r="AT26" s="12">
        <v>2</v>
      </c>
      <c r="AU26" s="12" t="s">
        <v>3</v>
      </c>
      <c r="AV26" s="11">
        <v>150</v>
      </c>
      <c r="AW26" s="10"/>
      <c r="AX26" s="10"/>
      <c r="AY26" s="10"/>
      <c r="AZ26" s="10"/>
      <c r="BA26" s="10"/>
      <c r="BB26" s="10"/>
      <c r="BC26" s="10"/>
      <c r="BD26" s="10"/>
      <c r="BE26" s="10"/>
      <c r="BF26" s="10"/>
      <c r="BG26" s="10"/>
      <c r="BH26" s="10"/>
      <c r="BI26" s="10"/>
      <c r="BJ26" s="10"/>
      <c r="BK26" s="10"/>
      <c r="BL26" s="10"/>
      <c r="BM26" s="10"/>
      <c r="BN26" s="10"/>
      <c r="BO26" s="10"/>
      <c r="BP26" s="10"/>
      <c r="BQ26" s="10"/>
      <c r="BR26" s="10"/>
      <c r="BS26" s="10"/>
      <c r="BT26" s="10"/>
      <c r="BU26" s="10"/>
      <c r="BV26" s="10"/>
      <c r="BW26" s="10"/>
      <c r="BX26" s="10"/>
      <c r="BY26" s="10"/>
      <c r="BZ26" s="10"/>
      <c r="CA26" s="10"/>
      <c r="CB26" s="10"/>
      <c r="CC26" s="10"/>
      <c r="CD26" s="10"/>
      <c r="CE26" s="10"/>
      <c r="CF26" s="10"/>
      <c r="CG26" s="10"/>
      <c r="CH26" s="10"/>
      <c r="CI26" s="10"/>
    </row>
    <row r="27" spans="2:87" ht="24" customHeight="1" x14ac:dyDescent="0.2">
      <c r="B27" s="7">
        <f t="shared" ref="B27:B40" si="4">B25+1</f>
        <v>202</v>
      </c>
      <c r="C27" s="7" t="s">
        <v>151</v>
      </c>
      <c r="D27" s="7">
        <v>9</v>
      </c>
      <c r="E27" s="7">
        <v>2</v>
      </c>
      <c r="F27" s="7">
        <v>2</v>
      </c>
      <c r="G27" s="7">
        <v>2</v>
      </c>
      <c r="H27" s="7">
        <v>1</v>
      </c>
      <c r="I27" s="7" t="s">
        <v>163</v>
      </c>
      <c r="J27" s="9"/>
      <c r="K27" s="7" t="s">
        <v>2</v>
      </c>
      <c r="L27" s="6">
        <v>106</v>
      </c>
      <c r="M27" s="6"/>
      <c r="N27" s="6">
        <v>93</v>
      </c>
      <c r="O27" s="6"/>
      <c r="P27" s="6">
        <v>101</v>
      </c>
      <c r="Q27" s="6">
        <v>91</v>
      </c>
      <c r="R27" s="6">
        <v>93</v>
      </c>
      <c r="S27" s="6">
        <v>84</v>
      </c>
      <c r="T27" s="6">
        <v>106</v>
      </c>
      <c r="U27" s="6">
        <v>78</v>
      </c>
      <c r="V27" s="6"/>
      <c r="W27" s="6">
        <v>92</v>
      </c>
      <c r="X27" s="6"/>
      <c r="Y27" s="6">
        <v>94</v>
      </c>
      <c r="Z27" s="6"/>
      <c r="AA27" s="4">
        <f t="shared" si="0"/>
        <v>92.166666666666671</v>
      </c>
      <c r="AB27" s="4">
        <f t="shared" si="1"/>
        <v>92.527777777777786</v>
      </c>
      <c r="AC27" s="4">
        <f t="shared" si="2"/>
        <v>3.6302271805929798</v>
      </c>
      <c r="AD27" s="3"/>
      <c r="AE27" s="3"/>
      <c r="AF27" s="3"/>
      <c r="AG27" s="3"/>
      <c r="AH27" s="3"/>
    </row>
    <row r="28" spans="2:87" ht="24" customHeight="1" thickBot="1" x14ac:dyDescent="0.25">
      <c r="B28" s="15">
        <f t="shared" si="4"/>
        <v>202</v>
      </c>
      <c r="C28" s="15" t="s">
        <v>151</v>
      </c>
      <c r="D28" s="15">
        <v>9</v>
      </c>
      <c r="E28" s="15">
        <v>2</v>
      </c>
      <c r="F28" s="15">
        <v>2</v>
      </c>
      <c r="G28" s="15">
        <v>2</v>
      </c>
      <c r="H28" s="15">
        <v>1</v>
      </c>
      <c r="I28" s="15" t="s">
        <v>163</v>
      </c>
      <c r="J28" s="16"/>
      <c r="K28" s="15" t="s">
        <v>0</v>
      </c>
      <c r="L28" s="14">
        <v>98</v>
      </c>
      <c r="M28" s="13"/>
      <c r="N28" s="14">
        <v>102</v>
      </c>
      <c r="O28" s="13"/>
      <c r="P28" s="14">
        <v>81</v>
      </c>
      <c r="Q28" s="14">
        <v>84</v>
      </c>
      <c r="R28" s="14">
        <v>80</v>
      </c>
      <c r="S28" s="14">
        <v>77</v>
      </c>
      <c r="T28" s="13">
        <v>94</v>
      </c>
      <c r="U28" s="14">
        <v>85</v>
      </c>
      <c r="V28" s="13"/>
      <c r="W28" s="14">
        <v>93</v>
      </c>
      <c r="X28" s="13"/>
      <c r="Y28" s="14">
        <v>103</v>
      </c>
      <c r="Z28" s="13"/>
      <c r="AA28" s="4">
        <f t="shared" si="0"/>
        <v>83.5</v>
      </c>
      <c r="AB28" s="4">
        <f t="shared" si="1"/>
        <v>94.083333333333329</v>
      </c>
      <c r="AC28" s="4">
        <f t="shared" si="2"/>
        <v>3.4312696062989732</v>
      </c>
      <c r="AD28" s="3"/>
      <c r="AE28" s="3"/>
      <c r="AF28" s="3"/>
      <c r="AG28" s="3"/>
      <c r="AH28" s="3"/>
      <c r="AT28" s="12"/>
      <c r="AU28" s="12"/>
      <c r="AV28" s="11"/>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row>
    <row r="29" spans="2:87" ht="24" customHeight="1" x14ac:dyDescent="0.2">
      <c r="B29" s="7">
        <f t="shared" si="4"/>
        <v>203</v>
      </c>
      <c r="C29" s="7" t="s">
        <v>147</v>
      </c>
      <c r="D29" s="7">
        <v>3</v>
      </c>
      <c r="E29" s="7">
        <v>1</v>
      </c>
      <c r="F29" s="7">
        <v>2</v>
      </c>
      <c r="G29" s="7">
        <v>2</v>
      </c>
      <c r="H29" s="7">
        <v>1</v>
      </c>
      <c r="I29" s="7" t="s">
        <v>164</v>
      </c>
      <c r="J29" s="9"/>
      <c r="K29" s="7" t="s">
        <v>2</v>
      </c>
      <c r="L29" s="6">
        <v>87</v>
      </c>
      <c r="M29" s="6"/>
      <c r="N29" s="6">
        <v>92</v>
      </c>
      <c r="O29" s="6"/>
      <c r="P29" s="6">
        <v>106</v>
      </c>
      <c r="Q29" s="6">
        <v>95</v>
      </c>
      <c r="R29" s="6">
        <v>95</v>
      </c>
      <c r="S29" s="6">
        <v>90</v>
      </c>
      <c r="T29" s="6">
        <v>97</v>
      </c>
      <c r="U29" s="6">
        <v>94</v>
      </c>
      <c r="V29" s="6"/>
      <c r="W29" s="6">
        <v>87</v>
      </c>
      <c r="X29" s="6"/>
      <c r="Y29" s="6">
        <v>95</v>
      </c>
      <c r="Z29" s="6"/>
      <c r="AA29" s="4">
        <f t="shared" si="0"/>
        <v>96.166666666666671</v>
      </c>
      <c r="AB29" s="4">
        <f t="shared" si="1"/>
        <v>91.861111111111128</v>
      </c>
      <c r="AC29" s="4">
        <f t="shared" si="2"/>
        <v>1.6354955453966691</v>
      </c>
      <c r="AD29" s="3"/>
      <c r="AE29" s="3"/>
      <c r="AF29" s="3"/>
      <c r="AG29" s="3"/>
      <c r="AH29" s="3"/>
    </row>
    <row r="30" spans="2:87" ht="24" customHeight="1" thickBot="1" x14ac:dyDescent="0.25">
      <c r="B30" s="15">
        <f t="shared" si="4"/>
        <v>203</v>
      </c>
      <c r="C30" s="15" t="s">
        <v>147</v>
      </c>
      <c r="D30" s="15">
        <v>3</v>
      </c>
      <c r="E30" s="15">
        <v>1</v>
      </c>
      <c r="F30" s="15">
        <v>2</v>
      </c>
      <c r="G30" s="15">
        <v>2</v>
      </c>
      <c r="H30" s="15">
        <v>1</v>
      </c>
      <c r="I30" s="15" t="s">
        <v>164</v>
      </c>
      <c r="J30" s="16"/>
      <c r="K30" s="15" t="s">
        <v>0</v>
      </c>
      <c r="L30" s="14">
        <v>88</v>
      </c>
      <c r="M30" s="13"/>
      <c r="N30" s="14">
        <v>101</v>
      </c>
      <c r="O30" s="13"/>
      <c r="P30" s="14">
        <v>93</v>
      </c>
      <c r="Q30" s="14">
        <v>97</v>
      </c>
      <c r="R30" s="14">
        <v>96</v>
      </c>
      <c r="S30" s="14">
        <v>100</v>
      </c>
      <c r="T30" s="13">
        <v>93</v>
      </c>
      <c r="U30" s="14">
        <v>103</v>
      </c>
      <c r="V30" s="13"/>
      <c r="W30" s="14">
        <v>96</v>
      </c>
      <c r="X30" s="13"/>
      <c r="Y30" s="14">
        <v>99</v>
      </c>
      <c r="Z30" s="13"/>
      <c r="AA30" s="4">
        <f t="shared" si="0"/>
        <v>97</v>
      </c>
      <c r="AB30" s="4">
        <f t="shared" si="1"/>
        <v>97.333333333333329</v>
      </c>
      <c r="AC30" s="4">
        <f t="shared" si="2"/>
        <v>2.1395742047841622</v>
      </c>
      <c r="AD30" s="3"/>
      <c r="AE30" s="3"/>
      <c r="AF30" s="3"/>
      <c r="AG30" s="3"/>
      <c r="AH30" s="3"/>
      <c r="AT30" s="12"/>
      <c r="AU30" s="12"/>
      <c r="AV30" s="11"/>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row>
    <row r="31" spans="2:87" ht="24" customHeight="1" x14ac:dyDescent="0.2">
      <c r="B31" s="7">
        <f t="shared" si="4"/>
        <v>204</v>
      </c>
      <c r="C31" s="7" t="s">
        <v>165</v>
      </c>
      <c r="D31" s="7">
        <v>11</v>
      </c>
      <c r="E31" s="7">
        <v>2</v>
      </c>
      <c r="F31" s="7">
        <v>3</v>
      </c>
      <c r="G31" s="7">
        <v>2</v>
      </c>
      <c r="H31" s="7">
        <v>1</v>
      </c>
      <c r="I31" s="7" t="s">
        <v>166</v>
      </c>
      <c r="J31" s="9"/>
      <c r="K31" s="7" t="s">
        <v>2</v>
      </c>
      <c r="L31" s="6">
        <v>107</v>
      </c>
      <c r="M31" s="6"/>
      <c r="N31" s="6">
        <v>108</v>
      </c>
      <c r="O31" s="6"/>
      <c r="P31" s="6">
        <v>110</v>
      </c>
      <c r="Q31" s="6">
        <v>101</v>
      </c>
      <c r="R31" s="6">
        <v>105</v>
      </c>
      <c r="S31" s="6">
        <v>101</v>
      </c>
      <c r="T31" s="6">
        <v>101</v>
      </c>
      <c r="U31" s="6">
        <v>103</v>
      </c>
      <c r="V31" s="6"/>
      <c r="W31" s="6">
        <v>101</v>
      </c>
      <c r="X31" s="6"/>
      <c r="Y31" s="6">
        <v>107</v>
      </c>
      <c r="Z31" s="6"/>
      <c r="AA31" s="4">
        <f t="shared" si="0"/>
        <v>103.5</v>
      </c>
      <c r="AB31" s="4">
        <f t="shared" si="1"/>
        <v>104.91666666666667</v>
      </c>
      <c r="AC31" s="4">
        <f t="shared" si="2"/>
        <v>1.1432167093095014</v>
      </c>
      <c r="AD31" s="3"/>
      <c r="AE31" s="3"/>
      <c r="AF31" s="3"/>
      <c r="AG31" s="3"/>
      <c r="AH31" s="3"/>
    </row>
    <row r="32" spans="2:87" ht="24" customHeight="1" thickBot="1" x14ac:dyDescent="0.25">
      <c r="B32" s="15">
        <f t="shared" si="4"/>
        <v>204</v>
      </c>
      <c r="C32" s="15" t="s">
        <v>165</v>
      </c>
      <c r="D32" s="15">
        <v>11</v>
      </c>
      <c r="E32" s="15">
        <v>2</v>
      </c>
      <c r="F32" s="15">
        <v>3</v>
      </c>
      <c r="G32" s="15">
        <v>2</v>
      </c>
      <c r="H32" s="15">
        <v>1</v>
      </c>
      <c r="I32" s="15" t="s">
        <v>166</v>
      </c>
      <c r="J32" s="16"/>
      <c r="K32" s="15" t="s">
        <v>0</v>
      </c>
      <c r="L32" s="14">
        <v>118</v>
      </c>
      <c r="M32" s="13"/>
      <c r="N32" s="14">
        <v>104</v>
      </c>
      <c r="O32" s="13"/>
      <c r="P32" s="14">
        <v>109</v>
      </c>
      <c r="Q32" s="14">
        <v>102</v>
      </c>
      <c r="R32" s="14">
        <v>103</v>
      </c>
      <c r="S32" s="14">
        <v>98</v>
      </c>
      <c r="T32" s="13">
        <v>97</v>
      </c>
      <c r="U32" s="14">
        <v>108</v>
      </c>
      <c r="V32" s="13"/>
      <c r="W32" s="14">
        <v>102</v>
      </c>
      <c r="X32" s="13"/>
      <c r="Y32" s="14">
        <v>105</v>
      </c>
      <c r="Z32" s="13"/>
      <c r="AA32" s="4">
        <f t="shared" si="0"/>
        <v>102.83333333333333</v>
      </c>
      <c r="AB32" s="4">
        <f t="shared" si="1"/>
        <v>106.63888888888887</v>
      </c>
      <c r="AC32" s="4">
        <f t="shared" si="2"/>
        <v>2.4260990890982708</v>
      </c>
      <c r="AD32" s="3"/>
      <c r="AE32" s="3"/>
      <c r="AF32" s="3"/>
      <c r="AG32" s="3"/>
      <c r="AH32" s="3"/>
      <c r="AT32" s="12"/>
      <c r="AU32" s="12"/>
      <c r="AV32" s="11"/>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row>
    <row r="33" spans="2:87" ht="24" customHeight="1" x14ac:dyDescent="0.2">
      <c r="B33" s="7">
        <f t="shared" si="4"/>
        <v>205</v>
      </c>
      <c r="C33" s="7" t="s">
        <v>160</v>
      </c>
      <c r="D33" s="7">
        <v>1</v>
      </c>
      <c r="E33" s="7">
        <v>1</v>
      </c>
      <c r="F33" s="7">
        <v>1</v>
      </c>
      <c r="G33" s="7">
        <v>2</v>
      </c>
      <c r="H33" s="7">
        <v>2</v>
      </c>
      <c r="I33" s="7" t="s">
        <v>167</v>
      </c>
      <c r="J33" s="9"/>
      <c r="K33" s="7" t="s">
        <v>2</v>
      </c>
      <c r="L33" s="6">
        <v>92</v>
      </c>
      <c r="M33" s="6"/>
      <c r="N33" s="6">
        <v>101</v>
      </c>
      <c r="O33" s="6"/>
      <c r="P33" s="6">
        <v>103</v>
      </c>
      <c r="Q33" s="6">
        <v>110</v>
      </c>
      <c r="R33" s="6">
        <v>99</v>
      </c>
      <c r="S33" s="6">
        <v>101</v>
      </c>
      <c r="T33" s="6">
        <v>89</v>
      </c>
      <c r="U33" s="6">
        <v>93</v>
      </c>
      <c r="V33" s="6"/>
      <c r="W33" s="6">
        <v>90</v>
      </c>
      <c r="X33" s="6"/>
      <c r="Y33" s="6">
        <v>105</v>
      </c>
      <c r="Z33" s="6"/>
      <c r="AA33" s="4">
        <f t="shared" si="0"/>
        <v>99.166666666666671</v>
      </c>
      <c r="AB33" s="4">
        <f t="shared" si="1"/>
        <v>96.694444444444457</v>
      </c>
      <c r="AC33" s="4">
        <f t="shared" si="2"/>
        <v>2.4092478719803774</v>
      </c>
      <c r="AD33" s="3"/>
      <c r="AE33" s="3"/>
      <c r="AF33" s="3"/>
      <c r="AG33" s="3"/>
      <c r="AH33" s="3"/>
    </row>
    <row r="34" spans="2:87" ht="24" customHeight="1" thickBot="1" x14ac:dyDescent="0.25">
      <c r="B34" s="15">
        <f t="shared" si="4"/>
        <v>205</v>
      </c>
      <c r="C34" s="15" t="s">
        <v>160</v>
      </c>
      <c r="D34" s="15">
        <v>1</v>
      </c>
      <c r="E34" s="15">
        <v>1</v>
      </c>
      <c r="F34" s="15">
        <v>1</v>
      </c>
      <c r="G34" s="15">
        <v>2</v>
      </c>
      <c r="H34" s="15">
        <v>2</v>
      </c>
      <c r="I34" s="15" t="s">
        <v>167</v>
      </c>
      <c r="J34" s="16"/>
      <c r="K34" s="15" t="s">
        <v>0</v>
      </c>
      <c r="L34" s="14">
        <v>100</v>
      </c>
      <c r="M34" s="13"/>
      <c r="N34" s="14">
        <v>113</v>
      </c>
      <c r="O34" s="13"/>
      <c r="P34" s="14">
        <v>107</v>
      </c>
      <c r="Q34" s="14">
        <v>104</v>
      </c>
      <c r="R34" s="14">
        <v>102</v>
      </c>
      <c r="S34" s="14">
        <v>95</v>
      </c>
      <c r="T34" s="13">
        <v>108</v>
      </c>
      <c r="U34" s="14">
        <v>96</v>
      </c>
      <c r="V34" s="13"/>
      <c r="W34" s="14">
        <v>101</v>
      </c>
      <c r="X34" s="13"/>
      <c r="Y34" s="14">
        <v>100</v>
      </c>
      <c r="Z34" s="13"/>
      <c r="AA34" s="4">
        <f t="shared" si="0"/>
        <v>102</v>
      </c>
      <c r="AB34" s="4">
        <f t="shared" si="1"/>
        <v>102</v>
      </c>
      <c r="AC34" s="4">
        <f t="shared" si="2"/>
        <v>2.3523038352503134</v>
      </c>
      <c r="AD34" s="3"/>
      <c r="AE34" s="3"/>
      <c r="AF34" s="3"/>
      <c r="AG34" s="3"/>
      <c r="AH34" s="3"/>
      <c r="AT34" s="12"/>
      <c r="AU34" s="12"/>
      <c r="AV34" s="11"/>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row>
    <row r="35" spans="2:87" ht="24" customHeight="1" x14ac:dyDescent="0.2">
      <c r="B35" s="7">
        <f t="shared" si="4"/>
        <v>206</v>
      </c>
      <c r="C35" s="7" t="s">
        <v>168</v>
      </c>
      <c r="D35" s="7">
        <v>8</v>
      </c>
      <c r="E35" s="7">
        <v>2</v>
      </c>
      <c r="F35" s="7">
        <v>1</v>
      </c>
      <c r="G35" s="7">
        <v>1</v>
      </c>
      <c r="H35" s="7">
        <v>2</v>
      </c>
      <c r="I35" s="7" t="s">
        <v>169</v>
      </c>
      <c r="J35" s="9"/>
      <c r="K35" s="7" t="s">
        <v>2</v>
      </c>
      <c r="L35" s="6">
        <v>91</v>
      </c>
      <c r="M35" s="6"/>
      <c r="N35" s="6">
        <v>77</v>
      </c>
      <c r="O35" s="6"/>
      <c r="P35" s="6">
        <v>82</v>
      </c>
      <c r="Q35" s="6">
        <v>97</v>
      </c>
      <c r="R35" s="6">
        <v>74</v>
      </c>
      <c r="S35" s="6"/>
      <c r="T35" s="6"/>
      <c r="U35" s="6">
        <v>95</v>
      </c>
      <c r="V35" s="6"/>
      <c r="W35" s="6">
        <v>87</v>
      </c>
      <c r="X35" s="6"/>
      <c r="Y35" s="6">
        <v>85</v>
      </c>
      <c r="Z35" s="6"/>
      <c r="AA35" s="4">
        <f t="shared" si="0"/>
        <v>87</v>
      </c>
      <c r="AB35" s="4">
        <f t="shared" si="1"/>
        <v>87</v>
      </c>
      <c r="AC35" s="4">
        <f t="shared" si="2"/>
        <v>2.4765567494675613</v>
      </c>
      <c r="AD35" s="3"/>
      <c r="AE35" s="3"/>
      <c r="AF35" s="3"/>
      <c r="AG35" s="3"/>
      <c r="AH35" s="3"/>
    </row>
    <row r="36" spans="2:87" ht="24" customHeight="1" thickBot="1" x14ac:dyDescent="0.25">
      <c r="B36" s="15">
        <f t="shared" si="4"/>
        <v>206</v>
      </c>
      <c r="C36" s="15" t="s">
        <v>168</v>
      </c>
      <c r="D36" s="15">
        <v>8</v>
      </c>
      <c r="E36" s="15">
        <v>2</v>
      </c>
      <c r="F36" s="15">
        <v>1</v>
      </c>
      <c r="G36" s="15">
        <v>1</v>
      </c>
      <c r="H36" s="15">
        <v>2</v>
      </c>
      <c r="I36" s="15" t="s">
        <v>169</v>
      </c>
      <c r="J36" s="16"/>
      <c r="K36" s="15" t="s">
        <v>0</v>
      </c>
      <c r="L36" s="14">
        <v>103</v>
      </c>
      <c r="M36" s="13"/>
      <c r="N36" s="14">
        <v>83</v>
      </c>
      <c r="O36" s="13"/>
      <c r="P36" s="14">
        <v>79</v>
      </c>
      <c r="Q36" s="14">
        <v>73</v>
      </c>
      <c r="R36" s="14">
        <v>80</v>
      </c>
      <c r="S36" s="14"/>
      <c r="T36" s="13"/>
      <c r="U36" s="14">
        <v>91</v>
      </c>
      <c r="V36" s="13"/>
      <c r="W36" s="14">
        <v>88</v>
      </c>
      <c r="X36" s="13"/>
      <c r="Y36" s="14">
        <v>92</v>
      </c>
      <c r="Z36" s="13"/>
      <c r="AA36" s="4">
        <f t="shared" si="0"/>
        <v>80.75</v>
      </c>
      <c r="AB36" s="4">
        <f t="shared" si="1"/>
        <v>89.625</v>
      </c>
      <c r="AC36" s="4">
        <f t="shared" si="2"/>
        <v>3.2234492395569068</v>
      </c>
      <c r="AD36" s="3"/>
      <c r="AE36" s="3"/>
      <c r="AF36" s="3"/>
      <c r="AG36" s="3"/>
      <c r="AH36" s="3"/>
      <c r="AT36" s="12"/>
      <c r="AU36" s="12"/>
      <c r="AV36" s="11"/>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row>
    <row r="37" spans="2:87" ht="24" customHeight="1" x14ac:dyDescent="0.2">
      <c r="B37" s="7">
        <f t="shared" si="4"/>
        <v>207</v>
      </c>
      <c r="C37" s="7" t="s">
        <v>158</v>
      </c>
      <c r="D37" s="7">
        <v>4</v>
      </c>
      <c r="E37" s="7">
        <v>1</v>
      </c>
      <c r="F37" s="7">
        <v>2</v>
      </c>
      <c r="G37" s="7">
        <v>1</v>
      </c>
      <c r="H37" s="7">
        <v>2</v>
      </c>
      <c r="I37" s="7" t="s">
        <v>170</v>
      </c>
      <c r="J37" s="9"/>
      <c r="K37" s="7" t="s">
        <v>2</v>
      </c>
      <c r="L37" s="6">
        <v>96</v>
      </c>
      <c r="M37" s="6"/>
      <c r="N37" s="6">
        <v>89</v>
      </c>
      <c r="O37" s="6"/>
      <c r="P37" s="6">
        <v>93</v>
      </c>
      <c r="Q37" s="6">
        <v>98</v>
      </c>
      <c r="R37" s="6">
        <v>93</v>
      </c>
      <c r="S37" s="6">
        <v>82</v>
      </c>
      <c r="T37" s="6">
        <v>98</v>
      </c>
      <c r="U37" s="6">
        <v>103</v>
      </c>
      <c r="V37" s="6"/>
      <c r="W37" s="6">
        <v>88</v>
      </c>
      <c r="X37" s="6"/>
      <c r="Y37" s="6">
        <v>97</v>
      </c>
      <c r="Z37" s="6"/>
      <c r="AA37" s="4">
        <f t="shared" si="0"/>
        <v>94.5</v>
      </c>
      <c r="AB37" s="4">
        <f t="shared" si="1"/>
        <v>94.583333333333329</v>
      </c>
      <c r="AC37" s="4">
        <f t="shared" si="2"/>
        <v>2.259854960930999</v>
      </c>
      <c r="AD37" s="3"/>
      <c r="AE37" s="3"/>
      <c r="AF37" s="3"/>
      <c r="AG37" s="3"/>
      <c r="AH37" s="3"/>
    </row>
    <row r="38" spans="2:87" ht="24" customHeight="1" thickBot="1" x14ac:dyDescent="0.25">
      <c r="B38" s="15">
        <f t="shared" si="4"/>
        <v>207</v>
      </c>
      <c r="C38" s="15" t="s">
        <v>158</v>
      </c>
      <c r="D38" s="15">
        <v>4</v>
      </c>
      <c r="E38" s="15">
        <v>1</v>
      </c>
      <c r="F38" s="15">
        <v>2</v>
      </c>
      <c r="G38" s="15">
        <v>1</v>
      </c>
      <c r="H38" s="15">
        <v>2</v>
      </c>
      <c r="I38" s="15" t="s">
        <v>170</v>
      </c>
      <c r="J38" s="16"/>
      <c r="K38" s="15" t="s">
        <v>0</v>
      </c>
      <c r="L38" s="14">
        <v>90</v>
      </c>
      <c r="M38" s="13"/>
      <c r="N38" s="14">
        <v>105</v>
      </c>
      <c r="O38" s="13"/>
      <c r="P38" s="14">
        <v>89</v>
      </c>
      <c r="Q38" s="14">
        <v>99</v>
      </c>
      <c r="R38" s="14">
        <v>90</v>
      </c>
      <c r="S38" s="14">
        <v>88</v>
      </c>
      <c r="T38" s="13">
        <v>86</v>
      </c>
      <c r="U38" s="14">
        <v>96</v>
      </c>
      <c r="V38" s="13"/>
      <c r="W38" s="14">
        <v>102</v>
      </c>
      <c r="X38" s="13"/>
      <c r="Y38" s="14">
        <v>104</v>
      </c>
      <c r="Z38" s="13"/>
      <c r="AA38" s="4">
        <f t="shared" si="0"/>
        <v>91.333333333333329</v>
      </c>
      <c r="AB38" s="4">
        <f t="shared" si="1"/>
        <v>98.055555555555543</v>
      </c>
      <c r="AC38" s="4">
        <f t="shared" si="2"/>
        <v>2.6672453075906239</v>
      </c>
      <c r="AD38" s="3"/>
      <c r="AE38" s="3"/>
      <c r="AF38" s="3"/>
      <c r="AG38" s="3"/>
      <c r="AH38" s="3"/>
      <c r="AT38" s="12"/>
      <c r="AU38" s="12"/>
      <c r="AV38" s="11"/>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row>
    <row r="39" spans="2:87" ht="24" customHeight="1" x14ac:dyDescent="0.2">
      <c r="B39" s="7">
        <f t="shared" si="4"/>
        <v>208</v>
      </c>
      <c r="C39" s="7" t="s">
        <v>171</v>
      </c>
      <c r="D39" s="7">
        <v>2</v>
      </c>
      <c r="E39" s="7">
        <v>1</v>
      </c>
      <c r="F39" s="7">
        <v>1</v>
      </c>
      <c r="G39" s="7">
        <v>1</v>
      </c>
      <c r="H39" s="7">
        <v>2</v>
      </c>
      <c r="I39" s="7" t="s">
        <v>172</v>
      </c>
      <c r="J39" s="9"/>
      <c r="K39" s="7" t="s">
        <v>2</v>
      </c>
      <c r="L39" s="6">
        <v>89</v>
      </c>
      <c r="M39" s="5"/>
      <c r="N39" s="6">
        <v>97</v>
      </c>
      <c r="O39" s="5"/>
      <c r="P39" s="6">
        <v>87</v>
      </c>
      <c r="Q39" s="6">
        <v>86</v>
      </c>
      <c r="R39" s="6">
        <v>78</v>
      </c>
      <c r="S39" s="6">
        <v>66</v>
      </c>
      <c r="T39" s="5">
        <v>75</v>
      </c>
      <c r="U39" s="6">
        <v>89</v>
      </c>
      <c r="V39" s="5"/>
      <c r="W39" s="6">
        <v>96</v>
      </c>
      <c r="X39" s="5"/>
      <c r="Y39" s="6">
        <v>92</v>
      </c>
      <c r="Z39" s="5"/>
      <c r="AA39" s="4">
        <f t="shared" si="0"/>
        <v>80.166666666666671</v>
      </c>
      <c r="AB39" s="4">
        <f t="shared" si="1"/>
        <v>90.527777777777786</v>
      </c>
      <c r="AC39" s="4">
        <f t="shared" si="2"/>
        <v>2.4901348567774932</v>
      </c>
      <c r="AD39" s="3"/>
      <c r="AE39" s="3"/>
      <c r="AF39" s="3"/>
      <c r="AG39" s="3"/>
      <c r="AH39" s="3"/>
    </row>
    <row r="40" spans="2:87" ht="24" customHeight="1" thickBot="1" x14ac:dyDescent="0.25">
      <c r="B40" s="15">
        <f t="shared" si="4"/>
        <v>208</v>
      </c>
      <c r="C40" s="15" t="s">
        <v>171</v>
      </c>
      <c r="D40" s="15">
        <v>2</v>
      </c>
      <c r="E40" s="15">
        <v>1</v>
      </c>
      <c r="F40" s="15">
        <v>1</v>
      </c>
      <c r="G40" s="15">
        <v>1</v>
      </c>
      <c r="H40" s="15">
        <v>2</v>
      </c>
      <c r="I40" s="15" t="s">
        <v>172</v>
      </c>
      <c r="J40" s="16"/>
      <c r="K40" s="15" t="s">
        <v>0</v>
      </c>
      <c r="L40" s="14">
        <v>91</v>
      </c>
      <c r="M40" s="13"/>
      <c r="N40" s="14">
        <v>86</v>
      </c>
      <c r="O40" s="13"/>
      <c r="P40" s="14">
        <v>82</v>
      </c>
      <c r="Q40" s="14">
        <v>84</v>
      </c>
      <c r="R40" s="14">
        <v>87</v>
      </c>
      <c r="S40" s="14">
        <v>72</v>
      </c>
      <c r="T40" s="13">
        <v>96</v>
      </c>
      <c r="U40" s="14">
        <v>83</v>
      </c>
      <c r="V40" s="13"/>
      <c r="W40" s="14">
        <v>89</v>
      </c>
      <c r="X40" s="13"/>
      <c r="Y40" s="14">
        <v>96</v>
      </c>
      <c r="Z40" s="13"/>
      <c r="AA40" s="4">
        <f t="shared" si="0"/>
        <v>84</v>
      </c>
      <c r="AB40" s="4">
        <f t="shared" si="1"/>
        <v>88.166666666666671</v>
      </c>
      <c r="AC40" s="4">
        <f t="shared" si="2"/>
        <v>1.9902540318037572</v>
      </c>
      <c r="AD40" s="3"/>
      <c r="AE40" s="3"/>
      <c r="AF40" s="3"/>
      <c r="AG40" s="3"/>
      <c r="AH40" s="3"/>
      <c r="AT40" s="12"/>
      <c r="AU40" s="12"/>
      <c r="AV40" s="11"/>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row>
    <row r="41" spans="2:87" ht="24" customHeight="1" x14ac:dyDescent="0.2">
      <c r="B41" s="7">
        <f>B39+700</f>
        <v>908</v>
      </c>
      <c r="C41" s="7" t="s">
        <v>173</v>
      </c>
      <c r="D41" s="7">
        <v>21</v>
      </c>
      <c r="E41" s="7">
        <v>3</v>
      </c>
      <c r="F41" s="7">
        <v>2</v>
      </c>
      <c r="G41" s="7">
        <v>2</v>
      </c>
      <c r="H41" s="7">
        <v>2</v>
      </c>
      <c r="I41" s="7" t="s">
        <v>174</v>
      </c>
      <c r="J41" s="7"/>
      <c r="K41" s="7" t="s">
        <v>2</v>
      </c>
      <c r="L41" s="6">
        <v>65</v>
      </c>
      <c r="M41" s="5"/>
      <c r="N41" s="6">
        <v>71</v>
      </c>
      <c r="O41" s="5"/>
      <c r="P41" s="6">
        <v>63</v>
      </c>
      <c r="Q41" s="6">
        <v>56</v>
      </c>
      <c r="R41" s="6">
        <v>64</v>
      </c>
      <c r="S41" s="6">
        <v>60</v>
      </c>
      <c r="T41" s="5">
        <v>50</v>
      </c>
      <c r="U41" s="6">
        <v>63</v>
      </c>
      <c r="V41" s="5"/>
      <c r="W41" s="6">
        <v>55</v>
      </c>
      <c r="X41" s="5"/>
      <c r="Y41" s="6">
        <v>71</v>
      </c>
      <c r="Z41" s="5"/>
      <c r="AA41" s="4">
        <f t="shared" ref="AA41:AA72" si="5">AVERAGE(P41:U41)</f>
        <v>59.333333333333336</v>
      </c>
      <c r="AB41" s="4">
        <f t="shared" ref="AB41:AB72" si="6">AVERAGE(AVERAGE(L41:M41),AVERAGE(N41:O41),AVERAGE(P41:U41),AVERAGE(U41:V41),AVERAGE(W41:X41),AVERAGE(Y41:Z41))</f>
        <v>64.055555555555557</v>
      </c>
      <c r="AC41" s="4">
        <f t="shared" ref="AC41:AC72" si="7">STDEV(AVERAGE(L41:M41),AVERAGE(N41:O41),AVERAGE(P41:U41),AVERAGE(U41:V41),AVERAGE(W41:X41),AVERAGE(Y41:Z41))/SQRT(6)</f>
        <v>2.5997388282880731</v>
      </c>
      <c r="AD41" s="3"/>
      <c r="AE41" s="3"/>
      <c r="AF41" s="3"/>
      <c r="AG41" s="3"/>
      <c r="AH41" s="3"/>
    </row>
    <row r="42" spans="2:87" ht="24" customHeight="1" thickBot="1" x14ac:dyDescent="0.25">
      <c r="B42" s="15">
        <f>B40+700</f>
        <v>908</v>
      </c>
      <c r="C42" s="15" t="s">
        <v>173</v>
      </c>
      <c r="D42" s="15">
        <v>21</v>
      </c>
      <c r="E42" s="15">
        <v>3</v>
      </c>
      <c r="F42" s="15">
        <v>2</v>
      </c>
      <c r="G42" s="15">
        <v>2</v>
      </c>
      <c r="H42" s="15">
        <v>2</v>
      </c>
      <c r="I42" s="15" t="s">
        <v>174</v>
      </c>
      <c r="J42" s="16"/>
      <c r="K42" s="15" t="s">
        <v>0</v>
      </c>
      <c r="L42" s="14">
        <v>80</v>
      </c>
      <c r="M42" s="13"/>
      <c r="N42" s="14">
        <v>72</v>
      </c>
      <c r="O42" s="13"/>
      <c r="P42" s="14">
        <v>66</v>
      </c>
      <c r="Q42" s="14">
        <v>72</v>
      </c>
      <c r="R42" s="14">
        <v>65</v>
      </c>
      <c r="S42" s="14">
        <v>72</v>
      </c>
      <c r="T42" s="13">
        <v>55</v>
      </c>
      <c r="U42" s="14">
        <v>75</v>
      </c>
      <c r="V42" s="13"/>
      <c r="W42" s="14">
        <v>78</v>
      </c>
      <c r="X42" s="13"/>
      <c r="Y42" s="14">
        <v>75</v>
      </c>
      <c r="Z42" s="13"/>
      <c r="AA42" s="4">
        <f t="shared" si="5"/>
        <v>67.5</v>
      </c>
      <c r="AB42" s="4">
        <f t="shared" si="6"/>
        <v>74.583333333333329</v>
      </c>
      <c r="AC42" s="4">
        <f t="shared" si="7"/>
        <v>1.8093123310006793</v>
      </c>
      <c r="AD42" s="3"/>
      <c r="AE42" s="3"/>
      <c r="AF42" s="3"/>
      <c r="AG42" s="3"/>
      <c r="AH42" s="3"/>
      <c r="AT42" s="12"/>
      <c r="AU42" s="12"/>
      <c r="AV42" s="11"/>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row>
    <row r="43" spans="2:87" ht="24" customHeight="1" x14ac:dyDescent="0.2">
      <c r="B43" s="7">
        <v>906</v>
      </c>
      <c r="C43" s="7" t="s">
        <v>175</v>
      </c>
      <c r="D43" s="7">
        <v>22</v>
      </c>
      <c r="E43" s="7">
        <v>4</v>
      </c>
      <c r="F43" s="7">
        <v>2</v>
      </c>
      <c r="G43" s="7">
        <v>2</v>
      </c>
      <c r="H43" s="7">
        <v>2</v>
      </c>
      <c r="I43" s="7" t="s">
        <v>176</v>
      </c>
      <c r="J43" s="9"/>
      <c r="K43" s="7" t="s">
        <v>2</v>
      </c>
      <c r="L43" s="6">
        <v>77</v>
      </c>
      <c r="M43" s="6"/>
      <c r="N43" s="6">
        <v>85</v>
      </c>
      <c r="O43" s="6"/>
      <c r="P43" s="6">
        <v>68</v>
      </c>
      <c r="Q43" s="6">
        <v>81</v>
      </c>
      <c r="R43" s="6">
        <v>67</v>
      </c>
      <c r="S43" s="6">
        <v>82</v>
      </c>
      <c r="T43" s="6">
        <v>73</v>
      </c>
      <c r="U43" s="6">
        <v>87</v>
      </c>
      <c r="V43" s="6"/>
      <c r="W43" s="6">
        <v>73</v>
      </c>
      <c r="X43" s="6"/>
      <c r="Y43" s="6">
        <v>89</v>
      </c>
      <c r="Z43" s="6"/>
      <c r="AA43" s="4">
        <f t="shared" si="5"/>
        <v>76.333333333333329</v>
      </c>
      <c r="AB43" s="4">
        <f t="shared" si="6"/>
        <v>81.222222222222214</v>
      </c>
      <c r="AC43" s="4">
        <f t="shared" si="7"/>
        <v>2.6924677743752823</v>
      </c>
      <c r="AD43" s="3"/>
      <c r="AE43" s="3"/>
      <c r="AF43" s="3"/>
      <c r="AG43" s="3"/>
      <c r="AH43" s="3"/>
    </row>
    <row r="44" spans="2:87" ht="24" customHeight="1" thickBot="1" x14ac:dyDescent="0.25">
      <c r="B44" s="15">
        <v>906</v>
      </c>
      <c r="C44" s="15" t="s">
        <v>175</v>
      </c>
      <c r="D44" s="15">
        <v>22</v>
      </c>
      <c r="E44" s="15">
        <v>4</v>
      </c>
      <c r="F44" s="15">
        <v>2</v>
      </c>
      <c r="G44" s="15">
        <v>2</v>
      </c>
      <c r="H44" s="15">
        <v>2</v>
      </c>
      <c r="I44" s="15" t="s">
        <v>176</v>
      </c>
      <c r="J44" s="16"/>
      <c r="K44" s="15" t="s">
        <v>0</v>
      </c>
      <c r="L44" s="14">
        <v>95</v>
      </c>
      <c r="M44" s="13"/>
      <c r="N44" s="14">
        <v>101</v>
      </c>
      <c r="O44" s="13"/>
      <c r="P44" s="14">
        <v>83</v>
      </c>
      <c r="Q44" s="14">
        <v>83</v>
      </c>
      <c r="R44" s="14">
        <v>87</v>
      </c>
      <c r="S44" s="14">
        <v>94</v>
      </c>
      <c r="T44" s="13">
        <v>84</v>
      </c>
      <c r="U44" s="14">
        <v>91</v>
      </c>
      <c r="V44" s="13"/>
      <c r="W44" s="14">
        <v>76</v>
      </c>
      <c r="X44" s="13"/>
      <c r="Y44" s="14">
        <v>92</v>
      </c>
      <c r="Z44" s="13"/>
      <c r="AA44" s="4">
        <f t="shared" si="5"/>
        <v>87</v>
      </c>
      <c r="AB44" s="4">
        <f t="shared" si="6"/>
        <v>90.333333333333329</v>
      </c>
      <c r="AC44" s="4">
        <f t="shared" si="7"/>
        <v>3.4415758664374154</v>
      </c>
      <c r="AD44" s="3"/>
      <c r="AE44" s="3"/>
      <c r="AF44" s="3"/>
      <c r="AG44" s="3"/>
      <c r="AH44" s="3"/>
      <c r="AT44" s="12"/>
      <c r="AU44" s="12"/>
      <c r="AV44" s="11"/>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row>
    <row r="45" spans="2:87" ht="24" customHeight="1" x14ac:dyDescent="0.2">
      <c r="B45" s="7">
        <v>904</v>
      </c>
      <c r="C45" s="7" t="s">
        <v>173</v>
      </c>
      <c r="D45" s="7">
        <v>21</v>
      </c>
      <c r="E45" s="7">
        <v>3</v>
      </c>
      <c r="F45" s="7">
        <v>2</v>
      </c>
      <c r="G45" s="7">
        <v>2</v>
      </c>
      <c r="H45" s="7">
        <v>1</v>
      </c>
      <c r="I45" s="7" t="s">
        <v>177</v>
      </c>
      <c r="J45" s="9"/>
      <c r="K45" s="7" t="s">
        <v>2</v>
      </c>
      <c r="L45" s="6">
        <v>58</v>
      </c>
      <c r="M45" s="6"/>
      <c r="N45" s="6">
        <v>56</v>
      </c>
      <c r="O45" s="6"/>
      <c r="P45" s="6">
        <v>45</v>
      </c>
      <c r="Q45" s="6">
        <v>51</v>
      </c>
      <c r="R45" s="6">
        <v>56</v>
      </c>
      <c r="S45" s="6">
        <v>62</v>
      </c>
      <c r="T45" s="6">
        <v>63</v>
      </c>
      <c r="U45" s="6">
        <v>66</v>
      </c>
      <c r="V45" s="6"/>
      <c r="W45" s="6">
        <v>71</v>
      </c>
      <c r="X45" s="6"/>
      <c r="Y45" s="6">
        <v>51</v>
      </c>
      <c r="Z45" s="6"/>
      <c r="AA45" s="4">
        <f t="shared" si="5"/>
        <v>57.166666666666664</v>
      </c>
      <c r="AB45" s="4">
        <f t="shared" si="6"/>
        <v>59.861111111111107</v>
      </c>
      <c r="AC45" s="4">
        <f t="shared" si="7"/>
        <v>2.9772024734474041</v>
      </c>
      <c r="AD45" s="3"/>
      <c r="AE45" s="3"/>
      <c r="AF45" s="3"/>
      <c r="AG45" s="3"/>
      <c r="AH45" s="3"/>
    </row>
    <row r="46" spans="2:87" ht="24" customHeight="1" thickBot="1" x14ac:dyDescent="0.25">
      <c r="B46" s="15">
        <v>904</v>
      </c>
      <c r="C46" s="15" t="s">
        <v>173</v>
      </c>
      <c r="D46" s="15">
        <v>21</v>
      </c>
      <c r="E46" s="15">
        <v>3</v>
      </c>
      <c r="F46" s="15">
        <v>2</v>
      </c>
      <c r="G46" s="15">
        <v>2</v>
      </c>
      <c r="H46" s="15">
        <v>1</v>
      </c>
      <c r="I46" s="15" t="s">
        <v>177</v>
      </c>
      <c r="J46" s="16"/>
      <c r="K46" s="15" t="s">
        <v>0</v>
      </c>
      <c r="L46" s="14">
        <v>75</v>
      </c>
      <c r="M46" s="13"/>
      <c r="N46" s="14">
        <v>73</v>
      </c>
      <c r="O46" s="13"/>
      <c r="P46" s="14">
        <v>66</v>
      </c>
      <c r="Q46" s="14">
        <v>63</v>
      </c>
      <c r="R46" s="14">
        <v>47</v>
      </c>
      <c r="S46" s="14">
        <v>54</v>
      </c>
      <c r="T46" s="13">
        <v>59</v>
      </c>
      <c r="U46" s="14">
        <v>71</v>
      </c>
      <c r="V46" s="13"/>
      <c r="W46" s="14">
        <v>70</v>
      </c>
      <c r="X46" s="13"/>
      <c r="Y46" s="14">
        <v>58</v>
      </c>
      <c r="Z46" s="13"/>
      <c r="AA46" s="4">
        <f t="shared" si="5"/>
        <v>60</v>
      </c>
      <c r="AB46" s="4">
        <f t="shared" si="6"/>
        <v>67.833333333333329</v>
      </c>
      <c r="AC46" s="4">
        <f t="shared" si="7"/>
        <v>2.8915585954829126</v>
      </c>
      <c r="AD46" s="3"/>
      <c r="AE46" s="3"/>
      <c r="AF46" s="3"/>
      <c r="AG46" s="3"/>
      <c r="AH46" s="3"/>
      <c r="AT46" s="12"/>
      <c r="AU46" s="12"/>
      <c r="AV46" s="11"/>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row>
    <row r="47" spans="2:87" ht="24" customHeight="1" x14ac:dyDescent="0.2">
      <c r="B47" s="7">
        <v>902</v>
      </c>
      <c r="C47" s="7" t="s">
        <v>175</v>
      </c>
      <c r="D47" s="7">
        <v>22</v>
      </c>
      <c r="E47" s="7">
        <v>4</v>
      </c>
      <c r="F47" s="7">
        <v>2</v>
      </c>
      <c r="G47" s="7">
        <v>2</v>
      </c>
      <c r="H47" s="7">
        <v>1</v>
      </c>
      <c r="I47" s="7" t="s">
        <v>178</v>
      </c>
      <c r="J47" s="9"/>
      <c r="K47" s="7" t="s">
        <v>2</v>
      </c>
      <c r="L47" s="6">
        <v>85</v>
      </c>
      <c r="M47" s="6"/>
      <c r="N47" s="6">
        <v>68</v>
      </c>
      <c r="O47" s="6"/>
      <c r="P47" s="6">
        <v>73</v>
      </c>
      <c r="Q47" s="6">
        <v>64</v>
      </c>
      <c r="R47" s="6">
        <v>67</v>
      </c>
      <c r="S47" s="6">
        <v>61</v>
      </c>
      <c r="T47" s="6">
        <v>63</v>
      </c>
      <c r="U47" s="6">
        <v>67</v>
      </c>
      <c r="V47" s="6"/>
      <c r="W47" s="6">
        <v>65</v>
      </c>
      <c r="X47" s="6"/>
      <c r="Y47" s="6">
        <v>67</v>
      </c>
      <c r="Z47" s="6"/>
      <c r="AA47" s="4">
        <f t="shared" si="5"/>
        <v>65.833333333333329</v>
      </c>
      <c r="AB47" s="4">
        <f t="shared" si="6"/>
        <v>69.638888888888886</v>
      </c>
      <c r="AC47" s="4">
        <f t="shared" si="7"/>
        <v>3.1014980450512608</v>
      </c>
      <c r="AD47" s="3"/>
      <c r="AE47" s="3"/>
      <c r="AF47" s="3"/>
      <c r="AG47" s="3"/>
      <c r="AH47" s="3"/>
    </row>
    <row r="48" spans="2:87" ht="24" customHeight="1" thickBot="1" x14ac:dyDescent="0.25">
      <c r="B48" s="15">
        <v>902</v>
      </c>
      <c r="C48" s="15" t="s">
        <v>175</v>
      </c>
      <c r="D48" s="15">
        <v>22</v>
      </c>
      <c r="E48" s="15">
        <v>4</v>
      </c>
      <c r="F48" s="15">
        <v>2</v>
      </c>
      <c r="G48" s="15">
        <v>2</v>
      </c>
      <c r="H48" s="15">
        <v>1</v>
      </c>
      <c r="I48" s="15" t="s">
        <v>178</v>
      </c>
      <c r="J48" s="16"/>
      <c r="K48" s="15" t="s">
        <v>0</v>
      </c>
      <c r="L48" s="14">
        <v>82</v>
      </c>
      <c r="M48" s="13"/>
      <c r="N48" s="14">
        <v>84</v>
      </c>
      <c r="O48" s="13"/>
      <c r="P48" s="14">
        <v>89</v>
      </c>
      <c r="Q48" s="14">
        <v>79</v>
      </c>
      <c r="R48" s="14">
        <v>73</v>
      </c>
      <c r="S48" s="14">
        <v>77</v>
      </c>
      <c r="T48" s="13">
        <v>85</v>
      </c>
      <c r="U48" s="14">
        <v>101</v>
      </c>
      <c r="V48" s="13"/>
      <c r="W48" s="14">
        <v>70</v>
      </c>
      <c r="X48" s="13"/>
      <c r="Y48" s="14">
        <v>76</v>
      </c>
      <c r="Z48" s="13"/>
      <c r="AA48" s="4">
        <f t="shared" si="5"/>
        <v>84</v>
      </c>
      <c r="AB48" s="4">
        <f t="shared" si="6"/>
        <v>82.833333333333329</v>
      </c>
      <c r="AC48" s="4">
        <f t="shared" si="7"/>
        <v>4.2615855161091387</v>
      </c>
      <c r="AD48" s="3"/>
      <c r="AE48" s="3"/>
      <c r="AF48" s="3"/>
      <c r="AG48" s="3"/>
      <c r="AH48" s="3"/>
      <c r="AT48" s="12"/>
      <c r="AU48" s="12"/>
      <c r="AV48" s="11"/>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row>
    <row r="49" spans="2:87" ht="24" customHeight="1" x14ac:dyDescent="0.2">
      <c r="B49" s="7">
        <f>B47-601</f>
        <v>301</v>
      </c>
      <c r="C49" s="7" t="s">
        <v>149</v>
      </c>
      <c r="D49" s="7">
        <v>10</v>
      </c>
      <c r="E49" s="7">
        <v>2</v>
      </c>
      <c r="F49" s="7">
        <v>2</v>
      </c>
      <c r="G49" s="7">
        <v>1</v>
      </c>
      <c r="H49" s="7">
        <v>3</v>
      </c>
      <c r="I49" s="7" t="s">
        <v>179</v>
      </c>
      <c r="J49" s="7"/>
      <c r="K49" s="7" t="s">
        <v>2</v>
      </c>
      <c r="L49" s="6">
        <v>81</v>
      </c>
      <c r="M49" s="6"/>
      <c r="N49" s="6">
        <v>93</v>
      </c>
      <c r="O49" s="6"/>
      <c r="P49" s="6">
        <v>85</v>
      </c>
      <c r="Q49" s="6">
        <v>100</v>
      </c>
      <c r="R49" s="6">
        <v>92</v>
      </c>
      <c r="S49" s="6">
        <v>88</v>
      </c>
      <c r="T49" s="6">
        <v>83</v>
      </c>
      <c r="U49" s="6">
        <v>99</v>
      </c>
      <c r="V49" s="6"/>
      <c r="W49" s="6">
        <v>96</v>
      </c>
      <c r="X49" s="6"/>
      <c r="Y49" s="6">
        <v>98</v>
      </c>
      <c r="Z49" s="6"/>
      <c r="AA49" s="4">
        <f t="shared" si="5"/>
        <v>91.166666666666671</v>
      </c>
      <c r="AB49" s="4">
        <f t="shared" si="6"/>
        <v>93.027777777777786</v>
      </c>
      <c r="AC49" s="4">
        <f t="shared" si="7"/>
        <v>2.6916938996443704</v>
      </c>
      <c r="AT49" s="12">
        <v>2</v>
      </c>
      <c r="AU49" s="12" t="s">
        <v>3</v>
      </c>
      <c r="AV49" s="12">
        <v>150</v>
      </c>
    </row>
    <row r="50" spans="2:87" ht="24" customHeight="1" thickBot="1" x14ac:dyDescent="0.25">
      <c r="B50" s="15">
        <f>B48-601</f>
        <v>301</v>
      </c>
      <c r="C50" s="15" t="s">
        <v>149</v>
      </c>
      <c r="D50" s="15">
        <v>10</v>
      </c>
      <c r="E50" s="15">
        <v>2</v>
      </c>
      <c r="F50" s="15">
        <v>2</v>
      </c>
      <c r="G50" s="15">
        <v>1</v>
      </c>
      <c r="H50" s="15">
        <v>3</v>
      </c>
      <c r="I50" s="15" t="s">
        <v>179</v>
      </c>
      <c r="J50" s="16"/>
      <c r="K50" s="15" t="s">
        <v>0</v>
      </c>
      <c r="L50" s="14">
        <v>104</v>
      </c>
      <c r="M50" s="13"/>
      <c r="N50" s="14">
        <v>101</v>
      </c>
      <c r="O50" s="13"/>
      <c r="P50" s="14">
        <v>101</v>
      </c>
      <c r="Q50" s="14">
        <v>101</v>
      </c>
      <c r="R50" s="14">
        <v>102</v>
      </c>
      <c r="S50" s="14">
        <v>90</v>
      </c>
      <c r="T50" s="13">
        <v>88</v>
      </c>
      <c r="U50" s="14">
        <v>101</v>
      </c>
      <c r="V50" s="13"/>
      <c r="W50" s="14">
        <v>99</v>
      </c>
      <c r="X50" s="13"/>
      <c r="Y50" s="14">
        <v>98</v>
      </c>
      <c r="Z50" s="13"/>
      <c r="AA50" s="4">
        <f t="shared" si="5"/>
        <v>97.166666666666671</v>
      </c>
      <c r="AB50" s="4">
        <f t="shared" si="6"/>
        <v>100.02777777777779</v>
      </c>
      <c r="AC50" s="4">
        <f t="shared" si="7"/>
        <v>1.0169095034818016</v>
      </c>
      <c r="AD50" s="3"/>
      <c r="AE50" s="3"/>
      <c r="AF50" s="3"/>
      <c r="AG50" s="3"/>
      <c r="AH50" s="3"/>
      <c r="AT50" s="12"/>
      <c r="AU50" s="12"/>
      <c r="AV50" s="11"/>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row>
    <row r="51" spans="2:87" ht="24" customHeight="1" x14ac:dyDescent="0.2">
      <c r="B51" s="7">
        <f t="shared" ref="B51:B64" si="8">B49+1</f>
        <v>302</v>
      </c>
      <c r="C51" s="7" t="s">
        <v>158</v>
      </c>
      <c r="D51" s="7">
        <v>4</v>
      </c>
      <c r="E51" s="7">
        <v>1</v>
      </c>
      <c r="F51" s="7">
        <v>2</v>
      </c>
      <c r="G51" s="7">
        <v>1</v>
      </c>
      <c r="H51" s="7">
        <v>3</v>
      </c>
      <c r="I51" s="7" t="s">
        <v>180</v>
      </c>
      <c r="J51" s="9"/>
      <c r="K51" s="7" t="s">
        <v>2</v>
      </c>
      <c r="L51" s="6">
        <v>88</v>
      </c>
      <c r="M51" s="6"/>
      <c r="N51" s="6">
        <v>103</v>
      </c>
      <c r="O51" s="6"/>
      <c r="P51" s="6">
        <v>87</v>
      </c>
      <c r="Q51" s="6">
        <v>90</v>
      </c>
      <c r="R51" s="6">
        <v>91</v>
      </c>
      <c r="S51" s="6">
        <v>80</v>
      </c>
      <c r="T51" s="6">
        <v>84</v>
      </c>
      <c r="U51" s="6">
        <v>95</v>
      </c>
      <c r="V51" s="6"/>
      <c r="W51" s="6">
        <v>86</v>
      </c>
      <c r="X51" s="6"/>
      <c r="Y51" s="6">
        <v>87</v>
      </c>
      <c r="Z51" s="6"/>
      <c r="AA51" s="4">
        <f t="shared" si="5"/>
        <v>87.833333333333329</v>
      </c>
      <c r="AB51" s="4">
        <f t="shared" si="6"/>
        <v>91.138888888888872</v>
      </c>
      <c r="AC51" s="4">
        <f t="shared" si="7"/>
        <v>2.7074713728067197</v>
      </c>
      <c r="AD51" s="3"/>
      <c r="AE51" s="3"/>
      <c r="AF51" s="3"/>
      <c r="AG51" s="3"/>
      <c r="AH51" s="3"/>
    </row>
    <row r="52" spans="2:87" ht="24" customHeight="1" thickBot="1" x14ac:dyDescent="0.25">
      <c r="B52" s="15">
        <f t="shared" si="8"/>
        <v>302</v>
      </c>
      <c r="C52" s="15" t="s">
        <v>158</v>
      </c>
      <c r="D52" s="15">
        <v>4</v>
      </c>
      <c r="E52" s="15">
        <v>1</v>
      </c>
      <c r="F52" s="15">
        <v>2</v>
      </c>
      <c r="G52" s="15">
        <v>1</v>
      </c>
      <c r="H52" s="15">
        <v>3</v>
      </c>
      <c r="I52" s="15" t="s">
        <v>180</v>
      </c>
      <c r="J52" s="16"/>
      <c r="K52" s="15" t="s">
        <v>0</v>
      </c>
      <c r="L52" s="14">
        <v>101</v>
      </c>
      <c r="M52" s="13"/>
      <c r="N52" s="14">
        <v>96</v>
      </c>
      <c r="O52" s="13"/>
      <c r="P52" s="14">
        <v>103</v>
      </c>
      <c r="Q52" s="14">
        <v>95</v>
      </c>
      <c r="R52" s="14">
        <v>88</v>
      </c>
      <c r="S52" s="14">
        <v>91</v>
      </c>
      <c r="T52" s="13">
        <v>103</v>
      </c>
      <c r="U52" s="14">
        <v>88</v>
      </c>
      <c r="V52" s="13"/>
      <c r="W52" s="14">
        <v>90</v>
      </c>
      <c r="X52" s="13"/>
      <c r="Y52" s="14">
        <v>86</v>
      </c>
      <c r="Z52" s="13"/>
      <c r="AA52" s="4">
        <f t="shared" si="5"/>
        <v>94.666666666666671</v>
      </c>
      <c r="AB52" s="4">
        <f t="shared" si="6"/>
        <v>92.611111111111128</v>
      </c>
      <c r="AC52" s="4">
        <f t="shared" si="7"/>
        <v>2.2939803135625092</v>
      </c>
      <c r="AD52" s="3"/>
      <c r="AE52" s="3"/>
      <c r="AF52" s="3"/>
      <c r="AG52" s="3"/>
      <c r="AH52" s="3"/>
      <c r="AT52" s="12"/>
      <c r="AU52" s="12"/>
      <c r="AV52" s="11"/>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row>
    <row r="53" spans="2:87" ht="24" customHeight="1" x14ac:dyDescent="0.2">
      <c r="B53" s="7">
        <f t="shared" si="8"/>
        <v>303</v>
      </c>
      <c r="C53" s="7" t="s">
        <v>168</v>
      </c>
      <c r="D53" s="7">
        <v>8</v>
      </c>
      <c r="E53" s="7">
        <v>2</v>
      </c>
      <c r="F53" s="7">
        <v>1</v>
      </c>
      <c r="G53" s="7">
        <v>1</v>
      </c>
      <c r="H53" s="7">
        <v>3</v>
      </c>
      <c r="I53" s="7" t="s">
        <v>181</v>
      </c>
      <c r="J53" s="9"/>
      <c r="K53" s="7" t="s">
        <v>2</v>
      </c>
      <c r="L53" s="6">
        <v>94</v>
      </c>
      <c r="M53" s="6"/>
      <c r="N53" s="6">
        <v>95</v>
      </c>
      <c r="O53" s="6"/>
      <c r="P53" s="6">
        <v>81</v>
      </c>
      <c r="Q53" s="6">
        <v>82</v>
      </c>
      <c r="R53" s="6">
        <v>75</v>
      </c>
      <c r="S53" s="6"/>
      <c r="T53" s="6"/>
      <c r="U53" s="6">
        <v>84</v>
      </c>
      <c r="V53" s="6"/>
      <c r="W53" s="6">
        <v>111</v>
      </c>
      <c r="X53" s="6"/>
      <c r="Y53" s="6">
        <v>102</v>
      </c>
      <c r="Z53" s="6"/>
      <c r="AA53" s="4">
        <f t="shared" si="5"/>
        <v>80.5</v>
      </c>
      <c r="AB53" s="4">
        <f t="shared" si="6"/>
        <v>94.416666666666671</v>
      </c>
      <c r="AC53" s="4">
        <f t="shared" si="7"/>
        <v>4.6014792307595176</v>
      </c>
      <c r="AD53" s="3"/>
      <c r="AE53" s="3"/>
      <c r="AF53" s="3"/>
      <c r="AG53" s="3"/>
      <c r="AH53" s="3"/>
    </row>
    <row r="54" spans="2:87" ht="24" customHeight="1" thickBot="1" x14ac:dyDescent="0.25">
      <c r="B54" s="15">
        <f t="shared" si="8"/>
        <v>303</v>
      </c>
      <c r="C54" s="15" t="s">
        <v>168</v>
      </c>
      <c r="D54" s="15">
        <v>8</v>
      </c>
      <c r="E54" s="15">
        <v>2</v>
      </c>
      <c r="F54" s="15">
        <v>1</v>
      </c>
      <c r="G54" s="15">
        <v>1</v>
      </c>
      <c r="H54" s="15">
        <v>3</v>
      </c>
      <c r="I54" s="15" t="s">
        <v>181</v>
      </c>
      <c r="J54" s="16"/>
      <c r="K54" s="15" t="s">
        <v>0</v>
      </c>
      <c r="L54" s="14">
        <v>99</v>
      </c>
      <c r="M54" s="13"/>
      <c r="N54" s="14">
        <v>88</v>
      </c>
      <c r="O54" s="13"/>
      <c r="P54" s="14">
        <v>102</v>
      </c>
      <c r="Q54" s="14">
        <v>78</v>
      </c>
      <c r="R54" s="14">
        <v>84</v>
      </c>
      <c r="S54" s="14"/>
      <c r="T54" s="13"/>
      <c r="U54" s="14">
        <v>87</v>
      </c>
      <c r="V54" s="13"/>
      <c r="W54" s="14">
        <v>97</v>
      </c>
      <c r="X54" s="13"/>
      <c r="Y54" s="14">
        <v>93</v>
      </c>
      <c r="Z54" s="13"/>
      <c r="AA54" s="4">
        <f t="shared" si="5"/>
        <v>87.75</v>
      </c>
      <c r="AB54" s="4">
        <f t="shared" si="6"/>
        <v>91.958333333333329</v>
      </c>
      <c r="AC54" s="4">
        <f t="shared" si="7"/>
        <v>2.1138596873439304</v>
      </c>
      <c r="AD54" s="3"/>
      <c r="AE54" s="3"/>
      <c r="AF54" s="3"/>
      <c r="AG54" s="3"/>
      <c r="AH54" s="3"/>
      <c r="AT54" s="12"/>
      <c r="AU54" s="12"/>
      <c r="AV54" s="11"/>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row>
    <row r="55" spans="2:87" ht="24" customHeight="1" x14ac:dyDescent="0.2">
      <c r="B55" s="7">
        <f t="shared" si="8"/>
        <v>304</v>
      </c>
      <c r="C55" s="7" t="s">
        <v>171</v>
      </c>
      <c r="D55" s="7">
        <v>2</v>
      </c>
      <c r="E55" s="7">
        <v>1</v>
      </c>
      <c r="F55" s="7">
        <v>1</v>
      </c>
      <c r="G55" s="7">
        <v>1</v>
      </c>
      <c r="H55" s="7">
        <v>3</v>
      </c>
      <c r="I55" s="7" t="s">
        <v>182</v>
      </c>
      <c r="J55" s="9"/>
      <c r="K55" s="7" t="s">
        <v>2</v>
      </c>
      <c r="L55" s="6">
        <v>96</v>
      </c>
      <c r="M55" s="6"/>
      <c r="N55" s="6">
        <v>90</v>
      </c>
      <c r="O55" s="6"/>
      <c r="P55" s="6">
        <v>88</v>
      </c>
      <c r="Q55" s="6">
        <v>79</v>
      </c>
      <c r="R55" s="6">
        <v>94</v>
      </c>
      <c r="S55" s="6">
        <v>95</v>
      </c>
      <c r="T55" s="6">
        <v>90</v>
      </c>
      <c r="U55" s="6">
        <v>97</v>
      </c>
      <c r="V55" s="6"/>
      <c r="W55" s="6">
        <v>77</v>
      </c>
      <c r="X55" s="6"/>
      <c r="Y55" s="6">
        <v>85</v>
      </c>
      <c r="Z55" s="6"/>
      <c r="AA55" s="4">
        <f t="shared" si="5"/>
        <v>90.5</v>
      </c>
      <c r="AB55" s="4">
        <f t="shared" si="6"/>
        <v>89.25</v>
      </c>
      <c r="AC55" s="4">
        <f t="shared" si="7"/>
        <v>3.0324632451743474</v>
      </c>
      <c r="AD55" s="3"/>
      <c r="AE55" s="3"/>
      <c r="AF55" s="3"/>
      <c r="AG55" s="3"/>
      <c r="AH55" s="3"/>
    </row>
    <row r="56" spans="2:87" ht="24" customHeight="1" thickBot="1" x14ac:dyDescent="0.25">
      <c r="B56" s="15">
        <f t="shared" si="8"/>
        <v>304</v>
      </c>
      <c r="C56" s="15" t="s">
        <v>171</v>
      </c>
      <c r="D56" s="15">
        <v>2</v>
      </c>
      <c r="E56" s="15">
        <v>1</v>
      </c>
      <c r="F56" s="15">
        <v>1</v>
      </c>
      <c r="G56" s="15">
        <v>1</v>
      </c>
      <c r="H56" s="15">
        <v>3</v>
      </c>
      <c r="I56" s="15" t="s">
        <v>182</v>
      </c>
      <c r="J56" s="16"/>
      <c r="K56" s="15" t="s">
        <v>0</v>
      </c>
      <c r="L56" s="14">
        <v>91</v>
      </c>
      <c r="M56" s="13"/>
      <c r="N56" s="14">
        <v>95</v>
      </c>
      <c r="O56" s="13"/>
      <c r="P56" s="14">
        <v>96</v>
      </c>
      <c r="Q56" s="14">
        <v>91</v>
      </c>
      <c r="R56" s="14">
        <v>98</v>
      </c>
      <c r="S56" s="14">
        <v>97</v>
      </c>
      <c r="T56" s="13">
        <v>92</v>
      </c>
      <c r="U56" s="14">
        <v>88</v>
      </c>
      <c r="V56" s="13"/>
      <c r="W56" s="14">
        <v>96</v>
      </c>
      <c r="X56" s="13"/>
      <c r="Y56" s="14">
        <v>101</v>
      </c>
      <c r="Z56" s="13"/>
      <c r="AA56" s="4">
        <f t="shared" si="5"/>
        <v>93.666666666666671</v>
      </c>
      <c r="AB56" s="4">
        <f t="shared" si="6"/>
        <v>94.111111111111128</v>
      </c>
      <c r="AC56" s="4">
        <f t="shared" si="7"/>
        <v>1.8169299843145399</v>
      </c>
      <c r="AD56" s="3"/>
      <c r="AE56" s="3"/>
      <c r="AF56" s="3"/>
      <c r="AG56" s="3"/>
      <c r="AH56" s="3"/>
      <c r="AT56" s="12"/>
      <c r="AU56" s="12"/>
      <c r="AV56" s="11"/>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row>
    <row r="57" spans="2:87" ht="24" customHeight="1" thickBot="1" x14ac:dyDescent="0.25">
      <c r="B57" s="7">
        <f t="shared" si="8"/>
        <v>305</v>
      </c>
      <c r="C57" s="7" t="s">
        <v>165</v>
      </c>
      <c r="D57" s="7">
        <v>11</v>
      </c>
      <c r="E57" s="7">
        <v>2</v>
      </c>
      <c r="F57" s="7">
        <v>3</v>
      </c>
      <c r="G57" s="7">
        <v>2</v>
      </c>
      <c r="H57" s="7">
        <v>4</v>
      </c>
      <c r="I57" s="7" t="s">
        <v>183</v>
      </c>
      <c r="J57" s="16"/>
      <c r="K57" s="7" t="s">
        <v>2</v>
      </c>
      <c r="L57" s="6">
        <v>103</v>
      </c>
      <c r="M57" s="6"/>
      <c r="N57" s="6">
        <v>107</v>
      </c>
      <c r="O57" s="6"/>
      <c r="P57" s="6">
        <v>98</v>
      </c>
      <c r="Q57" s="6">
        <v>93</v>
      </c>
      <c r="R57" s="6">
        <v>109</v>
      </c>
      <c r="S57" s="6">
        <v>103</v>
      </c>
      <c r="T57" s="6">
        <v>104</v>
      </c>
      <c r="U57" s="6">
        <v>95</v>
      </c>
      <c r="V57" s="6"/>
      <c r="W57" s="6">
        <v>104</v>
      </c>
      <c r="X57" s="6"/>
      <c r="Y57" s="6">
        <v>95</v>
      </c>
      <c r="Z57" s="6"/>
      <c r="AA57" s="4">
        <f t="shared" si="5"/>
        <v>100.33333333333333</v>
      </c>
      <c r="AB57" s="4">
        <f t="shared" si="6"/>
        <v>100.72222222222221</v>
      </c>
      <c r="AC57" s="4">
        <f t="shared" si="7"/>
        <v>2.0081623563304629</v>
      </c>
      <c r="AD57" s="3"/>
      <c r="AE57" s="3"/>
      <c r="AF57" s="3"/>
      <c r="AG57" s="3"/>
      <c r="AH57" s="3"/>
    </row>
    <row r="58" spans="2:87" ht="24" customHeight="1" thickBot="1" x14ac:dyDescent="0.25">
      <c r="B58" s="15">
        <f t="shared" si="8"/>
        <v>305</v>
      </c>
      <c r="C58" s="15" t="s">
        <v>165</v>
      </c>
      <c r="D58" s="15">
        <v>11</v>
      </c>
      <c r="E58" s="15">
        <v>2</v>
      </c>
      <c r="F58" s="15">
        <v>3</v>
      </c>
      <c r="G58" s="15">
        <v>2</v>
      </c>
      <c r="H58" s="15">
        <v>4</v>
      </c>
      <c r="I58" s="15" t="s">
        <v>183</v>
      </c>
      <c r="J58" s="16"/>
      <c r="K58" s="15" t="s">
        <v>0</v>
      </c>
      <c r="L58" s="14">
        <v>109</v>
      </c>
      <c r="M58" s="13"/>
      <c r="N58" s="14">
        <v>108</v>
      </c>
      <c r="O58" s="13"/>
      <c r="P58" s="14">
        <v>105</v>
      </c>
      <c r="Q58" s="14">
        <v>105</v>
      </c>
      <c r="R58" s="14">
        <v>110</v>
      </c>
      <c r="S58" s="14">
        <v>103</v>
      </c>
      <c r="T58" s="13">
        <v>92</v>
      </c>
      <c r="U58" s="14">
        <v>107</v>
      </c>
      <c r="V58" s="13"/>
      <c r="W58" s="14">
        <v>102</v>
      </c>
      <c r="X58" s="13"/>
      <c r="Y58" s="14">
        <v>103</v>
      </c>
      <c r="Z58" s="13"/>
      <c r="AA58" s="4">
        <f t="shared" si="5"/>
        <v>103.66666666666667</v>
      </c>
      <c r="AB58" s="4">
        <f t="shared" si="6"/>
        <v>105.44444444444446</v>
      </c>
      <c r="AC58" s="4">
        <f t="shared" si="7"/>
        <v>1.1915339216404008</v>
      </c>
      <c r="AD58" s="3"/>
      <c r="AE58" s="3"/>
      <c r="AF58" s="3"/>
      <c r="AG58" s="3"/>
      <c r="AH58" s="3"/>
      <c r="AT58" s="12"/>
      <c r="AU58" s="12"/>
      <c r="AV58" s="11"/>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row>
    <row r="59" spans="2:87" ht="24" customHeight="1" x14ac:dyDescent="0.2">
      <c r="B59" s="7">
        <f t="shared" si="8"/>
        <v>306</v>
      </c>
      <c r="C59" s="7" t="s">
        <v>158</v>
      </c>
      <c r="D59" s="7">
        <v>4</v>
      </c>
      <c r="E59" s="7">
        <v>1</v>
      </c>
      <c r="F59" s="7">
        <v>2</v>
      </c>
      <c r="G59" s="7">
        <v>1</v>
      </c>
      <c r="H59" s="7">
        <v>4</v>
      </c>
      <c r="I59" s="7" t="s">
        <v>184</v>
      </c>
      <c r="J59" s="9"/>
      <c r="K59" s="7" t="s">
        <v>2</v>
      </c>
      <c r="L59" s="6">
        <v>95</v>
      </c>
      <c r="M59" s="6"/>
      <c r="N59" s="6">
        <v>81</v>
      </c>
      <c r="O59" s="6"/>
      <c r="P59" s="6">
        <v>91</v>
      </c>
      <c r="Q59" s="6">
        <v>78</v>
      </c>
      <c r="R59" s="6">
        <v>92</v>
      </c>
      <c r="S59" s="6">
        <v>92</v>
      </c>
      <c r="T59" s="6">
        <v>88</v>
      </c>
      <c r="U59" s="6">
        <v>88</v>
      </c>
      <c r="V59" s="6"/>
      <c r="W59" s="6">
        <v>99</v>
      </c>
      <c r="X59" s="6"/>
      <c r="Y59" s="6">
        <v>88</v>
      </c>
      <c r="Z59" s="6"/>
      <c r="AA59" s="4">
        <f t="shared" si="5"/>
        <v>88.166666666666671</v>
      </c>
      <c r="AB59" s="4">
        <f t="shared" si="6"/>
        <v>89.861111111111128</v>
      </c>
      <c r="AC59" s="4">
        <f t="shared" si="7"/>
        <v>2.57063786098814</v>
      </c>
      <c r="AD59" s="3"/>
      <c r="AE59" s="3"/>
      <c r="AF59" s="3"/>
      <c r="AG59" s="3"/>
      <c r="AH59" s="3"/>
    </row>
    <row r="60" spans="2:87" ht="24" customHeight="1" thickBot="1" x14ac:dyDescent="0.25">
      <c r="B60" s="15">
        <f t="shared" si="8"/>
        <v>306</v>
      </c>
      <c r="C60" s="15" t="s">
        <v>158</v>
      </c>
      <c r="D60" s="15">
        <v>4</v>
      </c>
      <c r="E60" s="15">
        <v>1</v>
      </c>
      <c r="F60" s="15">
        <v>2</v>
      </c>
      <c r="G60" s="15">
        <v>1</v>
      </c>
      <c r="H60" s="15">
        <v>4</v>
      </c>
      <c r="I60" s="15" t="s">
        <v>184</v>
      </c>
      <c r="J60" s="16"/>
      <c r="K60" s="15" t="s">
        <v>0</v>
      </c>
      <c r="L60" s="14">
        <v>88</v>
      </c>
      <c r="M60" s="13"/>
      <c r="N60" s="14">
        <v>86</v>
      </c>
      <c r="O60" s="13"/>
      <c r="P60" s="14">
        <v>79</v>
      </c>
      <c r="Q60" s="14">
        <v>83</v>
      </c>
      <c r="R60" s="14">
        <v>90</v>
      </c>
      <c r="S60" s="14">
        <v>83</v>
      </c>
      <c r="T60" s="13">
        <v>86</v>
      </c>
      <c r="U60" s="14">
        <v>105</v>
      </c>
      <c r="V60" s="13"/>
      <c r="W60" s="14">
        <v>91</v>
      </c>
      <c r="X60" s="13"/>
      <c r="Y60" s="14">
        <v>105</v>
      </c>
      <c r="Z60" s="13"/>
      <c r="AA60" s="4">
        <f t="shared" si="5"/>
        <v>87.666666666666671</v>
      </c>
      <c r="AB60" s="4">
        <f t="shared" si="6"/>
        <v>93.777777777777786</v>
      </c>
      <c r="AC60" s="4">
        <f t="shared" si="7"/>
        <v>3.6093157930315769</v>
      </c>
      <c r="AD60" s="3"/>
      <c r="AE60" s="3"/>
      <c r="AF60" s="3"/>
      <c r="AG60" s="3"/>
      <c r="AH60" s="3"/>
      <c r="AT60" s="12"/>
      <c r="AU60" s="12"/>
      <c r="AV60" s="11"/>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row>
    <row r="61" spans="2:87" ht="24" customHeight="1" x14ac:dyDescent="0.2">
      <c r="B61" s="7">
        <f t="shared" si="8"/>
        <v>307</v>
      </c>
      <c r="C61" s="7" t="s">
        <v>151</v>
      </c>
      <c r="D61" s="7">
        <v>9</v>
      </c>
      <c r="E61" s="7">
        <v>2</v>
      </c>
      <c r="F61" s="7">
        <v>2</v>
      </c>
      <c r="G61" s="7">
        <v>2</v>
      </c>
      <c r="H61" s="7">
        <v>4</v>
      </c>
      <c r="I61" s="7" t="s">
        <v>185</v>
      </c>
      <c r="J61" s="9"/>
      <c r="K61" s="7" t="s">
        <v>2</v>
      </c>
      <c r="L61" s="6">
        <v>93</v>
      </c>
      <c r="M61" s="5"/>
      <c r="N61" s="6">
        <v>92</v>
      </c>
      <c r="O61" s="5"/>
      <c r="P61" s="6">
        <v>101</v>
      </c>
      <c r="Q61" s="6">
        <v>104</v>
      </c>
      <c r="R61" s="6">
        <v>99</v>
      </c>
      <c r="S61" s="6">
        <v>97</v>
      </c>
      <c r="T61" s="5">
        <v>90</v>
      </c>
      <c r="U61" s="6">
        <v>95</v>
      </c>
      <c r="V61" s="5"/>
      <c r="W61" s="6">
        <v>94</v>
      </c>
      <c r="X61" s="5"/>
      <c r="Y61" s="6">
        <v>116</v>
      </c>
      <c r="Z61" s="5"/>
      <c r="AA61" s="4">
        <f t="shared" si="5"/>
        <v>97.666666666666671</v>
      </c>
      <c r="AB61" s="4">
        <f t="shared" si="6"/>
        <v>97.944444444444457</v>
      </c>
      <c r="AC61" s="4">
        <f t="shared" si="7"/>
        <v>3.6972629182166306</v>
      </c>
      <c r="AD61" s="3"/>
      <c r="AE61" s="3"/>
      <c r="AF61" s="3"/>
      <c r="AG61" s="3"/>
      <c r="AH61" s="3"/>
    </row>
    <row r="62" spans="2:87" ht="24" customHeight="1" thickBot="1" x14ac:dyDescent="0.25">
      <c r="B62" s="15">
        <f t="shared" si="8"/>
        <v>307</v>
      </c>
      <c r="C62" s="15" t="s">
        <v>151</v>
      </c>
      <c r="D62" s="15">
        <v>9</v>
      </c>
      <c r="E62" s="15">
        <v>2</v>
      </c>
      <c r="F62" s="15">
        <v>2</v>
      </c>
      <c r="G62" s="15">
        <v>2</v>
      </c>
      <c r="H62" s="15">
        <v>4</v>
      </c>
      <c r="I62" s="15" t="s">
        <v>185</v>
      </c>
      <c r="J62" s="16"/>
      <c r="K62" s="15" t="s">
        <v>0</v>
      </c>
      <c r="L62" s="14">
        <v>96</v>
      </c>
      <c r="M62" s="13"/>
      <c r="N62" s="14">
        <v>95</v>
      </c>
      <c r="O62" s="13"/>
      <c r="P62" s="14">
        <v>101</v>
      </c>
      <c r="Q62" s="14">
        <v>98</v>
      </c>
      <c r="R62" s="14">
        <v>96</v>
      </c>
      <c r="S62" s="14">
        <v>86</v>
      </c>
      <c r="T62" s="13">
        <v>79</v>
      </c>
      <c r="U62" s="14">
        <v>101</v>
      </c>
      <c r="V62" s="13"/>
      <c r="W62" s="14">
        <v>92</v>
      </c>
      <c r="X62" s="13"/>
      <c r="Y62" s="14">
        <v>101</v>
      </c>
      <c r="Z62" s="13"/>
      <c r="AA62" s="4">
        <f t="shared" si="5"/>
        <v>93.5</v>
      </c>
      <c r="AB62" s="4">
        <f t="shared" si="6"/>
        <v>96.416666666666671</v>
      </c>
      <c r="AC62" s="4">
        <f t="shared" si="7"/>
        <v>1.5514330293133651</v>
      </c>
      <c r="AD62" s="3"/>
      <c r="AE62" s="3"/>
      <c r="AF62" s="3"/>
      <c r="AG62" s="3"/>
      <c r="AH62" s="3"/>
      <c r="AT62" s="12"/>
      <c r="AU62" s="12"/>
      <c r="AV62" s="11"/>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row>
    <row r="63" spans="2:87" ht="24" customHeight="1" x14ac:dyDescent="0.2">
      <c r="B63" s="7">
        <f t="shared" si="8"/>
        <v>308</v>
      </c>
      <c r="C63" s="7" t="s">
        <v>156</v>
      </c>
      <c r="D63" s="7">
        <v>5</v>
      </c>
      <c r="E63" s="7">
        <v>1</v>
      </c>
      <c r="F63" s="7">
        <v>3</v>
      </c>
      <c r="G63" s="7">
        <v>2</v>
      </c>
      <c r="H63" s="7">
        <v>4</v>
      </c>
      <c r="I63" s="7" t="s">
        <v>186</v>
      </c>
      <c r="J63" s="9"/>
      <c r="K63" s="7" t="s">
        <v>2</v>
      </c>
      <c r="L63" s="6">
        <v>83</v>
      </c>
      <c r="M63" s="5"/>
      <c r="N63" s="6">
        <v>103</v>
      </c>
      <c r="O63" s="5"/>
      <c r="P63" s="6">
        <v>75</v>
      </c>
      <c r="Q63" s="6">
        <v>68</v>
      </c>
      <c r="R63" s="6">
        <v>83</v>
      </c>
      <c r="S63" s="6">
        <v>93</v>
      </c>
      <c r="T63" s="5">
        <v>80</v>
      </c>
      <c r="U63" s="6">
        <v>87</v>
      </c>
      <c r="V63" s="5"/>
      <c r="W63" s="6">
        <v>85</v>
      </c>
      <c r="X63" s="5"/>
      <c r="Y63" s="6">
        <v>86</v>
      </c>
      <c r="Z63" s="5"/>
      <c r="AA63" s="4">
        <f t="shared" si="5"/>
        <v>81</v>
      </c>
      <c r="AB63" s="4">
        <f t="shared" si="6"/>
        <v>87.5</v>
      </c>
      <c r="AC63" s="4">
        <f t="shared" si="7"/>
        <v>3.2223180062391941</v>
      </c>
      <c r="AD63" s="3"/>
      <c r="AE63" s="3"/>
      <c r="AF63" s="3"/>
      <c r="AG63" s="3"/>
      <c r="AH63" s="3"/>
    </row>
    <row r="64" spans="2:87" ht="24" customHeight="1" x14ac:dyDescent="0.2">
      <c r="B64" s="7">
        <f t="shared" si="8"/>
        <v>308</v>
      </c>
      <c r="C64" s="7" t="s">
        <v>156</v>
      </c>
      <c r="D64" s="7">
        <v>5</v>
      </c>
      <c r="E64" s="7">
        <v>1</v>
      </c>
      <c r="F64" s="7">
        <v>3</v>
      </c>
      <c r="G64" s="7">
        <v>2</v>
      </c>
      <c r="H64" s="7">
        <v>4</v>
      </c>
      <c r="I64" s="7" t="s">
        <v>186</v>
      </c>
      <c r="J64" s="9"/>
      <c r="K64" s="7" t="s">
        <v>0</v>
      </c>
      <c r="L64" s="6">
        <v>103</v>
      </c>
      <c r="M64" s="6"/>
      <c r="N64" s="6">
        <v>93</v>
      </c>
      <c r="O64" s="6"/>
      <c r="P64" s="6">
        <v>97</v>
      </c>
      <c r="Q64" s="6">
        <v>102</v>
      </c>
      <c r="R64" s="6">
        <v>91</v>
      </c>
      <c r="S64" s="6">
        <v>101</v>
      </c>
      <c r="T64" s="6">
        <v>100</v>
      </c>
      <c r="U64" s="6">
        <v>98</v>
      </c>
      <c r="V64" s="6"/>
      <c r="W64" s="6">
        <v>100</v>
      </c>
      <c r="X64" s="6"/>
      <c r="Y64" s="6">
        <v>103</v>
      </c>
      <c r="Z64" s="6"/>
      <c r="AA64" s="4">
        <f t="shared" si="5"/>
        <v>98.166666666666671</v>
      </c>
      <c r="AB64" s="4">
        <f t="shared" si="6"/>
        <v>99.194444444444457</v>
      </c>
      <c r="AC64" s="4">
        <f t="shared" si="7"/>
        <v>1.5326185934818941</v>
      </c>
      <c r="AD64" s="3"/>
      <c r="AE64" s="3"/>
      <c r="AF64" s="3"/>
      <c r="AG64" s="3"/>
      <c r="AH64" s="3"/>
    </row>
    <row r="65" spans="2:87" ht="24" customHeight="1" x14ac:dyDescent="0.2">
      <c r="B65" s="7">
        <f>B63+100</f>
        <v>408</v>
      </c>
      <c r="C65" s="7" t="s">
        <v>149</v>
      </c>
      <c r="D65" s="7">
        <v>10</v>
      </c>
      <c r="E65" s="7">
        <v>2</v>
      </c>
      <c r="F65" s="7">
        <v>2</v>
      </c>
      <c r="G65" s="7">
        <v>1</v>
      </c>
      <c r="H65" s="7">
        <v>4</v>
      </c>
      <c r="I65" s="7" t="s">
        <v>187</v>
      </c>
      <c r="J65" s="7"/>
      <c r="K65" s="7" t="s">
        <v>2</v>
      </c>
      <c r="L65" s="6">
        <v>96</v>
      </c>
      <c r="M65" s="6"/>
      <c r="N65" s="6">
        <v>89</v>
      </c>
      <c r="O65" s="6"/>
      <c r="P65" s="6">
        <v>96</v>
      </c>
      <c r="Q65" s="6">
        <v>90</v>
      </c>
      <c r="R65" s="6">
        <v>89</v>
      </c>
      <c r="S65" s="6">
        <v>95</v>
      </c>
      <c r="T65" s="6">
        <v>90</v>
      </c>
      <c r="U65" s="6">
        <v>80</v>
      </c>
      <c r="V65" s="6"/>
      <c r="W65" s="6">
        <v>85</v>
      </c>
      <c r="X65" s="6"/>
      <c r="Y65" s="6">
        <v>96</v>
      </c>
      <c r="Z65" s="6"/>
      <c r="AA65" s="4">
        <f t="shared" si="5"/>
        <v>90</v>
      </c>
      <c r="AB65" s="4">
        <f t="shared" si="6"/>
        <v>89.333333333333329</v>
      </c>
      <c r="AC65" s="4">
        <f t="shared" si="7"/>
        <v>2.5516878945339516</v>
      </c>
      <c r="AT65" s="12">
        <v>2</v>
      </c>
      <c r="AU65" s="12" t="s">
        <v>3</v>
      </c>
      <c r="AV65" s="12">
        <v>150</v>
      </c>
    </row>
    <row r="66" spans="2:87" ht="24" customHeight="1" thickBot="1" x14ac:dyDescent="0.25">
      <c r="B66" s="7">
        <f>B64+100</f>
        <v>408</v>
      </c>
      <c r="C66" s="15" t="s">
        <v>149</v>
      </c>
      <c r="D66" s="15">
        <v>10</v>
      </c>
      <c r="E66" s="15">
        <v>2</v>
      </c>
      <c r="F66" s="15">
        <v>2</v>
      </c>
      <c r="G66" s="15">
        <v>1</v>
      </c>
      <c r="H66" s="15">
        <v>4</v>
      </c>
      <c r="I66" s="15" t="s">
        <v>187</v>
      </c>
      <c r="J66" s="16"/>
      <c r="K66" s="15" t="s">
        <v>0</v>
      </c>
      <c r="L66" s="14">
        <v>93</v>
      </c>
      <c r="M66" s="13"/>
      <c r="N66" s="14">
        <v>95</v>
      </c>
      <c r="O66" s="13"/>
      <c r="P66" s="14">
        <v>89</v>
      </c>
      <c r="Q66" s="14">
        <v>89</v>
      </c>
      <c r="R66" s="14">
        <v>94</v>
      </c>
      <c r="S66" s="14">
        <v>86</v>
      </c>
      <c r="T66" s="13">
        <v>80</v>
      </c>
      <c r="U66" s="14">
        <v>88</v>
      </c>
      <c r="V66" s="13"/>
      <c r="W66" s="14">
        <v>94</v>
      </c>
      <c r="X66" s="13"/>
      <c r="Y66" s="14">
        <v>86</v>
      </c>
      <c r="Z66" s="13"/>
      <c r="AA66" s="4">
        <f t="shared" si="5"/>
        <v>87.666666666666671</v>
      </c>
      <c r="AB66" s="4">
        <f t="shared" si="6"/>
        <v>90.611111111111128</v>
      </c>
      <c r="AC66" s="4">
        <f t="shared" si="7"/>
        <v>1.5620894522370103</v>
      </c>
      <c r="AD66" s="3"/>
      <c r="AE66" s="3"/>
      <c r="AF66" s="3"/>
      <c r="AG66" s="3"/>
      <c r="AH66" s="3"/>
      <c r="AT66" s="12"/>
      <c r="AU66" s="12"/>
      <c r="AV66" s="11"/>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row>
    <row r="67" spans="2:87" ht="24" customHeight="1" x14ac:dyDescent="0.2">
      <c r="B67" s="7">
        <f t="shared" ref="B67:B80" si="9">B65-1</f>
        <v>407</v>
      </c>
      <c r="C67" s="7" t="s">
        <v>188</v>
      </c>
      <c r="D67" s="7">
        <v>7</v>
      </c>
      <c r="E67" s="7">
        <v>2</v>
      </c>
      <c r="F67" s="7">
        <v>1</v>
      </c>
      <c r="G67" s="7">
        <v>2</v>
      </c>
      <c r="H67" s="7">
        <v>4</v>
      </c>
      <c r="I67" s="7" t="s">
        <v>189</v>
      </c>
      <c r="J67" s="9"/>
      <c r="K67" s="7" t="s">
        <v>2</v>
      </c>
      <c r="L67" s="6">
        <v>87</v>
      </c>
      <c r="M67" s="6"/>
      <c r="N67" s="6">
        <v>89</v>
      </c>
      <c r="O67" s="6"/>
      <c r="P67" s="6">
        <v>76</v>
      </c>
      <c r="Q67" s="6">
        <v>67</v>
      </c>
      <c r="R67" s="6">
        <v>81</v>
      </c>
      <c r="S67" s="6">
        <v>78</v>
      </c>
      <c r="T67" s="6">
        <v>78</v>
      </c>
      <c r="U67" s="6">
        <v>75</v>
      </c>
      <c r="V67" s="6"/>
      <c r="W67" s="6">
        <v>82</v>
      </c>
      <c r="X67" s="6"/>
      <c r="Y67" s="6">
        <v>97</v>
      </c>
      <c r="Z67" s="6"/>
      <c r="AA67" s="4">
        <f t="shared" si="5"/>
        <v>75.833333333333329</v>
      </c>
      <c r="AB67" s="4">
        <f t="shared" si="6"/>
        <v>84.305555555555557</v>
      </c>
      <c r="AC67" s="4">
        <f t="shared" si="7"/>
        <v>3.4357641520689364</v>
      </c>
      <c r="AD67" s="3"/>
      <c r="AE67" s="3"/>
      <c r="AF67" s="3"/>
      <c r="AG67" s="3"/>
      <c r="AH67" s="3"/>
    </row>
    <row r="68" spans="2:87" ht="24" customHeight="1" thickBot="1" x14ac:dyDescent="0.25">
      <c r="B68" s="7">
        <f t="shared" si="9"/>
        <v>407</v>
      </c>
      <c r="C68" s="15" t="s">
        <v>188</v>
      </c>
      <c r="D68" s="15">
        <v>7</v>
      </c>
      <c r="E68" s="15">
        <v>2</v>
      </c>
      <c r="F68" s="15">
        <v>1</v>
      </c>
      <c r="G68" s="15">
        <v>2</v>
      </c>
      <c r="H68" s="15">
        <v>4</v>
      </c>
      <c r="I68" s="15" t="s">
        <v>189</v>
      </c>
      <c r="J68" s="16"/>
      <c r="K68" s="15" t="s">
        <v>0</v>
      </c>
      <c r="L68" s="14">
        <v>78</v>
      </c>
      <c r="M68" s="13"/>
      <c r="N68" s="14">
        <v>95</v>
      </c>
      <c r="O68" s="13"/>
      <c r="P68" s="14">
        <v>83</v>
      </c>
      <c r="Q68" s="14">
        <v>93</v>
      </c>
      <c r="R68" s="14">
        <v>91</v>
      </c>
      <c r="S68" s="14">
        <v>79</v>
      </c>
      <c r="T68" s="13">
        <v>82</v>
      </c>
      <c r="U68" s="14">
        <v>85</v>
      </c>
      <c r="V68" s="13"/>
      <c r="W68" s="14">
        <v>79</v>
      </c>
      <c r="X68" s="13"/>
      <c r="Y68" s="14">
        <v>93</v>
      </c>
      <c r="Z68" s="13"/>
      <c r="AA68" s="4">
        <f t="shared" si="5"/>
        <v>85.5</v>
      </c>
      <c r="AB68" s="4">
        <f t="shared" si="6"/>
        <v>85.916666666666671</v>
      </c>
      <c r="AC68" s="4">
        <f t="shared" si="7"/>
        <v>2.8531172036524852</v>
      </c>
      <c r="AD68" s="3"/>
      <c r="AE68" s="3"/>
      <c r="AF68" s="3"/>
      <c r="AG68" s="3"/>
      <c r="AH68" s="3"/>
      <c r="AT68" s="12"/>
      <c r="AU68" s="12"/>
      <c r="AV68" s="11"/>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row>
    <row r="69" spans="2:87" ht="24" customHeight="1" x14ac:dyDescent="0.2">
      <c r="B69" s="7">
        <f t="shared" si="9"/>
        <v>406</v>
      </c>
      <c r="C69" s="7" t="s">
        <v>147</v>
      </c>
      <c r="D69" s="7">
        <v>3</v>
      </c>
      <c r="E69" s="7">
        <v>1</v>
      </c>
      <c r="F69" s="7">
        <v>2</v>
      </c>
      <c r="G69" s="7">
        <v>2</v>
      </c>
      <c r="H69" s="7">
        <v>4</v>
      </c>
      <c r="I69" s="7" t="s">
        <v>190</v>
      </c>
      <c r="J69" s="9"/>
      <c r="K69" s="7" t="s">
        <v>2</v>
      </c>
      <c r="L69" s="6">
        <v>96</v>
      </c>
      <c r="M69" s="6"/>
      <c r="N69" s="6">
        <v>95</v>
      </c>
      <c r="O69" s="6"/>
      <c r="P69" s="6">
        <v>98</v>
      </c>
      <c r="Q69" s="6">
        <v>96</v>
      </c>
      <c r="R69" s="6">
        <v>91</v>
      </c>
      <c r="S69" s="6">
        <v>115</v>
      </c>
      <c r="T69" s="6">
        <v>102</v>
      </c>
      <c r="U69" s="6">
        <v>98</v>
      </c>
      <c r="V69" s="6"/>
      <c r="W69" s="6">
        <v>102</v>
      </c>
      <c r="X69" s="6"/>
      <c r="Y69" s="6">
        <v>107</v>
      </c>
      <c r="Z69" s="6"/>
      <c r="AA69" s="4">
        <f t="shared" si="5"/>
        <v>100</v>
      </c>
      <c r="AB69" s="4">
        <f t="shared" si="6"/>
        <v>99.666666666666671</v>
      </c>
      <c r="AC69" s="4">
        <f t="shared" si="7"/>
        <v>1.8012341448141729</v>
      </c>
      <c r="AD69" s="3"/>
      <c r="AE69" s="3"/>
      <c r="AF69" s="3"/>
      <c r="AG69" s="3"/>
      <c r="AH69" s="3"/>
    </row>
    <row r="70" spans="2:87" ht="24" customHeight="1" thickBot="1" x14ac:dyDescent="0.25">
      <c r="B70" s="7">
        <f t="shared" si="9"/>
        <v>406</v>
      </c>
      <c r="C70" s="15" t="s">
        <v>147</v>
      </c>
      <c r="D70" s="15">
        <v>3</v>
      </c>
      <c r="E70" s="15">
        <v>1</v>
      </c>
      <c r="F70" s="15">
        <v>2</v>
      </c>
      <c r="G70" s="15">
        <v>2</v>
      </c>
      <c r="H70" s="15">
        <v>4</v>
      </c>
      <c r="I70" s="15" t="s">
        <v>190</v>
      </c>
      <c r="J70" s="16"/>
      <c r="K70" s="15" t="s">
        <v>0</v>
      </c>
      <c r="L70" s="14">
        <v>92</v>
      </c>
      <c r="M70" s="13"/>
      <c r="N70" s="14">
        <v>102</v>
      </c>
      <c r="O70" s="13"/>
      <c r="P70" s="14">
        <v>98</v>
      </c>
      <c r="Q70" s="14">
        <v>98</v>
      </c>
      <c r="R70" s="14">
        <v>105</v>
      </c>
      <c r="S70" s="14">
        <v>104</v>
      </c>
      <c r="T70" s="13">
        <v>103</v>
      </c>
      <c r="U70" s="14">
        <v>98</v>
      </c>
      <c r="V70" s="13"/>
      <c r="W70" s="14">
        <v>101</v>
      </c>
      <c r="X70" s="13"/>
      <c r="Y70" s="14">
        <v>100</v>
      </c>
      <c r="Z70" s="13"/>
      <c r="AA70" s="4">
        <f t="shared" si="5"/>
        <v>101</v>
      </c>
      <c r="AB70" s="4">
        <f t="shared" si="6"/>
        <v>99</v>
      </c>
      <c r="AC70" s="4">
        <f t="shared" si="7"/>
        <v>1.5055453054181622</v>
      </c>
      <c r="AD70" s="3"/>
      <c r="AE70" s="3"/>
      <c r="AF70" s="3"/>
      <c r="AG70" s="3"/>
      <c r="AH70" s="3"/>
      <c r="AT70" s="12"/>
      <c r="AU70" s="12"/>
      <c r="AV70" s="11"/>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row>
    <row r="71" spans="2:87" ht="24" customHeight="1" x14ac:dyDescent="0.2">
      <c r="B71" s="7">
        <f t="shared" si="9"/>
        <v>405</v>
      </c>
      <c r="C71" s="7" t="s">
        <v>191</v>
      </c>
      <c r="D71" s="7">
        <v>6</v>
      </c>
      <c r="E71" s="7">
        <v>1</v>
      </c>
      <c r="F71" s="7">
        <v>3</v>
      </c>
      <c r="G71" s="7">
        <v>1</v>
      </c>
      <c r="H71" s="7">
        <v>4</v>
      </c>
      <c r="I71" s="7" t="s">
        <v>192</v>
      </c>
      <c r="J71" s="9"/>
      <c r="K71" s="7" t="s">
        <v>2</v>
      </c>
      <c r="L71" s="6">
        <v>82</v>
      </c>
      <c r="M71" s="6"/>
      <c r="N71" s="6">
        <v>86</v>
      </c>
      <c r="O71" s="6"/>
      <c r="P71" s="6">
        <v>72</v>
      </c>
      <c r="Q71" s="6">
        <v>67</v>
      </c>
      <c r="R71" s="6">
        <v>73</v>
      </c>
      <c r="S71" s="6">
        <v>80</v>
      </c>
      <c r="T71" s="6">
        <v>76</v>
      </c>
      <c r="U71" s="6">
        <v>88</v>
      </c>
      <c r="V71" s="6"/>
      <c r="W71" s="6">
        <v>88</v>
      </c>
      <c r="X71" s="6"/>
      <c r="Y71" s="6">
        <v>67</v>
      </c>
      <c r="Z71" s="6"/>
      <c r="AA71" s="4">
        <f t="shared" si="5"/>
        <v>76</v>
      </c>
      <c r="AB71" s="4">
        <f t="shared" si="6"/>
        <v>81.166666666666671</v>
      </c>
      <c r="AC71" s="4">
        <f t="shared" si="7"/>
        <v>3.3903457706323179</v>
      </c>
      <c r="AD71" s="3"/>
      <c r="AE71" s="3"/>
      <c r="AF71" s="3"/>
      <c r="AG71" s="3"/>
      <c r="AH71" s="3"/>
    </row>
    <row r="72" spans="2:87" ht="24" customHeight="1" thickBot="1" x14ac:dyDescent="0.25">
      <c r="B72" s="7">
        <f t="shared" si="9"/>
        <v>405</v>
      </c>
      <c r="C72" s="15" t="s">
        <v>191</v>
      </c>
      <c r="D72" s="15">
        <v>6</v>
      </c>
      <c r="E72" s="15">
        <v>1</v>
      </c>
      <c r="F72" s="15">
        <v>3</v>
      </c>
      <c r="G72" s="15">
        <v>1</v>
      </c>
      <c r="H72" s="15">
        <v>4</v>
      </c>
      <c r="I72" s="15" t="s">
        <v>192</v>
      </c>
      <c r="J72" s="16"/>
      <c r="K72" s="15" t="s">
        <v>0</v>
      </c>
      <c r="L72" s="14">
        <v>101</v>
      </c>
      <c r="M72" s="13"/>
      <c r="N72" s="14">
        <v>103</v>
      </c>
      <c r="O72" s="13"/>
      <c r="P72" s="14">
        <v>112</v>
      </c>
      <c r="Q72" s="14">
        <v>91</v>
      </c>
      <c r="R72" s="14">
        <v>109</v>
      </c>
      <c r="S72" s="14">
        <v>101</v>
      </c>
      <c r="T72" s="13">
        <v>95</v>
      </c>
      <c r="U72" s="14">
        <v>94</v>
      </c>
      <c r="V72" s="13"/>
      <c r="W72" s="14">
        <v>98</v>
      </c>
      <c r="X72" s="13"/>
      <c r="Y72" s="14">
        <v>94</v>
      </c>
      <c r="Z72" s="13"/>
      <c r="AA72" s="4">
        <f t="shared" si="5"/>
        <v>100.33333333333333</v>
      </c>
      <c r="AB72" s="4">
        <f t="shared" si="6"/>
        <v>98.388888888888872</v>
      </c>
      <c r="AC72" s="4">
        <f t="shared" si="7"/>
        <v>1.5333735904538184</v>
      </c>
      <c r="AD72" s="3"/>
      <c r="AE72" s="3"/>
      <c r="AF72" s="3"/>
      <c r="AG72" s="3"/>
      <c r="AH72" s="3"/>
      <c r="AT72" s="12"/>
      <c r="AU72" s="12"/>
      <c r="AV72" s="11"/>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row>
    <row r="73" spans="2:87" ht="24" customHeight="1" thickBot="1" x14ac:dyDescent="0.25">
      <c r="B73" s="7">
        <f t="shared" si="9"/>
        <v>404</v>
      </c>
      <c r="C73" s="7" t="s">
        <v>147</v>
      </c>
      <c r="D73" s="7">
        <v>3</v>
      </c>
      <c r="E73" s="7">
        <v>1</v>
      </c>
      <c r="F73" s="7">
        <v>2</v>
      </c>
      <c r="G73" s="7">
        <v>2</v>
      </c>
      <c r="H73" s="7">
        <v>3</v>
      </c>
      <c r="I73" s="7" t="s">
        <v>193</v>
      </c>
      <c r="J73" s="16"/>
      <c r="K73" s="7" t="s">
        <v>2</v>
      </c>
      <c r="L73" s="6">
        <v>103</v>
      </c>
      <c r="M73" s="6"/>
      <c r="N73" s="6">
        <v>104</v>
      </c>
      <c r="O73" s="6"/>
      <c r="P73" s="6">
        <v>87</v>
      </c>
      <c r="Q73" s="6">
        <v>92</v>
      </c>
      <c r="R73" s="6">
        <v>107</v>
      </c>
      <c r="S73" s="6">
        <v>92</v>
      </c>
      <c r="T73" s="6">
        <v>98</v>
      </c>
      <c r="U73" s="6">
        <v>101</v>
      </c>
      <c r="V73" s="6"/>
      <c r="W73" s="6">
        <v>100</v>
      </c>
      <c r="X73" s="6"/>
      <c r="Y73" s="6">
        <v>90</v>
      </c>
      <c r="Z73" s="6"/>
      <c r="AA73" s="4">
        <f t="shared" ref="AA73:AA80" si="10">AVERAGE(P73:U73)</f>
        <v>96.166666666666671</v>
      </c>
      <c r="AB73" s="4">
        <f>AVERAGE(AVERAGE(L73:M73),AVERAGE(N73:O73),AVERAGE(P73:T73),AVERAGE(U73:V73),AVERAGE(W73:X73),AVERAGE(Y73:Z73))</f>
        <v>98.866666666666674</v>
      </c>
      <c r="AC73" s="4">
        <f t="shared" ref="AC73:AC80" si="11">STDEV(AVERAGE(L73:M73),AVERAGE(N73:O73),AVERAGE(P73:U73),AVERAGE(U73:V73),AVERAGE(W73:X73),AVERAGE(Y73:Z73))/SQRT(6)</f>
        <v>2.121502204792225</v>
      </c>
      <c r="AD73" s="3"/>
      <c r="AE73" s="3"/>
      <c r="AF73" s="3"/>
      <c r="AG73" s="3"/>
      <c r="AH73" s="3"/>
    </row>
    <row r="74" spans="2:87" ht="24" customHeight="1" thickBot="1" x14ac:dyDescent="0.25">
      <c r="B74" s="7">
        <f t="shared" si="9"/>
        <v>404</v>
      </c>
      <c r="C74" s="15" t="s">
        <v>147</v>
      </c>
      <c r="D74" s="15">
        <v>3</v>
      </c>
      <c r="E74" s="15">
        <v>1</v>
      </c>
      <c r="F74" s="15">
        <v>2</v>
      </c>
      <c r="G74" s="15">
        <v>2</v>
      </c>
      <c r="H74" s="15">
        <v>3</v>
      </c>
      <c r="I74" s="15" t="s">
        <v>193</v>
      </c>
      <c r="J74" s="16"/>
      <c r="K74" s="15" t="s">
        <v>0</v>
      </c>
      <c r="L74" s="14">
        <v>98</v>
      </c>
      <c r="M74" s="13"/>
      <c r="N74" s="14">
        <v>96</v>
      </c>
      <c r="O74" s="13"/>
      <c r="P74" s="14">
        <v>96</v>
      </c>
      <c r="Q74" s="14">
        <v>87</v>
      </c>
      <c r="R74" s="14">
        <v>80</v>
      </c>
      <c r="S74" s="14">
        <v>90</v>
      </c>
      <c r="T74" s="13">
        <v>93</v>
      </c>
      <c r="U74" s="14">
        <v>106</v>
      </c>
      <c r="V74" s="13"/>
      <c r="W74" s="14">
        <v>98</v>
      </c>
      <c r="X74" s="13"/>
      <c r="Y74" s="14">
        <v>97</v>
      </c>
      <c r="Z74" s="13"/>
      <c r="AA74" s="4">
        <f t="shared" si="10"/>
        <v>92</v>
      </c>
      <c r="AB74" s="4">
        <f t="shared" ref="AB74:AB80" si="12">AVERAGE(AVERAGE(L74:M74),AVERAGE(N74:O74),AVERAGE(P74:U74),AVERAGE(U74:V74),AVERAGE(W74:X74),AVERAGE(Y74:Z74))</f>
        <v>97.833333333333329</v>
      </c>
      <c r="AC74" s="4">
        <f t="shared" si="11"/>
        <v>1.8693433190413271</v>
      </c>
      <c r="AD74" s="3"/>
      <c r="AE74" s="3"/>
      <c r="AF74" s="3"/>
      <c r="AG74" s="3"/>
      <c r="AH74" s="3"/>
      <c r="AT74" s="12"/>
      <c r="AU74" s="12"/>
      <c r="AV74" s="11"/>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row>
    <row r="75" spans="2:87" ht="24" customHeight="1" x14ac:dyDescent="0.2">
      <c r="B75" s="7">
        <f t="shared" si="9"/>
        <v>403</v>
      </c>
      <c r="C75" s="7" t="s">
        <v>191</v>
      </c>
      <c r="D75" s="7">
        <v>6</v>
      </c>
      <c r="E75" s="7">
        <v>1</v>
      </c>
      <c r="F75" s="7">
        <v>3</v>
      </c>
      <c r="G75" s="7">
        <v>1</v>
      </c>
      <c r="H75" s="7">
        <v>3</v>
      </c>
      <c r="I75" s="7" t="s">
        <v>194</v>
      </c>
      <c r="J75" s="9"/>
      <c r="K75" s="7" t="s">
        <v>2</v>
      </c>
      <c r="L75" s="6">
        <v>97</v>
      </c>
      <c r="M75" s="6"/>
      <c r="N75" s="6">
        <v>90</v>
      </c>
      <c r="O75" s="6"/>
      <c r="P75" s="6">
        <v>81</v>
      </c>
      <c r="Q75" s="6">
        <v>76</v>
      </c>
      <c r="R75" s="6">
        <v>72</v>
      </c>
      <c r="S75" s="6">
        <v>74</v>
      </c>
      <c r="T75" s="6">
        <v>78</v>
      </c>
      <c r="U75" s="6">
        <v>81</v>
      </c>
      <c r="V75" s="6"/>
      <c r="W75" s="6">
        <v>83</v>
      </c>
      <c r="X75" s="6"/>
      <c r="Y75" s="6">
        <v>82</v>
      </c>
      <c r="Z75" s="6"/>
      <c r="AA75" s="4">
        <f t="shared" si="10"/>
        <v>77</v>
      </c>
      <c r="AB75" s="4">
        <f t="shared" si="12"/>
        <v>85</v>
      </c>
      <c r="AC75" s="4">
        <f t="shared" si="11"/>
        <v>2.9552213679068671</v>
      </c>
      <c r="AD75" s="3"/>
      <c r="AE75" s="3"/>
      <c r="AF75" s="3"/>
      <c r="AG75" s="3"/>
      <c r="AH75" s="3"/>
    </row>
    <row r="76" spans="2:87" ht="24" customHeight="1" thickBot="1" x14ac:dyDescent="0.25">
      <c r="B76" s="7">
        <f t="shared" si="9"/>
        <v>403</v>
      </c>
      <c r="C76" s="15" t="s">
        <v>191</v>
      </c>
      <c r="D76" s="15">
        <v>6</v>
      </c>
      <c r="E76" s="15">
        <v>1</v>
      </c>
      <c r="F76" s="15">
        <v>3</v>
      </c>
      <c r="G76" s="15">
        <v>1</v>
      </c>
      <c r="H76" s="15">
        <v>3</v>
      </c>
      <c r="I76" s="15" t="s">
        <v>194</v>
      </c>
      <c r="J76" s="16"/>
      <c r="K76" s="15" t="s">
        <v>0</v>
      </c>
      <c r="L76" s="14">
        <v>105</v>
      </c>
      <c r="M76" s="13"/>
      <c r="N76" s="14">
        <v>101</v>
      </c>
      <c r="O76" s="13"/>
      <c r="P76" s="14">
        <v>101</v>
      </c>
      <c r="Q76" s="14">
        <v>100</v>
      </c>
      <c r="R76" s="14">
        <v>85</v>
      </c>
      <c r="S76" s="14">
        <v>85</v>
      </c>
      <c r="T76" s="13">
        <v>99</v>
      </c>
      <c r="U76" s="14">
        <v>101</v>
      </c>
      <c r="V76" s="13"/>
      <c r="W76" s="14">
        <v>89</v>
      </c>
      <c r="X76" s="13"/>
      <c r="Y76" s="14">
        <v>108</v>
      </c>
      <c r="Z76" s="13"/>
      <c r="AA76" s="4">
        <f t="shared" si="10"/>
        <v>95.166666666666671</v>
      </c>
      <c r="AB76" s="4">
        <f t="shared" si="12"/>
        <v>99.861111111111128</v>
      </c>
      <c r="AC76" s="4">
        <f t="shared" si="11"/>
        <v>2.800270048705841</v>
      </c>
      <c r="AD76" s="3"/>
      <c r="AE76" s="3"/>
      <c r="AF76" s="3"/>
      <c r="AG76" s="3"/>
      <c r="AH76" s="3"/>
      <c r="AT76" s="12"/>
      <c r="AU76" s="12"/>
      <c r="AV76" s="11"/>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row>
    <row r="77" spans="2:87" ht="24" customHeight="1" x14ac:dyDescent="0.2">
      <c r="B77" s="7">
        <f t="shared" si="9"/>
        <v>402</v>
      </c>
      <c r="C77" s="7" t="s">
        <v>151</v>
      </c>
      <c r="D77" s="7">
        <v>9</v>
      </c>
      <c r="E77" s="7">
        <v>2</v>
      </c>
      <c r="F77" s="7">
        <v>2</v>
      </c>
      <c r="G77" s="7">
        <v>2</v>
      </c>
      <c r="H77" s="7">
        <v>3</v>
      </c>
      <c r="I77" s="7" t="s">
        <v>195</v>
      </c>
      <c r="J77" s="9"/>
      <c r="K77" s="7" t="s">
        <v>2</v>
      </c>
      <c r="L77" s="6">
        <v>78</v>
      </c>
      <c r="M77" s="5"/>
      <c r="N77" s="6">
        <v>89</v>
      </c>
      <c r="O77" s="5"/>
      <c r="P77" s="6">
        <v>88</v>
      </c>
      <c r="Q77" s="6">
        <v>95</v>
      </c>
      <c r="R77" s="6">
        <v>94</v>
      </c>
      <c r="S77" s="6">
        <v>104</v>
      </c>
      <c r="T77" s="5">
        <v>95</v>
      </c>
      <c r="U77" s="6">
        <v>92</v>
      </c>
      <c r="V77" s="5"/>
      <c r="W77" s="6">
        <v>97</v>
      </c>
      <c r="X77" s="5"/>
      <c r="Y77" s="6">
        <v>93</v>
      </c>
      <c r="Z77" s="5"/>
      <c r="AA77" s="4">
        <f t="shared" si="10"/>
        <v>94.666666666666671</v>
      </c>
      <c r="AB77" s="4">
        <f t="shared" si="12"/>
        <v>90.611111111111128</v>
      </c>
      <c r="AC77" s="4">
        <f t="shared" si="11"/>
        <v>2.747950976255078</v>
      </c>
      <c r="AD77" s="3"/>
      <c r="AE77" s="3"/>
      <c r="AF77" s="3"/>
      <c r="AG77" s="3"/>
      <c r="AH77" s="3"/>
    </row>
    <row r="78" spans="2:87" ht="24" customHeight="1" thickBot="1" x14ac:dyDescent="0.25">
      <c r="B78" s="7">
        <f t="shared" si="9"/>
        <v>402</v>
      </c>
      <c r="C78" s="15" t="s">
        <v>151</v>
      </c>
      <c r="D78" s="15">
        <v>9</v>
      </c>
      <c r="E78" s="15">
        <v>2</v>
      </c>
      <c r="F78" s="15">
        <v>2</v>
      </c>
      <c r="G78" s="15">
        <v>2</v>
      </c>
      <c r="H78" s="15">
        <v>3</v>
      </c>
      <c r="I78" s="15" t="s">
        <v>195</v>
      </c>
      <c r="J78" s="16"/>
      <c r="K78" s="15" t="s">
        <v>0</v>
      </c>
      <c r="L78" s="14">
        <v>100</v>
      </c>
      <c r="M78" s="13"/>
      <c r="N78" s="14">
        <v>99</v>
      </c>
      <c r="O78" s="13"/>
      <c r="P78" s="14">
        <v>101</v>
      </c>
      <c r="Q78" s="14">
        <v>95</v>
      </c>
      <c r="R78" s="14">
        <v>99</v>
      </c>
      <c r="S78" s="14">
        <v>92</v>
      </c>
      <c r="T78" s="13">
        <v>88</v>
      </c>
      <c r="U78" s="14">
        <v>98</v>
      </c>
      <c r="V78" s="13"/>
      <c r="W78" s="14">
        <v>89</v>
      </c>
      <c r="X78" s="13"/>
      <c r="Y78" s="14">
        <v>97</v>
      </c>
      <c r="Z78" s="13"/>
      <c r="AA78" s="4">
        <f t="shared" si="10"/>
        <v>95.5</v>
      </c>
      <c r="AB78" s="4">
        <f t="shared" si="12"/>
        <v>96.416666666666671</v>
      </c>
      <c r="AC78" s="4">
        <f t="shared" si="11"/>
        <v>1.6146034944977807</v>
      </c>
      <c r="AD78" s="3"/>
      <c r="AE78" s="3"/>
      <c r="AF78" s="3"/>
      <c r="AG78" s="3"/>
      <c r="AH78" s="3"/>
      <c r="AT78" s="12"/>
      <c r="AU78" s="12"/>
      <c r="AV78" s="11"/>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row>
    <row r="79" spans="2:87" ht="24" customHeight="1" x14ac:dyDescent="0.2">
      <c r="B79" s="7">
        <f t="shared" si="9"/>
        <v>401</v>
      </c>
      <c r="C79" s="7" t="s">
        <v>188</v>
      </c>
      <c r="D79" s="7">
        <v>7</v>
      </c>
      <c r="E79" s="7">
        <v>2</v>
      </c>
      <c r="F79" s="7">
        <v>1</v>
      </c>
      <c r="G79" s="7">
        <v>2</v>
      </c>
      <c r="H79" s="7">
        <v>3</v>
      </c>
      <c r="I79" s="7" t="s">
        <v>196</v>
      </c>
      <c r="J79" s="9"/>
      <c r="K79" s="7" t="s">
        <v>2</v>
      </c>
      <c r="L79" s="6">
        <v>82</v>
      </c>
      <c r="M79" s="5"/>
      <c r="N79" s="6">
        <v>81</v>
      </c>
      <c r="O79" s="5"/>
      <c r="P79" s="6">
        <v>72</v>
      </c>
      <c r="Q79" s="6">
        <v>74</v>
      </c>
      <c r="R79" s="6">
        <v>84</v>
      </c>
      <c r="S79" s="6">
        <v>75</v>
      </c>
      <c r="T79" s="5">
        <v>77</v>
      </c>
      <c r="U79" s="6">
        <v>80</v>
      </c>
      <c r="V79" s="5"/>
      <c r="W79" s="6">
        <v>86</v>
      </c>
      <c r="X79" s="5"/>
      <c r="Y79" s="6">
        <v>88</v>
      </c>
      <c r="Z79" s="5"/>
      <c r="AA79" s="4">
        <f t="shared" si="10"/>
        <v>77</v>
      </c>
      <c r="AB79" s="4">
        <f t="shared" si="12"/>
        <v>82.333333333333329</v>
      </c>
      <c r="AC79" s="4">
        <f t="shared" si="11"/>
        <v>1.6465452046971294</v>
      </c>
      <c r="AD79" s="3"/>
      <c r="AE79" s="3"/>
      <c r="AF79" s="3"/>
      <c r="AG79" s="3"/>
      <c r="AH79" s="3"/>
    </row>
    <row r="80" spans="2:87" ht="24" customHeight="1" x14ac:dyDescent="0.2">
      <c r="B80" s="7">
        <f t="shared" si="9"/>
        <v>401</v>
      </c>
      <c r="C80" s="7" t="s">
        <v>188</v>
      </c>
      <c r="D80" s="7">
        <v>7</v>
      </c>
      <c r="E80" s="7">
        <v>2</v>
      </c>
      <c r="F80" s="7">
        <v>1</v>
      </c>
      <c r="G80" s="7">
        <v>2</v>
      </c>
      <c r="H80" s="7">
        <v>3</v>
      </c>
      <c r="I80" s="7" t="s">
        <v>196</v>
      </c>
      <c r="J80" s="7"/>
      <c r="K80" s="7" t="s">
        <v>0</v>
      </c>
      <c r="L80" s="6">
        <v>74</v>
      </c>
      <c r="M80" s="5"/>
      <c r="N80" s="6">
        <v>74</v>
      </c>
      <c r="O80" s="5"/>
      <c r="P80" s="6">
        <v>90</v>
      </c>
      <c r="Q80" s="6">
        <v>77</v>
      </c>
      <c r="R80" s="6">
        <v>78</v>
      </c>
      <c r="S80" s="6">
        <v>87</v>
      </c>
      <c r="T80" s="5">
        <v>88</v>
      </c>
      <c r="U80" s="6">
        <v>80</v>
      </c>
      <c r="V80" s="5"/>
      <c r="W80" s="6">
        <v>88</v>
      </c>
      <c r="X80" s="5"/>
      <c r="Y80" s="6">
        <v>85</v>
      </c>
      <c r="Z80" s="5"/>
      <c r="AA80" s="4">
        <f t="shared" si="10"/>
        <v>83.333333333333329</v>
      </c>
      <c r="AB80" s="4">
        <f t="shared" si="12"/>
        <v>80.722222222222214</v>
      </c>
      <c r="AC80" s="4">
        <f t="shared" si="11"/>
        <v>2.3733343736993144</v>
      </c>
      <c r="AD80" s="3"/>
      <c r="AE80" s="3"/>
      <c r="AF80" s="3"/>
      <c r="AG80" s="3"/>
      <c r="AH80" s="3"/>
    </row>
    <row r="81" spans="11:17" x14ac:dyDescent="0.2">
      <c r="K81" s="2"/>
      <c r="Q81" s="49"/>
    </row>
    <row r="82" spans="11:17" x14ac:dyDescent="0.2">
      <c r="K82" s="2"/>
    </row>
    <row r="83" spans="11:17" x14ac:dyDescent="0.2">
      <c r="K83" s="2"/>
    </row>
    <row r="84" spans="11:17" x14ac:dyDescent="0.2">
      <c r="K84" s="2"/>
    </row>
    <row r="85" spans="11:17" x14ac:dyDescent="0.2">
      <c r="K85" s="2"/>
    </row>
    <row r="86" spans="11:17" x14ac:dyDescent="0.2">
      <c r="K86" s="2"/>
    </row>
    <row r="87" spans="11:17" x14ac:dyDescent="0.2">
      <c r="K87" s="2"/>
    </row>
  </sheetData>
  <mergeCells count="12">
    <mergeCell ref="P6:T6"/>
    <mergeCell ref="U6:V6"/>
    <mergeCell ref="AT5:AV5"/>
    <mergeCell ref="J7:K7"/>
    <mergeCell ref="B7:H7"/>
    <mergeCell ref="AA6:AA7"/>
    <mergeCell ref="AB6:AB7"/>
    <mergeCell ref="AC6:AC7"/>
    <mergeCell ref="L6:M6"/>
    <mergeCell ref="N6:O6"/>
    <mergeCell ref="W6:X6"/>
    <mergeCell ref="Y6:Z6"/>
  </mergeCells>
  <pageMargins left="0.51" right="0" top="0.85" bottom="0" header="0.64" footer="0"/>
  <pageSetup paperSize="512" scale="30" orientation="landscape" r:id="rId1"/>
  <headerFooter alignWithMargins="0">
    <oddHeader xml:space="preserve">&amp;L&amp;"Comic Sans MS,Bold"&amp;14FISE2003 ---Cotton Plant Cover and Heights in North 1 m of Harvest Area&amp;C&amp;"Comic Sans MS,Bold"&amp;12       </oddHeader>
    <oddFooter>&amp;L&amp;F   USWCL Remote Sensing&amp;R&amp;D</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75078-362F-48B7-A937-AD72710E0EB7}">
  <sheetPr>
    <pageSetUpPr fitToPage="1"/>
  </sheetPr>
  <dimension ref="A1:CI87"/>
  <sheetViews>
    <sheetView workbookViewId="0">
      <selection activeCell="N2" sqref="N2"/>
    </sheetView>
  </sheetViews>
  <sheetFormatPr defaultRowHeight="12.75" x14ac:dyDescent="0.2"/>
  <cols>
    <col min="1" max="1" width="9.140625" style="1"/>
    <col min="2" max="2" width="4.85546875" style="1" customWidth="1"/>
    <col min="3" max="3" width="5.7109375" style="1" customWidth="1"/>
    <col min="4" max="8" width="5.28515625" style="1" hidden="1" customWidth="1"/>
    <col min="9" max="9" width="7" style="1" hidden="1" customWidth="1"/>
    <col min="10" max="11" width="9" style="1" customWidth="1"/>
    <col min="12" max="13" width="9.140625" style="1"/>
    <col min="14" max="14" width="9.7109375" style="1" customWidth="1"/>
    <col min="15" max="25" width="9.140625" style="1"/>
    <col min="26" max="26" width="10.140625" style="1" customWidth="1"/>
    <col min="27" max="27" width="12.7109375" style="1" customWidth="1"/>
    <col min="28" max="35" width="9.140625" style="1"/>
    <col min="36" max="36" width="7.5703125" style="1" customWidth="1"/>
    <col min="37" max="46" width="7.7109375" style="1" customWidth="1"/>
    <col min="47" max="16384" width="9.140625" style="1"/>
  </cols>
  <sheetData>
    <row r="1" spans="1:87" ht="15" customHeight="1" x14ac:dyDescent="0.25">
      <c r="A1" s="44" t="s">
        <v>82</v>
      </c>
    </row>
    <row r="2" spans="1:87" ht="15" customHeight="1" thickBot="1" x14ac:dyDescent="0.3">
      <c r="A2" s="44"/>
      <c r="N2" s="43"/>
      <c r="X2" s="20" t="s">
        <v>81</v>
      </c>
      <c r="Y2" s="42">
        <v>37854</v>
      </c>
      <c r="Z2" s="39"/>
    </row>
    <row r="3" spans="1:87" ht="15" customHeight="1" thickBot="1" x14ac:dyDescent="0.25">
      <c r="B3" s="1" t="s">
        <v>80</v>
      </c>
      <c r="D3" s="41"/>
      <c r="E3" s="41"/>
      <c r="F3" s="41"/>
      <c r="G3" s="41"/>
      <c r="H3" s="41"/>
      <c r="I3" s="41"/>
      <c r="J3" s="41" t="s">
        <v>137</v>
      </c>
      <c r="K3" s="41"/>
      <c r="L3" s="41"/>
      <c r="M3" s="41"/>
      <c r="N3" s="41"/>
      <c r="O3" s="41"/>
      <c r="P3" s="41"/>
      <c r="Q3" s="41"/>
      <c r="R3" s="41"/>
      <c r="S3" s="41"/>
      <c r="T3" s="41"/>
      <c r="U3" s="41"/>
      <c r="V3" s="41"/>
    </row>
    <row r="4" spans="1:87" ht="13.5" thickBot="1" x14ac:dyDescent="0.25">
      <c r="D4" s="40"/>
      <c r="E4" s="40"/>
      <c r="F4" s="40"/>
      <c r="G4" s="40"/>
      <c r="H4" s="40"/>
      <c r="I4" s="40"/>
      <c r="J4" s="54" t="s">
        <v>136</v>
      </c>
      <c r="K4" s="40"/>
      <c r="L4" s="40"/>
      <c r="M4" s="40"/>
      <c r="N4" s="40"/>
      <c r="O4" s="40"/>
      <c r="P4" s="40"/>
      <c r="Q4" s="40"/>
      <c r="R4" s="40"/>
      <c r="S4" s="40"/>
      <c r="T4" s="40"/>
      <c r="U4" s="40"/>
      <c r="V4" s="40"/>
      <c r="X4" s="20" t="s">
        <v>78</v>
      </c>
      <c r="Y4" s="39" t="s">
        <v>135</v>
      </c>
      <c r="Z4" s="39"/>
    </row>
    <row r="5" spans="1:87" ht="18" x14ac:dyDescent="0.2">
      <c r="AS5" s="38"/>
      <c r="AT5" s="56" t="s">
        <v>76</v>
      </c>
      <c r="AU5" s="56"/>
      <c r="AV5" s="56"/>
    </row>
    <row r="6" spans="1:87" ht="25.5" customHeight="1" x14ac:dyDescent="0.2">
      <c r="B6" s="36" t="s">
        <v>51</v>
      </c>
      <c r="C6" s="37" t="s">
        <v>50</v>
      </c>
      <c r="D6" s="37" t="s">
        <v>75</v>
      </c>
      <c r="E6" s="36" t="s">
        <v>74</v>
      </c>
      <c r="F6" s="37" t="s">
        <v>73</v>
      </c>
      <c r="G6" s="36" t="s">
        <v>72</v>
      </c>
      <c r="H6" s="36" t="s">
        <v>45</v>
      </c>
      <c r="I6" s="36" t="s">
        <v>71</v>
      </c>
      <c r="J6" s="36" t="s">
        <v>43</v>
      </c>
      <c r="K6" s="35" t="s">
        <v>70</v>
      </c>
      <c r="L6" s="65" t="s">
        <v>69</v>
      </c>
      <c r="M6" s="66"/>
      <c r="N6" s="65" t="s">
        <v>68</v>
      </c>
      <c r="O6" s="66"/>
      <c r="P6" s="65" t="s">
        <v>67</v>
      </c>
      <c r="Q6" s="67"/>
      <c r="R6" s="67"/>
      <c r="S6" s="67"/>
      <c r="T6" s="66"/>
      <c r="U6" s="65" t="s">
        <v>66</v>
      </c>
      <c r="V6" s="66"/>
      <c r="W6" s="65" t="s">
        <v>65</v>
      </c>
      <c r="X6" s="66"/>
      <c r="Y6" s="65" t="s">
        <v>64</v>
      </c>
      <c r="Z6" s="66"/>
      <c r="AA6" s="61" t="s">
        <v>63</v>
      </c>
      <c r="AB6" s="61" t="s">
        <v>62</v>
      </c>
      <c r="AC6" s="63" t="s">
        <v>61</v>
      </c>
      <c r="AS6" s="34"/>
      <c r="AT6" s="2" t="s">
        <v>60</v>
      </c>
      <c r="AU6" s="2"/>
    </row>
    <row r="7" spans="1:87" ht="15.75" customHeight="1" x14ac:dyDescent="0.2">
      <c r="B7" s="59"/>
      <c r="C7" s="60"/>
      <c r="D7" s="60"/>
      <c r="E7" s="60"/>
      <c r="F7" s="60"/>
      <c r="G7" s="60"/>
      <c r="H7" s="60"/>
      <c r="I7" s="33"/>
      <c r="J7" s="57" t="s">
        <v>59</v>
      </c>
      <c r="K7" s="58"/>
      <c r="L7" s="32" t="s">
        <v>55</v>
      </c>
      <c r="M7" s="31" t="s">
        <v>54</v>
      </c>
      <c r="N7" s="32" t="s">
        <v>55</v>
      </c>
      <c r="O7" s="31" t="s">
        <v>54</v>
      </c>
      <c r="P7" s="32" t="s">
        <v>58</v>
      </c>
      <c r="Q7" s="31" t="s">
        <v>55</v>
      </c>
      <c r="R7" s="31" t="s">
        <v>57</v>
      </c>
      <c r="S7" s="31" t="s">
        <v>54</v>
      </c>
      <c r="T7" s="31" t="s">
        <v>56</v>
      </c>
      <c r="U7" s="32" t="s">
        <v>55</v>
      </c>
      <c r="V7" s="31" t="s">
        <v>54</v>
      </c>
      <c r="W7" s="32" t="s">
        <v>55</v>
      </c>
      <c r="X7" s="31" t="s">
        <v>54</v>
      </c>
      <c r="Y7" s="32" t="s">
        <v>55</v>
      </c>
      <c r="Z7" s="31" t="s">
        <v>54</v>
      </c>
      <c r="AA7" s="62"/>
      <c r="AB7" s="62"/>
      <c r="AC7" s="64"/>
      <c r="AT7" s="12" t="s">
        <v>7</v>
      </c>
      <c r="AU7" s="12" t="s">
        <v>53</v>
      </c>
      <c r="AV7" s="12" t="s">
        <v>52</v>
      </c>
    </row>
    <row r="8" spans="1:87" ht="15.75" hidden="1" customHeight="1" x14ac:dyDescent="0.2">
      <c r="B8" s="28" t="s">
        <v>51</v>
      </c>
      <c r="C8" s="30" t="s">
        <v>50</v>
      </c>
      <c r="D8" s="30" t="s">
        <v>49</v>
      </c>
      <c r="E8" s="28" t="s">
        <v>48</v>
      </c>
      <c r="F8" s="30" t="s">
        <v>47</v>
      </c>
      <c r="G8" s="28" t="s">
        <v>46</v>
      </c>
      <c r="H8" s="28" t="s">
        <v>45</v>
      </c>
      <c r="I8" s="28" t="s">
        <v>44</v>
      </c>
      <c r="J8" s="27" t="s">
        <v>43</v>
      </c>
      <c r="K8" s="27" t="s">
        <v>42</v>
      </c>
      <c r="L8" s="29" t="s">
        <v>41</v>
      </c>
      <c r="M8" s="29" t="s">
        <v>40</v>
      </c>
      <c r="N8" s="29" t="s">
        <v>39</v>
      </c>
      <c r="O8" s="29" t="s">
        <v>38</v>
      </c>
      <c r="P8" s="29" t="s">
        <v>37</v>
      </c>
      <c r="Q8" s="29" t="s">
        <v>36</v>
      </c>
      <c r="R8" s="29" t="s">
        <v>35</v>
      </c>
      <c r="S8" s="29" t="s">
        <v>34</v>
      </c>
      <c r="T8" s="29" t="s">
        <v>33</v>
      </c>
      <c r="U8" s="29" t="s">
        <v>32</v>
      </c>
      <c r="V8" s="29" t="s">
        <v>31</v>
      </c>
      <c r="W8" s="29" t="s">
        <v>30</v>
      </c>
      <c r="X8" s="29" t="s">
        <v>29</v>
      </c>
      <c r="Y8" s="29" t="s">
        <v>28</v>
      </c>
      <c r="Z8" s="29" t="s">
        <v>27</v>
      </c>
      <c r="AA8" s="28" t="s">
        <v>26</v>
      </c>
      <c r="AB8" s="28" t="s">
        <v>25</v>
      </c>
      <c r="AC8" s="27" t="s">
        <v>24</v>
      </c>
      <c r="AT8" s="12"/>
      <c r="AU8" s="12"/>
      <c r="AV8" s="12"/>
    </row>
    <row r="9" spans="1:87" ht="24" customHeight="1" x14ac:dyDescent="0.2">
      <c r="B9" s="7">
        <v>108</v>
      </c>
      <c r="C9" s="7" t="s">
        <v>147</v>
      </c>
      <c r="D9" s="7">
        <v>3</v>
      </c>
      <c r="E9" s="7">
        <v>1</v>
      </c>
      <c r="F9" s="7">
        <v>2</v>
      </c>
      <c r="G9" s="7">
        <v>2</v>
      </c>
      <c r="H9" s="7">
        <v>2</v>
      </c>
      <c r="I9" s="7" t="s">
        <v>148</v>
      </c>
      <c r="J9" s="7"/>
      <c r="K9" s="7" t="s">
        <v>2</v>
      </c>
      <c r="L9" s="6">
        <v>100</v>
      </c>
      <c r="M9" s="5"/>
      <c r="N9" s="6">
        <v>100</v>
      </c>
      <c r="O9" s="5"/>
      <c r="P9" s="6">
        <v>99</v>
      </c>
      <c r="Q9" s="6">
        <v>97</v>
      </c>
      <c r="R9" s="6">
        <v>92</v>
      </c>
      <c r="S9" s="6"/>
      <c r="T9" s="5"/>
      <c r="U9" s="6">
        <v>103</v>
      </c>
      <c r="V9" s="5"/>
      <c r="W9" s="6">
        <v>100</v>
      </c>
      <c r="X9" s="5"/>
      <c r="Y9" s="6">
        <v>100</v>
      </c>
      <c r="Z9" s="5"/>
      <c r="AA9" s="4">
        <f>AVERAGE(P9:T9)</f>
        <v>96</v>
      </c>
      <c r="AB9" s="4">
        <f>AVERAGE(AVERAGE(L9:M9),AVERAGE(N9:O9),AVERAGE(P9:T9),AVERAGE(U9:V9),AVERAGE(W9:X9),AVERAGE(Y9:Z9))</f>
        <v>99.833333333333329</v>
      </c>
      <c r="AC9" s="4">
        <f>STDEV(AVERAGE(L9:M9),AVERAGE(N9:O9),AVERAGE(P9:T9),AVERAGE(U9:V9),AVERAGE(W9:X9),AVERAGE(Y9:Z9))/SQRT(6)</f>
        <v>0.90982293759707866</v>
      </c>
      <c r="AD9" s="3"/>
      <c r="AE9" s="3"/>
      <c r="AF9" s="3"/>
      <c r="AG9" s="3"/>
      <c r="AH9" s="3"/>
      <c r="AT9" s="12">
        <v>1</v>
      </c>
      <c r="AU9" s="12" t="s">
        <v>23</v>
      </c>
      <c r="AV9" s="11"/>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row>
    <row r="10" spans="1:87" ht="24" customHeight="1" thickBot="1" x14ac:dyDescent="0.25">
      <c r="B10" s="15">
        <v>108</v>
      </c>
      <c r="C10" s="15" t="s">
        <v>147</v>
      </c>
      <c r="D10" s="15">
        <v>3</v>
      </c>
      <c r="E10" s="15">
        <v>1</v>
      </c>
      <c r="F10" s="15">
        <v>2</v>
      </c>
      <c r="G10" s="15">
        <v>2</v>
      </c>
      <c r="H10" s="15">
        <v>2</v>
      </c>
      <c r="I10" s="15" t="s">
        <v>148</v>
      </c>
      <c r="J10" s="16"/>
      <c r="K10" s="15" t="s">
        <v>0</v>
      </c>
      <c r="L10" s="52">
        <v>128</v>
      </c>
      <c r="M10" s="13"/>
      <c r="N10" s="14">
        <v>105</v>
      </c>
      <c r="O10" s="13"/>
      <c r="P10" s="14">
        <v>91</v>
      </c>
      <c r="Q10" s="14">
        <v>88</v>
      </c>
      <c r="R10" s="14">
        <v>109</v>
      </c>
      <c r="S10" s="6"/>
      <c r="T10" s="13"/>
      <c r="U10" s="14">
        <v>103</v>
      </c>
      <c r="V10" s="13"/>
      <c r="W10" s="14">
        <v>110</v>
      </c>
      <c r="X10" s="13"/>
      <c r="Y10" s="14">
        <v>110</v>
      </c>
      <c r="Z10" s="13"/>
      <c r="AA10" s="4">
        <f t="shared" ref="AA10:AA41" si="0">AVERAGE(P10:U10)</f>
        <v>97.75</v>
      </c>
      <c r="AB10" s="4">
        <f t="shared" ref="AB10:AB41" si="1">AVERAGE(AVERAGE(L10:M10),AVERAGE(N10:O10),AVERAGE(P10:U10),AVERAGE(U10:V10),AVERAGE(W10:X10),AVERAGE(Y10:Z10))</f>
        <v>108.95833333333333</v>
      </c>
      <c r="AC10" s="4">
        <f t="shared" ref="AC10:AC41" si="2">STDEV(AVERAGE(L10:M10),AVERAGE(N10:O10),AVERAGE(P10:U10),AVERAGE(U10:V10),AVERAGE(W10:X10),AVERAGE(Y10:Z10))/SQRT(6)</f>
        <v>4.2487334714137006</v>
      </c>
      <c r="AD10" s="3"/>
      <c r="AE10" s="3"/>
      <c r="AF10" s="3"/>
      <c r="AG10" s="3"/>
      <c r="AH10" s="3"/>
      <c r="AT10" s="12">
        <v>2</v>
      </c>
      <c r="AU10" s="12" t="s">
        <v>22</v>
      </c>
      <c r="AV10" s="11"/>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row>
    <row r="11" spans="1:87" ht="24" customHeight="1" x14ac:dyDescent="0.2">
      <c r="B11" s="25">
        <f t="shared" ref="B11:B24" si="3">B9-1</f>
        <v>107</v>
      </c>
      <c r="C11" s="25" t="s">
        <v>149</v>
      </c>
      <c r="D11" s="25">
        <v>10</v>
      </c>
      <c r="E11" s="25">
        <v>2</v>
      </c>
      <c r="F11" s="25">
        <v>2</v>
      </c>
      <c r="G11" s="25">
        <v>1</v>
      </c>
      <c r="H11" s="25">
        <v>2</v>
      </c>
      <c r="I11" s="25" t="s">
        <v>150</v>
      </c>
      <c r="J11" s="26"/>
      <c r="K11" s="25" t="s">
        <v>2</v>
      </c>
      <c r="L11" s="53">
        <v>92</v>
      </c>
      <c r="M11" s="23"/>
      <c r="N11" s="24">
        <v>105</v>
      </c>
      <c r="O11" s="23"/>
      <c r="P11" s="24">
        <v>86</v>
      </c>
      <c r="Q11" s="24">
        <v>83</v>
      </c>
      <c r="R11" s="24">
        <v>84</v>
      </c>
      <c r="S11" s="6"/>
      <c r="T11" s="23"/>
      <c r="U11" s="24">
        <v>89</v>
      </c>
      <c r="V11" s="23"/>
      <c r="W11" s="24">
        <v>91</v>
      </c>
      <c r="X11" s="23"/>
      <c r="Y11" s="24">
        <v>90</v>
      </c>
      <c r="Z11" s="23"/>
      <c r="AA11" s="4">
        <f t="shared" si="0"/>
        <v>85.5</v>
      </c>
      <c r="AB11" s="4">
        <f t="shared" si="1"/>
        <v>92.083333333333329</v>
      </c>
      <c r="AC11" s="4">
        <f t="shared" si="2"/>
        <v>2.739880370462267</v>
      </c>
      <c r="AD11" s="3"/>
      <c r="AE11" s="22"/>
      <c r="AF11" s="3"/>
      <c r="AG11" s="21"/>
      <c r="AH11" s="3"/>
      <c r="AT11" s="12">
        <v>3</v>
      </c>
      <c r="AU11" s="12" t="s">
        <v>21</v>
      </c>
      <c r="AV11" s="12" t="s">
        <v>19</v>
      </c>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row>
    <row r="12" spans="1:87" ht="24" customHeight="1" thickBot="1" x14ac:dyDescent="0.25">
      <c r="B12" s="15">
        <f t="shared" si="3"/>
        <v>107</v>
      </c>
      <c r="C12" s="15" t="s">
        <v>149</v>
      </c>
      <c r="D12" s="15">
        <v>10</v>
      </c>
      <c r="E12" s="15">
        <v>2</v>
      </c>
      <c r="F12" s="15">
        <v>2</v>
      </c>
      <c r="G12" s="15">
        <v>1</v>
      </c>
      <c r="H12" s="15">
        <v>2</v>
      </c>
      <c r="I12" s="15" t="s">
        <v>150</v>
      </c>
      <c r="J12" s="16"/>
      <c r="K12" s="15" t="s">
        <v>0</v>
      </c>
      <c r="L12" s="52">
        <v>97</v>
      </c>
      <c r="M12" s="13"/>
      <c r="N12" s="14">
        <v>108</v>
      </c>
      <c r="O12" s="13"/>
      <c r="P12" s="14">
        <v>91</v>
      </c>
      <c r="Q12" s="14">
        <v>87</v>
      </c>
      <c r="R12" s="14">
        <v>102</v>
      </c>
      <c r="S12" s="6"/>
      <c r="T12" s="13"/>
      <c r="U12" s="14">
        <v>95</v>
      </c>
      <c r="V12" s="13"/>
      <c r="W12" s="14">
        <v>112</v>
      </c>
      <c r="X12" s="13"/>
      <c r="Y12" s="14">
        <v>103</v>
      </c>
      <c r="Z12" s="13"/>
      <c r="AA12" s="4">
        <f t="shared" si="0"/>
        <v>93.75</v>
      </c>
      <c r="AB12" s="4">
        <f t="shared" si="1"/>
        <v>101.45833333333333</v>
      </c>
      <c r="AC12" s="4">
        <f t="shared" si="2"/>
        <v>3.040296495044156</v>
      </c>
      <c r="AD12" s="3"/>
      <c r="AE12" s="3"/>
      <c r="AF12" s="3"/>
      <c r="AG12" s="3"/>
      <c r="AH12" s="3"/>
      <c r="AT12" s="12">
        <v>4</v>
      </c>
      <c r="AU12" s="12" t="s">
        <v>20</v>
      </c>
      <c r="AV12" s="11" t="s">
        <v>19</v>
      </c>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row>
    <row r="13" spans="1:87" ht="24" customHeight="1" x14ac:dyDescent="0.2">
      <c r="B13" s="7">
        <f t="shared" si="3"/>
        <v>106</v>
      </c>
      <c r="C13" s="7" t="s">
        <v>151</v>
      </c>
      <c r="D13" s="7">
        <v>9</v>
      </c>
      <c r="E13" s="7">
        <v>2</v>
      </c>
      <c r="F13" s="7">
        <v>2</v>
      </c>
      <c r="G13" s="7">
        <v>2</v>
      </c>
      <c r="H13" s="7">
        <v>2</v>
      </c>
      <c r="I13" s="7" t="s">
        <v>152</v>
      </c>
      <c r="J13" s="9"/>
      <c r="K13" s="7" t="s">
        <v>2</v>
      </c>
      <c r="L13" s="6">
        <v>100</v>
      </c>
      <c r="M13" s="5"/>
      <c r="N13" s="6">
        <v>100</v>
      </c>
      <c r="O13" s="5"/>
      <c r="P13" s="6">
        <v>100</v>
      </c>
      <c r="Q13" s="6">
        <v>100</v>
      </c>
      <c r="R13" s="6">
        <v>100</v>
      </c>
      <c r="S13" s="6"/>
      <c r="T13" s="5"/>
      <c r="U13" s="6">
        <v>100</v>
      </c>
      <c r="V13" s="5"/>
      <c r="W13" s="6">
        <v>100</v>
      </c>
      <c r="X13" s="5"/>
      <c r="Y13" s="6">
        <v>100</v>
      </c>
      <c r="Z13" s="5"/>
      <c r="AA13" s="4">
        <f t="shared" si="0"/>
        <v>100</v>
      </c>
      <c r="AB13" s="4">
        <f t="shared" si="1"/>
        <v>100</v>
      </c>
      <c r="AC13" s="4">
        <f t="shared" si="2"/>
        <v>0</v>
      </c>
      <c r="AD13" s="3"/>
      <c r="AE13" s="3"/>
      <c r="AF13" s="3"/>
      <c r="AG13" s="3"/>
      <c r="AH13" s="3"/>
      <c r="AT13" s="12">
        <v>8</v>
      </c>
      <c r="AU13" s="12" t="s">
        <v>18</v>
      </c>
      <c r="AV13" s="12" t="s">
        <v>17</v>
      </c>
    </row>
    <row r="14" spans="1:87" ht="24" customHeight="1" thickBot="1" x14ac:dyDescent="0.25">
      <c r="B14" s="15">
        <f t="shared" si="3"/>
        <v>106</v>
      </c>
      <c r="C14" s="15" t="s">
        <v>151</v>
      </c>
      <c r="D14" s="15">
        <v>9</v>
      </c>
      <c r="E14" s="15">
        <v>2</v>
      </c>
      <c r="F14" s="15">
        <v>2</v>
      </c>
      <c r="G14" s="15">
        <v>2</v>
      </c>
      <c r="H14" s="15">
        <v>2</v>
      </c>
      <c r="I14" s="15" t="s">
        <v>152</v>
      </c>
      <c r="J14" s="16"/>
      <c r="K14" s="15" t="s">
        <v>0</v>
      </c>
      <c r="L14" s="52">
        <v>137</v>
      </c>
      <c r="M14" s="13"/>
      <c r="N14" s="14">
        <v>122</v>
      </c>
      <c r="O14" s="13"/>
      <c r="P14" s="14">
        <v>113</v>
      </c>
      <c r="Q14" s="14">
        <v>115</v>
      </c>
      <c r="R14" s="14">
        <v>122</v>
      </c>
      <c r="S14" s="6"/>
      <c r="T14" s="13"/>
      <c r="U14" s="14">
        <v>103</v>
      </c>
      <c r="V14" s="13"/>
      <c r="W14" s="14">
        <v>115</v>
      </c>
      <c r="X14" s="13"/>
      <c r="Y14" s="14">
        <v>112</v>
      </c>
      <c r="Z14" s="13"/>
      <c r="AA14" s="4">
        <f t="shared" si="0"/>
        <v>113.25</v>
      </c>
      <c r="AB14" s="4">
        <f t="shared" si="1"/>
        <v>117.04166666666667</v>
      </c>
      <c r="AC14" s="4">
        <f t="shared" si="2"/>
        <v>4.7047921786668159</v>
      </c>
      <c r="AD14" s="3"/>
      <c r="AE14" s="3"/>
      <c r="AF14" s="3"/>
      <c r="AG14" s="3"/>
      <c r="AH14" s="3"/>
      <c r="AT14" s="12">
        <v>9</v>
      </c>
      <c r="AU14" s="12" t="s">
        <v>16</v>
      </c>
      <c r="AV14" s="11" t="s">
        <v>15</v>
      </c>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row>
    <row r="15" spans="1:87" ht="24" customHeight="1" x14ac:dyDescent="0.2">
      <c r="B15" s="7">
        <f t="shared" si="3"/>
        <v>105</v>
      </c>
      <c r="C15" s="7" t="s">
        <v>153</v>
      </c>
      <c r="D15" s="7">
        <v>12</v>
      </c>
      <c r="E15" s="7">
        <v>2</v>
      </c>
      <c r="F15" s="7">
        <v>3</v>
      </c>
      <c r="G15" s="7">
        <v>1</v>
      </c>
      <c r="H15" s="7">
        <v>2</v>
      </c>
      <c r="I15" s="7" t="s">
        <v>154</v>
      </c>
      <c r="J15" s="9"/>
      <c r="K15" s="7" t="s">
        <v>2</v>
      </c>
      <c r="L15" s="6">
        <v>100</v>
      </c>
      <c r="M15" s="5"/>
      <c r="N15" s="6">
        <v>100</v>
      </c>
      <c r="O15" s="5"/>
      <c r="P15" s="6">
        <v>100</v>
      </c>
      <c r="Q15" s="6">
        <v>100</v>
      </c>
      <c r="R15" s="6">
        <v>100</v>
      </c>
      <c r="S15" s="6"/>
      <c r="T15" s="5"/>
      <c r="U15" s="6">
        <v>100</v>
      </c>
      <c r="V15" s="5"/>
      <c r="W15" s="6">
        <v>100</v>
      </c>
      <c r="X15" s="5"/>
      <c r="Y15" s="6">
        <v>100</v>
      </c>
      <c r="Z15" s="5"/>
      <c r="AA15" s="4">
        <f t="shared" si="0"/>
        <v>100</v>
      </c>
      <c r="AB15" s="4">
        <f t="shared" si="1"/>
        <v>100</v>
      </c>
      <c r="AC15" s="4">
        <f t="shared" si="2"/>
        <v>0</v>
      </c>
      <c r="AD15" s="3"/>
      <c r="AE15" s="3"/>
      <c r="AF15" s="3"/>
      <c r="AG15" s="3"/>
      <c r="AH15" s="3"/>
    </row>
    <row r="16" spans="1:87" ht="24" customHeight="1" thickBot="1" x14ac:dyDescent="0.25">
      <c r="B16" s="15">
        <f t="shared" si="3"/>
        <v>105</v>
      </c>
      <c r="C16" s="15" t="s">
        <v>153</v>
      </c>
      <c r="D16" s="15">
        <v>12</v>
      </c>
      <c r="E16" s="15">
        <v>2</v>
      </c>
      <c r="F16" s="15">
        <v>3</v>
      </c>
      <c r="G16" s="15">
        <v>1</v>
      </c>
      <c r="H16" s="15">
        <v>2</v>
      </c>
      <c r="I16" s="15" t="s">
        <v>154</v>
      </c>
      <c r="J16" s="16"/>
      <c r="K16" s="15" t="s">
        <v>0</v>
      </c>
      <c r="L16" s="52">
        <v>93</v>
      </c>
      <c r="M16" s="13"/>
      <c r="N16" s="14">
        <v>116</v>
      </c>
      <c r="O16" s="13"/>
      <c r="P16" s="14">
        <v>82</v>
      </c>
      <c r="Q16" s="14">
        <v>87</v>
      </c>
      <c r="R16" s="14">
        <v>95</v>
      </c>
      <c r="S16" s="6"/>
      <c r="T16" s="13"/>
      <c r="U16" s="14">
        <v>94</v>
      </c>
      <c r="V16" s="13"/>
      <c r="W16" s="14">
        <v>77</v>
      </c>
      <c r="X16" s="13"/>
      <c r="Y16" s="14">
        <v>78</v>
      </c>
      <c r="Z16" s="13"/>
      <c r="AA16" s="4">
        <f t="shared" si="0"/>
        <v>89.5</v>
      </c>
      <c r="AB16" s="4">
        <f t="shared" si="1"/>
        <v>91.25</v>
      </c>
      <c r="AC16" s="4">
        <f t="shared" si="2"/>
        <v>5.7875584950247667</v>
      </c>
      <c r="AD16" s="3"/>
      <c r="AE16" s="3"/>
      <c r="AF16" s="3"/>
      <c r="AG16" s="3"/>
      <c r="AH16" s="3"/>
      <c r="AT16" s="12" t="s">
        <v>14</v>
      </c>
      <c r="AU16" s="12"/>
      <c r="AV16" s="11"/>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row>
    <row r="17" spans="2:87" ht="24" customHeight="1" x14ac:dyDescent="0.2">
      <c r="B17" s="7">
        <f t="shared" si="3"/>
        <v>104</v>
      </c>
      <c r="C17" s="7" t="s">
        <v>149</v>
      </c>
      <c r="D17" s="7">
        <v>10</v>
      </c>
      <c r="E17" s="7">
        <v>2</v>
      </c>
      <c r="F17" s="7">
        <v>2</v>
      </c>
      <c r="G17" s="7">
        <v>1</v>
      </c>
      <c r="H17" s="7">
        <v>1</v>
      </c>
      <c r="I17" s="7" t="s">
        <v>155</v>
      </c>
      <c r="J17" s="9"/>
      <c r="K17" s="7" t="s">
        <v>2</v>
      </c>
      <c r="L17" s="51">
        <v>93</v>
      </c>
      <c r="M17" s="5"/>
      <c r="N17" s="18">
        <v>103</v>
      </c>
      <c r="O17" s="5"/>
      <c r="P17" s="18">
        <v>98</v>
      </c>
      <c r="Q17" s="18">
        <v>100</v>
      </c>
      <c r="R17" s="18">
        <v>109</v>
      </c>
      <c r="S17" s="6"/>
      <c r="T17" s="5"/>
      <c r="U17" s="18">
        <v>92</v>
      </c>
      <c r="V17" s="5"/>
      <c r="W17" s="18">
        <v>95</v>
      </c>
      <c r="X17" s="5"/>
      <c r="Y17" s="18">
        <v>97</v>
      </c>
      <c r="Z17" s="5"/>
      <c r="AA17" s="4">
        <f t="shared" si="0"/>
        <v>99.75</v>
      </c>
      <c r="AB17" s="4">
        <f t="shared" si="1"/>
        <v>96.625</v>
      </c>
      <c r="AC17" s="4">
        <f t="shared" si="2"/>
        <v>1.7099585764963237</v>
      </c>
      <c r="AD17" s="3"/>
      <c r="AE17" s="3"/>
      <c r="AF17" s="3"/>
      <c r="AG17" s="3"/>
      <c r="AH17" s="3"/>
      <c r="AT17" s="12" t="s">
        <v>7</v>
      </c>
      <c r="AU17" s="12" t="s">
        <v>13</v>
      </c>
      <c r="AV17" s="12" t="s">
        <v>12</v>
      </c>
    </row>
    <row r="18" spans="2:87" ht="24" customHeight="1" thickBot="1" x14ac:dyDescent="0.25">
      <c r="B18" s="15">
        <f t="shared" si="3"/>
        <v>104</v>
      </c>
      <c r="C18" s="15" t="s">
        <v>149</v>
      </c>
      <c r="D18" s="15">
        <v>10</v>
      </c>
      <c r="E18" s="15">
        <v>2</v>
      </c>
      <c r="F18" s="15">
        <v>2</v>
      </c>
      <c r="G18" s="15">
        <v>1</v>
      </c>
      <c r="H18" s="15">
        <v>1</v>
      </c>
      <c r="I18" s="15" t="s">
        <v>155</v>
      </c>
      <c r="J18" s="16"/>
      <c r="K18" s="15" t="s">
        <v>0</v>
      </c>
      <c r="L18" s="14">
        <v>98</v>
      </c>
      <c r="M18" s="13"/>
      <c r="N18" s="14">
        <v>89</v>
      </c>
      <c r="O18" s="13"/>
      <c r="P18" s="14">
        <v>85</v>
      </c>
      <c r="Q18" s="14">
        <v>97</v>
      </c>
      <c r="R18" s="14">
        <v>110</v>
      </c>
      <c r="S18" s="6"/>
      <c r="T18" s="13"/>
      <c r="U18" s="14">
        <v>98</v>
      </c>
      <c r="V18" s="13"/>
      <c r="W18" s="14">
        <v>124</v>
      </c>
      <c r="X18" s="13"/>
      <c r="Y18" s="14">
        <v>93</v>
      </c>
      <c r="Z18" s="13"/>
      <c r="AA18" s="4">
        <f t="shared" si="0"/>
        <v>97.5</v>
      </c>
      <c r="AB18" s="4">
        <f t="shared" si="1"/>
        <v>99.916666666666671</v>
      </c>
      <c r="AC18" s="4">
        <f t="shared" si="2"/>
        <v>5.0339127701796604</v>
      </c>
      <c r="AD18" s="3"/>
      <c r="AE18" s="3"/>
      <c r="AF18" s="3"/>
      <c r="AG18" s="3"/>
      <c r="AH18" s="3"/>
      <c r="AT18" s="12">
        <v>0</v>
      </c>
      <c r="AU18" s="12">
        <v>0</v>
      </c>
      <c r="AV18" s="11" t="s">
        <v>11</v>
      </c>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row>
    <row r="19" spans="2:87" ht="24" customHeight="1" x14ac:dyDescent="0.2">
      <c r="B19" s="7">
        <f t="shared" si="3"/>
        <v>103</v>
      </c>
      <c r="C19" s="7" t="s">
        <v>156</v>
      </c>
      <c r="D19" s="7">
        <v>5</v>
      </c>
      <c r="E19" s="7">
        <v>1</v>
      </c>
      <c r="F19" s="7">
        <v>3</v>
      </c>
      <c r="G19" s="7">
        <v>2</v>
      </c>
      <c r="H19" s="7">
        <v>1</v>
      </c>
      <c r="I19" s="7" t="s">
        <v>157</v>
      </c>
      <c r="J19" s="9"/>
      <c r="K19" s="7" t="s">
        <v>2</v>
      </c>
      <c r="L19" s="6">
        <v>100</v>
      </c>
      <c r="M19" s="5"/>
      <c r="N19" s="6">
        <v>100</v>
      </c>
      <c r="O19" s="5"/>
      <c r="P19" s="18">
        <v>96</v>
      </c>
      <c r="Q19" s="18">
        <v>98</v>
      </c>
      <c r="R19" s="18">
        <v>102</v>
      </c>
      <c r="S19" s="6"/>
      <c r="T19" s="5"/>
      <c r="U19" s="18">
        <v>100</v>
      </c>
      <c r="V19" s="5"/>
      <c r="W19" s="18">
        <v>98</v>
      </c>
      <c r="X19" s="5"/>
      <c r="Y19" s="18">
        <v>94</v>
      </c>
      <c r="Z19" s="5"/>
      <c r="AA19" s="4">
        <f t="shared" si="0"/>
        <v>99</v>
      </c>
      <c r="AB19" s="4">
        <f t="shared" si="1"/>
        <v>98.5</v>
      </c>
      <c r="AC19" s="4">
        <f t="shared" si="2"/>
        <v>0.95742710775633821</v>
      </c>
      <c r="AD19" s="3"/>
      <c r="AE19" s="3"/>
      <c r="AF19" s="3"/>
      <c r="AG19" s="3"/>
      <c r="AH19" s="3"/>
      <c r="AT19" s="12">
        <v>1</v>
      </c>
      <c r="AU19" s="12">
        <v>5</v>
      </c>
      <c r="AV19" s="12" t="s">
        <v>10</v>
      </c>
    </row>
    <row r="20" spans="2:87" ht="24" customHeight="1" thickBot="1" x14ac:dyDescent="0.25">
      <c r="B20" s="15">
        <f t="shared" si="3"/>
        <v>103</v>
      </c>
      <c r="C20" s="15" t="s">
        <v>156</v>
      </c>
      <c r="D20" s="15">
        <v>5</v>
      </c>
      <c r="E20" s="15">
        <v>1</v>
      </c>
      <c r="F20" s="15">
        <v>3</v>
      </c>
      <c r="G20" s="15">
        <v>2</v>
      </c>
      <c r="H20" s="15">
        <v>1</v>
      </c>
      <c r="I20" s="15" t="s">
        <v>157</v>
      </c>
      <c r="J20" s="16"/>
      <c r="K20" s="15" t="s">
        <v>0</v>
      </c>
      <c r="L20" s="14">
        <v>116</v>
      </c>
      <c r="M20" s="13"/>
      <c r="N20" s="14">
        <v>121</v>
      </c>
      <c r="O20" s="13"/>
      <c r="P20" s="14">
        <v>92</v>
      </c>
      <c r="Q20" s="14">
        <v>94</v>
      </c>
      <c r="R20" s="14">
        <v>97</v>
      </c>
      <c r="S20" s="6"/>
      <c r="T20" s="13"/>
      <c r="U20" s="14">
        <v>100</v>
      </c>
      <c r="V20" s="13"/>
      <c r="W20" s="14">
        <v>92</v>
      </c>
      <c r="X20" s="13"/>
      <c r="Y20" s="14">
        <v>88</v>
      </c>
      <c r="Z20" s="13"/>
      <c r="AA20" s="4">
        <f t="shared" si="0"/>
        <v>95.75</v>
      </c>
      <c r="AB20" s="4">
        <f t="shared" si="1"/>
        <v>102.125</v>
      </c>
      <c r="AC20" s="4">
        <f t="shared" si="2"/>
        <v>5.4649451049392992</v>
      </c>
      <c r="AD20" s="3"/>
      <c r="AE20" s="3"/>
      <c r="AF20" s="3"/>
      <c r="AG20" s="3"/>
      <c r="AH20" s="3"/>
      <c r="AT20" s="12">
        <v>2</v>
      </c>
      <c r="AU20" s="12">
        <v>10</v>
      </c>
      <c r="AV20" s="11" t="s">
        <v>10</v>
      </c>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row>
    <row r="21" spans="2:87" ht="24" customHeight="1" x14ac:dyDescent="0.2">
      <c r="B21" s="7">
        <f t="shared" si="3"/>
        <v>102</v>
      </c>
      <c r="C21" s="7" t="s">
        <v>158</v>
      </c>
      <c r="D21" s="7">
        <v>4</v>
      </c>
      <c r="E21" s="7">
        <v>1</v>
      </c>
      <c r="F21" s="7">
        <v>2</v>
      </c>
      <c r="G21" s="7">
        <v>1</v>
      </c>
      <c r="H21" s="7">
        <v>1</v>
      </c>
      <c r="I21" s="7" t="s">
        <v>159</v>
      </c>
      <c r="J21" s="9"/>
      <c r="K21" s="7" t="s">
        <v>2</v>
      </c>
      <c r="L21" s="6">
        <v>79</v>
      </c>
      <c r="M21" s="5"/>
      <c r="N21" s="6">
        <v>97</v>
      </c>
      <c r="O21" s="5"/>
      <c r="P21" s="6">
        <v>83</v>
      </c>
      <c r="Q21" s="6">
        <v>87</v>
      </c>
      <c r="R21" s="6">
        <v>89</v>
      </c>
      <c r="S21" s="6"/>
      <c r="T21" s="5"/>
      <c r="U21" s="6">
        <v>89</v>
      </c>
      <c r="V21" s="5"/>
      <c r="W21" s="6">
        <v>92</v>
      </c>
      <c r="X21" s="5"/>
      <c r="Y21" s="6">
        <v>93</v>
      </c>
      <c r="Z21" s="5"/>
      <c r="AA21" s="4">
        <f t="shared" si="0"/>
        <v>87</v>
      </c>
      <c r="AB21" s="4">
        <f t="shared" si="1"/>
        <v>89.5</v>
      </c>
      <c r="AC21" s="4">
        <f t="shared" si="2"/>
        <v>2.5265259415516268</v>
      </c>
      <c r="AD21" s="3"/>
      <c r="AE21" s="3"/>
      <c r="AF21" s="3"/>
      <c r="AG21" s="3"/>
      <c r="AH21" s="3"/>
      <c r="AT21" s="12">
        <v>3</v>
      </c>
      <c r="AU21" s="12">
        <v>20</v>
      </c>
      <c r="AV21" s="12" t="s">
        <v>9</v>
      </c>
    </row>
    <row r="22" spans="2:87" ht="24" customHeight="1" thickBot="1" x14ac:dyDescent="0.25">
      <c r="B22" s="15">
        <f t="shared" si="3"/>
        <v>102</v>
      </c>
      <c r="C22" s="15" t="s">
        <v>158</v>
      </c>
      <c r="D22" s="15">
        <v>4</v>
      </c>
      <c r="E22" s="15">
        <v>1</v>
      </c>
      <c r="F22" s="15">
        <v>2</v>
      </c>
      <c r="G22" s="15">
        <v>1</v>
      </c>
      <c r="H22" s="15">
        <v>1</v>
      </c>
      <c r="I22" s="15" t="s">
        <v>159</v>
      </c>
      <c r="J22" s="16"/>
      <c r="K22" s="15" t="s">
        <v>0</v>
      </c>
      <c r="L22" s="14">
        <v>112</v>
      </c>
      <c r="M22" s="13"/>
      <c r="N22" s="14">
        <v>85</v>
      </c>
      <c r="O22" s="13"/>
      <c r="P22" s="14">
        <v>90</v>
      </c>
      <c r="Q22" s="14">
        <v>80</v>
      </c>
      <c r="R22" s="14">
        <v>84</v>
      </c>
      <c r="S22" s="6"/>
      <c r="T22" s="13"/>
      <c r="U22" s="14">
        <v>97</v>
      </c>
      <c r="V22" s="13"/>
      <c r="W22" s="14">
        <v>100</v>
      </c>
      <c r="X22" s="13"/>
      <c r="Y22" s="14">
        <v>91</v>
      </c>
      <c r="Z22" s="13"/>
      <c r="AA22" s="4">
        <f t="shared" si="0"/>
        <v>87.75</v>
      </c>
      <c r="AB22" s="4">
        <f t="shared" si="1"/>
        <v>95.458333333333329</v>
      </c>
      <c r="AC22" s="4">
        <f t="shared" si="2"/>
        <v>4.0220313413884679</v>
      </c>
      <c r="AD22" s="3"/>
      <c r="AE22" s="3"/>
      <c r="AF22" s="3"/>
      <c r="AG22" s="3"/>
      <c r="AH22" s="3"/>
      <c r="AT22" s="12"/>
      <c r="AU22" s="12"/>
      <c r="AV22" s="11"/>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row>
    <row r="23" spans="2:87" ht="24" customHeight="1" x14ac:dyDescent="0.2">
      <c r="B23" s="7">
        <f t="shared" si="3"/>
        <v>101</v>
      </c>
      <c r="C23" s="7" t="s">
        <v>160</v>
      </c>
      <c r="D23" s="7">
        <v>1</v>
      </c>
      <c r="E23" s="7">
        <v>1</v>
      </c>
      <c r="F23" s="7">
        <v>1</v>
      </c>
      <c r="G23" s="7">
        <v>2</v>
      </c>
      <c r="H23" s="7">
        <v>1</v>
      </c>
      <c r="I23" s="7" t="s">
        <v>161</v>
      </c>
      <c r="J23" s="9"/>
      <c r="K23" s="7" t="s">
        <v>2</v>
      </c>
      <c r="L23" s="50">
        <v>94</v>
      </c>
      <c r="M23" s="5"/>
      <c r="N23" s="6">
        <v>87</v>
      </c>
      <c r="O23" s="5"/>
      <c r="P23" s="6">
        <v>93</v>
      </c>
      <c r="Q23" s="6">
        <v>95</v>
      </c>
      <c r="R23" s="6">
        <v>98</v>
      </c>
      <c r="S23" s="6"/>
      <c r="T23" s="5"/>
      <c r="U23" s="6">
        <v>97</v>
      </c>
      <c r="V23" s="5"/>
      <c r="W23" s="6">
        <v>89</v>
      </c>
      <c r="X23" s="5"/>
      <c r="Y23" s="6">
        <v>93</v>
      </c>
      <c r="Z23" s="5"/>
      <c r="AA23" s="4">
        <f t="shared" si="0"/>
        <v>95.75</v>
      </c>
      <c r="AB23" s="4">
        <f t="shared" si="1"/>
        <v>92.625</v>
      </c>
      <c r="AC23" s="4">
        <f t="shared" si="2"/>
        <v>1.5886970552416009</v>
      </c>
      <c r="AD23" s="3"/>
      <c r="AE23" s="3"/>
      <c r="AF23" s="3"/>
      <c r="AG23" s="3"/>
      <c r="AH23" s="3"/>
      <c r="AT23" s="2" t="s">
        <v>8</v>
      </c>
      <c r="AU23" s="2"/>
      <c r="AV23" s="2"/>
    </row>
    <row r="24" spans="2:87" ht="24" customHeight="1" thickBot="1" x14ac:dyDescent="0.25">
      <c r="B24" s="15">
        <f t="shared" si="3"/>
        <v>101</v>
      </c>
      <c r="C24" s="15" t="s">
        <v>160</v>
      </c>
      <c r="D24" s="15">
        <v>1</v>
      </c>
      <c r="E24" s="15">
        <v>1</v>
      </c>
      <c r="F24" s="15">
        <v>1</v>
      </c>
      <c r="G24" s="15">
        <v>2</v>
      </c>
      <c r="H24" s="15">
        <v>1</v>
      </c>
      <c r="I24" s="15" t="s">
        <v>161</v>
      </c>
      <c r="J24" s="16"/>
      <c r="K24" s="15" t="s">
        <v>0</v>
      </c>
      <c r="L24" s="14">
        <v>114</v>
      </c>
      <c r="M24" s="13"/>
      <c r="N24" s="14">
        <v>131</v>
      </c>
      <c r="O24" s="13"/>
      <c r="P24" s="14">
        <v>91</v>
      </c>
      <c r="Q24" s="14">
        <v>90</v>
      </c>
      <c r="R24" s="14">
        <v>96</v>
      </c>
      <c r="S24" s="6"/>
      <c r="T24" s="13"/>
      <c r="U24" s="14">
        <v>104</v>
      </c>
      <c r="V24" s="13"/>
      <c r="W24" s="14">
        <v>88</v>
      </c>
      <c r="X24" s="13"/>
      <c r="Y24" s="14">
        <v>86</v>
      </c>
      <c r="Z24" s="13"/>
      <c r="AA24" s="4">
        <f t="shared" si="0"/>
        <v>95.25</v>
      </c>
      <c r="AB24" s="4">
        <f t="shared" si="1"/>
        <v>103.04166666666667</v>
      </c>
      <c r="AC24" s="4">
        <f t="shared" si="2"/>
        <v>7.023892755761902</v>
      </c>
      <c r="AD24" s="3"/>
      <c r="AE24" s="3"/>
      <c r="AF24" s="3"/>
      <c r="AG24" s="3"/>
      <c r="AH24" s="3"/>
      <c r="AT24" s="12" t="s">
        <v>7</v>
      </c>
      <c r="AU24" s="12" t="s">
        <v>6</v>
      </c>
      <c r="AV24" s="11" t="s">
        <v>5</v>
      </c>
      <c r="AW24" s="10"/>
      <c r="AX24" s="10"/>
      <c r="AY24" s="10"/>
      <c r="AZ24" s="10"/>
      <c r="BA24" s="10"/>
      <c r="BB24" s="10"/>
      <c r="BC24" s="10"/>
      <c r="BD24" s="10"/>
      <c r="BE24" s="10"/>
      <c r="BF24" s="10"/>
      <c r="BG24" s="10"/>
      <c r="BH24" s="10"/>
      <c r="BI24" s="10"/>
      <c r="BJ24" s="10"/>
      <c r="BK24" s="10"/>
      <c r="BL24" s="10"/>
      <c r="BM24" s="10"/>
      <c r="BN24" s="10"/>
      <c r="BO24" s="10"/>
      <c r="BP24" s="10"/>
      <c r="BQ24" s="10"/>
      <c r="BR24" s="10"/>
      <c r="BS24" s="10"/>
      <c r="BT24" s="10"/>
      <c r="BU24" s="10"/>
      <c r="BV24" s="10"/>
      <c r="BW24" s="10"/>
      <c r="BX24" s="10"/>
      <c r="BY24" s="10"/>
      <c r="BZ24" s="10"/>
      <c r="CA24" s="10"/>
      <c r="CB24" s="10"/>
      <c r="CC24" s="10"/>
      <c r="CD24" s="10"/>
      <c r="CE24" s="10"/>
      <c r="CF24" s="10"/>
      <c r="CG24" s="10"/>
      <c r="CH24" s="10"/>
      <c r="CI24" s="10"/>
    </row>
    <row r="25" spans="2:87" ht="24" customHeight="1" x14ac:dyDescent="0.2">
      <c r="B25" s="7">
        <f>B23+100</f>
        <v>201</v>
      </c>
      <c r="C25" s="7" t="s">
        <v>153</v>
      </c>
      <c r="D25" s="7">
        <v>12</v>
      </c>
      <c r="E25" s="7">
        <v>2</v>
      </c>
      <c r="F25" s="7">
        <v>3</v>
      </c>
      <c r="G25" s="7">
        <v>1</v>
      </c>
      <c r="H25" s="7">
        <v>1</v>
      </c>
      <c r="I25" s="7" t="s">
        <v>162</v>
      </c>
      <c r="J25" s="7"/>
      <c r="K25" s="7" t="s">
        <v>2</v>
      </c>
      <c r="L25" s="6">
        <v>102</v>
      </c>
      <c r="M25" s="6"/>
      <c r="N25" s="6">
        <v>98</v>
      </c>
      <c r="O25" s="6"/>
      <c r="P25" s="6">
        <v>98</v>
      </c>
      <c r="Q25" s="6">
        <v>99</v>
      </c>
      <c r="R25" s="6">
        <v>103</v>
      </c>
      <c r="S25" s="6"/>
      <c r="T25" s="6"/>
      <c r="U25" s="6">
        <v>97</v>
      </c>
      <c r="V25" s="6"/>
      <c r="W25" s="6">
        <v>99</v>
      </c>
      <c r="X25" s="6"/>
      <c r="Y25" s="6">
        <v>104</v>
      </c>
      <c r="Z25" s="6"/>
      <c r="AA25" s="4">
        <f t="shared" si="0"/>
        <v>99.25</v>
      </c>
      <c r="AB25" s="4">
        <f t="shared" si="1"/>
        <v>99.875</v>
      </c>
      <c r="AC25" s="4">
        <f t="shared" si="2"/>
        <v>1.0718947398571061</v>
      </c>
      <c r="AD25" s="3"/>
      <c r="AE25" s="3"/>
      <c r="AF25" s="3"/>
      <c r="AG25" s="3"/>
      <c r="AH25" s="3"/>
      <c r="AT25" s="12">
        <v>1</v>
      </c>
      <c r="AU25" s="12" t="s">
        <v>4</v>
      </c>
      <c r="AV25" s="12">
        <v>0</v>
      </c>
    </row>
    <row r="26" spans="2:87" ht="24" customHeight="1" thickBot="1" x14ac:dyDescent="0.25">
      <c r="B26" s="15">
        <f>B24+100</f>
        <v>201</v>
      </c>
      <c r="C26" s="15" t="s">
        <v>153</v>
      </c>
      <c r="D26" s="15">
        <v>12</v>
      </c>
      <c r="E26" s="15">
        <v>2</v>
      </c>
      <c r="F26" s="15">
        <v>3</v>
      </c>
      <c r="G26" s="15">
        <v>1</v>
      </c>
      <c r="H26" s="15">
        <v>1</v>
      </c>
      <c r="I26" s="15" t="s">
        <v>162</v>
      </c>
      <c r="J26" s="16"/>
      <c r="K26" s="15" t="s">
        <v>0</v>
      </c>
      <c r="L26" s="14">
        <v>97</v>
      </c>
      <c r="M26" s="13"/>
      <c r="N26" s="14">
        <v>93</v>
      </c>
      <c r="O26" s="13"/>
      <c r="P26" s="14">
        <v>98</v>
      </c>
      <c r="Q26" s="14">
        <v>100</v>
      </c>
      <c r="R26" s="14">
        <v>89</v>
      </c>
      <c r="S26" s="6"/>
      <c r="T26" s="13"/>
      <c r="U26" s="14">
        <v>81</v>
      </c>
      <c r="V26" s="13"/>
      <c r="W26" s="14">
        <v>92</v>
      </c>
      <c r="X26" s="13"/>
      <c r="Y26" s="14">
        <v>96</v>
      </c>
      <c r="Z26" s="13"/>
      <c r="AA26" s="4">
        <f t="shared" si="0"/>
        <v>92</v>
      </c>
      <c r="AB26" s="4">
        <f t="shared" si="1"/>
        <v>91.833333333333329</v>
      </c>
      <c r="AC26" s="4">
        <f t="shared" si="2"/>
        <v>2.3297591673342071</v>
      </c>
      <c r="AD26" s="3"/>
      <c r="AE26" s="3"/>
      <c r="AF26" s="3"/>
      <c r="AG26" s="3"/>
      <c r="AH26" s="3"/>
      <c r="AT26" s="12">
        <v>2</v>
      </c>
      <c r="AU26" s="12" t="s">
        <v>3</v>
      </c>
      <c r="AV26" s="11">
        <v>150</v>
      </c>
      <c r="AW26" s="10"/>
      <c r="AX26" s="10"/>
      <c r="AY26" s="10"/>
      <c r="AZ26" s="10"/>
      <c r="BA26" s="10"/>
      <c r="BB26" s="10"/>
      <c r="BC26" s="10"/>
      <c r="BD26" s="10"/>
      <c r="BE26" s="10"/>
      <c r="BF26" s="10"/>
      <c r="BG26" s="10"/>
      <c r="BH26" s="10"/>
      <c r="BI26" s="10"/>
      <c r="BJ26" s="10"/>
      <c r="BK26" s="10"/>
      <c r="BL26" s="10"/>
      <c r="BM26" s="10"/>
      <c r="BN26" s="10"/>
      <c r="BO26" s="10"/>
      <c r="BP26" s="10"/>
      <c r="BQ26" s="10"/>
      <c r="BR26" s="10"/>
      <c r="BS26" s="10"/>
      <c r="BT26" s="10"/>
      <c r="BU26" s="10"/>
      <c r="BV26" s="10"/>
      <c r="BW26" s="10"/>
      <c r="BX26" s="10"/>
      <c r="BY26" s="10"/>
      <c r="BZ26" s="10"/>
      <c r="CA26" s="10"/>
      <c r="CB26" s="10"/>
      <c r="CC26" s="10"/>
      <c r="CD26" s="10"/>
      <c r="CE26" s="10"/>
      <c r="CF26" s="10"/>
      <c r="CG26" s="10"/>
      <c r="CH26" s="10"/>
      <c r="CI26" s="10"/>
    </row>
    <row r="27" spans="2:87" ht="24" customHeight="1" x14ac:dyDescent="0.2">
      <c r="B27" s="7">
        <f t="shared" ref="B27:B40" si="4">B25+1</f>
        <v>202</v>
      </c>
      <c r="C27" s="7" t="s">
        <v>151</v>
      </c>
      <c r="D27" s="7">
        <v>9</v>
      </c>
      <c r="E27" s="7">
        <v>2</v>
      </c>
      <c r="F27" s="7">
        <v>2</v>
      </c>
      <c r="G27" s="7">
        <v>2</v>
      </c>
      <c r="H27" s="7">
        <v>1</v>
      </c>
      <c r="I27" s="7" t="s">
        <v>163</v>
      </c>
      <c r="J27" s="9"/>
      <c r="K27" s="7" t="s">
        <v>2</v>
      </c>
      <c r="L27" s="6">
        <v>99</v>
      </c>
      <c r="M27" s="6"/>
      <c r="N27" s="6">
        <v>89</v>
      </c>
      <c r="O27" s="6"/>
      <c r="P27" s="6">
        <v>100</v>
      </c>
      <c r="Q27" s="6">
        <v>97</v>
      </c>
      <c r="R27" s="6">
        <v>93</v>
      </c>
      <c r="S27" s="6"/>
      <c r="T27" s="6"/>
      <c r="U27" s="6">
        <v>85</v>
      </c>
      <c r="V27" s="6"/>
      <c r="W27" s="6">
        <v>88</v>
      </c>
      <c r="X27" s="6"/>
      <c r="Y27" s="6">
        <v>92</v>
      </c>
      <c r="Z27" s="6"/>
      <c r="AA27" s="4">
        <f t="shared" si="0"/>
        <v>93.75</v>
      </c>
      <c r="AB27" s="4">
        <f t="shared" si="1"/>
        <v>91.125</v>
      </c>
      <c r="AC27" s="4">
        <f t="shared" si="2"/>
        <v>2.0122023589423939</v>
      </c>
      <c r="AD27" s="3"/>
      <c r="AE27" s="3"/>
      <c r="AF27" s="3"/>
      <c r="AG27" s="3"/>
      <c r="AH27" s="3"/>
    </row>
    <row r="28" spans="2:87" ht="24" customHeight="1" thickBot="1" x14ac:dyDescent="0.25">
      <c r="B28" s="15">
        <f t="shared" si="4"/>
        <v>202</v>
      </c>
      <c r="C28" s="15" t="s">
        <v>151</v>
      </c>
      <c r="D28" s="15">
        <v>9</v>
      </c>
      <c r="E28" s="15">
        <v>2</v>
      </c>
      <c r="F28" s="15">
        <v>2</v>
      </c>
      <c r="G28" s="15">
        <v>2</v>
      </c>
      <c r="H28" s="15">
        <v>1</v>
      </c>
      <c r="I28" s="15" t="s">
        <v>163</v>
      </c>
      <c r="J28" s="16"/>
      <c r="K28" s="15" t="s">
        <v>0</v>
      </c>
      <c r="L28" s="14">
        <v>116</v>
      </c>
      <c r="M28" s="13"/>
      <c r="N28" s="14">
        <v>121</v>
      </c>
      <c r="O28" s="13"/>
      <c r="P28" s="14">
        <v>97</v>
      </c>
      <c r="Q28" s="14">
        <v>90</v>
      </c>
      <c r="R28" s="14">
        <v>91</v>
      </c>
      <c r="S28" s="6"/>
      <c r="T28" s="13"/>
      <c r="U28" s="14">
        <v>110</v>
      </c>
      <c r="V28" s="13"/>
      <c r="W28" s="14">
        <v>100</v>
      </c>
      <c r="X28" s="13"/>
      <c r="Y28" s="14">
        <v>123</v>
      </c>
      <c r="Z28" s="13"/>
      <c r="AA28" s="4">
        <f t="shared" si="0"/>
        <v>97</v>
      </c>
      <c r="AB28" s="4">
        <f t="shared" si="1"/>
        <v>111.16666666666667</v>
      </c>
      <c r="AC28" s="4">
        <f t="shared" si="2"/>
        <v>4.4227944911685775</v>
      </c>
      <c r="AD28" s="3"/>
      <c r="AE28" s="3"/>
      <c r="AF28" s="3"/>
      <c r="AG28" s="3"/>
      <c r="AH28" s="3"/>
      <c r="AT28" s="12"/>
      <c r="AU28" s="12"/>
      <c r="AV28" s="11"/>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row>
    <row r="29" spans="2:87" ht="24" customHeight="1" x14ac:dyDescent="0.2">
      <c r="B29" s="7">
        <f t="shared" si="4"/>
        <v>203</v>
      </c>
      <c r="C29" s="7" t="s">
        <v>147</v>
      </c>
      <c r="D29" s="7">
        <v>3</v>
      </c>
      <c r="E29" s="7">
        <v>1</v>
      </c>
      <c r="F29" s="7">
        <v>2</v>
      </c>
      <c r="G29" s="7">
        <v>2</v>
      </c>
      <c r="H29" s="7">
        <v>1</v>
      </c>
      <c r="I29" s="7" t="s">
        <v>164</v>
      </c>
      <c r="J29" s="9"/>
      <c r="K29" s="7" t="s">
        <v>2</v>
      </c>
      <c r="L29" s="6">
        <v>98</v>
      </c>
      <c r="M29" s="6"/>
      <c r="N29" s="6">
        <v>90</v>
      </c>
      <c r="O29" s="6"/>
      <c r="P29" s="6">
        <v>99</v>
      </c>
      <c r="Q29" s="6">
        <v>100</v>
      </c>
      <c r="R29" s="6">
        <v>107</v>
      </c>
      <c r="S29" s="6"/>
      <c r="T29" s="6"/>
      <c r="U29" s="6">
        <v>103</v>
      </c>
      <c r="V29" s="6"/>
      <c r="W29" s="6">
        <v>100</v>
      </c>
      <c r="X29" s="6"/>
      <c r="Y29" s="6">
        <v>100</v>
      </c>
      <c r="Z29" s="6"/>
      <c r="AA29" s="4">
        <f t="shared" si="0"/>
        <v>102.25</v>
      </c>
      <c r="AB29" s="4">
        <f t="shared" si="1"/>
        <v>98.875</v>
      </c>
      <c r="AC29" s="4">
        <f t="shared" si="2"/>
        <v>1.9189298232782428</v>
      </c>
      <c r="AD29" s="3"/>
      <c r="AE29" s="3"/>
      <c r="AF29" s="3"/>
      <c r="AG29" s="3"/>
      <c r="AH29" s="3"/>
    </row>
    <row r="30" spans="2:87" ht="24" customHeight="1" thickBot="1" x14ac:dyDescent="0.25">
      <c r="B30" s="15">
        <f t="shared" si="4"/>
        <v>203</v>
      </c>
      <c r="C30" s="15" t="s">
        <v>147</v>
      </c>
      <c r="D30" s="15">
        <v>3</v>
      </c>
      <c r="E30" s="15">
        <v>1</v>
      </c>
      <c r="F30" s="15">
        <v>2</v>
      </c>
      <c r="G30" s="15">
        <v>2</v>
      </c>
      <c r="H30" s="15">
        <v>1</v>
      </c>
      <c r="I30" s="15" t="s">
        <v>164</v>
      </c>
      <c r="J30" s="16"/>
      <c r="K30" s="15" t="s">
        <v>0</v>
      </c>
      <c r="L30" s="14">
        <v>97</v>
      </c>
      <c r="M30" s="13"/>
      <c r="N30" s="14">
        <v>123</v>
      </c>
      <c r="O30" s="13"/>
      <c r="P30" s="14">
        <v>120</v>
      </c>
      <c r="Q30" s="14">
        <v>105</v>
      </c>
      <c r="R30" s="14">
        <v>111</v>
      </c>
      <c r="S30" s="6"/>
      <c r="T30" s="13"/>
      <c r="U30" s="14">
        <v>121</v>
      </c>
      <c r="V30" s="13"/>
      <c r="W30" s="14">
        <v>98</v>
      </c>
      <c r="X30" s="13"/>
      <c r="Y30" s="14">
        <v>130</v>
      </c>
      <c r="Z30" s="13"/>
      <c r="AA30" s="4">
        <f t="shared" si="0"/>
        <v>114.25</v>
      </c>
      <c r="AB30" s="4">
        <f t="shared" si="1"/>
        <v>113.875</v>
      </c>
      <c r="AC30" s="4">
        <f t="shared" si="2"/>
        <v>5.570663485319022</v>
      </c>
      <c r="AD30" s="3"/>
      <c r="AE30" s="3"/>
      <c r="AF30" s="3"/>
      <c r="AG30" s="3"/>
      <c r="AH30" s="3"/>
      <c r="AT30" s="12"/>
      <c r="AU30" s="12"/>
      <c r="AV30" s="11"/>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row>
    <row r="31" spans="2:87" ht="24" customHeight="1" x14ac:dyDescent="0.2">
      <c r="B31" s="7">
        <f t="shared" si="4"/>
        <v>204</v>
      </c>
      <c r="C31" s="7" t="s">
        <v>165</v>
      </c>
      <c r="D31" s="7">
        <v>11</v>
      </c>
      <c r="E31" s="7">
        <v>2</v>
      </c>
      <c r="F31" s="7">
        <v>3</v>
      </c>
      <c r="G31" s="7">
        <v>2</v>
      </c>
      <c r="H31" s="7">
        <v>1</v>
      </c>
      <c r="I31" s="7" t="s">
        <v>166</v>
      </c>
      <c r="J31" s="9"/>
      <c r="K31" s="7" t="s">
        <v>2</v>
      </c>
      <c r="L31" s="6">
        <v>100</v>
      </c>
      <c r="M31" s="6"/>
      <c r="N31" s="6">
        <v>100</v>
      </c>
      <c r="O31" s="6"/>
      <c r="P31" s="6">
        <v>100</v>
      </c>
      <c r="Q31" s="6">
        <v>100</v>
      </c>
      <c r="R31" s="6">
        <v>100</v>
      </c>
      <c r="S31" s="6"/>
      <c r="T31" s="6"/>
      <c r="U31" s="6">
        <v>100</v>
      </c>
      <c r="V31" s="6"/>
      <c r="W31" s="6">
        <v>100</v>
      </c>
      <c r="X31" s="6"/>
      <c r="Y31" s="6">
        <v>100</v>
      </c>
      <c r="Z31" s="6"/>
      <c r="AA31" s="4">
        <f t="shared" si="0"/>
        <v>100</v>
      </c>
      <c r="AB31" s="4">
        <f t="shared" si="1"/>
        <v>100</v>
      </c>
      <c r="AC31" s="4">
        <f t="shared" si="2"/>
        <v>0</v>
      </c>
      <c r="AD31" s="3"/>
      <c r="AE31" s="3"/>
      <c r="AF31" s="3"/>
      <c r="AG31" s="3"/>
      <c r="AH31" s="3"/>
    </row>
    <row r="32" spans="2:87" ht="24" customHeight="1" thickBot="1" x14ac:dyDescent="0.25">
      <c r="B32" s="15">
        <f t="shared" si="4"/>
        <v>204</v>
      </c>
      <c r="C32" s="15" t="s">
        <v>165</v>
      </c>
      <c r="D32" s="15">
        <v>11</v>
      </c>
      <c r="E32" s="15">
        <v>2</v>
      </c>
      <c r="F32" s="15">
        <v>3</v>
      </c>
      <c r="G32" s="15">
        <v>2</v>
      </c>
      <c r="H32" s="15">
        <v>1</v>
      </c>
      <c r="I32" s="15" t="s">
        <v>166</v>
      </c>
      <c r="J32" s="16"/>
      <c r="K32" s="15" t="s">
        <v>0</v>
      </c>
      <c r="L32" s="14">
        <v>125</v>
      </c>
      <c r="M32" s="13"/>
      <c r="N32" s="14">
        <v>111</v>
      </c>
      <c r="O32" s="13"/>
      <c r="P32" s="14">
        <v>100</v>
      </c>
      <c r="Q32" s="14">
        <v>115</v>
      </c>
      <c r="R32" s="14">
        <v>111</v>
      </c>
      <c r="S32" s="6"/>
      <c r="T32" s="13"/>
      <c r="U32" s="14">
        <v>126</v>
      </c>
      <c r="V32" s="13"/>
      <c r="W32" s="14">
        <v>127</v>
      </c>
      <c r="X32" s="13"/>
      <c r="Y32" s="14">
        <v>106</v>
      </c>
      <c r="Z32" s="13"/>
      <c r="AA32" s="4">
        <f t="shared" si="0"/>
        <v>113</v>
      </c>
      <c r="AB32" s="4">
        <f t="shared" si="1"/>
        <v>118</v>
      </c>
      <c r="AC32" s="4">
        <f t="shared" si="2"/>
        <v>3.7058512292499461</v>
      </c>
      <c r="AD32" s="3"/>
      <c r="AE32" s="3"/>
      <c r="AF32" s="3"/>
      <c r="AG32" s="3"/>
      <c r="AH32" s="3"/>
      <c r="AT32" s="12"/>
      <c r="AU32" s="12"/>
      <c r="AV32" s="11"/>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row>
    <row r="33" spans="2:87" ht="24" customHeight="1" x14ac:dyDescent="0.2">
      <c r="B33" s="7">
        <f t="shared" si="4"/>
        <v>205</v>
      </c>
      <c r="C33" s="7" t="s">
        <v>160</v>
      </c>
      <c r="D33" s="7">
        <v>1</v>
      </c>
      <c r="E33" s="7">
        <v>1</v>
      </c>
      <c r="F33" s="7">
        <v>1</v>
      </c>
      <c r="G33" s="7">
        <v>2</v>
      </c>
      <c r="H33" s="7">
        <v>2</v>
      </c>
      <c r="I33" s="7" t="s">
        <v>167</v>
      </c>
      <c r="J33" s="9"/>
      <c r="K33" s="7" t="s">
        <v>2</v>
      </c>
      <c r="L33" s="6">
        <v>100</v>
      </c>
      <c r="M33" s="6"/>
      <c r="N33" s="6">
        <v>89</v>
      </c>
      <c r="O33" s="6"/>
      <c r="P33" s="6">
        <v>100</v>
      </c>
      <c r="Q33" s="6">
        <v>105</v>
      </c>
      <c r="R33" s="6">
        <v>108</v>
      </c>
      <c r="S33" s="6"/>
      <c r="T33" s="6"/>
      <c r="U33" s="6">
        <v>102</v>
      </c>
      <c r="V33" s="6"/>
      <c r="W33" s="6">
        <v>98</v>
      </c>
      <c r="X33" s="6"/>
      <c r="Y33" s="6">
        <v>102</v>
      </c>
      <c r="Z33" s="6"/>
      <c r="AA33" s="4">
        <f t="shared" si="0"/>
        <v>103.75</v>
      </c>
      <c r="AB33" s="4">
        <f t="shared" si="1"/>
        <v>99.125</v>
      </c>
      <c r="AC33" s="4">
        <f t="shared" si="2"/>
        <v>2.1792104839444337</v>
      </c>
      <c r="AD33" s="3"/>
      <c r="AE33" s="3"/>
      <c r="AF33" s="3"/>
      <c r="AG33" s="3"/>
      <c r="AH33" s="3"/>
    </row>
    <row r="34" spans="2:87" ht="24" customHeight="1" thickBot="1" x14ac:dyDescent="0.25">
      <c r="B34" s="15">
        <f t="shared" si="4"/>
        <v>205</v>
      </c>
      <c r="C34" s="15" t="s">
        <v>160</v>
      </c>
      <c r="D34" s="15">
        <v>1</v>
      </c>
      <c r="E34" s="15">
        <v>1</v>
      </c>
      <c r="F34" s="15">
        <v>1</v>
      </c>
      <c r="G34" s="15">
        <v>2</v>
      </c>
      <c r="H34" s="15">
        <v>2</v>
      </c>
      <c r="I34" s="15" t="s">
        <v>167</v>
      </c>
      <c r="J34" s="16"/>
      <c r="K34" s="15" t="s">
        <v>0</v>
      </c>
      <c r="L34" s="14">
        <v>110</v>
      </c>
      <c r="M34" s="13"/>
      <c r="N34" s="14">
        <v>111</v>
      </c>
      <c r="O34" s="13"/>
      <c r="P34" s="14">
        <v>120</v>
      </c>
      <c r="Q34" s="14">
        <v>113</v>
      </c>
      <c r="R34" s="14">
        <v>110</v>
      </c>
      <c r="S34" s="6"/>
      <c r="T34" s="13"/>
      <c r="U34" s="14">
        <v>109</v>
      </c>
      <c r="V34" s="13"/>
      <c r="W34" s="14">
        <v>111</v>
      </c>
      <c r="X34" s="13"/>
      <c r="Y34" s="14">
        <v>98</v>
      </c>
      <c r="Z34" s="13"/>
      <c r="AA34" s="4">
        <f t="shared" si="0"/>
        <v>113</v>
      </c>
      <c r="AB34" s="4">
        <f t="shared" si="1"/>
        <v>108.66666666666667</v>
      </c>
      <c r="AC34" s="4">
        <f t="shared" si="2"/>
        <v>2.2010098692292241</v>
      </c>
      <c r="AD34" s="3"/>
      <c r="AE34" s="3"/>
      <c r="AF34" s="3"/>
      <c r="AG34" s="3"/>
      <c r="AH34" s="3"/>
      <c r="AT34" s="12"/>
      <c r="AU34" s="12"/>
      <c r="AV34" s="11"/>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row>
    <row r="35" spans="2:87" ht="24" customHeight="1" x14ac:dyDescent="0.2">
      <c r="B35" s="7">
        <f t="shared" si="4"/>
        <v>206</v>
      </c>
      <c r="C35" s="7" t="s">
        <v>168</v>
      </c>
      <c r="D35" s="7">
        <v>8</v>
      </c>
      <c r="E35" s="7">
        <v>2</v>
      </c>
      <c r="F35" s="7">
        <v>1</v>
      </c>
      <c r="G35" s="7">
        <v>1</v>
      </c>
      <c r="H35" s="7">
        <v>2</v>
      </c>
      <c r="I35" s="7" t="s">
        <v>169</v>
      </c>
      <c r="J35" s="9"/>
      <c r="K35" s="7" t="s">
        <v>2</v>
      </c>
      <c r="L35" s="6">
        <v>97</v>
      </c>
      <c r="M35" s="6"/>
      <c r="N35" s="6">
        <v>82</v>
      </c>
      <c r="O35" s="6"/>
      <c r="P35" s="6">
        <v>98</v>
      </c>
      <c r="Q35" s="6">
        <v>93</v>
      </c>
      <c r="R35" s="6">
        <v>87</v>
      </c>
      <c r="S35" s="6">
        <v>95</v>
      </c>
      <c r="T35" s="6">
        <v>102</v>
      </c>
      <c r="U35" s="6">
        <v>90</v>
      </c>
      <c r="V35" s="6"/>
      <c r="W35" s="6">
        <v>82</v>
      </c>
      <c r="X35" s="6"/>
      <c r="Y35" s="6">
        <v>95</v>
      </c>
      <c r="Z35" s="6"/>
      <c r="AA35" s="4">
        <f t="shared" si="0"/>
        <v>94.166666666666671</v>
      </c>
      <c r="AB35" s="4">
        <f t="shared" si="1"/>
        <v>90.027777777777786</v>
      </c>
      <c r="AC35" s="4">
        <f t="shared" si="2"/>
        <v>2.7040493183463545</v>
      </c>
      <c r="AD35" s="3"/>
      <c r="AE35" s="3"/>
      <c r="AF35" s="3"/>
      <c r="AG35" s="3"/>
      <c r="AH35" s="3"/>
    </row>
    <row r="36" spans="2:87" ht="24" customHeight="1" thickBot="1" x14ac:dyDescent="0.25">
      <c r="B36" s="15">
        <f t="shared" si="4"/>
        <v>206</v>
      </c>
      <c r="C36" s="15" t="s">
        <v>168</v>
      </c>
      <c r="D36" s="15">
        <v>8</v>
      </c>
      <c r="E36" s="15">
        <v>2</v>
      </c>
      <c r="F36" s="15">
        <v>1</v>
      </c>
      <c r="G36" s="15">
        <v>1</v>
      </c>
      <c r="H36" s="15">
        <v>2</v>
      </c>
      <c r="I36" s="15" t="s">
        <v>169</v>
      </c>
      <c r="J36" s="16"/>
      <c r="K36" s="15" t="s">
        <v>0</v>
      </c>
      <c r="L36" s="14">
        <v>109</v>
      </c>
      <c r="M36" s="13"/>
      <c r="N36" s="14">
        <v>90</v>
      </c>
      <c r="O36" s="13"/>
      <c r="P36" s="14">
        <v>75</v>
      </c>
      <c r="Q36" s="14">
        <v>81</v>
      </c>
      <c r="R36" s="14">
        <v>85</v>
      </c>
      <c r="S36" s="14">
        <v>80</v>
      </c>
      <c r="T36" s="13">
        <v>91</v>
      </c>
      <c r="U36" s="14">
        <v>109</v>
      </c>
      <c r="V36" s="13"/>
      <c r="W36" s="14">
        <v>86</v>
      </c>
      <c r="X36" s="13"/>
      <c r="Y36" s="14">
        <v>115</v>
      </c>
      <c r="Z36" s="13"/>
      <c r="AA36" s="4">
        <f t="shared" si="0"/>
        <v>86.833333333333329</v>
      </c>
      <c r="AB36" s="4">
        <f t="shared" si="1"/>
        <v>99.305555555555543</v>
      </c>
      <c r="AC36" s="4">
        <f t="shared" si="2"/>
        <v>5.3337528770169982</v>
      </c>
      <c r="AD36" s="3"/>
      <c r="AE36" s="3"/>
      <c r="AF36" s="3"/>
      <c r="AG36" s="3"/>
      <c r="AH36" s="3"/>
      <c r="AT36" s="12"/>
      <c r="AU36" s="12"/>
      <c r="AV36" s="11"/>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row>
    <row r="37" spans="2:87" ht="24" customHeight="1" x14ac:dyDescent="0.2">
      <c r="B37" s="7">
        <f t="shared" si="4"/>
        <v>207</v>
      </c>
      <c r="C37" s="7" t="s">
        <v>158</v>
      </c>
      <c r="D37" s="7">
        <v>4</v>
      </c>
      <c r="E37" s="7">
        <v>1</v>
      </c>
      <c r="F37" s="7">
        <v>2</v>
      </c>
      <c r="G37" s="7">
        <v>1</v>
      </c>
      <c r="H37" s="7">
        <v>2</v>
      </c>
      <c r="I37" s="7" t="s">
        <v>170</v>
      </c>
      <c r="J37" s="9"/>
      <c r="K37" s="7" t="s">
        <v>2</v>
      </c>
      <c r="L37" s="6">
        <v>100</v>
      </c>
      <c r="M37" s="6"/>
      <c r="N37" s="6">
        <v>97</v>
      </c>
      <c r="O37" s="6"/>
      <c r="P37" s="6">
        <v>92</v>
      </c>
      <c r="Q37" s="6">
        <v>95</v>
      </c>
      <c r="R37" s="6">
        <v>99</v>
      </c>
      <c r="S37" s="6">
        <v>95</v>
      </c>
      <c r="T37" s="6">
        <v>90</v>
      </c>
      <c r="U37" s="6">
        <v>100</v>
      </c>
      <c r="V37" s="6"/>
      <c r="W37" s="6">
        <v>90</v>
      </c>
      <c r="X37" s="6"/>
      <c r="Y37" s="6">
        <v>100</v>
      </c>
      <c r="Z37" s="6"/>
      <c r="AA37" s="4">
        <f t="shared" si="0"/>
        <v>95.166666666666671</v>
      </c>
      <c r="AB37" s="4">
        <f t="shared" si="1"/>
        <v>97.027777777777786</v>
      </c>
      <c r="AC37" s="4">
        <f t="shared" si="2"/>
        <v>1.626412017104742</v>
      </c>
      <c r="AD37" s="3"/>
      <c r="AE37" s="3"/>
      <c r="AF37" s="3"/>
      <c r="AG37" s="3"/>
      <c r="AH37" s="3"/>
    </row>
    <row r="38" spans="2:87" ht="24" customHeight="1" thickBot="1" x14ac:dyDescent="0.25">
      <c r="B38" s="15">
        <f t="shared" si="4"/>
        <v>207</v>
      </c>
      <c r="C38" s="15" t="s">
        <v>158</v>
      </c>
      <c r="D38" s="15">
        <v>4</v>
      </c>
      <c r="E38" s="15">
        <v>1</v>
      </c>
      <c r="F38" s="15">
        <v>2</v>
      </c>
      <c r="G38" s="15">
        <v>1</v>
      </c>
      <c r="H38" s="15">
        <v>2</v>
      </c>
      <c r="I38" s="15" t="s">
        <v>170</v>
      </c>
      <c r="J38" s="16"/>
      <c r="K38" s="15" t="s">
        <v>0</v>
      </c>
      <c r="L38" s="14">
        <v>101</v>
      </c>
      <c r="M38" s="13"/>
      <c r="N38" s="14">
        <v>118</v>
      </c>
      <c r="O38" s="13"/>
      <c r="P38" s="14">
        <v>80</v>
      </c>
      <c r="Q38" s="14">
        <v>125</v>
      </c>
      <c r="R38" s="14">
        <v>83</v>
      </c>
      <c r="S38" s="14">
        <v>91</v>
      </c>
      <c r="T38" s="13">
        <v>92</v>
      </c>
      <c r="U38" s="14">
        <v>95</v>
      </c>
      <c r="V38" s="13"/>
      <c r="W38" s="14">
        <v>128</v>
      </c>
      <c r="X38" s="13"/>
      <c r="Y38" s="14">
        <v>115</v>
      </c>
      <c r="Z38" s="13"/>
      <c r="AA38" s="4">
        <f t="shared" si="0"/>
        <v>94.333333333333329</v>
      </c>
      <c r="AB38" s="4">
        <f t="shared" si="1"/>
        <v>108.55555555555554</v>
      </c>
      <c r="AC38" s="4">
        <f t="shared" si="2"/>
        <v>5.633015550975462</v>
      </c>
      <c r="AD38" s="3"/>
      <c r="AE38" s="3"/>
      <c r="AF38" s="3"/>
      <c r="AG38" s="3"/>
      <c r="AH38" s="3"/>
      <c r="AT38" s="12"/>
      <c r="AU38" s="12"/>
      <c r="AV38" s="11"/>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row>
    <row r="39" spans="2:87" ht="24" customHeight="1" x14ac:dyDescent="0.2">
      <c r="B39" s="7">
        <f t="shared" si="4"/>
        <v>208</v>
      </c>
      <c r="C39" s="7" t="s">
        <v>171</v>
      </c>
      <c r="D39" s="7">
        <v>2</v>
      </c>
      <c r="E39" s="7">
        <v>1</v>
      </c>
      <c r="F39" s="7">
        <v>1</v>
      </c>
      <c r="G39" s="7">
        <v>1</v>
      </c>
      <c r="H39" s="7">
        <v>2</v>
      </c>
      <c r="I39" s="7" t="s">
        <v>172</v>
      </c>
      <c r="J39" s="9"/>
      <c r="K39" s="7" t="s">
        <v>2</v>
      </c>
      <c r="L39" s="6">
        <v>88</v>
      </c>
      <c r="M39" s="5"/>
      <c r="N39" s="6">
        <v>93</v>
      </c>
      <c r="O39" s="5"/>
      <c r="P39" s="6">
        <v>90</v>
      </c>
      <c r="Q39" s="6">
        <v>87</v>
      </c>
      <c r="R39" s="6">
        <v>91</v>
      </c>
      <c r="S39" s="6">
        <v>93</v>
      </c>
      <c r="T39" s="5">
        <v>81</v>
      </c>
      <c r="U39" s="6">
        <v>96</v>
      </c>
      <c r="V39" s="5"/>
      <c r="W39" s="6">
        <v>88</v>
      </c>
      <c r="X39" s="5"/>
      <c r="Y39" s="6">
        <v>90</v>
      </c>
      <c r="Z39" s="5"/>
      <c r="AA39" s="4">
        <f t="shared" si="0"/>
        <v>89.666666666666671</v>
      </c>
      <c r="AB39" s="4">
        <f t="shared" si="1"/>
        <v>90.777777777777786</v>
      </c>
      <c r="AC39" s="4">
        <f t="shared" si="2"/>
        <v>1.2842829579377681</v>
      </c>
      <c r="AD39" s="3"/>
      <c r="AE39" s="3"/>
      <c r="AF39" s="3"/>
      <c r="AG39" s="3"/>
      <c r="AH39" s="3"/>
    </row>
    <row r="40" spans="2:87" ht="24" customHeight="1" thickBot="1" x14ac:dyDescent="0.25">
      <c r="B40" s="15">
        <f t="shared" si="4"/>
        <v>208</v>
      </c>
      <c r="C40" s="15" t="s">
        <v>171</v>
      </c>
      <c r="D40" s="15">
        <v>2</v>
      </c>
      <c r="E40" s="15">
        <v>1</v>
      </c>
      <c r="F40" s="15">
        <v>1</v>
      </c>
      <c r="G40" s="15">
        <v>1</v>
      </c>
      <c r="H40" s="15">
        <v>2</v>
      </c>
      <c r="I40" s="15" t="s">
        <v>172</v>
      </c>
      <c r="J40" s="16"/>
      <c r="K40" s="15" t="s">
        <v>0</v>
      </c>
      <c r="L40" s="14">
        <v>93</v>
      </c>
      <c r="M40" s="13"/>
      <c r="N40" s="14">
        <v>93</v>
      </c>
      <c r="O40" s="13"/>
      <c r="P40" s="14">
        <v>86</v>
      </c>
      <c r="Q40" s="14">
        <v>89</v>
      </c>
      <c r="R40" s="14">
        <v>97</v>
      </c>
      <c r="S40" s="14">
        <v>91</v>
      </c>
      <c r="T40" s="13">
        <v>116</v>
      </c>
      <c r="U40" s="14">
        <v>81</v>
      </c>
      <c r="V40" s="13"/>
      <c r="W40" s="14">
        <v>92</v>
      </c>
      <c r="X40" s="13"/>
      <c r="Y40" s="14">
        <v>79</v>
      </c>
      <c r="Z40" s="13"/>
      <c r="AA40" s="4">
        <f t="shared" si="0"/>
        <v>93.333333333333329</v>
      </c>
      <c r="AB40" s="4">
        <f t="shared" si="1"/>
        <v>88.555555555555543</v>
      </c>
      <c r="AC40" s="4">
        <f t="shared" si="2"/>
        <v>2.7239223715847252</v>
      </c>
      <c r="AD40" s="3"/>
      <c r="AE40" s="3"/>
      <c r="AF40" s="3"/>
      <c r="AG40" s="3"/>
      <c r="AH40" s="3"/>
      <c r="AT40" s="12"/>
      <c r="AU40" s="12"/>
      <c r="AV40" s="11"/>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row>
    <row r="41" spans="2:87" ht="24" customHeight="1" x14ac:dyDescent="0.2">
      <c r="B41" s="7">
        <f>B39+700</f>
        <v>908</v>
      </c>
      <c r="C41" s="7" t="s">
        <v>173</v>
      </c>
      <c r="D41" s="7">
        <v>21</v>
      </c>
      <c r="E41" s="7">
        <v>3</v>
      </c>
      <c r="F41" s="7">
        <v>2</v>
      </c>
      <c r="G41" s="7">
        <v>2</v>
      </c>
      <c r="H41" s="7">
        <v>2</v>
      </c>
      <c r="I41" s="7" t="s">
        <v>174</v>
      </c>
      <c r="J41" s="7"/>
      <c r="K41" s="7" t="s">
        <v>2</v>
      </c>
      <c r="L41" s="6">
        <v>83</v>
      </c>
      <c r="M41" s="5"/>
      <c r="N41" s="6">
        <v>69</v>
      </c>
      <c r="O41" s="5"/>
      <c r="P41" s="6">
        <v>70</v>
      </c>
      <c r="Q41" s="6">
        <v>68</v>
      </c>
      <c r="R41" s="6">
        <v>76</v>
      </c>
      <c r="S41" s="6">
        <v>68</v>
      </c>
      <c r="T41" s="5">
        <v>53</v>
      </c>
      <c r="U41" s="6">
        <v>79</v>
      </c>
      <c r="V41" s="5"/>
      <c r="W41" s="6">
        <v>73</v>
      </c>
      <c r="X41" s="5"/>
      <c r="Y41" s="6">
        <v>73</v>
      </c>
      <c r="Z41" s="5"/>
      <c r="AA41" s="4">
        <f t="shared" si="0"/>
        <v>69</v>
      </c>
      <c r="AB41" s="4">
        <f t="shared" si="1"/>
        <v>74.333333333333329</v>
      </c>
      <c r="AC41" s="4">
        <f t="shared" si="2"/>
        <v>2.2900752049756896</v>
      </c>
      <c r="AD41" s="3"/>
      <c r="AE41" s="3"/>
      <c r="AF41" s="3"/>
      <c r="AG41" s="3"/>
      <c r="AH41" s="3"/>
    </row>
    <row r="42" spans="2:87" ht="24" customHeight="1" thickBot="1" x14ac:dyDescent="0.25">
      <c r="B42" s="15">
        <f>B40+700</f>
        <v>908</v>
      </c>
      <c r="C42" s="15" t="s">
        <v>173</v>
      </c>
      <c r="D42" s="15">
        <v>21</v>
      </c>
      <c r="E42" s="15">
        <v>3</v>
      </c>
      <c r="F42" s="15">
        <v>2</v>
      </c>
      <c r="G42" s="15">
        <v>2</v>
      </c>
      <c r="H42" s="15">
        <v>2</v>
      </c>
      <c r="I42" s="15" t="s">
        <v>174</v>
      </c>
      <c r="J42" s="16"/>
      <c r="K42" s="15" t="s">
        <v>0</v>
      </c>
      <c r="L42" s="14">
        <v>66</v>
      </c>
      <c r="M42" s="13"/>
      <c r="N42" s="14">
        <v>72</v>
      </c>
      <c r="O42" s="13"/>
      <c r="P42" s="14">
        <v>62</v>
      </c>
      <c r="Q42" s="14">
        <v>59</v>
      </c>
      <c r="R42" s="14">
        <v>54</v>
      </c>
      <c r="S42" s="14">
        <v>69</v>
      </c>
      <c r="T42" s="13">
        <v>50</v>
      </c>
      <c r="U42" s="14">
        <v>63</v>
      </c>
      <c r="V42" s="13"/>
      <c r="W42" s="14">
        <v>55</v>
      </c>
      <c r="X42" s="13"/>
      <c r="Y42" s="14">
        <v>67</v>
      </c>
      <c r="Z42" s="13"/>
      <c r="AA42" s="4">
        <f t="shared" ref="AA42:AA62" si="5">AVERAGE(P42:U42)</f>
        <v>59.5</v>
      </c>
      <c r="AB42" s="4">
        <f t="shared" ref="AB42:AB62" si="6">AVERAGE(AVERAGE(L42:M42),AVERAGE(N42:O42),AVERAGE(P42:U42),AVERAGE(U42:V42),AVERAGE(W42:X42),AVERAGE(Y42:Z42))</f>
        <v>63.75</v>
      </c>
      <c r="AC42" s="4">
        <f t="shared" ref="AC42:AC62" si="7">STDEV(AVERAGE(L42:M42),AVERAGE(N42:O42),AVERAGE(P42:U42),AVERAGE(U42:V42),AVERAGE(W42:X42),AVERAGE(Y42:Z42))/SQRT(6)</f>
        <v>2.4418230894149562</v>
      </c>
      <c r="AD42" s="3"/>
      <c r="AE42" s="3"/>
      <c r="AF42" s="3"/>
      <c r="AG42" s="3"/>
      <c r="AH42" s="3"/>
      <c r="AT42" s="12"/>
      <c r="AU42" s="12"/>
      <c r="AV42" s="11"/>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row>
    <row r="43" spans="2:87" ht="24" customHeight="1" x14ac:dyDescent="0.2">
      <c r="B43" s="7">
        <v>906</v>
      </c>
      <c r="C43" s="7" t="s">
        <v>175</v>
      </c>
      <c r="D43" s="7">
        <v>22</v>
      </c>
      <c r="E43" s="7">
        <v>4</v>
      </c>
      <c r="F43" s="7">
        <v>2</v>
      </c>
      <c r="G43" s="7">
        <v>2</v>
      </c>
      <c r="H43" s="7">
        <v>2</v>
      </c>
      <c r="I43" s="7" t="s">
        <v>176</v>
      </c>
      <c r="J43" s="9"/>
      <c r="K43" s="7" t="s">
        <v>2</v>
      </c>
      <c r="L43" s="6">
        <v>97</v>
      </c>
      <c r="M43" s="6"/>
      <c r="N43" s="6">
        <v>91</v>
      </c>
      <c r="O43" s="6"/>
      <c r="P43" s="6">
        <v>78</v>
      </c>
      <c r="Q43" s="6">
        <v>79</v>
      </c>
      <c r="R43" s="6">
        <v>89</v>
      </c>
      <c r="S43" s="6">
        <v>85</v>
      </c>
      <c r="T43" s="6">
        <v>80</v>
      </c>
      <c r="U43" s="6">
        <v>96</v>
      </c>
      <c r="V43" s="6"/>
      <c r="W43" s="6">
        <v>75</v>
      </c>
      <c r="X43" s="6"/>
      <c r="Y43" s="6">
        <v>87</v>
      </c>
      <c r="Z43" s="6"/>
      <c r="AA43" s="4">
        <f t="shared" si="5"/>
        <v>84.5</v>
      </c>
      <c r="AB43" s="4">
        <f t="shared" si="6"/>
        <v>88.416666666666671</v>
      </c>
      <c r="AC43" s="4">
        <f t="shared" si="7"/>
        <v>3.3426951866885966</v>
      </c>
      <c r="AD43" s="3"/>
      <c r="AE43" s="3"/>
      <c r="AF43" s="3"/>
      <c r="AG43" s="3"/>
      <c r="AH43" s="3"/>
    </row>
    <row r="44" spans="2:87" ht="24" customHeight="1" thickBot="1" x14ac:dyDescent="0.25">
      <c r="B44" s="15">
        <v>906</v>
      </c>
      <c r="C44" s="15" t="s">
        <v>175</v>
      </c>
      <c r="D44" s="15">
        <v>22</v>
      </c>
      <c r="E44" s="15">
        <v>4</v>
      </c>
      <c r="F44" s="15">
        <v>2</v>
      </c>
      <c r="G44" s="15">
        <v>2</v>
      </c>
      <c r="H44" s="15">
        <v>2</v>
      </c>
      <c r="I44" s="15" t="s">
        <v>176</v>
      </c>
      <c r="J44" s="16"/>
      <c r="K44" s="15" t="s">
        <v>0</v>
      </c>
      <c r="L44" s="14">
        <v>80</v>
      </c>
      <c r="M44" s="13"/>
      <c r="N44" s="14">
        <v>89</v>
      </c>
      <c r="O44" s="13"/>
      <c r="P44" s="14">
        <v>76</v>
      </c>
      <c r="Q44" s="14">
        <v>72</v>
      </c>
      <c r="R44" s="14">
        <v>69</v>
      </c>
      <c r="S44" s="14">
        <v>87</v>
      </c>
      <c r="T44" s="13">
        <v>69</v>
      </c>
      <c r="U44" s="14">
        <v>85</v>
      </c>
      <c r="V44" s="13"/>
      <c r="W44" s="14">
        <v>73</v>
      </c>
      <c r="X44" s="13"/>
      <c r="Y44" s="14">
        <v>87</v>
      </c>
      <c r="Z44" s="13"/>
      <c r="AA44" s="4">
        <f t="shared" si="5"/>
        <v>76.333333333333329</v>
      </c>
      <c r="AB44" s="4">
        <f t="shared" si="6"/>
        <v>81.722222222222214</v>
      </c>
      <c r="AC44" s="4">
        <f t="shared" si="7"/>
        <v>2.5797167037496469</v>
      </c>
      <c r="AD44" s="3"/>
      <c r="AE44" s="3"/>
      <c r="AF44" s="3"/>
      <c r="AG44" s="3"/>
      <c r="AH44" s="3"/>
      <c r="AT44" s="12"/>
      <c r="AU44" s="12"/>
      <c r="AV44" s="11"/>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row>
    <row r="45" spans="2:87" ht="24" customHeight="1" x14ac:dyDescent="0.2">
      <c r="B45" s="7">
        <v>904</v>
      </c>
      <c r="C45" s="7" t="s">
        <v>173</v>
      </c>
      <c r="D45" s="7">
        <v>21</v>
      </c>
      <c r="E45" s="7">
        <v>3</v>
      </c>
      <c r="F45" s="7">
        <v>2</v>
      </c>
      <c r="G45" s="7">
        <v>2</v>
      </c>
      <c r="H45" s="7">
        <v>1</v>
      </c>
      <c r="I45" s="7" t="s">
        <v>177</v>
      </c>
      <c r="J45" s="9"/>
      <c r="K45" s="7" t="s">
        <v>2</v>
      </c>
      <c r="L45" s="6">
        <v>70</v>
      </c>
      <c r="M45" s="6"/>
      <c r="N45" s="6">
        <v>61</v>
      </c>
      <c r="O45" s="6"/>
      <c r="P45" s="6">
        <v>60</v>
      </c>
      <c r="Q45" s="6">
        <v>57</v>
      </c>
      <c r="R45" s="6">
        <v>57</v>
      </c>
      <c r="S45" s="6">
        <v>60</v>
      </c>
      <c r="T45" s="6">
        <v>68</v>
      </c>
      <c r="U45" s="6">
        <v>70</v>
      </c>
      <c r="V45" s="6"/>
      <c r="W45" s="6">
        <v>73</v>
      </c>
      <c r="X45" s="6"/>
      <c r="Y45" s="6">
        <v>75</v>
      </c>
      <c r="Z45" s="6"/>
      <c r="AA45" s="4">
        <f t="shared" si="5"/>
        <v>62</v>
      </c>
      <c r="AB45" s="4">
        <f t="shared" si="6"/>
        <v>68.5</v>
      </c>
      <c r="AC45" s="4">
        <f t="shared" si="7"/>
        <v>2.3487585373270425</v>
      </c>
      <c r="AD45" s="3"/>
      <c r="AE45" s="3"/>
      <c r="AF45" s="3"/>
      <c r="AG45" s="3"/>
      <c r="AH45" s="3"/>
    </row>
    <row r="46" spans="2:87" ht="24" customHeight="1" thickBot="1" x14ac:dyDescent="0.25">
      <c r="B46" s="15">
        <v>904</v>
      </c>
      <c r="C46" s="15" t="s">
        <v>173</v>
      </c>
      <c r="D46" s="15">
        <v>21</v>
      </c>
      <c r="E46" s="15">
        <v>3</v>
      </c>
      <c r="F46" s="15">
        <v>2</v>
      </c>
      <c r="G46" s="15">
        <v>2</v>
      </c>
      <c r="H46" s="15">
        <v>1</v>
      </c>
      <c r="I46" s="15" t="s">
        <v>177</v>
      </c>
      <c r="J46" s="16"/>
      <c r="K46" s="15" t="s">
        <v>0</v>
      </c>
      <c r="L46" s="14">
        <v>60</v>
      </c>
      <c r="M46" s="13"/>
      <c r="N46" s="14">
        <v>68</v>
      </c>
      <c r="O46" s="13"/>
      <c r="P46" s="14">
        <v>66</v>
      </c>
      <c r="Q46" s="14">
        <v>64</v>
      </c>
      <c r="R46" s="14">
        <v>59</v>
      </c>
      <c r="S46" s="14">
        <v>53</v>
      </c>
      <c r="T46" s="13">
        <v>45</v>
      </c>
      <c r="U46" s="14">
        <v>67</v>
      </c>
      <c r="V46" s="13"/>
      <c r="W46" s="14">
        <v>72</v>
      </c>
      <c r="X46" s="13"/>
      <c r="Y46" s="14">
        <v>66</v>
      </c>
      <c r="Z46" s="13"/>
      <c r="AA46" s="4">
        <f t="shared" si="5"/>
        <v>59</v>
      </c>
      <c r="AB46" s="4">
        <f t="shared" si="6"/>
        <v>65.333333333333329</v>
      </c>
      <c r="AC46" s="4">
        <f t="shared" si="7"/>
        <v>2.0275875100994067</v>
      </c>
      <c r="AD46" s="3"/>
      <c r="AE46" s="3"/>
      <c r="AF46" s="3"/>
      <c r="AG46" s="3"/>
      <c r="AH46" s="3"/>
      <c r="AT46" s="12"/>
      <c r="AU46" s="12"/>
      <c r="AV46" s="11"/>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row>
    <row r="47" spans="2:87" ht="24" customHeight="1" x14ac:dyDescent="0.2">
      <c r="B47" s="7">
        <v>902</v>
      </c>
      <c r="C47" s="7" t="s">
        <v>175</v>
      </c>
      <c r="D47" s="7">
        <v>22</v>
      </c>
      <c r="E47" s="7">
        <v>4</v>
      </c>
      <c r="F47" s="7">
        <v>2</v>
      </c>
      <c r="G47" s="7">
        <v>2</v>
      </c>
      <c r="H47" s="7">
        <v>1</v>
      </c>
      <c r="I47" s="7" t="s">
        <v>178</v>
      </c>
      <c r="J47" s="9"/>
      <c r="K47" s="7" t="s">
        <v>2</v>
      </c>
      <c r="L47" s="6">
        <v>84</v>
      </c>
      <c r="M47" s="6"/>
      <c r="N47" s="6">
        <v>78</v>
      </c>
      <c r="O47" s="6"/>
      <c r="P47" s="6">
        <v>92</v>
      </c>
      <c r="Q47" s="6">
        <v>73</v>
      </c>
      <c r="R47" s="6">
        <v>71</v>
      </c>
      <c r="S47" s="6">
        <v>72</v>
      </c>
      <c r="T47" s="6">
        <v>81</v>
      </c>
      <c r="U47" s="6">
        <v>101</v>
      </c>
      <c r="V47" s="6"/>
      <c r="W47" s="6">
        <v>76</v>
      </c>
      <c r="X47" s="6"/>
      <c r="Y47" s="6">
        <v>78</v>
      </c>
      <c r="Z47" s="6"/>
      <c r="AA47" s="4">
        <f t="shared" si="5"/>
        <v>81.666666666666671</v>
      </c>
      <c r="AB47" s="4">
        <f t="shared" si="6"/>
        <v>83.111111111111114</v>
      </c>
      <c r="AC47" s="4">
        <f t="shared" si="7"/>
        <v>3.7669780271180273</v>
      </c>
      <c r="AD47" s="3"/>
      <c r="AE47" s="3"/>
      <c r="AF47" s="3"/>
      <c r="AG47" s="3"/>
      <c r="AH47" s="3"/>
    </row>
    <row r="48" spans="2:87" ht="24" customHeight="1" thickBot="1" x14ac:dyDescent="0.25">
      <c r="B48" s="15">
        <v>902</v>
      </c>
      <c r="C48" s="15" t="s">
        <v>175</v>
      </c>
      <c r="D48" s="15">
        <v>22</v>
      </c>
      <c r="E48" s="15">
        <v>4</v>
      </c>
      <c r="F48" s="15">
        <v>2</v>
      </c>
      <c r="G48" s="15">
        <v>2</v>
      </c>
      <c r="H48" s="15">
        <v>1</v>
      </c>
      <c r="I48" s="15" t="s">
        <v>178</v>
      </c>
      <c r="J48" s="16"/>
      <c r="K48" s="15" t="s">
        <v>0</v>
      </c>
      <c r="L48" s="14">
        <v>90</v>
      </c>
      <c r="M48" s="13"/>
      <c r="N48" s="14">
        <v>69</v>
      </c>
      <c r="O48" s="13"/>
      <c r="P48" s="14">
        <v>80</v>
      </c>
      <c r="Q48" s="14">
        <v>67</v>
      </c>
      <c r="R48" s="14">
        <v>66</v>
      </c>
      <c r="S48" s="14">
        <v>62</v>
      </c>
      <c r="T48" s="13">
        <v>67</v>
      </c>
      <c r="U48" s="14">
        <v>74</v>
      </c>
      <c r="V48" s="13"/>
      <c r="W48" s="14">
        <v>73</v>
      </c>
      <c r="X48" s="13"/>
      <c r="Y48" s="14">
        <v>71</v>
      </c>
      <c r="Z48" s="13"/>
      <c r="AA48" s="4">
        <f t="shared" si="5"/>
        <v>69.333333333333329</v>
      </c>
      <c r="AB48" s="4">
        <f t="shared" si="6"/>
        <v>74.388888888888886</v>
      </c>
      <c r="AC48" s="4">
        <f t="shared" si="7"/>
        <v>3.2242330890222068</v>
      </c>
      <c r="AD48" s="3"/>
      <c r="AE48" s="3"/>
      <c r="AF48" s="3"/>
      <c r="AG48" s="3"/>
      <c r="AH48" s="3"/>
      <c r="AT48" s="12"/>
      <c r="AU48" s="12"/>
      <c r="AV48" s="11"/>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row>
    <row r="49" spans="2:87" ht="24" customHeight="1" x14ac:dyDescent="0.2">
      <c r="B49" s="7">
        <f>B47-601</f>
        <v>301</v>
      </c>
      <c r="C49" s="7" t="s">
        <v>149</v>
      </c>
      <c r="D49" s="7">
        <v>10</v>
      </c>
      <c r="E49" s="7">
        <v>2</v>
      </c>
      <c r="F49" s="7">
        <v>2</v>
      </c>
      <c r="G49" s="7">
        <v>1</v>
      </c>
      <c r="H49" s="7">
        <v>3</v>
      </c>
      <c r="I49" s="7" t="s">
        <v>179</v>
      </c>
      <c r="J49" s="7"/>
      <c r="K49" s="7" t="s">
        <v>2</v>
      </c>
      <c r="L49" s="6">
        <v>107</v>
      </c>
      <c r="M49" s="6"/>
      <c r="N49" s="6">
        <v>107</v>
      </c>
      <c r="O49" s="6"/>
      <c r="P49" s="6">
        <v>100</v>
      </c>
      <c r="Q49" s="6">
        <v>107</v>
      </c>
      <c r="R49" s="6">
        <v>92</v>
      </c>
      <c r="S49" s="6"/>
      <c r="T49" s="6">
        <v>100</v>
      </c>
      <c r="U49" s="6">
        <v>96</v>
      </c>
      <c r="V49" s="6"/>
      <c r="W49" s="6">
        <v>105</v>
      </c>
      <c r="X49" s="6"/>
      <c r="Y49" s="6">
        <v>97</v>
      </c>
      <c r="Z49" s="6"/>
      <c r="AA49" s="4">
        <f t="shared" si="5"/>
        <v>99</v>
      </c>
      <c r="AB49" s="4">
        <f t="shared" si="6"/>
        <v>101.83333333333333</v>
      </c>
      <c r="AC49" s="4">
        <f t="shared" si="7"/>
        <v>2.0723041389826071</v>
      </c>
      <c r="AT49" s="12">
        <v>2</v>
      </c>
      <c r="AU49" s="12" t="s">
        <v>3</v>
      </c>
      <c r="AV49" s="12">
        <v>150</v>
      </c>
    </row>
    <row r="50" spans="2:87" ht="24" customHeight="1" thickBot="1" x14ac:dyDescent="0.25">
      <c r="B50" s="15">
        <f>B48-601</f>
        <v>301</v>
      </c>
      <c r="C50" s="15" t="s">
        <v>149</v>
      </c>
      <c r="D50" s="15">
        <v>10</v>
      </c>
      <c r="E50" s="15">
        <v>2</v>
      </c>
      <c r="F50" s="15">
        <v>2</v>
      </c>
      <c r="G50" s="15">
        <v>1</v>
      </c>
      <c r="H50" s="15">
        <v>3</v>
      </c>
      <c r="I50" s="15" t="s">
        <v>179</v>
      </c>
      <c r="J50" s="16"/>
      <c r="K50" s="15" t="s">
        <v>0</v>
      </c>
      <c r="L50" s="14">
        <v>82</v>
      </c>
      <c r="M50" s="13"/>
      <c r="N50" s="14">
        <v>93</v>
      </c>
      <c r="O50" s="13"/>
      <c r="P50" s="14">
        <v>86</v>
      </c>
      <c r="Q50" s="14">
        <v>95</v>
      </c>
      <c r="R50" s="14">
        <v>84</v>
      </c>
      <c r="S50" s="14"/>
      <c r="T50" s="13"/>
      <c r="U50" s="14">
        <v>87</v>
      </c>
      <c r="V50" s="13"/>
      <c r="W50" s="14">
        <v>94</v>
      </c>
      <c r="X50" s="13"/>
      <c r="Y50" s="14">
        <v>98</v>
      </c>
      <c r="Z50" s="13"/>
      <c r="AA50" s="4">
        <f t="shared" si="5"/>
        <v>88</v>
      </c>
      <c r="AB50" s="4">
        <f t="shared" si="6"/>
        <v>90.333333333333329</v>
      </c>
      <c r="AC50" s="4">
        <f t="shared" si="7"/>
        <v>2.3475755815545352</v>
      </c>
      <c r="AD50" s="3"/>
      <c r="AE50" s="3"/>
      <c r="AF50" s="3"/>
      <c r="AG50" s="3"/>
      <c r="AH50" s="3"/>
      <c r="AT50" s="12"/>
      <c r="AU50" s="12"/>
      <c r="AV50" s="11"/>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row>
    <row r="51" spans="2:87" ht="24" customHeight="1" x14ac:dyDescent="0.2">
      <c r="B51" s="7">
        <f t="shared" ref="B51:B64" si="8">B49+1</f>
        <v>302</v>
      </c>
      <c r="C51" s="7" t="s">
        <v>158</v>
      </c>
      <c r="D51" s="7">
        <v>4</v>
      </c>
      <c r="E51" s="7">
        <v>1</v>
      </c>
      <c r="F51" s="7">
        <v>2</v>
      </c>
      <c r="G51" s="7">
        <v>1</v>
      </c>
      <c r="H51" s="7">
        <v>3</v>
      </c>
      <c r="I51" s="7" t="s">
        <v>180</v>
      </c>
      <c r="J51" s="9"/>
      <c r="K51" s="7" t="s">
        <v>2</v>
      </c>
      <c r="L51" s="6">
        <v>110</v>
      </c>
      <c r="M51" s="6"/>
      <c r="N51" s="6">
        <v>106</v>
      </c>
      <c r="O51" s="6"/>
      <c r="P51" s="6">
        <v>91</v>
      </c>
      <c r="Q51" s="6">
        <v>88</v>
      </c>
      <c r="R51" s="6">
        <v>95</v>
      </c>
      <c r="S51" s="6"/>
      <c r="T51" s="6">
        <v>100</v>
      </c>
      <c r="U51" s="6">
        <v>91</v>
      </c>
      <c r="V51" s="6"/>
      <c r="W51" s="6">
        <v>90</v>
      </c>
      <c r="X51" s="6"/>
      <c r="Y51" s="6">
        <v>92</v>
      </c>
      <c r="Z51" s="6"/>
      <c r="AA51" s="4">
        <f t="shared" si="5"/>
        <v>93</v>
      </c>
      <c r="AB51" s="4">
        <f t="shared" si="6"/>
        <v>97</v>
      </c>
      <c r="AC51" s="4">
        <f t="shared" si="7"/>
        <v>3.5402448126271349</v>
      </c>
      <c r="AD51" s="3"/>
      <c r="AE51" s="3"/>
      <c r="AF51" s="3"/>
      <c r="AG51" s="3"/>
      <c r="AH51" s="3"/>
    </row>
    <row r="52" spans="2:87" ht="24" customHeight="1" thickBot="1" x14ac:dyDescent="0.25">
      <c r="B52" s="15">
        <f t="shared" si="8"/>
        <v>302</v>
      </c>
      <c r="C52" s="15" t="s">
        <v>158</v>
      </c>
      <c r="D52" s="15">
        <v>4</v>
      </c>
      <c r="E52" s="15">
        <v>1</v>
      </c>
      <c r="F52" s="15">
        <v>2</v>
      </c>
      <c r="G52" s="15">
        <v>1</v>
      </c>
      <c r="H52" s="15">
        <v>3</v>
      </c>
      <c r="I52" s="15" t="s">
        <v>180</v>
      </c>
      <c r="J52" s="16"/>
      <c r="K52" s="15" t="s">
        <v>0</v>
      </c>
      <c r="L52" s="14">
        <v>93</v>
      </c>
      <c r="M52" s="13"/>
      <c r="N52" s="14">
        <v>112</v>
      </c>
      <c r="O52" s="13"/>
      <c r="P52" s="14">
        <v>81</v>
      </c>
      <c r="Q52" s="14">
        <v>90</v>
      </c>
      <c r="R52" s="14">
        <v>85</v>
      </c>
      <c r="S52" s="14"/>
      <c r="T52" s="13">
        <v>94</v>
      </c>
      <c r="U52" s="14">
        <v>103</v>
      </c>
      <c r="V52" s="13"/>
      <c r="W52" s="14">
        <v>87</v>
      </c>
      <c r="X52" s="13"/>
      <c r="Y52" s="14">
        <v>90</v>
      </c>
      <c r="Z52" s="13"/>
      <c r="AA52" s="4">
        <f t="shared" si="5"/>
        <v>90.6</v>
      </c>
      <c r="AB52" s="4">
        <f t="shared" si="6"/>
        <v>95.933333333333337</v>
      </c>
      <c r="AC52" s="4">
        <f t="shared" si="7"/>
        <v>3.9163475047265388</v>
      </c>
      <c r="AD52" s="3"/>
      <c r="AE52" s="3"/>
      <c r="AF52" s="3"/>
      <c r="AG52" s="3"/>
      <c r="AH52" s="3"/>
      <c r="AT52" s="12"/>
      <c r="AU52" s="12"/>
      <c r="AV52" s="11"/>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row>
    <row r="53" spans="2:87" ht="24" customHeight="1" x14ac:dyDescent="0.2">
      <c r="B53" s="7">
        <f t="shared" si="8"/>
        <v>303</v>
      </c>
      <c r="C53" s="7" t="s">
        <v>168</v>
      </c>
      <c r="D53" s="7">
        <v>8</v>
      </c>
      <c r="E53" s="7">
        <v>2</v>
      </c>
      <c r="F53" s="7">
        <v>1</v>
      </c>
      <c r="G53" s="7">
        <v>1</v>
      </c>
      <c r="H53" s="7">
        <v>3</v>
      </c>
      <c r="I53" s="7" t="s">
        <v>181</v>
      </c>
      <c r="J53" s="9"/>
      <c r="K53" s="7" t="s">
        <v>2</v>
      </c>
      <c r="L53" s="6">
        <v>101</v>
      </c>
      <c r="M53" s="6"/>
      <c r="N53" s="6">
        <v>103</v>
      </c>
      <c r="O53" s="6"/>
      <c r="P53" s="6">
        <v>98</v>
      </c>
      <c r="Q53" s="6">
        <v>89</v>
      </c>
      <c r="R53" s="6">
        <v>92</v>
      </c>
      <c r="S53" s="6">
        <v>92</v>
      </c>
      <c r="T53" s="6">
        <v>85</v>
      </c>
      <c r="U53" s="6">
        <v>97</v>
      </c>
      <c r="V53" s="6"/>
      <c r="W53" s="6">
        <v>97</v>
      </c>
      <c r="X53" s="6"/>
      <c r="Y53" s="6">
        <v>89</v>
      </c>
      <c r="Z53" s="6"/>
      <c r="AA53" s="4">
        <f t="shared" si="5"/>
        <v>92.166666666666671</v>
      </c>
      <c r="AB53" s="4">
        <f t="shared" si="6"/>
        <v>96.527777777777786</v>
      </c>
      <c r="AC53" s="4">
        <f t="shared" si="7"/>
        <v>2.1449409327387716</v>
      </c>
      <c r="AD53" s="3"/>
      <c r="AE53" s="3"/>
      <c r="AF53" s="3"/>
      <c r="AG53" s="3"/>
      <c r="AH53" s="3"/>
    </row>
    <row r="54" spans="2:87" ht="24" customHeight="1" thickBot="1" x14ac:dyDescent="0.25">
      <c r="B54" s="15">
        <f t="shared" si="8"/>
        <v>303</v>
      </c>
      <c r="C54" s="15" t="s">
        <v>168</v>
      </c>
      <c r="D54" s="15">
        <v>8</v>
      </c>
      <c r="E54" s="15">
        <v>2</v>
      </c>
      <c r="F54" s="15">
        <v>1</v>
      </c>
      <c r="G54" s="15">
        <v>1</v>
      </c>
      <c r="H54" s="15">
        <v>3</v>
      </c>
      <c r="I54" s="15" t="s">
        <v>181</v>
      </c>
      <c r="J54" s="16"/>
      <c r="K54" s="15" t="s">
        <v>0</v>
      </c>
      <c r="L54" s="14">
        <v>100</v>
      </c>
      <c r="M54" s="13"/>
      <c r="N54" s="14">
        <v>98</v>
      </c>
      <c r="O54" s="13"/>
      <c r="P54" s="14">
        <v>86</v>
      </c>
      <c r="Q54" s="14">
        <v>78</v>
      </c>
      <c r="R54" s="14">
        <v>76</v>
      </c>
      <c r="S54" s="14">
        <v>86</v>
      </c>
      <c r="T54" s="13">
        <v>100</v>
      </c>
      <c r="U54" s="14">
        <v>95</v>
      </c>
      <c r="V54" s="13"/>
      <c r="W54" s="14">
        <v>126</v>
      </c>
      <c r="X54" s="13"/>
      <c r="Y54" s="14">
        <v>112</v>
      </c>
      <c r="Z54" s="13"/>
      <c r="AA54" s="4">
        <f t="shared" si="5"/>
        <v>86.833333333333329</v>
      </c>
      <c r="AB54" s="4">
        <f t="shared" si="6"/>
        <v>102.97222222222221</v>
      </c>
      <c r="AC54" s="4">
        <f t="shared" si="7"/>
        <v>5.6843542039575512</v>
      </c>
      <c r="AD54" s="3"/>
      <c r="AE54" s="3"/>
      <c r="AF54" s="3"/>
      <c r="AG54" s="3"/>
      <c r="AH54" s="3"/>
      <c r="AT54" s="12"/>
      <c r="AU54" s="12"/>
      <c r="AV54" s="11"/>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row>
    <row r="55" spans="2:87" ht="24" customHeight="1" x14ac:dyDescent="0.2">
      <c r="B55" s="7">
        <f t="shared" si="8"/>
        <v>304</v>
      </c>
      <c r="C55" s="7" t="s">
        <v>171</v>
      </c>
      <c r="D55" s="7">
        <v>2</v>
      </c>
      <c r="E55" s="7">
        <v>1</v>
      </c>
      <c r="F55" s="7">
        <v>1</v>
      </c>
      <c r="G55" s="7">
        <v>1</v>
      </c>
      <c r="H55" s="7">
        <v>3</v>
      </c>
      <c r="I55" s="7" t="s">
        <v>182</v>
      </c>
      <c r="J55" s="9"/>
      <c r="K55" s="7" t="s">
        <v>2</v>
      </c>
      <c r="L55" s="6">
        <v>100</v>
      </c>
      <c r="M55" s="6"/>
      <c r="N55" s="6">
        <v>92</v>
      </c>
      <c r="O55" s="6"/>
      <c r="P55" s="6">
        <v>100</v>
      </c>
      <c r="Q55" s="6">
        <v>91</v>
      </c>
      <c r="R55" s="6">
        <v>92</v>
      </c>
      <c r="S55" s="6">
        <v>95</v>
      </c>
      <c r="T55" s="6">
        <v>100</v>
      </c>
      <c r="U55" s="6">
        <v>97</v>
      </c>
      <c r="V55" s="6"/>
      <c r="W55" s="6">
        <v>90</v>
      </c>
      <c r="X55" s="6"/>
      <c r="Y55" s="6">
        <v>97</v>
      </c>
      <c r="Z55" s="6"/>
      <c r="AA55" s="4">
        <f t="shared" si="5"/>
        <v>95.833333333333329</v>
      </c>
      <c r="AB55" s="4">
        <f t="shared" si="6"/>
        <v>95.305555555555543</v>
      </c>
      <c r="AC55" s="4">
        <f t="shared" si="7"/>
        <v>1.4959306942419857</v>
      </c>
      <c r="AD55" s="3"/>
      <c r="AE55" s="3"/>
      <c r="AF55" s="3"/>
      <c r="AG55" s="3"/>
      <c r="AH55" s="3"/>
    </row>
    <row r="56" spans="2:87" ht="24" customHeight="1" thickBot="1" x14ac:dyDescent="0.25">
      <c r="B56" s="15">
        <f t="shared" si="8"/>
        <v>304</v>
      </c>
      <c r="C56" s="15" t="s">
        <v>171</v>
      </c>
      <c r="D56" s="15">
        <v>2</v>
      </c>
      <c r="E56" s="15">
        <v>1</v>
      </c>
      <c r="F56" s="15">
        <v>1</v>
      </c>
      <c r="G56" s="15">
        <v>1</v>
      </c>
      <c r="H56" s="15">
        <v>3</v>
      </c>
      <c r="I56" s="15" t="s">
        <v>182</v>
      </c>
      <c r="J56" s="16"/>
      <c r="K56" s="15" t="s">
        <v>0</v>
      </c>
      <c r="L56" s="14">
        <v>96</v>
      </c>
      <c r="M56" s="13"/>
      <c r="N56" s="14">
        <v>99</v>
      </c>
      <c r="O56" s="13"/>
      <c r="P56" s="14">
        <v>90</v>
      </c>
      <c r="Q56" s="14">
        <v>83</v>
      </c>
      <c r="R56" s="14">
        <v>92</v>
      </c>
      <c r="S56" s="14">
        <v>92</v>
      </c>
      <c r="T56" s="13">
        <v>98</v>
      </c>
      <c r="U56" s="14">
        <v>96</v>
      </c>
      <c r="V56" s="13"/>
      <c r="W56" s="14">
        <v>87</v>
      </c>
      <c r="X56" s="13"/>
      <c r="Y56" s="14">
        <v>91</v>
      </c>
      <c r="Z56" s="13"/>
      <c r="AA56" s="4">
        <f t="shared" si="5"/>
        <v>91.833333333333329</v>
      </c>
      <c r="AB56" s="4">
        <f t="shared" si="6"/>
        <v>93.472222222222214</v>
      </c>
      <c r="AC56" s="4">
        <f t="shared" si="7"/>
        <v>1.7703403453210924</v>
      </c>
      <c r="AD56" s="3"/>
      <c r="AE56" s="3"/>
      <c r="AF56" s="3"/>
      <c r="AG56" s="3"/>
      <c r="AH56" s="3"/>
      <c r="AT56" s="12"/>
      <c r="AU56" s="12"/>
      <c r="AV56" s="11"/>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row>
    <row r="57" spans="2:87" ht="24" customHeight="1" thickBot="1" x14ac:dyDescent="0.25">
      <c r="B57" s="7">
        <f t="shared" si="8"/>
        <v>305</v>
      </c>
      <c r="C57" s="7" t="s">
        <v>165</v>
      </c>
      <c r="D57" s="7">
        <v>11</v>
      </c>
      <c r="E57" s="7">
        <v>2</v>
      </c>
      <c r="F57" s="7">
        <v>3</v>
      </c>
      <c r="G57" s="7">
        <v>2</v>
      </c>
      <c r="H57" s="7">
        <v>4</v>
      </c>
      <c r="I57" s="7" t="s">
        <v>183</v>
      </c>
      <c r="J57" s="16"/>
      <c r="K57" s="7" t="s">
        <v>2</v>
      </c>
      <c r="L57" s="6">
        <v>100</v>
      </c>
      <c r="M57" s="6"/>
      <c r="N57" s="6">
        <v>100</v>
      </c>
      <c r="O57" s="6"/>
      <c r="P57" s="6">
        <v>100</v>
      </c>
      <c r="Q57" s="6">
        <v>100</v>
      </c>
      <c r="R57" s="6">
        <v>100</v>
      </c>
      <c r="S57" s="6">
        <v>100</v>
      </c>
      <c r="T57" s="6">
        <v>100</v>
      </c>
      <c r="U57" s="6">
        <v>100</v>
      </c>
      <c r="V57" s="6"/>
      <c r="W57" s="6">
        <v>100</v>
      </c>
      <c r="X57" s="6"/>
      <c r="Y57" s="6">
        <v>100</v>
      </c>
      <c r="Z57" s="6"/>
      <c r="AA57" s="4">
        <f t="shared" si="5"/>
        <v>100</v>
      </c>
      <c r="AB57" s="4">
        <f t="shared" si="6"/>
        <v>100</v>
      </c>
      <c r="AC57" s="4">
        <f t="shared" si="7"/>
        <v>0</v>
      </c>
      <c r="AD57" s="3"/>
      <c r="AE57" s="3"/>
      <c r="AF57" s="3"/>
      <c r="AG57" s="3"/>
      <c r="AH57" s="3"/>
    </row>
    <row r="58" spans="2:87" ht="24" customHeight="1" thickBot="1" x14ac:dyDescent="0.25">
      <c r="B58" s="15">
        <f t="shared" si="8"/>
        <v>305</v>
      </c>
      <c r="C58" s="15" t="s">
        <v>165</v>
      </c>
      <c r="D58" s="15">
        <v>11</v>
      </c>
      <c r="E58" s="15">
        <v>2</v>
      </c>
      <c r="F58" s="15">
        <v>3</v>
      </c>
      <c r="G58" s="15">
        <v>2</v>
      </c>
      <c r="H58" s="15">
        <v>4</v>
      </c>
      <c r="I58" s="15" t="s">
        <v>183</v>
      </c>
      <c r="J58" s="16"/>
      <c r="K58" s="15" t="s">
        <v>0</v>
      </c>
      <c r="L58" s="14">
        <v>126</v>
      </c>
      <c r="M58" s="13"/>
      <c r="N58" s="14">
        <v>115</v>
      </c>
      <c r="O58" s="13"/>
      <c r="P58" s="14">
        <v>97</v>
      </c>
      <c r="Q58" s="14">
        <v>116</v>
      </c>
      <c r="R58" s="14">
        <v>108</v>
      </c>
      <c r="S58" s="14">
        <v>115</v>
      </c>
      <c r="T58" s="13">
        <v>122</v>
      </c>
      <c r="U58" s="14">
        <v>99</v>
      </c>
      <c r="V58" s="13"/>
      <c r="W58" s="14">
        <v>120</v>
      </c>
      <c r="X58" s="13"/>
      <c r="Y58" s="14">
        <v>113</v>
      </c>
      <c r="Z58" s="13"/>
      <c r="AA58" s="4">
        <f t="shared" si="5"/>
        <v>109.5</v>
      </c>
      <c r="AB58" s="4">
        <f t="shared" si="6"/>
        <v>113.75</v>
      </c>
      <c r="AC58" s="4">
        <f t="shared" si="7"/>
        <v>3.7721567659187585</v>
      </c>
      <c r="AD58" s="3"/>
      <c r="AE58" s="3"/>
      <c r="AF58" s="3"/>
      <c r="AG58" s="3"/>
      <c r="AH58" s="3"/>
      <c r="AT58" s="12"/>
      <c r="AU58" s="12"/>
      <c r="AV58" s="11"/>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row>
    <row r="59" spans="2:87" ht="24" customHeight="1" x14ac:dyDescent="0.2">
      <c r="B59" s="7">
        <f t="shared" si="8"/>
        <v>306</v>
      </c>
      <c r="C59" s="7" t="s">
        <v>158</v>
      </c>
      <c r="D59" s="7">
        <v>4</v>
      </c>
      <c r="E59" s="7">
        <v>1</v>
      </c>
      <c r="F59" s="7">
        <v>2</v>
      </c>
      <c r="G59" s="7">
        <v>1</v>
      </c>
      <c r="H59" s="7">
        <v>4</v>
      </c>
      <c r="I59" s="7" t="s">
        <v>184</v>
      </c>
      <c r="J59" s="9"/>
      <c r="K59" s="7" t="s">
        <v>2</v>
      </c>
      <c r="L59" s="6">
        <v>91</v>
      </c>
      <c r="M59" s="6"/>
      <c r="N59" s="6">
        <v>93</v>
      </c>
      <c r="O59" s="6"/>
      <c r="P59" s="6">
        <v>87</v>
      </c>
      <c r="Q59" s="6">
        <v>97</v>
      </c>
      <c r="R59" s="6">
        <v>96</v>
      </c>
      <c r="S59" s="6">
        <v>81</v>
      </c>
      <c r="T59" s="6">
        <v>84</v>
      </c>
      <c r="U59" s="6">
        <v>96</v>
      </c>
      <c r="V59" s="6"/>
      <c r="W59" s="6">
        <v>100</v>
      </c>
      <c r="X59" s="6"/>
      <c r="Y59" s="6">
        <v>103</v>
      </c>
      <c r="Z59" s="6"/>
      <c r="AA59" s="4">
        <f t="shared" si="5"/>
        <v>90.166666666666671</v>
      </c>
      <c r="AB59" s="4">
        <f t="shared" si="6"/>
        <v>95.527777777777786</v>
      </c>
      <c r="AC59" s="4">
        <f t="shared" si="7"/>
        <v>2.0951516636814529</v>
      </c>
      <c r="AD59" s="3"/>
      <c r="AE59" s="3"/>
      <c r="AF59" s="3"/>
      <c r="AG59" s="3"/>
      <c r="AH59" s="3"/>
    </row>
    <row r="60" spans="2:87" ht="24" customHeight="1" thickBot="1" x14ac:dyDescent="0.25">
      <c r="B60" s="15">
        <f t="shared" si="8"/>
        <v>306</v>
      </c>
      <c r="C60" s="15" t="s">
        <v>158</v>
      </c>
      <c r="D60" s="15">
        <v>4</v>
      </c>
      <c r="E60" s="15">
        <v>1</v>
      </c>
      <c r="F60" s="15">
        <v>2</v>
      </c>
      <c r="G60" s="15">
        <v>1</v>
      </c>
      <c r="H60" s="15">
        <v>4</v>
      </c>
      <c r="I60" s="15" t="s">
        <v>184</v>
      </c>
      <c r="J60" s="16"/>
      <c r="K60" s="15" t="s">
        <v>0</v>
      </c>
      <c r="L60" s="14">
        <v>93</v>
      </c>
      <c r="M60" s="13"/>
      <c r="N60" s="14">
        <v>94</v>
      </c>
      <c r="O60" s="13"/>
      <c r="P60" s="14">
        <v>91</v>
      </c>
      <c r="Q60" s="14">
        <v>85</v>
      </c>
      <c r="R60" s="14">
        <v>78</v>
      </c>
      <c r="S60" s="14">
        <v>81</v>
      </c>
      <c r="T60" s="13">
        <v>83</v>
      </c>
      <c r="U60" s="14">
        <v>88</v>
      </c>
      <c r="V60" s="13"/>
      <c r="W60" s="14">
        <v>96</v>
      </c>
      <c r="X60" s="13"/>
      <c r="Y60" s="14">
        <v>105</v>
      </c>
      <c r="Z60" s="13"/>
      <c r="AA60" s="4">
        <f t="shared" si="5"/>
        <v>84.333333333333329</v>
      </c>
      <c r="AB60" s="4">
        <f t="shared" si="6"/>
        <v>93.388888888888872</v>
      </c>
      <c r="AC60" s="4">
        <f t="shared" si="7"/>
        <v>2.9051890569789305</v>
      </c>
      <c r="AD60" s="3"/>
      <c r="AE60" s="3"/>
      <c r="AF60" s="3"/>
      <c r="AG60" s="3"/>
      <c r="AH60" s="3"/>
      <c r="AT60" s="12"/>
      <c r="AU60" s="12"/>
      <c r="AV60" s="11"/>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row>
    <row r="61" spans="2:87" ht="24" customHeight="1" x14ac:dyDescent="0.2">
      <c r="B61" s="7">
        <f t="shared" si="8"/>
        <v>307</v>
      </c>
      <c r="C61" s="7" t="s">
        <v>151</v>
      </c>
      <c r="D61" s="7">
        <v>9</v>
      </c>
      <c r="E61" s="7">
        <v>2</v>
      </c>
      <c r="F61" s="7">
        <v>2</v>
      </c>
      <c r="G61" s="7">
        <v>2</v>
      </c>
      <c r="H61" s="7">
        <v>4</v>
      </c>
      <c r="I61" s="7" t="s">
        <v>185</v>
      </c>
      <c r="J61" s="9"/>
      <c r="K61" s="7" t="s">
        <v>2</v>
      </c>
      <c r="L61" s="6">
        <v>97</v>
      </c>
      <c r="M61" s="5"/>
      <c r="N61" s="6">
        <v>95</v>
      </c>
      <c r="O61" s="5"/>
      <c r="P61" s="6">
        <v>100</v>
      </c>
      <c r="Q61" s="6">
        <v>110</v>
      </c>
      <c r="R61" s="6">
        <v>99</v>
      </c>
      <c r="S61" s="6"/>
      <c r="T61" s="5"/>
      <c r="U61" s="6">
        <v>100</v>
      </c>
      <c r="V61" s="5"/>
      <c r="W61" s="6">
        <v>98</v>
      </c>
      <c r="X61" s="5"/>
      <c r="Y61" s="6">
        <v>99</v>
      </c>
      <c r="Z61" s="5"/>
      <c r="AA61" s="4">
        <f t="shared" si="5"/>
        <v>102.25</v>
      </c>
      <c r="AB61" s="4">
        <f t="shared" si="6"/>
        <v>98.541666666666671</v>
      </c>
      <c r="AC61" s="4">
        <f t="shared" si="7"/>
        <v>1.0214708893442719</v>
      </c>
      <c r="AD61" s="3"/>
      <c r="AE61" s="3"/>
      <c r="AF61" s="3"/>
      <c r="AG61" s="3"/>
      <c r="AH61" s="3"/>
    </row>
    <row r="62" spans="2:87" ht="24" customHeight="1" thickBot="1" x14ac:dyDescent="0.25">
      <c r="B62" s="15">
        <f t="shared" si="8"/>
        <v>307</v>
      </c>
      <c r="C62" s="15" t="s">
        <v>151</v>
      </c>
      <c r="D62" s="15">
        <v>9</v>
      </c>
      <c r="E62" s="15">
        <v>2</v>
      </c>
      <c r="F62" s="15">
        <v>2</v>
      </c>
      <c r="G62" s="15">
        <v>2</v>
      </c>
      <c r="H62" s="15">
        <v>4</v>
      </c>
      <c r="I62" s="15" t="s">
        <v>185</v>
      </c>
      <c r="J62" s="16"/>
      <c r="K62" s="15" t="s">
        <v>0</v>
      </c>
      <c r="L62" s="14">
        <v>99</v>
      </c>
      <c r="M62" s="13"/>
      <c r="N62" s="14">
        <v>109</v>
      </c>
      <c r="O62" s="13"/>
      <c r="P62" s="14">
        <v>107</v>
      </c>
      <c r="Q62" s="14">
        <v>97</v>
      </c>
      <c r="R62" s="14">
        <v>117</v>
      </c>
      <c r="S62" s="14"/>
      <c r="T62" s="13"/>
      <c r="U62" s="14">
        <v>110</v>
      </c>
      <c r="V62" s="13"/>
      <c r="W62" s="14">
        <v>111</v>
      </c>
      <c r="X62" s="13"/>
      <c r="Y62" s="14">
        <v>118</v>
      </c>
      <c r="Z62" s="13"/>
      <c r="AA62" s="4">
        <f t="shared" si="5"/>
        <v>107.75</v>
      </c>
      <c r="AB62" s="4">
        <f t="shared" si="6"/>
        <v>109.125</v>
      </c>
      <c r="AC62" s="4">
        <f t="shared" si="7"/>
        <v>2.4997916579853876</v>
      </c>
      <c r="AD62" s="3"/>
      <c r="AE62" s="3"/>
      <c r="AF62" s="3"/>
      <c r="AG62" s="3"/>
      <c r="AH62" s="3"/>
      <c r="AT62" s="12"/>
      <c r="AU62" s="12"/>
      <c r="AV62" s="11"/>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row>
    <row r="63" spans="2:87" ht="24" customHeight="1" x14ac:dyDescent="0.2">
      <c r="B63" s="7">
        <f t="shared" si="8"/>
        <v>308</v>
      </c>
      <c r="C63" s="7" t="s">
        <v>156</v>
      </c>
      <c r="D63" s="7">
        <v>5</v>
      </c>
      <c r="E63" s="7">
        <v>1</v>
      </c>
      <c r="F63" s="7">
        <v>3</v>
      </c>
      <c r="G63" s="7">
        <v>2</v>
      </c>
      <c r="H63" s="7">
        <v>4</v>
      </c>
      <c r="I63" s="7" t="s">
        <v>186</v>
      </c>
      <c r="J63" s="9"/>
      <c r="K63" s="7" t="s">
        <v>2</v>
      </c>
      <c r="L63" s="6">
        <v>100</v>
      </c>
      <c r="M63" s="5"/>
      <c r="N63" s="6">
        <v>100</v>
      </c>
      <c r="O63" s="5"/>
      <c r="P63" s="6">
        <v>99</v>
      </c>
      <c r="Q63" s="6">
        <v>93</v>
      </c>
      <c r="R63" s="6">
        <v>90</v>
      </c>
      <c r="S63" s="6"/>
      <c r="T63" s="5"/>
      <c r="U63" s="6">
        <v>100</v>
      </c>
      <c r="V63" s="5"/>
      <c r="W63" s="6">
        <v>100</v>
      </c>
      <c r="X63" s="5"/>
      <c r="Y63" s="6">
        <v>90</v>
      </c>
      <c r="Z63" s="5"/>
      <c r="AA63" s="4">
        <f>AVERAGE(P63:T63)</f>
        <v>94</v>
      </c>
      <c r="AB63" s="4">
        <f>AVERAGE(AVERAGE(L63:M63),AVERAGE(N63:O63),AVERAGE(P63:T63),AVERAGE(U63:V63),AVERAGE(W63:X63),AVERAGE(Y63:Z63))</f>
        <v>97.333333333333329</v>
      </c>
      <c r="AC63" s="4">
        <f>STDEV(AVERAGE(L63:M63),AVERAGE(N63:O63),AVERAGE(P63:T63),AVERAGE(U63:V63),AVERAGE(W63:X63),AVERAGE(Y63:Z63))/SQRT(6)</f>
        <v>1.7638342073763937</v>
      </c>
      <c r="AD63" s="3"/>
      <c r="AE63" s="3"/>
      <c r="AF63" s="3"/>
      <c r="AG63" s="3"/>
      <c r="AH63" s="3"/>
    </row>
    <row r="64" spans="2:87" ht="24" customHeight="1" x14ac:dyDescent="0.2">
      <c r="B64" s="7">
        <f t="shared" si="8"/>
        <v>308</v>
      </c>
      <c r="C64" s="7" t="s">
        <v>156</v>
      </c>
      <c r="D64" s="7">
        <v>5</v>
      </c>
      <c r="E64" s="7">
        <v>1</v>
      </c>
      <c r="F64" s="7">
        <v>3</v>
      </c>
      <c r="G64" s="7">
        <v>2</v>
      </c>
      <c r="H64" s="7">
        <v>4</v>
      </c>
      <c r="I64" s="7" t="s">
        <v>186</v>
      </c>
      <c r="J64" s="9"/>
      <c r="K64" s="7" t="s">
        <v>0</v>
      </c>
      <c r="L64" s="6">
        <v>91</v>
      </c>
      <c r="M64" s="6"/>
      <c r="N64" s="6">
        <v>99</v>
      </c>
      <c r="O64" s="6"/>
      <c r="P64" s="6">
        <v>85</v>
      </c>
      <c r="Q64" s="6">
        <v>81</v>
      </c>
      <c r="R64" s="6">
        <v>85</v>
      </c>
      <c r="S64" s="6"/>
      <c r="T64" s="6"/>
      <c r="U64" s="6">
        <v>110</v>
      </c>
      <c r="V64" s="6"/>
      <c r="W64" s="6">
        <v>98</v>
      </c>
      <c r="X64" s="6"/>
      <c r="Y64" s="6">
        <v>76</v>
      </c>
      <c r="Z64" s="6"/>
      <c r="AA64" s="4">
        <f t="shared" ref="AA64:AA80" si="9">AVERAGE(P64:U64)</f>
        <v>90.25</v>
      </c>
      <c r="AB64" s="4">
        <f t="shared" ref="AB64:AB80" si="10">AVERAGE(AVERAGE(L64:M64),AVERAGE(N64:O64),AVERAGE(P64:U64),AVERAGE(U64:V64),AVERAGE(W64:X64),AVERAGE(Y64:Z64))</f>
        <v>94.041666666666671</v>
      </c>
      <c r="AC64" s="4">
        <f t="shared" ref="AC64:AC80" si="11">STDEV(AVERAGE(L64:M64),AVERAGE(N64:O64),AVERAGE(P64:U64),AVERAGE(U64:V64),AVERAGE(W64:X64),AVERAGE(Y64:Z64))/SQRT(6)</f>
        <v>4.6334007788856191</v>
      </c>
      <c r="AD64" s="3"/>
      <c r="AE64" s="3"/>
      <c r="AF64" s="3"/>
      <c r="AG64" s="3"/>
      <c r="AH64" s="3"/>
    </row>
    <row r="65" spans="2:87" ht="24" customHeight="1" x14ac:dyDescent="0.2">
      <c r="B65" s="7">
        <f>B63+100</f>
        <v>408</v>
      </c>
      <c r="C65" s="7" t="s">
        <v>149</v>
      </c>
      <c r="D65" s="7">
        <v>10</v>
      </c>
      <c r="E65" s="7">
        <v>2</v>
      </c>
      <c r="F65" s="7">
        <v>2</v>
      </c>
      <c r="G65" s="7">
        <v>1</v>
      </c>
      <c r="H65" s="7">
        <v>4</v>
      </c>
      <c r="I65" s="7" t="s">
        <v>187</v>
      </c>
      <c r="J65" s="7"/>
      <c r="K65" s="7" t="s">
        <v>2</v>
      </c>
      <c r="L65" s="6">
        <v>103</v>
      </c>
      <c r="M65" s="6"/>
      <c r="N65" s="6">
        <v>91</v>
      </c>
      <c r="O65" s="6"/>
      <c r="P65" s="6">
        <v>95</v>
      </c>
      <c r="Q65" s="6">
        <v>96</v>
      </c>
      <c r="R65" s="6">
        <v>95</v>
      </c>
      <c r="S65" s="6">
        <v>87</v>
      </c>
      <c r="T65" s="6">
        <v>80</v>
      </c>
      <c r="U65" s="6">
        <v>86</v>
      </c>
      <c r="V65" s="6"/>
      <c r="W65" s="6">
        <v>106</v>
      </c>
      <c r="X65" s="6"/>
      <c r="Y65" s="6">
        <v>99</v>
      </c>
      <c r="Z65" s="6"/>
      <c r="AA65" s="4">
        <f t="shared" si="9"/>
        <v>89.833333333333329</v>
      </c>
      <c r="AB65" s="4">
        <f t="shared" si="10"/>
        <v>95.805555555555543</v>
      </c>
      <c r="AC65" s="4">
        <f t="shared" si="11"/>
        <v>3.2700709774454233</v>
      </c>
      <c r="AT65" s="12">
        <v>2</v>
      </c>
      <c r="AU65" s="12" t="s">
        <v>3</v>
      </c>
      <c r="AV65" s="12">
        <v>150</v>
      </c>
    </row>
    <row r="66" spans="2:87" ht="24" customHeight="1" thickBot="1" x14ac:dyDescent="0.25">
      <c r="B66" s="7">
        <f>B64+100</f>
        <v>408</v>
      </c>
      <c r="C66" s="15" t="s">
        <v>149</v>
      </c>
      <c r="D66" s="15">
        <v>10</v>
      </c>
      <c r="E66" s="15">
        <v>2</v>
      </c>
      <c r="F66" s="15">
        <v>2</v>
      </c>
      <c r="G66" s="15">
        <v>1</v>
      </c>
      <c r="H66" s="15">
        <v>4</v>
      </c>
      <c r="I66" s="15" t="s">
        <v>187</v>
      </c>
      <c r="J66" s="16"/>
      <c r="K66" s="15" t="s">
        <v>0</v>
      </c>
      <c r="L66" s="14">
        <v>100</v>
      </c>
      <c r="M66" s="13"/>
      <c r="N66" s="14">
        <v>97</v>
      </c>
      <c r="O66" s="13"/>
      <c r="P66" s="14">
        <v>99</v>
      </c>
      <c r="Q66" s="14">
        <v>97</v>
      </c>
      <c r="R66" s="14">
        <v>100</v>
      </c>
      <c r="S66" s="14">
        <v>99</v>
      </c>
      <c r="T66" s="13">
        <v>93</v>
      </c>
      <c r="U66" s="14">
        <v>84</v>
      </c>
      <c r="V66" s="13"/>
      <c r="W66" s="14">
        <v>95</v>
      </c>
      <c r="X66" s="13"/>
      <c r="Y66" s="14">
        <v>122</v>
      </c>
      <c r="Z66" s="13"/>
      <c r="AA66" s="4">
        <f t="shared" si="9"/>
        <v>95.333333333333329</v>
      </c>
      <c r="AB66" s="4">
        <f t="shared" si="10"/>
        <v>98.888888888888872</v>
      </c>
      <c r="AC66" s="4">
        <f t="shared" si="11"/>
        <v>5.1263059161231617</v>
      </c>
      <c r="AD66" s="3"/>
      <c r="AE66" s="3"/>
      <c r="AF66" s="3"/>
      <c r="AG66" s="3"/>
      <c r="AH66" s="3"/>
      <c r="AT66" s="12"/>
      <c r="AU66" s="12"/>
      <c r="AV66" s="11"/>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row>
    <row r="67" spans="2:87" ht="24" customHeight="1" x14ac:dyDescent="0.2">
      <c r="B67" s="7">
        <f t="shared" ref="B67:B80" si="12">B65-1</f>
        <v>407</v>
      </c>
      <c r="C67" s="7" t="s">
        <v>188</v>
      </c>
      <c r="D67" s="7">
        <v>7</v>
      </c>
      <c r="E67" s="7">
        <v>2</v>
      </c>
      <c r="F67" s="7">
        <v>1</v>
      </c>
      <c r="G67" s="7">
        <v>2</v>
      </c>
      <c r="H67" s="7">
        <v>4</v>
      </c>
      <c r="I67" s="7" t="s">
        <v>189</v>
      </c>
      <c r="J67" s="9"/>
      <c r="K67" s="7" t="s">
        <v>2</v>
      </c>
      <c r="L67" s="6">
        <v>89</v>
      </c>
      <c r="M67" s="6"/>
      <c r="N67" s="6">
        <v>92</v>
      </c>
      <c r="O67" s="6"/>
      <c r="P67" s="6">
        <v>91</v>
      </c>
      <c r="Q67" s="6">
        <v>100</v>
      </c>
      <c r="R67" s="6">
        <v>92</v>
      </c>
      <c r="S67" s="6">
        <v>88</v>
      </c>
      <c r="T67" s="6">
        <v>89</v>
      </c>
      <c r="U67" s="6">
        <v>92</v>
      </c>
      <c r="V67" s="6"/>
      <c r="W67" s="6">
        <v>79</v>
      </c>
      <c r="X67" s="6"/>
      <c r="Y67" s="6">
        <v>108</v>
      </c>
      <c r="Z67" s="6"/>
      <c r="AA67" s="4">
        <f t="shared" si="9"/>
        <v>92</v>
      </c>
      <c r="AB67" s="4">
        <f t="shared" si="10"/>
        <v>92</v>
      </c>
      <c r="AC67" s="4">
        <f t="shared" si="11"/>
        <v>3.8035071534922431</v>
      </c>
      <c r="AD67" s="3"/>
      <c r="AE67" s="3"/>
      <c r="AF67" s="3"/>
      <c r="AG67" s="3"/>
      <c r="AH67" s="3"/>
    </row>
    <row r="68" spans="2:87" ht="24" customHeight="1" thickBot="1" x14ac:dyDescent="0.25">
      <c r="B68" s="7">
        <f t="shared" si="12"/>
        <v>407</v>
      </c>
      <c r="C68" s="15" t="s">
        <v>188</v>
      </c>
      <c r="D68" s="15">
        <v>7</v>
      </c>
      <c r="E68" s="15">
        <v>2</v>
      </c>
      <c r="F68" s="15">
        <v>1</v>
      </c>
      <c r="G68" s="15">
        <v>2</v>
      </c>
      <c r="H68" s="15">
        <v>4</v>
      </c>
      <c r="I68" s="15" t="s">
        <v>189</v>
      </c>
      <c r="J68" s="16"/>
      <c r="K68" s="15" t="s">
        <v>0</v>
      </c>
      <c r="L68" s="14">
        <v>106</v>
      </c>
      <c r="M68" s="13"/>
      <c r="N68" s="14">
        <v>98</v>
      </c>
      <c r="O68" s="13"/>
      <c r="P68" s="14">
        <v>96</v>
      </c>
      <c r="Q68" s="14">
        <v>71</v>
      </c>
      <c r="R68" s="14">
        <v>87</v>
      </c>
      <c r="S68" s="14">
        <v>92</v>
      </c>
      <c r="T68" s="13">
        <v>93</v>
      </c>
      <c r="U68" s="14">
        <v>85</v>
      </c>
      <c r="V68" s="13"/>
      <c r="W68" s="14">
        <v>91</v>
      </c>
      <c r="X68" s="13"/>
      <c r="Y68" s="14">
        <v>101</v>
      </c>
      <c r="Z68" s="13"/>
      <c r="AA68" s="4">
        <f t="shared" si="9"/>
        <v>87.333333333333329</v>
      </c>
      <c r="AB68" s="4">
        <f t="shared" si="10"/>
        <v>94.722222222222214</v>
      </c>
      <c r="AC68" s="4">
        <f t="shared" si="11"/>
        <v>3.3680598510854631</v>
      </c>
      <c r="AD68" s="3"/>
      <c r="AE68" s="3"/>
      <c r="AF68" s="3"/>
      <c r="AG68" s="3"/>
      <c r="AH68" s="3"/>
      <c r="AT68" s="12"/>
      <c r="AU68" s="12"/>
      <c r="AV68" s="11"/>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row>
    <row r="69" spans="2:87" ht="24" customHeight="1" x14ac:dyDescent="0.2">
      <c r="B69" s="7">
        <f t="shared" si="12"/>
        <v>406</v>
      </c>
      <c r="C69" s="7" t="s">
        <v>147</v>
      </c>
      <c r="D69" s="7">
        <v>3</v>
      </c>
      <c r="E69" s="7">
        <v>1</v>
      </c>
      <c r="F69" s="7">
        <v>2</v>
      </c>
      <c r="G69" s="7">
        <v>2</v>
      </c>
      <c r="H69" s="7">
        <v>4</v>
      </c>
      <c r="I69" s="7" t="s">
        <v>190</v>
      </c>
      <c r="J69" s="9"/>
      <c r="K69" s="7" t="s">
        <v>2</v>
      </c>
      <c r="L69" s="6">
        <v>100</v>
      </c>
      <c r="M69" s="6"/>
      <c r="N69" s="6">
        <v>100</v>
      </c>
      <c r="O69" s="6"/>
      <c r="P69" s="6">
        <v>100</v>
      </c>
      <c r="Q69" s="6">
        <v>100</v>
      </c>
      <c r="R69" s="6">
        <v>100</v>
      </c>
      <c r="S69" s="6"/>
      <c r="T69" s="6"/>
      <c r="U69" s="6">
        <v>100</v>
      </c>
      <c r="V69" s="6"/>
      <c r="W69" s="6">
        <v>100</v>
      </c>
      <c r="X69" s="6"/>
      <c r="Y69" s="6">
        <v>100</v>
      </c>
      <c r="Z69" s="6"/>
      <c r="AA69" s="4">
        <f t="shared" si="9"/>
        <v>100</v>
      </c>
      <c r="AB69" s="4">
        <f t="shared" si="10"/>
        <v>100</v>
      </c>
      <c r="AC69" s="4">
        <f t="shared" si="11"/>
        <v>0</v>
      </c>
      <c r="AD69" s="3"/>
      <c r="AE69" s="3"/>
      <c r="AF69" s="3"/>
      <c r="AG69" s="3"/>
      <c r="AH69" s="3"/>
    </row>
    <row r="70" spans="2:87" ht="24" customHeight="1" thickBot="1" x14ac:dyDescent="0.25">
      <c r="B70" s="7">
        <f t="shared" si="12"/>
        <v>406</v>
      </c>
      <c r="C70" s="15" t="s">
        <v>147</v>
      </c>
      <c r="D70" s="15">
        <v>3</v>
      </c>
      <c r="E70" s="15">
        <v>1</v>
      </c>
      <c r="F70" s="15">
        <v>2</v>
      </c>
      <c r="G70" s="15">
        <v>2</v>
      </c>
      <c r="H70" s="15">
        <v>4</v>
      </c>
      <c r="I70" s="15" t="s">
        <v>190</v>
      </c>
      <c r="J70" s="16"/>
      <c r="K70" s="15" t="s">
        <v>0</v>
      </c>
      <c r="L70" s="14">
        <v>101</v>
      </c>
      <c r="M70" s="13"/>
      <c r="N70" s="14">
        <v>104</v>
      </c>
      <c r="O70" s="13"/>
      <c r="P70" s="14">
        <v>104</v>
      </c>
      <c r="Q70" s="14">
        <v>127</v>
      </c>
      <c r="R70" s="14">
        <v>99</v>
      </c>
      <c r="S70" s="14"/>
      <c r="T70" s="13"/>
      <c r="U70" s="14">
        <v>117</v>
      </c>
      <c r="V70" s="13"/>
      <c r="W70" s="14">
        <v>115</v>
      </c>
      <c r="X70" s="13"/>
      <c r="Y70" s="14">
        <v>110</v>
      </c>
      <c r="Z70" s="13"/>
      <c r="AA70" s="4">
        <f t="shared" si="9"/>
        <v>111.75</v>
      </c>
      <c r="AB70" s="4">
        <f t="shared" si="10"/>
        <v>109.79166666666667</v>
      </c>
      <c r="AC70" s="4">
        <f t="shared" si="11"/>
        <v>2.541666666666667</v>
      </c>
      <c r="AD70" s="3"/>
      <c r="AE70" s="3"/>
      <c r="AF70" s="3"/>
      <c r="AG70" s="3"/>
      <c r="AH70" s="3"/>
      <c r="AT70" s="12"/>
      <c r="AU70" s="12"/>
      <c r="AV70" s="11"/>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row>
    <row r="71" spans="2:87" ht="24" customHeight="1" x14ac:dyDescent="0.2">
      <c r="B71" s="7">
        <f t="shared" si="12"/>
        <v>405</v>
      </c>
      <c r="C71" s="7" t="s">
        <v>191</v>
      </c>
      <c r="D71" s="7">
        <v>6</v>
      </c>
      <c r="E71" s="7">
        <v>1</v>
      </c>
      <c r="F71" s="7">
        <v>3</v>
      </c>
      <c r="G71" s="7">
        <v>1</v>
      </c>
      <c r="H71" s="7">
        <v>4</v>
      </c>
      <c r="I71" s="7" t="s">
        <v>192</v>
      </c>
      <c r="J71" s="9"/>
      <c r="K71" s="7" t="s">
        <v>2</v>
      </c>
      <c r="L71" s="6">
        <v>103</v>
      </c>
      <c r="M71" s="6"/>
      <c r="N71" s="6">
        <v>101</v>
      </c>
      <c r="O71" s="6"/>
      <c r="P71" s="6">
        <v>102</v>
      </c>
      <c r="Q71" s="6">
        <v>101</v>
      </c>
      <c r="R71" s="6">
        <v>104</v>
      </c>
      <c r="S71" s="6"/>
      <c r="T71" s="6"/>
      <c r="U71" s="6">
        <v>100</v>
      </c>
      <c r="V71" s="6"/>
      <c r="W71" s="6">
        <v>99</v>
      </c>
      <c r="X71" s="6"/>
      <c r="Y71" s="6">
        <v>101</v>
      </c>
      <c r="Z71" s="6"/>
      <c r="AA71" s="4">
        <f t="shared" si="9"/>
        <v>101.75</v>
      </c>
      <c r="AB71" s="4">
        <f t="shared" si="10"/>
        <v>100.95833333333333</v>
      </c>
      <c r="AC71" s="4">
        <f t="shared" si="11"/>
        <v>0.56427190057433996</v>
      </c>
      <c r="AD71" s="3"/>
      <c r="AE71" s="3"/>
      <c r="AF71" s="3"/>
      <c r="AG71" s="3"/>
      <c r="AH71" s="3"/>
    </row>
    <row r="72" spans="2:87" ht="24" customHeight="1" thickBot="1" x14ac:dyDescent="0.25">
      <c r="B72" s="7">
        <f t="shared" si="12"/>
        <v>405</v>
      </c>
      <c r="C72" s="15" t="s">
        <v>191</v>
      </c>
      <c r="D72" s="15">
        <v>6</v>
      </c>
      <c r="E72" s="15">
        <v>1</v>
      </c>
      <c r="F72" s="15">
        <v>3</v>
      </c>
      <c r="G72" s="15">
        <v>1</v>
      </c>
      <c r="H72" s="15">
        <v>4</v>
      </c>
      <c r="I72" s="15" t="s">
        <v>192</v>
      </c>
      <c r="J72" s="16"/>
      <c r="K72" s="15" t="s">
        <v>0</v>
      </c>
      <c r="L72" s="14">
        <v>81</v>
      </c>
      <c r="M72" s="13"/>
      <c r="N72" s="14">
        <v>90</v>
      </c>
      <c r="O72" s="13"/>
      <c r="P72" s="14">
        <v>71</v>
      </c>
      <c r="Q72" s="14">
        <v>75</v>
      </c>
      <c r="R72" s="14">
        <v>82</v>
      </c>
      <c r="S72" s="14"/>
      <c r="T72" s="13"/>
      <c r="U72" s="14">
        <v>82</v>
      </c>
      <c r="V72" s="13"/>
      <c r="W72" s="14">
        <v>86</v>
      </c>
      <c r="X72" s="13"/>
      <c r="Y72" s="14">
        <v>71</v>
      </c>
      <c r="Z72" s="13"/>
      <c r="AA72" s="4">
        <f t="shared" si="9"/>
        <v>77.5</v>
      </c>
      <c r="AB72" s="4">
        <f t="shared" si="10"/>
        <v>81.25</v>
      </c>
      <c r="AC72" s="4">
        <f t="shared" si="11"/>
        <v>2.70108003090122</v>
      </c>
      <c r="AD72" s="3"/>
      <c r="AE72" s="3"/>
      <c r="AF72" s="3"/>
      <c r="AG72" s="3"/>
      <c r="AH72" s="3"/>
      <c r="AT72" s="12"/>
      <c r="AU72" s="12"/>
      <c r="AV72" s="11"/>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row>
    <row r="73" spans="2:87" ht="24" customHeight="1" thickBot="1" x14ac:dyDescent="0.25">
      <c r="B73" s="7">
        <f t="shared" si="12"/>
        <v>404</v>
      </c>
      <c r="C73" s="7" t="s">
        <v>147</v>
      </c>
      <c r="D73" s="7">
        <v>3</v>
      </c>
      <c r="E73" s="7">
        <v>1</v>
      </c>
      <c r="F73" s="7">
        <v>2</v>
      </c>
      <c r="G73" s="7">
        <v>2</v>
      </c>
      <c r="H73" s="7">
        <v>3</v>
      </c>
      <c r="I73" s="7" t="s">
        <v>193</v>
      </c>
      <c r="J73" s="16"/>
      <c r="K73" s="7" t="s">
        <v>2</v>
      </c>
      <c r="L73" s="6">
        <v>100</v>
      </c>
      <c r="M73" s="6"/>
      <c r="N73" s="6">
        <v>100</v>
      </c>
      <c r="O73" s="6"/>
      <c r="P73" s="6">
        <v>100</v>
      </c>
      <c r="Q73" s="6">
        <v>100</v>
      </c>
      <c r="R73" s="6">
        <v>100</v>
      </c>
      <c r="S73" s="6"/>
      <c r="T73" s="6"/>
      <c r="U73" s="6">
        <v>100</v>
      </c>
      <c r="V73" s="6"/>
      <c r="W73" s="6">
        <v>100</v>
      </c>
      <c r="X73" s="6"/>
      <c r="Y73" s="6">
        <v>100</v>
      </c>
      <c r="Z73" s="6"/>
      <c r="AA73" s="4">
        <f t="shared" si="9"/>
        <v>100</v>
      </c>
      <c r="AB73" s="4">
        <f t="shared" si="10"/>
        <v>100</v>
      </c>
      <c r="AC73" s="4">
        <f t="shared" si="11"/>
        <v>0</v>
      </c>
      <c r="AD73" s="3"/>
      <c r="AE73" s="3"/>
      <c r="AF73" s="3"/>
      <c r="AG73" s="3"/>
      <c r="AH73" s="3"/>
    </row>
    <row r="74" spans="2:87" ht="24" customHeight="1" thickBot="1" x14ac:dyDescent="0.25">
      <c r="B74" s="7">
        <f t="shared" si="12"/>
        <v>404</v>
      </c>
      <c r="C74" s="15" t="s">
        <v>147</v>
      </c>
      <c r="D74" s="15">
        <v>3</v>
      </c>
      <c r="E74" s="15">
        <v>1</v>
      </c>
      <c r="F74" s="15">
        <v>2</v>
      </c>
      <c r="G74" s="15">
        <v>2</v>
      </c>
      <c r="H74" s="15">
        <v>3</v>
      </c>
      <c r="I74" s="15" t="s">
        <v>193</v>
      </c>
      <c r="J74" s="16"/>
      <c r="K74" s="15" t="s">
        <v>0</v>
      </c>
      <c r="L74" s="14">
        <v>107</v>
      </c>
      <c r="M74" s="13"/>
      <c r="N74" s="14">
        <v>103</v>
      </c>
      <c r="O74" s="13"/>
      <c r="P74" s="14">
        <v>91</v>
      </c>
      <c r="Q74" s="14">
        <v>115</v>
      </c>
      <c r="R74" s="14">
        <v>101</v>
      </c>
      <c r="S74" s="14"/>
      <c r="T74" s="13"/>
      <c r="U74" s="14">
        <v>102</v>
      </c>
      <c r="V74" s="13"/>
      <c r="W74" s="14">
        <v>105</v>
      </c>
      <c r="X74" s="13"/>
      <c r="Y74" s="14">
        <v>100</v>
      </c>
      <c r="Z74" s="13"/>
      <c r="AA74" s="4">
        <f t="shared" si="9"/>
        <v>102.25</v>
      </c>
      <c r="AB74" s="4">
        <f t="shared" si="10"/>
        <v>103.20833333333333</v>
      </c>
      <c r="AC74" s="4">
        <f t="shared" si="11"/>
        <v>1.0050221114206614</v>
      </c>
      <c r="AD74" s="3"/>
      <c r="AE74" s="3"/>
      <c r="AF74" s="3"/>
      <c r="AG74" s="3"/>
      <c r="AH74" s="3"/>
      <c r="AT74" s="12"/>
      <c r="AU74" s="12"/>
      <c r="AV74" s="11"/>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row>
    <row r="75" spans="2:87" ht="24" customHeight="1" x14ac:dyDescent="0.2">
      <c r="B75" s="7">
        <f t="shared" si="12"/>
        <v>403</v>
      </c>
      <c r="C75" s="7" t="s">
        <v>191</v>
      </c>
      <c r="D75" s="7">
        <v>6</v>
      </c>
      <c r="E75" s="7">
        <v>1</v>
      </c>
      <c r="F75" s="7">
        <v>3</v>
      </c>
      <c r="G75" s="7">
        <v>1</v>
      </c>
      <c r="H75" s="7">
        <v>3</v>
      </c>
      <c r="I75" s="7" t="s">
        <v>194</v>
      </c>
      <c r="J75" s="9"/>
      <c r="K75" s="7" t="s">
        <v>2</v>
      </c>
      <c r="L75" s="6">
        <v>100</v>
      </c>
      <c r="M75" s="6"/>
      <c r="N75" s="6">
        <v>100</v>
      </c>
      <c r="O75" s="6"/>
      <c r="P75" s="6">
        <v>100</v>
      </c>
      <c r="Q75" s="6">
        <v>100</v>
      </c>
      <c r="R75" s="6">
        <v>100</v>
      </c>
      <c r="S75" s="6">
        <v>100</v>
      </c>
      <c r="T75" s="6">
        <v>100</v>
      </c>
      <c r="U75" s="6">
        <v>100</v>
      </c>
      <c r="V75" s="6"/>
      <c r="W75" s="6">
        <v>100</v>
      </c>
      <c r="X75" s="6"/>
      <c r="Y75" s="6">
        <v>100</v>
      </c>
      <c r="Z75" s="6"/>
      <c r="AA75" s="4">
        <f t="shared" si="9"/>
        <v>100</v>
      </c>
      <c r="AB75" s="4">
        <f t="shared" si="10"/>
        <v>100</v>
      </c>
      <c r="AC75" s="4">
        <f t="shared" si="11"/>
        <v>0</v>
      </c>
      <c r="AD75" s="3"/>
      <c r="AE75" s="3"/>
      <c r="AF75" s="3"/>
      <c r="AG75" s="3"/>
      <c r="AH75" s="3"/>
    </row>
    <row r="76" spans="2:87" ht="24" customHeight="1" thickBot="1" x14ac:dyDescent="0.25">
      <c r="B76" s="7">
        <f t="shared" si="12"/>
        <v>403</v>
      </c>
      <c r="C76" s="15" t="s">
        <v>191</v>
      </c>
      <c r="D76" s="15">
        <v>6</v>
      </c>
      <c r="E76" s="15">
        <v>1</v>
      </c>
      <c r="F76" s="15">
        <v>3</v>
      </c>
      <c r="G76" s="15">
        <v>1</v>
      </c>
      <c r="H76" s="15">
        <v>3</v>
      </c>
      <c r="I76" s="15" t="s">
        <v>194</v>
      </c>
      <c r="J76" s="16"/>
      <c r="K76" s="15" t="s">
        <v>0</v>
      </c>
      <c r="L76" s="14">
        <v>110</v>
      </c>
      <c r="M76" s="13"/>
      <c r="N76" s="14">
        <v>91</v>
      </c>
      <c r="O76" s="13"/>
      <c r="P76" s="14">
        <v>80</v>
      </c>
      <c r="Q76" s="14">
        <v>75</v>
      </c>
      <c r="R76" s="14">
        <v>73</v>
      </c>
      <c r="S76" s="14">
        <v>82</v>
      </c>
      <c r="T76" s="13">
        <v>104</v>
      </c>
      <c r="U76" s="14">
        <v>86</v>
      </c>
      <c r="V76" s="13"/>
      <c r="W76" s="14">
        <v>94</v>
      </c>
      <c r="X76" s="13"/>
      <c r="Y76" s="14">
        <v>83</v>
      </c>
      <c r="Z76" s="13"/>
      <c r="AA76" s="4">
        <f t="shared" si="9"/>
        <v>83.333333333333329</v>
      </c>
      <c r="AB76" s="4">
        <f t="shared" si="10"/>
        <v>91.222222222222214</v>
      </c>
      <c r="AC76" s="4">
        <f t="shared" si="11"/>
        <v>4.1532376185392863</v>
      </c>
      <c r="AD76" s="3"/>
      <c r="AE76" s="3"/>
      <c r="AF76" s="3"/>
      <c r="AG76" s="3"/>
      <c r="AH76" s="3"/>
      <c r="AT76" s="12"/>
      <c r="AU76" s="12"/>
      <c r="AV76" s="11"/>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row>
    <row r="77" spans="2:87" ht="24" customHeight="1" x14ac:dyDescent="0.2">
      <c r="B77" s="7">
        <f t="shared" si="12"/>
        <v>402</v>
      </c>
      <c r="C77" s="7" t="s">
        <v>151</v>
      </c>
      <c r="D77" s="7">
        <v>9</v>
      </c>
      <c r="E77" s="7">
        <v>2</v>
      </c>
      <c r="F77" s="7">
        <v>2</v>
      </c>
      <c r="G77" s="7">
        <v>2</v>
      </c>
      <c r="H77" s="7">
        <v>3</v>
      </c>
      <c r="I77" s="7" t="s">
        <v>195</v>
      </c>
      <c r="J77" s="9"/>
      <c r="K77" s="7" t="s">
        <v>2</v>
      </c>
      <c r="L77" s="6">
        <v>102</v>
      </c>
      <c r="M77" s="5"/>
      <c r="N77" s="6">
        <v>97</v>
      </c>
      <c r="O77" s="5"/>
      <c r="P77" s="6">
        <v>105</v>
      </c>
      <c r="Q77" s="6">
        <v>103</v>
      </c>
      <c r="R77" s="6">
        <v>95</v>
      </c>
      <c r="S77" s="6">
        <v>103</v>
      </c>
      <c r="T77" s="5">
        <v>98</v>
      </c>
      <c r="U77" s="6">
        <v>104</v>
      </c>
      <c r="V77" s="5"/>
      <c r="W77" s="6">
        <v>93</v>
      </c>
      <c r="X77" s="5"/>
      <c r="Y77" s="6">
        <v>89</v>
      </c>
      <c r="Z77" s="5"/>
      <c r="AA77" s="4">
        <f t="shared" si="9"/>
        <v>101.33333333333333</v>
      </c>
      <c r="AB77" s="4">
        <f t="shared" si="10"/>
        <v>97.722222222222214</v>
      </c>
      <c r="AC77" s="4">
        <f t="shared" si="11"/>
        <v>2.3780114111595299</v>
      </c>
      <c r="AD77" s="3"/>
      <c r="AE77" s="3"/>
      <c r="AF77" s="3"/>
      <c r="AG77" s="3"/>
      <c r="AH77" s="3"/>
    </row>
    <row r="78" spans="2:87" ht="24" customHeight="1" thickBot="1" x14ac:dyDescent="0.25">
      <c r="B78" s="7">
        <f t="shared" si="12"/>
        <v>402</v>
      </c>
      <c r="C78" s="15" t="s">
        <v>151</v>
      </c>
      <c r="D78" s="15">
        <v>9</v>
      </c>
      <c r="E78" s="15">
        <v>2</v>
      </c>
      <c r="F78" s="15">
        <v>2</v>
      </c>
      <c r="G78" s="15">
        <v>2</v>
      </c>
      <c r="H78" s="15">
        <v>3</v>
      </c>
      <c r="I78" s="15" t="s">
        <v>195</v>
      </c>
      <c r="J78" s="16"/>
      <c r="K78" s="15" t="s">
        <v>0</v>
      </c>
      <c r="L78" s="14">
        <v>93</v>
      </c>
      <c r="M78" s="13"/>
      <c r="N78" s="14">
        <v>97</v>
      </c>
      <c r="O78" s="13"/>
      <c r="P78" s="14">
        <v>97</v>
      </c>
      <c r="Q78" s="14">
        <v>92</v>
      </c>
      <c r="R78" s="14">
        <v>110</v>
      </c>
      <c r="S78" s="14">
        <v>113</v>
      </c>
      <c r="T78" s="13">
        <v>102</v>
      </c>
      <c r="U78" s="14">
        <v>98</v>
      </c>
      <c r="V78" s="13"/>
      <c r="W78" s="14">
        <v>102</v>
      </c>
      <c r="X78" s="13"/>
      <c r="Y78" s="14">
        <v>103</v>
      </c>
      <c r="Z78" s="13"/>
      <c r="AA78" s="4">
        <f t="shared" si="9"/>
        <v>102</v>
      </c>
      <c r="AB78" s="4">
        <f t="shared" si="10"/>
        <v>99.166666666666671</v>
      </c>
      <c r="AC78" s="4">
        <f t="shared" si="11"/>
        <v>1.5793810320642847</v>
      </c>
      <c r="AD78" s="3"/>
      <c r="AE78" s="3"/>
      <c r="AF78" s="3"/>
      <c r="AG78" s="3"/>
      <c r="AH78" s="3"/>
      <c r="AT78" s="12"/>
      <c r="AU78" s="12"/>
      <c r="AV78" s="11"/>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row>
    <row r="79" spans="2:87" ht="24" customHeight="1" x14ac:dyDescent="0.2">
      <c r="B79" s="7">
        <f t="shared" si="12"/>
        <v>401</v>
      </c>
      <c r="C79" s="7" t="s">
        <v>188</v>
      </c>
      <c r="D79" s="7">
        <v>7</v>
      </c>
      <c r="E79" s="7">
        <v>2</v>
      </c>
      <c r="F79" s="7">
        <v>1</v>
      </c>
      <c r="G79" s="7">
        <v>2</v>
      </c>
      <c r="H79" s="7">
        <v>3</v>
      </c>
      <c r="I79" s="7" t="s">
        <v>196</v>
      </c>
      <c r="J79" s="9"/>
      <c r="K79" s="7" t="s">
        <v>2</v>
      </c>
      <c r="L79" s="6">
        <v>96</v>
      </c>
      <c r="M79" s="5"/>
      <c r="N79" s="6">
        <v>87</v>
      </c>
      <c r="O79" s="5"/>
      <c r="P79" s="6">
        <v>104</v>
      </c>
      <c r="Q79" s="6">
        <v>96</v>
      </c>
      <c r="R79" s="6">
        <v>98</v>
      </c>
      <c r="S79" s="6">
        <v>85</v>
      </c>
      <c r="T79" s="5">
        <v>93</v>
      </c>
      <c r="U79" s="6">
        <v>87</v>
      </c>
      <c r="V79" s="5"/>
      <c r="W79" s="6">
        <v>93</v>
      </c>
      <c r="X79" s="5"/>
      <c r="Y79" s="6">
        <v>94</v>
      </c>
      <c r="Z79" s="5"/>
      <c r="AA79" s="4">
        <f t="shared" si="9"/>
        <v>93.833333333333329</v>
      </c>
      <c r="AB79" s="4">
        <f t="shared" si="10"/>
        <v>91.805555555555543</v>
      </c>
      <c r="AC79" s="4">
        <f t="shared" si="11"/>
        <v>1.5719866333110604</v>
      </c>
      <c r="AD79" s="3"/>
      <c r="AE79" s="3"/>
      <c r="AF79" s="3"/>
      <c r="AG79" s="3"/>
      <c r="AH79" s="3"/>
    </row>
    <row r="80" spans="2:87" ht="24" customHeight="1" x14ac:dyDescent="0.2">
      <c r="B80" s="7">
        <f t="shared" si="12"/>
        <v>401</v>
      </c>
      <c r="C80" s="7" t="s">
        <v>188</v>
      </c>
      <c r="D80" s="7">
        <v>7</v>
      </c>
      <c r="E80" s="7">
        <v>2</v>
      </c>
      <c r="F80" s="7">
        <v>1</v>
      </c>
      <c r="G80" s="7">
        <v>2</v>
      </c>
      <c r="H80" s="7">
        <v>3</v>
      </c>
      <c r="I80" s="7" t="s">
        <v>196</v>
      </c>
      <c r="J80" s="7"/>
      <c r="K80" s="7" t="s">
        <v>0</v>
      </c>
      <c r="L80" s="6">
        <v>98</v>
      </c>
      <c r="M80" s="5"/>
      <c r="N80" s="6">
        <v>101</v>
      </c>
      <c r="O80" s="5"/>
      <c r="P80" s="6">
        <v>73</v>
      </c>
      <c r="Q80" s="6">
        <v>84</v>
      </c>
      <c r="R80" s="6">
        <v>72</v>
      </c>
      <c r="S80" s="6">
        <v>93</v>
      </c>
      <c r="T80" s="5">
        <v>81</v>
      </c>
      <c r="U80" s="6">
        <v>91</v>
      </c>
      <c r="V80" s="5"/>
      <c r="W80" s="6">
        <v>100</v>
      </c>
      <c r="X80" s="5"/>
      <c r="Y80" s="6">
        <v>101</v>
      </c>
      <c r="Z80" s="5"/>
      <c r="AA80" s="4">
        <f t="shared" si="9"/>
        <v>82.333333333333329</v>
      </c>
      <c r="AB80" s="4">
        <f t="shared" si="10"/>
        <v>95.555555555555543</v>
      </c>
      <c r="AC80" s="4">
        <f t="shared" si="11"/>
        <v>3.0582816122380052</v>
      </c>
      <c r="AD80" s="3"/>
      <c r="AE80" s="3"/>
      <c r="AF80" s="3"/>
      <c r="AG80" s="3"/>
      <c r="AH80" s="3"/>
    </row>
    <row r="81" spans="11:11" x14ac:dyDescent="0.2">
      <c r="K81" s="2"/>
    </row>
    <row r="82" spans="11:11" x14ac:dyDescent="0.2">
      <c r="K82" s="2"/>
    </row>
    <row r="83" spans="11:11" x14ac:dyDescent="0.2">
      <c r="K83" s="2"/>
    </row>
    <row r="84" spans="11:11" x14ac:dyDescent="0.2">
      <c r="K84" s="2"/>
    </row>
    <row r="85" spans="11:11" x14ac:dyDescent="0.2">
      <c r="K85" s="2"/>
    </row>
    <row r="86" spans="11:11" x14ac:dyDescent="0.2">
      <c r="K86" s="2"/>
    </row>
    <row r="87" spans="11:11" x14ac:dyDescent="0.2">
      <c r="K87" s="2"/>
    </row>
  </sheetData>
  <mergeCells count="12">
    <mergeCell ref="P6:T6"/>
    <mergeCell ref="U6:V6"/>
    <mergeCell ref="AT5:AV5"/>
    <mergeCell ref="J7:K7"/>
    <mergeCell ref="B7:H7"/>
    <mergeCell ref="AA6:AA7"/>
    <mergeCell ref="AB6:AB7"/>
    <mergeCell ref="AC6:AC7"/>
    <mergeCell ref="L6:M6"/>
    <mergeCell ref="N6:O6"/>
    <mergeCell ref="W6:X6"/>
    <mergeCell ref="Y6:Z6"/>
  </mergeCells>
  <pageMargins left="0.51" right="0" top="0.85" bottom="0" header="0.64" footer="0"/>
  <pageSetup paperSize="512" scale="30" orientation="landscape" r:id="rId1"/>
  <headerFooter alignWithMargins="0">
    <oddHeader xml:space="preserve">&amp;L&amp;"Comic Sans MS,Bold"&amp;14FISE2003 ---Cotton Plant Cover and Heights in North 1 m of Harvest Area&amp;C&amp;"Comic Sans MS,Bold"&amp;12       </oddHeader>
    <oddFooter>&amp;L&amp;F   USWCL Remote Sensing&amp;R&amp;D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C25B9-E3DB-4604-834B-4603F243B2E9}">
  <sheetPr>
    <pageSetUpPr fitToPage="1"/>
  </sheetPr>
  <dimension ref="A1:CI87"/>
  <sheetViews>
    <sheetView workbookViewId="0">
      <selection activeCell="N2" sqref="N2"/>
    </sheetView>
  </sheetViews>
  <sheetFormatPr defaultRowHeight="12.75" x14ac:dyDescent="0.2"/>
  <cols>
    <col min="1" max="1" width="9.140625" style="1"/>
    <col min="2" max="2" width="4.85546875" style="1" customWidth="1"/>
    <col min="3" max="3" width="5.7109375" style="1" customWidth="1"/>
    <col min="4" max="8" width="5.28515625" style="1" hidden="1" customWidth="1"/>
    <col min="9" max="9" width="7" style="1" hidden="1" customWidth="1"/>
    <col min="10" max="11" width="9" style="1" customWidth="1"/>
    <col min="12" max="13" width="9.140625" style="1"/>
    <col min="14" max="14" width="9.7109375" style="1" customWidth="1"/>
    <col min="15" max="25" width="9.140625" style="1"/>
    <col min="26" max="26" width="10.140625" style="1" customWidth="1"/>
    <col min="27" max="27" width="12.7109375" style="1" customWidth="1"/>
    <col min="28" max="35" width="9.140625" style="1"/>
    <col min="36" max="36" width="7.5703125" style="1" customWidth="1"/>
    <col min="37" max="46" width="7.7109375" style="1" customWidth="1"/>
    <col min="47" max="16384" width="9.140625" style="1"/>
  </cols>
  <sheetData>
    <row r="1" spans="1:87" ht="15" customHeight="1" x14ac:dyDescent="0.25">
      <c r="A1" s="44" t="s">
        <v>82</v>
      </c>
    </row>
    <row r="2" spans="1:87" ht="15" customHeight="1" thickBot="1" x14ac:dyDescent="0.3">
      <c r="A2" s="44"/>
      <c r="N2" s="43"/>
      <c r="X2" s="20" t="s">
        <v>81</v>
      </c>
      <c r="Y2" s="42">
        <v>37880</v>
      </c>
      <c r="Z2" s="39"/>
    </row>
    <row r="3" spans="1:87" ht="15" customHeight="1" thickBot="1" x14ac:dyDescent="0.25">
      <c r="B3" s="1" t="s">
        <v>80</v>
      </c>
      <c r="D3" s="41"/>
      <c r="E3" s="41"/>
      <c r="F3" s="41"/>
      <c r="G3" s="41"/>
      <c r="H3" s="41"/>
      <c r="I3" s="41"/>
      <c r="J3" s="41" t="s">
        <v>141</v>
      </c>
      <c r="K3" s="41"/>
      <c r="L3" s="41"/>
      <c r="M3" s="41"/>
      <c r="N3" s="41"/>
      <c r="O3" s="41"/>
      <c r="P3" s="41"/>
      <c r="Q3" s="41"/>
      <c r="R3" s="41"/>
      <c r="S3" s="41"/>
      <c r="T3" s="41"/>
      <c r="U3" s="41"/>
      <c r="V3" s="41"/>
    </row>
    <row r="4" spans="1:87" ht="13.5" thickBot="1" x14ac:dyDescent="0.25">
      <c r="D4" s="40"/>
      <c r="E4" s="40"/>
      <c r="F4" s="40"/>
      <c r="G4" s="40"/>
      <c r="H4" s="40"/>
      <c r="I4" s="40"/>
      <c r="J4" s="40" t="s">
        <v>140</v>
      </c>
      <c r="K4" s="40"/>
      <c r="L4" s="40"/>
      <c r="M4" s="40"/>
      <c r="N4" s="40"/>
      <c r="O4" s="40"/>
      <c r="P4" s="40"/>
      <c r="Q4" s="40"/>
      <c r="R4" s="40"/>
      <c r="S4" s="40"/>
      <c r="T4" s="40"/>
      <c r="U4" s="40"/>
      <c r="V4" s="40"/>
      <c r="X4" s="20" t="s">
        <v>78</v>
      </c>
      <c r="Y4" s="39" t="s">
        <v>139</v>
      </c>
      <c r="Z4" s="39"/>
    </row>
    <row r="5" spans="1:87" ht="18" x14ac:dyDescent="0.2">
      <c r="AS5" s="38"/>
      <c r="AT5" s="56" t="s">
        <v>76</v>
      </c>
      <c r="AU5" s="56"/>
      <c r="AV5" s="56"/>
    </row>
    <row r="6" spans="1:87" ht="25.5" customHeight="1" x14ac:dyDescent="0.2">
      <c r="B6" s="36" t="s">
        <v>51</v>
      </c>
      <c r="C6" s="37" t="s">
        <v>50</v>
      </c>
      <c r="D6" s="37" t="s">
        <v>75</v>
      </c>
      <c r="E6" s="36" t="s">
        <v>74</v>
      </c>
      <c r="F6" s="37" t="s">
        <v>73</v>
      </c>
      <c r="G6" s="36" t="s">
        <v>72</v>
      </c>
      <c r="H6" s="36" t="s">
        <v>45</v>
      </c>
      <c r="I6" s="36" t="s">
        <v>71</v>
      </c>
      <c r="J6" s="36" t="s">
        <v>43</v>
      </c>
      <c r="K6" s="35" t="s">
        <v>70</v>
      </c>
      <c r="L6" s="65" t="s">
        <v>69</v>
      </c>
      <c r="M6" s="66"/>
      <c r="N6" s="65" t="s">
        <v>68</v>
      </c>
      <c r="O6" s="66"/>
      <c r="P6" s="65" t="s">
        <v>67</v>
      </c>
      <c r="Q6" s="67"/>
      <c r="R6" s="67"/>
      <c r="S6" s="67"/>
      <c r="T6" s="66"/>
      <c r="U6" s="65" t="s">
        <v>66</v>
      </c>
      <c r="V6" s="66"/>
      <c r="W6" s="65" t="s">
        <v>65</v>
      </c>
      <c r="X6" s="66"/>
      <c r="Y6" s="65" t="s">
        <v>64</v>
      </c>
      <c r="Z6" s="66"/>
      <c r="AA6" s="61" t="s">
        <v>63</v>
      </c>
      <c r="AB6" s="61" t="s">
        <v>62</v>
      </c>
      <c r="AC6" s="63" t="s">
        <v>61</v>
      </c>
      <c r="AS6" s="34"/>
      <c r="AT6" s="2" t="s">
        <v>60</v>
      </c>
      <c r="AU6" s="2"/>
    </row>
    <row r="7" spans="1:87" ht="15.75" customHeight="1" x14ac:dyDescent="0.2">
      <c r="B7" s="59"/>
      <c r="C7" s="60"/>
      <c r="D7" s="60"/>
      <c r="E7" s="60"/>
      <c r="F7" s="60"/>
      <c r="G7" s="60"/>
      <c r="H7" s="60"/>
      <c r="I7" s="33"/>
      <c r="J7" s="57" t="s">
        <v>59</v>
      </c>
      <c r="K7" s="58"/>
      <c r="L7" s="32" t="s">
        <v>55</v>
      </c>
      <c r="M7" s="31" t="s">
        <v>54</v>
      </c>
      <c r="N7" s="32" t="s">
        <v>55</v>
      </c>
      <c r="O7" s="31" t="s">
        <v>54</v>
      </c>
      <c r="P7" s="32" t="s">
        <v>58</v>
      </c>
      <c r="Q7" s="31" t="s">
        <v>55</v>
      </c>
      <c r="R7" s="31" t="s">
        <v>57</v>
      </c>
      <c r="S7" s="31" t="s">
        <v>54</v>
      </c>
      <c r="T7" s="31" t="s">
        <v>56</v>
      </c>
      <c r="U7" s="32" t="s">
        <v>55</v>
      </c>
      <c r="V7" s="31" t="s">
        <v>54</v>
      </c>
      <c r="W7" s="32" t="s">
        <v>55</v>
      </c>
      <c r="X7" s="31" t="s">
        <v>54</v>
      </c>
      <c r="Y7" s="32" t="s">
        <v>55</v>
      </c>
      <c r="Z7" s="31" t="s">
        <v>54</v>
      </c>
      <c r="AA7" s="62"/>
      <c r="AB7" s="62"/>
      <c r="AC7" s="64"/>
      <c r="AT7" s="12" t="s">
        <v>7</v>
      </c>
      <c r="AU7" s="12" t="s">
        <v>53</v>
      </c>
      <c r="AV7" s="12" t="s">
        <v>52</v>
      </c>
    </row>
    <row r="8" spans="1:87" ht="15.75" hidden="1" customHeight="1" x14ac:dyDescent="0.2">
      <c r="B8" s="28" t="s">
        <v>51</v>
      </c>
      <c r="C8" s="30" t="s">
        <v>50</v>
      </c>
      <c r="D8" s="30" t="s">
        <v>49</v>
      </c>
      <c r="E8" s="28" t="s">
        <v>48</v>
      </c>
      <c r="F8" s="30" t="s">
        <v>47</v>
      </c>
      <c r="G8" s="28" t="s">
        <v>46</v>
      </c>
      <c r="H8" s="28" t="s">
        <v>45</v>
      </c>
      <c r="I8" s="28" t="s">
        <v>44</v>
      </c>
      <c r="J8" s="27" t="s">
        <v>43</v>
      </c>
      <c r="K8" s="27" t="s">
        <v>42</v>
      </c>
      <c r="L8" s="29" t="s">
        <v>41</v>
      </c>
      <c r="M8" s="29" t="s">
        <v>40</v>
      </c>
      <c r="N8" s="29" t="s">
        <v>39</v>
      </c>
      <c r="O8" s="29" t="s">
        <v>38</v>
      </c>
      <c r="P8" s="29" t="s">
        <v>37</v>
      </c>
      <c r="Q8" s="29" t="s">
        <v>36</v>
      </c>
      <c r="R8" s="29" t="s">
        <v>35</v>
      </c>
      <c r="S8" s="29" t="s">
        <v>34</v>
      </c>
      <c r="T8" s="29" t="s">
        <v>33</v>
      </c>
      <c r="U8" s="29" t="s">
        <v>32</v>
      </c>
      <c r="V8" s="29" t="s">
        <v>31</v>
      </c>
      <c r="W8" s="29" t="s">
        <v>30</v>
      </c>
      <c r="X8" s="29" t="s">
        <v>29</v>
      </c>
      <c r="Y8" s="29" t="s">
        <v>28</v>
      </c>
      <c r="Z8" s="29" t="s">
        <v>27</v>
      </c>
      <c r="AA8" s="28" t="s">
        <v>26</v>
      </c>
      <c r="AB8" s="28" t="s">
        <v>25</v>
      </c>
      <c r="AC8" s="27" t="s">
        <v>24</v>
      </c>
      <c r="AT8" s="12"/>
      <c r="AU8" s="12"/>
      <c r="AV8" s="12"/>
    </row>
    <row r="9" spans="1:87" ht="24" customHeight="1" x14ac:dyDescent="0.2">
      <c r="B9" s="7">
        <v>108</v>
      </c>
      <c r="C9" s="7" t="s">
        <v>147</v>
      </c>
      <c r="D9" s="7">
        <v>3</v>
      </c>
      <c r="E9" s="7">
        <v>1</v>
      </c>
      <c r="F9" s="7">
        <v>2</v>
      </c>
      <c r="G9" s="7">
        <v>2</v>
      </c>
      <c r="H9" s="7">
        <v>2</v>
      </c>
      <c r="I9" s="7" t="s">
        <v>148</v>
      </c>
      <c r="J9" s="7"/>
      <c r="K9" s="7" t="s">
        <v>2</v>
      </c>
      <c r="L9" s="6">
        <v>100</v>
      </c>
      <c r="M9" s="5"/>
      <c r="N9" s="6">
        <v>100</v>
      </c>
      <c r="O9" s="5"/>
      <c r="P9" s="6">
        <v>100</v>
      </c>
      <c r="Q9" s="6">
        <v>100</v>
      </c>
      <c r="R9" s="6"/>
      <c r="S9" s="6"/>
      <c r="T9" s="5"/>
      <c r="U9" s="6">
        <v>100</v>
      </c>
      <c r="V9" s="5"/>
      <c r="W9" s="6">
        <v>100</v>
      </c>
      <c r="X9" s="5"/>
      <c r="Y9" s="6">
        <v>100</v>
      </c>
      <c r="Z9" s="5"/>
      <c r="AA9" s="4">
        <f t="shared" ref="AA9:AA40" si="0">AVERAGE(P9:T9)</f>
        <v>100</v>
      </c>
      <c r="AB9" s="4">
        <f t="shared" ref="AB9:AB40" si="1">AVERAGE(AVERAGE(L9:M9),AVERAGE(N9:O9),AVERAGE(P9:T9),AVERAGE(U9:V9),AVERAGE(W9:X9),AVERAGE(Y9:Z9))</f>
        <v>100</v>
      </c>
      <c r="AC9" s="4">
        <f t="shared" ref="AC9:AC40" si="2">STDEV(AVERAGE(L9:M9),AVERAGE(N9:O9),AVERAGE(P9:T9),AVERAGE(U9:V9),AVERAGE(W9:X9),AVERAGE(Y9:Z9))/SQRT(6)</f>
        <v>0</v>
      </c>
      <c r="AD9" s="3"/>
      <c r="AE9" s="3"/>
      <c r="AF9" s="3"/>
      <c r="AG9" s="3"/>
      <c r="AH9" s="3"/>
      <c r="AT9" s="12">
        <v>1</v>
      </c>
      <c r="AU9" s="12" t="s">
        <v>23</v>
      </c>
      <c r="AV9" s="11"/>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row>
    <row r="10" spans="1:87" ht="24" customHeight="1" thickBot="1" x14ac:dyDescent="0.25">
      <c r="B10" s="15">
        <v>108</v>
      </c>
      <c r="C10" s="15" t="s">
        <v>147</v>
      </c>
      <c r="D10" s="15">
        <v>3</v>
      </c>
      <c r="E10" s="15">
        <v>1</v>
      </c>
      <c r="F10" s="15">
        <v>2</v>
      </c>
      <c r="G10" s="15">
        <v>2</v>
      </c>
      <c r="H10" s="15">
        <v>2</v>
      </c>
      <c r="I10" s="15" t="s">
        <v>148</v>
      </c>
      <c r="J10" s="16"/>
      <c r="K10" s="15" t="s">
        <v>0</v>
      </c>
      <c r="L10" s="14">
        <v>133</v>
      </c>
      <c r="M10" s="13"/>
      <c r="N10" s="14">
        <v>122</v>
      </c>
      <c r="O10" s="13"/>
      <c r="P10" s="14">
        <v>107</v>
      </c>
      <c r="Q10" s="14">
        <v>108</v>
      </c>
      <c r="R10" s="14"/>
      <c r="S10" s="14"/>
      <c r="T10" s="13"/>
      <c r="U10" s="14">
        <v>106</v>
      </c>
      <c r="V10" s="13"/>
      <c r="W10" s="14">
        <v>106</v>
      </c>
      <c r="X10" s="13"/>
      <c r="Y10" s="14">
        <v>110</v>
      </c>
      <c r="Z10" s="13"/>
      <c r="AA10" s="4">
        <f t="shared" si="0"/>
        <v>107.5</v>
      </c>
      <c r="AB10" s="4">
        <f t="shared" si="1"/>
        <v>114.08333333333333</v>
      </c>
      <c r="AC10" s="4">
        <f t="shared" si="2"/>
        <v>4.5137136718129476</v>
      </c>
      <c r="AD10" s="3"/>
      <c r="AE10" s="3"/>
      <c r="AF10" s="3"/>
      <c r="AG10" s="3"/>
      <c r="AH10" s="3"/>
      <c r="AT10" s="12">
        <v>2</v>
      </c>
      <c r="AU10" s="12" t="s">
        <v>22</v>
      </c>
      <c r="AV10" s="11"/>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row>
    <row r="11" spans="1:87" ht="24" customHeight="1" x14ac:dyDescent="0.2">
      <c r="B11" s="25">
        <f t="shared" ref="B11:B24" si="3">B9-1</f>
        <v>107</v>
      </c>
      <c r="C11" s="25" t="s">
        <v>149</v>
      </c>
      <c r="D11" s="25">
        <v>10</v>
      </c>
      <c r="E11" s="25">
        <v>2</v>
      </c>
      <c r="F11" s="25">
        <v>2</v>
      </c>
      <c r="G11" s="25">
        <v>1</v>
      </c>
      <c r="H11" s="25">
        <v>2</v>
      </c>
      <c r="I11" s="25" t="s">
        <v>150</v>
      </c>
      <c r="J11" s="26"/>
      <c r="K11" s="25" t="s">
        <v>2</v>
      </c>
      <c r="L11" s="24">
        <v>85</v>
      </c>
      <c r="M11" s="23"/>
      <c r="N11" s="24">
        <v>96</v>
      </c>
      <c r="O11" s="23"/>
      <c r="P11" s="24">
        <v>85</v>
      </c>
      <c r="Q11" s="24">
        <v>87</v>
      </c>
      <c r="R11" s="24"/>
      <c r="S11" s="24"/>
      <c r="T11" s="23"/>
      <c r="U11" s="24">
        <v>100</v>
      </c>
      <c r="V11" s="23"/>
      <c r="W11" s="24">
        <v>89</v>
      </c>
      <c r="X11" s="23"/>
      <c r="Y11" s="24">
        <v>89</v>
      </c>
      <c r="Z11" s="23"/>
      <c r="AA11" s="4">
        <f t="shared" si="0"/>
        <v>86</v>
      </c>
      <c r="AB11" s="4">
        <f t="shared" si="1"/>
        <v>90.833333333333329</v>
      </c>
      <c r="AC11" s="4">
        <f t="shared" si="2"/>
        <v>2.4140790744666543</v>
      </c>
      <c r="AD11" s="3"/>
      <c r="AE11" s="22"/>
      <c r="AF11" s="3"/>
      <c r="AG11" s="21"/>
      <c r="AH11" s="3"/>
      <c r="AT11" s="12">
        <v>3</v>
      </c>
      <c r="AU11" s="12" t="s">
        <v>21</v>
      </c>
      <c r="AV11" s="12" t="s">
        <v>19</v>
      </c>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row>
    <row r="12" spans="1:87" ht="24" customHeight="1" thickBot="1" x14ac:dyDescent="0.25">
      <c r="B12" s="15">
        <f t="shared" si="3"/>
        <v>107</v>
      </c>
      <c r="C12" s="15" t="s">
        <v>149</v>
      </c>
      <c r="D12" s="15">
        <v>10</v>
      </c>
      <c r="E12" s="15">
        <v>2</v>
      </c>
      <c r="F12" s="15">
        <v>2</v>
      </c>
      <c r="G12" s="15">
        <v>1</v>
      </c>
      <c r="H12" s="15">
        <v>2</v>
      </c>
      <c r="I12" s="15" t="s">
        <v>150</v>
      </c>
      <c r="J12" s="16"/>
      <c r="K12" s="15" t="s">
        <v>0</v>
      </c>
      <c r="L12" s="14">
        <v>96</v>
      </c>
      <c r="M12" s="13"/>
      <c r="N12" s="14">
        <v>114</v>
      </c>
      <c r="O12" s="13"/>
      <c r="P12" s="14">
        <v>95</v>
      </c>
      <c r="Q12" s="14">
        <v>115</v>
      </c>
      <c r="R12" s="14"/>
      <c r="S12" s="14"/>
      <c r="T12" s="13"/>
      <c r="U12" s="14">
        <v>105</v>
      </c>
      <c r="V12" s="13"/>
      <c r="W12" s="14">
        <v>112</v>
      </c>
      <c r="X12" s="13"/>
      <c r="Y12" s="14">
        <v>115</v>
      </c>
      <c r="Z12" s="13"/>
      <c r="AA12" s="4">
        <f t="shared" si="0"/>
        <v>105</v>
      </c>
      <c r="AB12" s="4">
        <f t="shared" si="1"/>
        <v>107.83333333333333</v>
      </c>
      <c r="AC12" s="4">
        <f t="shared" si="2"/>
        <v>2.9599174162653785</v>
      </c>
      <c r="AD12" s="3"/>
      <c r="AE12" s="3"/>
      <c r="AF12" s="3"/>
      <c r="AG12" s="3"/>
      <c r="AH12" s="3"/>
      <c r="AT12" s="12">
        <v>4</v>
      </c>
      <c r="AU12" s="12" t="s">
        <v>20</v>
      </c>
      <c r="AV12" s="11" t="s">
        <v>19</v>
      </c>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row>
    <row r="13" spans="1:87" ht="24" customHeight="1" x14ac:dyDescent="0.2">
      <c r="B13" s="7">
        <f t="shared" si="3"/>
        <v>106</v>
      </c>
      <c r="C13" s="7" t="s">
        <v>151</v>
      </c>
      <c r="D13" s="7">
        <v>9</v>
      </c>
      <c r="E13" s="7">
        <v>2</v>
      </c>
      <c r="F13" s="7">
        <v>2</v>
      </c>
      <c r="G13" s="7">
        <v>2</v>
      </c>
      <c r="H13" s="7">
        <v>2</v>
      </c>
      <c r="I13" s="7" t="s">
        <v>152</v>
      </c>
      <c r="J13" s="9"/>
      <c r="K13" s="7" t="s">
        <v>2</v>
      </c>
      <c r="L13" s="6">
        <v>100</v>
      </c>
      <c r="M13" s="5"/>
      <c r="N13" s="6">
        <v>100</v>
      </c>
      <c r="O13" s="5"/>
      <c r="P13" s="6">
        <v>100</v>
      </c>
      <c r="Q13" s="6">
        <v>100</v>
      </c>
      <c r="R13" s="6"/>
      <c r="S13" s="6"/>
      <c r="T13" s="5"/>
      <c r="U13" s="6">
        <v>100</v>
      </c>
      <c r="V13" s="5"/>
      <c r="W13" s="6">
        <v>100</v>
      </c>
      <c r="X13" s="5"/>
      <c r="Y13" s="6">
        <v>100</v>
      </c>
      <c r="Z13" s="5"/>
      <c r="AA13" s="4">
        <f t="shared" si="0"/>
        <v>100</v>
      </c>
      <c r="AB13" s="4">
        <f t="shared" si="1"/>
        <v>100</v>
      </c>
      <c r="AC13" s="4">
        <f t="shared" si="2"/>
        <v>0</v>
      </c>
      <c r="AD13" s="3"/>
      <c r="AE13" s="3"/>
      <c r="AF13" s="3"/>
      <c r="AG13" s="3"/>
      <c r="AH13" s="3"/>
      <c r="AT13" s="12">
        <v>8</v>
      </c>
      <c r="AU13" s="12" t="s">
        <v>18</v>
      </c>
      <c r="AV13" s="12" t="s">
        <v>17</v>
      </c>
    </row>
    <row r="14" spans="1:87" ht="24" customHeight="1" thickBot="1" x14ac:dyDescent="0.25">
      <c r="B14" s="15">
        <f t="shared" si="3"/>
        <v>106</v>
      </c>
      <c r="C14" s="15" t="s">
        <v>151</v>
      </c>
      <c r="D14" s="15">
        <v>9</v>
      </c>
      <c r="E14" s="15">
        <v>2</v>
      </c>
      <c r="F14" s="15">
        <v>2</v>
      </c>
      <c r="G14" s="15">
        <v>2</v>
      </c>
      <c r="H14" s="15">
        <v>2</v>
      </c>
      <c r="I14" s="15" t="s">
        <v>152</v>
      </c>
      <c r="J14" s="16"/>
      <c r="K14" s="15" t="s">
        <v>0</v>
      </c>
      <c r="L14" s="14">
        <v>146</v>
      </c>
      <c r="M14" s="13"/>
      <c r="N14" s="14">
        <v>130</v>
      </c>
      <c r="O14" s="13"/>
      <c r="P14" s="14">
        <v>118</v>
      </c>
      <c r="Q14" s="14">
        <v>115</v>
      </c>
      <c r="R14" s="14"/>
      <c r="S14" s="14"/>
      <c r="T14" s="13"/>
      <c r="U14" s="14">
        <v>107</v>
      </c>
      <c r="V14" s="13"/>
      <c r="W14" s="14">
        <v>115</v>
      </c>
      <c r="X14" s="13"/>
      <c r="Y14" s="14">
        <v>118</v>
      </c>
      <c r="Z14" s="13"/>
      <c r="AA14" s="4">
        <f t="shared" si="0"/>
        <v>116.5</v>
      </c>
      <c r="AB14" s="4">
        <f t="shared" si="1"/>
        <v>122.08333333333333</v>
      </c>
      <c r="AC14" s="4">
        <f t="shared" si="2"/>
        <v>5.6574680241645456</v>
      </c>
      <c r="AD14" s="3"/>
      <c r="AE14" s="3"/>
      <c r="AF14" s="3"/>
      <c r="AG14" s="3"/>
      <c r="AH14" s="3"/>
      <c r="AT14" s="12">
        <v>9</v>
      </c>
      <c r="AU14" s="12" t="s">
        <v>16</v>
      </c>
      <c r="AV14" s="11" t="s">
        <v>15</v>
      </c>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row>
    <row r="15" spans="1:87" ht="24" customHeight="1" x14ac:dyDescent="0.2">
      <c r="B15" s="7">
        <f t="shared" si="3"/>
        <v>105</v>
      </c>
      <c r="C15" s="7" t="s">
        <v>153</v>
      </c>
      <c r="D15" s="7">
        <v>12</v>
      </c>
      <c r="E15" s="7">
        <v>2</v>
      </c>
      <c r="F15" s="7">
        <v>3</v>
      </c>
      <c r="G15" s="7">
        <v>1</v>
      </c>
      <c r="H15" s="7">
        <v>2</v>
      </c>
      <c r="I15" s="7" t="s">
        <v>154</v>
      </c>
      <c r="J15" s="9"/>
      <c r="K15" s="7" t="s">
        <v>2</v>
      </c>
      <c r="L15" s="6">
        <v>100</v>
      </c>
      <c r="M15" s="5"/>
      <c r="N15" s="6">
        <v>100</v>
      </c>
      <c r="O15" s="5"/>
      <c r="P15" s="6">
        <v>100</v>
      </c>
      <c r="Q15" s="6">
        <v>100</v>
      </c>
      <c r="R15" s="6"/>
      <c r="S15" s="6"/>
      <c r="T15" s="5"/>
      <c r="U15" s="6">
        <v>97</v>
      </c>
      <c r="V15" s="5"/>
      <c r="W15" s="6">
        <v>100</v>
      </c>
      <c r="X15" s="5"/>
      <c r="Y15" s="6">
        <v>100</v>
      </c>
      <c r="Z15" s="5"/>
      <c r="AA15" s="4">
        <f t="shared" si="0"/>
        <v>100</v>
      </c>
      <c r="AB15" s="4">
        <f t="shared" si="1"/>
        <v>99.5</v>
      </c>
      <c r="AC15" s="4">
        <f t="shared" si="2"/>
        <v>0.5</v>
      </c>
      <c r="AD15" s="3"/>
      <c r="AE15" s="3"/>
      <c r="AF15" s="3"/>
      <c r="AG15" s="3"/>
      <c r="AH15" s="3"/>
    </row>
    <row r="16" spans="1:87" ht="24" customHeight="1" thickBot="1" x14ac:dyDescent="0.25">
      <c r="B16" s="15">
        <f t="shared" si="3"/>
        <v>105</v>
      </c>
      <c r="C16" s="15" t="s">
        <v>153</v>
      </c>
      <c r="D16" s="15">
        <v>12</v>
      </c>
      <c r="E16" s="15">
        <v>2</v>
      </c>
      <c r="F16" s="15">
        <v>3</v>
      </c>
      <c r="G16" s="15">
        <v>1</v>
      </c>
      <c r="H16" s="15">
        <v>2</v>
      </c>
      <c r="I16" s="15" t="s">
        <v>154</v>
      </c>
      <c r="J16" s="16"/>
      <c r="K16" s="15" t="s">
        <v>0</v>
      </c>
      <c r="L16" s="14">
        <v>91</v>
      </c>
      <c r="M16" s="13"/>
      <c r="N16" s="14">
        <v>125</v>
      </c>
      <c r="O16" s="13"/>
      <c r="P16" s="14">
        <v>90</v>
      </c>
      <c r="Q16" s="14">
        <v>107</v>
      </c>
      <c r="R16" s="14"/>
      <c r="S16" s="14"/>
      <c r="T16" s="13"/>
      <c r="U16" s="14">
        <v>100</v>
      </c>
      <c r="V16" s="13"/>
      <c r="W16" s="14">
        <v>87</v>
      </c>
      <c r="X16" s="13"/>
      <c r="Y16" s="14">
        <v>100</v>
      </c>
      <c r="Z16" s="13"/>
      <c r="AA16" s="4">
        <f t="shared" si="0"/>
        <v>98.5</v>
      </c>
      <c r="AB16" s="4">
        <f t="shared" si="1"/>
        <v>100.25</v>
      </c>
      <c r="AC16" s="4">
        <f t="shared" si="2"/>
        <v>5.4064005277695317</v>
      </c>
      <c r="AD16" s="3"/>
      <c r="AE16" s="3"/>
      <c r="AF16" s="3"/>
      <c r="AG16" s="3"/>
      <c r="AH16" s="3"/>
      <c r="AT16" s="12" t="s">
        <v>14</v>
      </c>
      <c r="AU16" s="12"/>
      <c r="AV16" s="11"/>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row>
    <row r="17" spans="2:87" ht="24" customHeight="1" x14ac:dyDescent="0.2">
      <c r="B17" s="7">
        <f t="shared" si="3"/>
        <v>104</v>
      </c>
      <c r="C17" s="7" t="s">
        <v>149</v>
      </c>
      <c r="D17" s="7">
        <v>10</v>
      </c>
      <c r="E17" s="7">
        <v>2</v>
      </c>
      <c r="F17" s="7">
        <v>2</v>
      </c>
      <c r="G17" s="7">
        <v>1</v>
      </c>
      <c r="H17" s="7">
        <v>1</v>
      </c>
      <c r="I17" s="7" t="s">
        <v>155</v>
      </c>
      <c r="J17" s="9"/>
      <c r="K17" s="7" t="s">
        <v>2</v>
      </c>
      <c r="L17" s="18">
        <v>85</v>
      </c>
      <c r="M17" s="5"/>
      <c r="N17" s="18">
        <v>108</v>
      </c>
      <c r="O17" s="5"/>
      <c r="P17" s="18">
        <v>93</v>
      </c>
      <c r="Q17" s="18">
        <v>101</v>
      </c>
      <c r="R17" s="18"/>
      <c r="S17" s="18"/>
      <c r="T17" s="5"/>
      <c r="U17" s="18">
        <v>100</v>
      </c>
      <c r="V17" s="5"/>
      <c r="W17" s="18">
        <v>97</v>
      </c>
      <c r="X17" s="5"/>
      <c r="Y17" s="18">
        <v>96</v>
      </c>
      <c r="Z17" s="5"/>
      <c r="AA17" s="4">
        <f t="shared" si="0"/>
        <v>97</v>
      </c>
      <c r="AB17" s="4">
        <f t="shared" si="1"/>
        <v>97.166666666666671</v>
      </c>
      <c r="AC17" s="4">
        <f t="shared" si="2"/>
        <v>3.0267327452405035</v>
      </c>
      <c r="AD17" s="3"/>
      <c r="AE17" s="3"/>
      <c r="AF17" s="3"/>
      <c r="AG17" s="3"/>
      <c r="AH17" s="3"/>
      <c r="AT17" s="12" t="s">
        <v>7</v>
      </c>
      <c r="AU17" s="12" t="s">
        <v>13</v>
      </c>
      <c r="AV17" s="12" t="s">
        <v>12</v>
      </c>
    </row>
    <row r="18" spans="2:87" ht="24" customHeight="1" thickBot="1" x14ac:dyDescent="0.25">
      <c r="B18" s="15">
        <f t="shared" si="3"/>
        <v>104</v>
      </c>
      <c r="C18" s="15" t="s">
        <v>149</v>
      </c>
      <c r="D18" s="15">
        <v>10</v>
      </c>
      <c r="E18" s="15">
        <v>2</v>
      </c>
      <c r="F18" s="15">
        <v>2</v>
      </c>
      <c r="G18" s="15">
        <v>1</v>
      </c>
      <c r="H18" s="15">
        <v>1</v>
      </c>
      <c r="I18" s="15" t="s">
        <v>155</v>
      </c>
      <c r="J18" s="16"/>
      <c r="K18" s="15" t="s">
        <v>0</v>
      </c>
      <c r="L18" s="14">
        <v>92</v>
      </c>
      <c r="M18" s="13"/>
      <c r="N18" s="14">
        <v>90</v>
      </c>
      <c r="O18" s="13"/>
      <c r="P18" s="14">
        <v>111</v>
      </c>
      <c r="Q18" s="14">
        <v>101</v>
      </c>
      <c r="R18" s="14"/>
      <c r="S18" s="14"/>
      <c r="T18" s="13"/>
      <c r="U18" s="14">
        <v>110</v>
      </c>
      <c r="V18" s="13"/>
      <c r="W18" s="14">
        <v>125</v>
      </c>
      <c r="X18" s="13"/>
      <c r="Y18" s="14">
        <v>98</v>
      </c>
      <c r="Z18" s="13"/>
      <c r="AA18" s="4">
        <f t="shared" si="0"/>
        <v>106</v>
      </c>
      <c r="AB18" s="4">
        <f t="shared" si="1"/>
        <v>103.5</v>
      </c>
      <c r="AC18" s="4">
        <f t="shared" si="2"/>
        <v>5.34009987422208</v>
      </c>
      <c r="AD18" s="3"/>
      <c r="AE18" s="3"/>
      <c r="AF18" s="3"/>
      <c r="AG18" s="3"/>
      <c r="AH18" s="3"/>
      <c r="AT18" s="12">
        <v>0</v>
      </c>
      <c r="AU18" s="12">
        <v>0</v>
      </c>
      <c r="AV18" s="11" t="s">
        <v>11</v>
      </c>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row>
    <row r="19" spans="2:87" ht="24" customHeight="1" x14ac:dyDescent="0.2">
      <c r="B19" s="7">
        <f t="shared" si="3"/>
        <v>103</v>
      </c>
      <c r="C19" s="7" t="s">
        <v>156</v>
      </c>
      <c r="D19" s="7">
        <v>5</v>
      </c>
      <c r="E19" s="7">
        <v>1</v>
      </c>
      <c r="F19" s="7">
        <v>3</v>
      </c>
      <c r="G19" s="7">
        <v>2</v>
      </c>
      <c r="H19" s="7">
        <v>1</v>
      </c>
      <c r="I19" s="7" t="s">
        <v>157</v>
      </c>
      <c r="J19" s="9"/>
      <c r="K19" s="7" t="s">
        <v>2</v>
      </c>
      <c r="L19" s="18">
        <v>48</v>
      </c>
      <c r="M19" s="5"/>
      <c r="N19" s="18">
        <v>100</v>
      </c>
      <c r="O19" s="5"/>
      <c r="P19" s="18">
        <v>97</v>
      </c>
      <c r="Q19" s="18">
        <v>50</v>
      </c>
      <c r="R19" s="18"/>
      <c r="S19" s="18"/>
      <c r="T19" s="5"/>
      <c r="U19" s="18">
        <v>95</v>
      </c>
      <c r="V19" s="5"/>
      <c r="W19" s="18">
        <v>76</v>
      </c>
      <c r="X19" s="5"/>
      <c r="Y19" s="18">
        <v>100</v>
      </c>
      <c r="Z19" s="5"/>
      <c r="AA19" s="4">
        <f t="shared" si="0"/>
        <v>73.5</v>
      </c>
      <c r="AB19" s="4">
        <f t="shared" si="1"/>
        <v>82.083333333333329</v>
      </c>
      <c r="AC19" s="4">
        <f t="shared" si="2"/>
        <v>8.3290822490302734</v>
      </c>
      <c r="AD19" s="3"/>
      <c r="AE19" s="3"/>
      <c r="AF19" s="3"/>
      <c r="AG19" s="3"/>
      <c r="AH19" s="3"/>
      <c r="AT19" s="12">
        <v>1</v>
      </c>
      <c r="AU19" s="12">
        <v>5</v>
      </c>
      <c r="AV19" s="12" t="s">
        <v>10</v>
      </c>
    </row>
    <row r="20" spans="2:87" ht="24" customHeight="1" thickBot="1" x14ac:dyDescent="0.25">
      <c r="B20" s="15">
        <f t="shared" si="3"/>
        <v>103</v>
      </c>
      <c r="C20" s="15" t="s">
        <v>156</v>
      </c>
      <c r="D20" s="15">
        <v>5</v>
      </c>
      <c r="E20" s="15">
        <v>1</v>
      </c>
      <c r="F20" s="15">
        <v>3</v>
      </c>
      <c r="G20" s="15">
        <v>2</v>
      </c>
      <c r="H20" s="15">
        <v>1</v>
      </c>
      <c r="I20" s="15" t="s">
        <v>157</v>
      </c>
      <c r="J20" s="16"/>
      <c r="K20" s="15" t="s">
        <v>0</v>
      </c>
      <c r="L20" s="14">
        <v>119</v>
      </c>
      <c r="M20" s="13"/>
      <c r="N20" s="14">
        <v>112</v>
      </c>
      <c r="O20" s="13"/>
      <c r="P20" s="14">
        <v>98</v>
      </c>
      <c r="Q20" s="14">
        <v>93</v>
      </c>
      <c r="R20" s="14"/>
      <c r="S20" s="14"/>
      <c r="T20" s="13"/>
      <c r="U20" s="14">
        <v>105</v>
      </c>
      <c r="V20" s="13"/>
      <c r="W20" s="14">
        <v>96</v>
      </c>
      <c r="X20" s="13"/>
      <c r="Y20" s="14">
        <v>100</v>
      </c>
      <c r="Z20" s="13"/>
      <c r="AA20" s="4">
        <f t="shared" si="0"/>
        <v>95.5</v>
      </c>
      <c r="AB20" s="4">
        <f t="shared" si="1"/>
        <v>104.58333333333333</v>
      </c>
      <c r="AC20" s="4">
        <f t="shared" si="2"/>
        <v>3.830614978187068</v>
      </c>
      <c r="AD20" s="3"/>
      <c r="AE20" s="3"/>
      <c r="AF20" s="3"/>
      <c r="AG20" s="3"/>
      <c r="AH20" s="3"/>
      <c r="AT20" s="12">
        <v>2</v>
      </c>
      <c r="AU20" s="12">
        <v>10</v>
      </c>
      <c r="AV20" s="11" t="s">
        <v>10</v>
      </c>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row>
    <row r="21" spans="2:87" ht="24" customHeight="1" x14ac:dyDescent="0.2">
      <c r="B21" s="7">
        <f t="shared" si="3"/>
        <v>102</v>
      </c>
      <c r="C21" s="7" t="s">
        <v>158</v>
      </c>
      <c r="D21" s="7">
        <v>4</v>
      </c>
      <c r="E21" s="7">
        <v>1</v>
      </c>
      <c r="F21" s="7">
        <v>2</v>
      </c>
      <c r="G21" s="7">
        <v>1</v>
      </c>
      <c r="H21" s="7">
        <v>1</v>
      </c>
      <c r="I21" s="7" t="s">
        <v>159</v>
      </c>
      <c r="J21" s="9"/>
      <c r="K21" s="7" t="s">
        <v>2</v>
      </c>
      <c r="L21" s="6">
        <v>100</v>
      </c>
      <c r="M21" s="5"/>
      <c r="N21" s="6">
        <v>94</v>
      </c>
      <c r="O21" s="5"/>
      <c r="P21" s="6">
        <v>84</v>
      </c>
      <c r="Q21" s="6">
        <v>87</v>
      </c>
      <c r="R21" s="6"/>
      <c r="S21" s="6"/>
      <c r="T21" s="5"/>
      <c r="U21" s="6">
        <v>93</v>
      </c>
      <c r="V21" s="5"/>
      <c r="W21" s="6">
        <v>90</v>
      </c>
      <c r="X21" s="5"/>
      <c r="Y21" s="6">
        <v>99</v>
      </c>
      <c r="Z21" s="5"/>
      <c r="AA21" s="4">
        <f t="shared" si="0"/>
        <v>85.5</v>
      </c>
      <c r="AB21" s="4">
        <f t="shared" si="1"/>
        <v>93.583333333333329</v>
      </c>
      <c r="AC21" s="4">
        <f t="shared" si="2"/>
        <v>2.2301594362536306</v>
      </c>
      <c r="AD21" s="3"/>
      <c r="AE21" s="3"/>
      <c r="AF21" s="3"/>
      <c r="AG21" s="3"/>
      <c r="AH21" s="3"/>
      <c r="AT21" s="12">
        <v>3</v>
      </c>
      <c r="AU21" s="12">
        <v>20</v>
      </c>
      <c r="AV21" s="12" t="s">
        <v>9</v>
      </c>
    </row>
    <row r="22" spans="2:87" ht="24" customHeight="1" thickBot="1" x14ac:dyDescent="0.25">
      <c r="B22" s="15">
        <f t="shared" si="3"/>
        <v>102</v>
      </c>
      <c r="C22" s="15" t="s">
        <v>158</v>
      </c>
      <c r="D22" s="15">
        <v>4</v>
      </c>
      <c r="E22" s="15">
        <v>1</v>
      </c>
      <c r="F22" s="15">
        <v>2</v>
      </c>
      <c r="G22" s="15">
        <v>1</v>
      </c>
      <c r="H22" s="15">
        <v>1</v>
      </c>
      <c r="I22" s="15" t="s">
        <v>159</v>
      </c>
      <c r="J22" s="16"/>
      <c r="K22" s="15" t="s">
        <v>0</v>
      </c>
      <c r="L22" s="14">
        <v>127</v>
      </c>
      <c r="M22" s="13"/>
      <c r="N22" s="14">
        <v>108</v>
      </c>
      <c r="O22" s="13"/>
      <c r="P22" s="14">
        <v>106</v>
      </c>
      <c r="Q22" s="14">
        <v>81</v>
      </c>
      <c r="R22" s="14"/>
      <c r="S22" s="14"/>
      <c r="T22" s="13"/>
      <c r="U22" s="14">
        <v>121</v>
      </c>
      <c r="V22" s="13"/>
      <c r="W22" s="14">
        <v>101</v>
      </c>
      <c r="X22" s="13"/>
      <c r="Y22" s="14">
        <v>103</v>
      </c>
      <c r="Z22" s="13"/>
      <c r="AA22" s="4">
        <f t="shared" si="0"/>
        <v>93.5</v>
      </c>
      <c r="AB22" s="4">
        <f t="shared" si="1"/>
        <v>108.91666666666667</v>
      </c>
      <c r="AC22" s="4">
        <f t="shared" si="2"/>
        <v>5.1936125299362637</v>
      </c>
      <c r="AD22" s="3"/>
      <c r="AE22" s="3"/>
      <c r="AF22" s="3"/>
      <c r="AG22" s="3"/>
      <c r="AH22" s="3"/>
      <c r="AT22" s="12"/>
      <c r="AU22" s="12"/>
      <c r="AV22" s="11"/>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row>
    <row r="23" spans="2:87" ht="24" customHeight="1" x14ac:dyDescent="0.2">
      <c r="B23" s="7">
        <f t="shared" si="3"/>
        <v>101</v>
      </c>
      <c r="C23" s="7" t="s">
        <v>160</v>
      </c>
      <c r="D23" s="7">
        <v>1</v>
      </c>
      <c r="E23" s="7">
        <v>1</v>
      </c>
      <c r="F23" s="7">
        <v>1</v>
      </c>
      <c r="G23" s="7">
        <v>2</v>
      </c>
      <c r="H23" s="7">
        <v>1</v>
      </c>
      <c r="I23" s="7" t="s">
        <v>161</v>
      </c>
      <c r="J23" s="9"/>
      <c r="K23" s="7" t="s">
        <v>2</v>
      </c>
      <c r="L23" s="6">
        <v>100</v>
      </c>
      <c r="M23" s="5"/>
      <c r="N23" s="6">
        <v>82</v>
      </c>
      <c r="O23" s="5"/>
      <c r="P23" s="6">
        <v>76</v>
      </c>
      <c r="Q23" s="6">
        <v>70</v>
      </c>
      <c r="R23" s="6"/>
      <c r="S23" s="6"/>
      <c r="T23" s="5"/>
      <c r="U23" s="6">
        <v>100</v>
      </c>
      <c r="V23" s="5"/>
      <c r="W23" s="6">
        <v>82</v>
      </c>
      <c r="X23" s="5"/>
      <c r="Y23" s="6">
        <v>86</v>
      </c>
      <c r="Z23" s="5"/>
      <c r="AA23" s="4">
        <f t="shared" si="0"/>
        <v>73</v>
      </c>
      <c r="AB23" s="4">
        <f t="shared" si="1"/>
        <v>87.166666666666671</v>
      </c>
      <c r="AC23" s="4">
        <f t="shared" si="2"/>
        <v>4.4152513455571842</v>
      </c>
      <c r="AD23" s="3"/>
      <c r="AE23" s="3"/>
      <c r="AF23" s="3"/>
      <c r="AG23" s="3"/>
      <c r="AH23" s="3"/>
      <c r="AT23" s="2" t="s">
        <v>8</v>
      </c>
      <c r="AU23" s="2"/>
      <c r="AV23" s="2"/>
    </row>
    <row r="24" spans="2:87" ht="24" customHeight="1" thickBot="1" x14ac:dyDescent="0.25">
      <c r="B24" s="15">
        <f t="shared" si="3"/>
        <v>101</v>
      </c>
      <c r="C24" s="15" t="s">
        <v>160</v>
      </c>
      <c r="D24" s="15">
        <v>1</v>
      </c>
      <c r="E24" s="15">
        <v>1</v>
      </c>
      <c r="F24" s="15">
        <v>1</v>
      </c>
      <c r="G24" s="15">
        <v>2</v>
      </c>
      <c r="H24" s="15">
        <v>1</v>
      </c>
      <c r="I24" s="15" t="s">
        <v>161</v>
      </c>
      <c r="J24" s="16"/>
      <c r="K24" s="15" t="s">
        <v>0</v>
      </c>
      <c r="L24" s="14">
        <v>141</v>
      </c>
      <c r="M24" s="13"/>
      <c r="N24" s="14">
        <v>141</v>
      </c>
      <c r="O24" s="13"/>
      <c r="P24" s="14">
        <v>101</v>
      </c>
      <c r="Q24" s="14">
        <v>126</v>
      </c>
      <c r="R24" s="14"/>
      <c r="S24" s="14"/>
      <c r="T24" s="13"/>
      <c r="U24" s="14">
        <v>85</v>
      </c>
      <c r="V24" s="13"/>
      <c r="W24" s="14">
        <v>117</v>
      </c>
      <c r="X24" s="13"/>
      <c r="Y24" s="14">
        <v>114</v>
      </c>
      <c r="Z24" s="13"/>
      <c r="AA24" s="4">
        <f t="shared" si="0"/>
        <v>113.5</v>
      </c>
      <c r="AB24" s="4">
        <f t="shared" si="1"/>
        <v>118.58333333333333</v>
      </c>
      <c r="AC24" s="4">
        <f t="shared" si="2"/>
        <v>8.5287911088135839</v>
      </c>
      <c r="AD24" s="3"/>
      <c r="AE24" s="3"/>
      <c r="AF24" s="3"/>
      <c r="AG24" s="3"/>
      <c r="AH24" s="3"/>
      <c r="AT24" s="12" t="s">
        <v>7</v>
      </c>
      <c r="AU24" s="12" t="s">
        <v>6</v>
      </c>
      <c r="AV24" s="11" t="s">
        <v>5</v>
      </c>
      <c r="AW24" s="10"/>
      <c r="AX24" s="10"/>
      <c r="AY24" s="10"/>
      <c r="AZ24" s="10"/>
      <c r="BA24" s="10"/>
      <c r="BB24" s="10"/>
      <c r="BC24" s="10"/>
      <c r="BD24" s="10"/>
      <c r="BE24" s="10"/>
      <c r="BF24" s="10"/>
      <c r="BG24" s="10"/>
      <c r="BH24" s="10"/>
      <c r="BI24" s="10"/>
      <c r="BJ24" s="10"/>
      <c r="BK24" s="10"/>
      <c r="BL24" s="10"/>
      <c r="BM24" s="10"/>
      <c r="BN24" s="10"/>
      <c r="BO24" s="10"/>
      <c r="BP24" s="10"/>
      <c r="BQ24" s="10"/>
      <c r="BR24" s="10"/>
      <c r="BS24" s="10"/>
      <c r="BT24" s="10"/>
      <c r="BU24" s="10"/>
      <c r="BV24" s="10"/>
      <c r="BW24" s="10"/>
      <c r="BX24" s="10"/>
      <c r="BY24" s="10"/>
      <c r="BZ24" s="10"/>
      <c r="CA24" s="10"/>
      <c r="CB24" s="10"/>
      <c r="CC24" s="10"/>
      <c r="CD24" s="10"/>
      <c r="CE24" s="10"/>
      <c r="CF24" s="10"/>
      <c r="CG24" s="10"/>
      <c r="CH24" s="10"/>
      <c r="CI24" s="10"/>
    </row>
    <row r="25" spans="2:87" ht="24" customHeight="1" x14ac:dyDescent="0.2">
      <c r="B25" s="7">
        <f>B23+100</f>
        <v>201</v>
      </c>
      <c r="C25" s="7" t="s">
        <v>153</v>
      </c>
      <c r="D25" s="7">
        <v>12</v>
      </c>
      <c r="E25" s="7">
        <v>2</v>
      </c>
      <c r="F25" s="7">
        <v>3</v>
      </c>
      <c r="G25" s="7">
        <v>1</v>
      </c>
      <c r="H25" s="7">
        <v>1</v>
      </c>
      <c r="I25" s="7" t="s">
        <v>162</v>
      </c>
      <c r="J25" s="7"/>
      <c r="K25" s="7" t="s">
        <v>2</v>
      </c>
      <c r="L25" s="6">
        <v>95</v>
      </c>
      <c r="M25" s="6"/>
      <c r="N25" s="6">
        <v>100</v>
      </c>
      <c r="O25" s="6"/>
      <c r="P25" s="6">
        <v>100</v>
      </c>
      <c r="Q25" s="6">
        <v>100</v>
      </c>
      <c r="R25" s="6"/>
      <c r="S25" s="6"/>
      <c r="T25" s="6"/>
      <c r="U25" s="6">
        <v>100</v>
      </c>
      <c r="V25" s="6"/>
      <c r="W25" s="6">
        <v>100</v>
      </c>
      <c r="X25" s="6"/>
      <c r="Y25" s="6">
        <v>100</v>
      </c>
      <c r="Z25" s="6"/>
      <c r="AA25" s="4">
        <f t="shared" si="0"/>
        <v>100</v>
      </c>
      <c r="AB25" s="4">
        <f t="shared" si="1"/>
        <v>99.166666666666671</v>
      </c>
      <c r="AC25" s="4">
        <f t="shared" si="2"/>
        <v>0.83333333333333326</v>
      </c>
      <c r="AD25" s="3"/>
      <c r="AE25" s="3"/>
      <c r="AF25" s="3"/>
      <c r="AG25" s="3"/>
      <c r="AH25" s="3"/>
      <c r="AT25" s="12">
        <v>1</v>
      </c>
      <c r="AU25" s="12" t="s">
        <v>4</v>
      </c>
      <c r="AV25" s="12">
        <v>0</v>
      </c>
    </row>
    <row r="26" spans="2:87" ht="24" customHeight="1" thickBot="1" x14ac:dyDescent="0.25">
      <c r="B26" s="15">
        <f>B24+100</f>
        <v>201</v>
      </c>
      <c r="C26" s="15" t="s">
        <v>153</v>
      </c>
      <c r="D26" s="15">
        <v>12</v>
      </c>
      <c r="E26" s="15">
        <v>2</v>
      </c>
      <c r="F26" s="15">
        <v>3</v>
      </c>
      <c r="G26" s="15">
        <v>1</v>
      </c>
      <c r="H26" s="15">
        <v>1</v>
      </c>
      <c r="I26" s="15" t="s">
        <v>162</v>
      </c>
      <c r="J26" s="16"/>
      <c r="K26" s="15" t="s">
        <v>0</v>
      </c>
      <c r="L26" s="14">
        <v>114</v>
      </c>
      <c r="M26" s="13"/>
      <c r="N26" s="14">
        <v>90</v>
      </c>
      <c r="O26" s="13"/>
      <c r="P26" s="14">
        <v>100</v>
      </c>
      <c r="Q26" s="14">
        <v>99</v>
      </c>
      <c r="R26" s="14"/>
      <c r="S26" s="14"/>
      <c r="T26" s="13"/>
      <c r="U26" s="14">
        <v>122</v>
      </c>
      <c r="V26" s="13"/>
      <c r="W26" s="14">
        <v>97</v>
      </c>
      <c r="X26" s="13"/>
      <c r="Y26" s="14">
        <v>94</v>
      </c>
      <c r="Z26" s="13"/>
      <c r="AA26" s="4">
        <f t="shared" si="0"/>
        <v>99.5</v>
      </c>
      <c r="AB26" s="4">
        <f t="shared" si="1"/>
        <v>102.75</v>
      </c>
      <c r="AC26" s="4">
        <f t="shared" si="2"/>
        <v>5.0986109219407334</v>
      </c>
      <c r="AD26" s="3"/>
      <c r="AE26" s="3"/>
      <c r="AF26" s="3"/>
      <c r="AG26" s="3"/>
      <c r="AH26" s="3"/>
      <c r="AT26" s="12">
        <v>2</v>
      </c>
      <c r="AU26" s="12" t="s">
        <v>3</v>
      </c>
      <c r="AV26" s="11">
        <v>150</v>
      </c>
      <c r="AW26" s="10"/>
      <c r="AX26" s="10"/>
      <c r="AY26" s="10"/>
      <c r="AZ26" s="10"/>
      <c r="BA26" s="10"/>
      <c r="BB26" s="10"/>
      <c r="BC26" s="10"/>
      <c r="BD26" s="10"/>
      <c r="BE26" s="10"/>
      <c r="BF26" s="10"/>
      <c r="BG26" s="10"/>
      <c r="BH26" s="10"/>
      <c r="BI26" s="10"/>
      <c r="BJ26" s="10"/>
      <c r="BK26" s="10"/>
      <c r="BL26" s="10"/>
      <c r="BM26" s="10"/>
      <c r="BN26" s="10"/>
      <c r="BO26" s="10"/>
      <c r="BP26" s="10"/>
      <c r="BQ26" s="10"/>
      <c r="BR26" s="10"/>
      <c r="BS26" s="10"/>
      <c r="BT26" s="10"/>
      <c r="BU26" s="10"/>
      <c r="BV26" s="10"/>
      <c r="BW26" s="10"/>
      <c r="BX26" s="10"/>
      <c r="BY26" s="10"/>
      <c r="BZ26" s="10"/>
      <c r="CA26" s="10"/>
      <c r="CB26" s="10"/>
      <c r="CC26" s="10"/>
      <c r="CD26" s="10"/>
      <c r="CE26" s="10"/>
      <c r="CF26" s="10"/>
      <c r="CG26" s="10"/>
      <c r="CH26" s="10"/>
      <c r="CI26" s="10"/>
    </row>
    <row r="27" spans="2:87" ht="24" customHeight="1" x14ac:dyDescent="0.2">
      <c r="B27" s="7">
        <f t="shared" ref="B27:B40" si="4">B25+1</f>
        <v>202</v>
      </c>
      <c r="C27" s="7" t="s">
        <v>151</v>
      </c>
      <c r="D27" s="7">
        <v>9</v>
      </c>
      <c r="E27" s="7">
        <v>2</v>
      </c>
      <c r="F27" s="7">
        <v>2</v>
      </c>
      <c r="G27" s="7">
        <v>2</v>
      </c>
      <c r="H27" s="7">
        <v>1</v>
      </c>
      <c r="I27" s="7" t="s">
        <v>163</v>
      </c>
      <c r="J27" s="9"/>
      <c r="K27" s="7" t="s">
        <v>2</v>
      </c>
      <c r="L27" s="6">
        <v>100</v>
      </c>
      <c r="M27" s="6"/>
      <c r="N27" s="6">
        <v>100</v>
      </c>
      <c r="O27" s="6"/>
      <c r="P27" s="6">
        <v>100</v>
      </c>
      <c r="Q27" s="6">
        <v>100</v>
      </c>
      <c r="R27" s="6"/>
      <c r="S27" s="6"/>
      <c r="T27" s="6"/>
      <c r="U27" s="6">
        <v>100</v>
      </c>
      <c r="V27" s="6"/>
      <c r="W27" s="6">
        <v>100</v>
      </c>
      <c r="X27" s="6"/>
      <c r="Y27" s="6">
        <v>100</v>
      </c>
      <c r="Z27" s="6"/>
      <c r="AA27" s="4">
        <f t="shared" si="0"/>
        <v>100</v>
      </c>
      <c r="AB27" s="4">
        <f t="shared" si="1"/>
        <v>100</v>
      </c>
      <c r="AC27" s="4">
        <f t="shared" si="2"/>
        <v>0</v>
      </c>
      <c r="AD27" s="3"/>
      <c r="AE27" s="3"/>
      <c r="AF27" s="3"/>
      <c r="AG27" s="3"/>
      <c r="AH27" s="3"/>
    </row>
    <row r="28" spans="2:87" ht="24" customHeight="1" thickBot="1" x14ac:dyDescent="0.25">
      <c r="B28" s="15">
        <f t="shared" si="4"/>
        <v>202</v>
      </c>
      <c r="C28" s="15" t="s">
        <v>151</v>
      </c>
      <c r="D28" s="15">
        <v>9</v>
      </c>
      <c r="E28" s="15">
        <v>2</v>
      </c>
      <c r="F28" s="15">
        <v>2</v>
      </c>
      <c r="G28" s="15">
        <v>2</v>
      </c>
      <c r="H28" s="15">
        <v>1</v>
      </c>
      <c r="I28" s="15" t="s">
        <v>163</v>
      </c>
      <c r="J28" s="16"/>
      <c r="K28" s="15" t="s">
        <v>0</v>
      </c>
      <c r="L28" s="14">
        <v>133</v>
      </c>
      <c r="M28" s="13"/>
      <c r="N28" s="14">
        <v>130</v>
      </c>
      <c r="O28" s="13"/>
      <c r="P28" s="14">
        <v>113</v>
      </c>
      <c r="Q28" s="14">
        <v>115</v>
      </c>
      <c r="R28" s="14"/>
      <c r="S28" s="14"/>
      <c r="T28" s="13"/>
      <c r="U28" s="14">
        <v>114</v>
      </c>
      <c r="V28" s="13"/>
      <c r="W28" s="14">
        <v>123</v>
      </c>
      <c r="X28" s="13"/>
      <c r="Y28" s="14">
        <v>146</v>
      </c>
      <c r="Z28" s="13"/>
      <c r="AA28" s="4">
        <f t="shared" si="0"/>
        <v>114</v>
      </c>
      <c r="AB28" s="4">
        <f t="shared" si="1"/>
        <v>126.66666666666667</v>
      </c>
      <c r="AC28" s="4">
        <f t="shared" si="2"/>
        <v>5.0310149185935744</v>
      </c>
      <c r="AD28" s="3"/>
      <c r="AE28" s="3"/>
      <c r="AF28" s="3"/>
      <c r="AG28" s="3"/>
      <c r="AH28" s="3"/>
      <c r="AT28" s="12"/>
      <c r="AU28" s="12"/>
      <c r="AV28" s="11"/>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row>
    <row r="29" spans="2:87" ht="24" customHeight="1" x14ac:dyDescent="0.2">
      <c r="B29" s="7">
        <f t="shared" si="4"/>
        <v>203</v>
      </c>
      <c r="C29" s="7" t="s">
        <v>147</v>
      </c>
      <c r="D29" s="7">
        <v>3</v>
      </c>
      <c r="E29" s="7">
        <v>1</v>
      </c>
      <c r="F29" s="7">
        <v>2</v>
      </c>
      <c r="G29" s="7">
        <v>2</v>
      </c>
      <c r="H29" s="7">
        <v>1</v>
      </c>
      <c r="I29" s="7" t="s">
        <v>164</v>
      </c>
      <c r="J29" s="9"/>
      <c r="K29" s="7" t="s">
        <v>2</v>
      </c>
      <c r="L29" s="6">
        <v>100</v>
      </c>
      <c r="M29" s="6"/>
      <c r="N29" s="6">
        <v>100</v>
      </c>
      <c r="O29" s="6"/>
      <c r="P29" s="6">
        <v>74</v>
      </c>
      <c r="Q29" s="6">
        <v>70</v>
      </c>
      <c r="R29" s="6"/>
      <c r="S29" s="6"/>
      <c r="T29" s="6"/>
      <c r="U29" s="6">
        <v>100</v>
      </c>
      <c r="V29" s="6"/>
      <c r="W29" s="6">
        <v>100</v>
      </c>
      <c r="X29" s="6"/>
      <c r="Y29" s="6">
        <v>100</v>
      </c>
      <c r="Z29" s="6"/>
      <c r="AA29" s="4">
        <f t="shared" si="0"/>
        <v>72</v>
      </c>
      <c r="AB29" s="4">
        <f t="shared" si="1"/>
        <v>95.333333333333329</v>
      </c>
      <c r="AC29" s="4">
        <f t="shared" si="2"/>
        <v>4.6666666666666758</v>
      </c>
      <c r="AD29" s="3"/>
      <c r="AE29" s="3"/>
      <c r="AF29" s="3"/>
      <c r="AG29" s="3"/>
      <c r="AH29" s="3"/>
    </row>
    <row r="30" spans="2:87" ht="24" customHeight="1" thickBot="1" x14ac:dyDescent="0.25">
      <c r="B30" s="15">
        <f t="shared" si="4"/>
        <v>203</v>
      </c>
      <c r="C30" s="15" t="s">
        <v>147</v>
      </c>
      <c r="D30" s="15">
        <v>3</v>
      </c>
      <c r="E30" s="15">
        <v>1</v>
      </c>
      <c r="F30" s="15">
        <v>2</v>
      </c>
      <c r="G30" s="15">
        <v>2</v>
      </c>
      <c r="H30" s="15">
        <v>1</v>
      </c>
      <c r="I30" s="15" t="s">
        <v>164</v>
      </c>
      <c r="J30" s="16"/>
      <c r="K30" s="15" t="s">
        <v>0</v>
      </c>
      <c r="L30" s="14">
        <v>113</v>
      </c>
      <c r="M30" s="13"/>
      <c r="N30" s="14">
        <v>146</v>
      </c>
      <c r="O30" s="13"/>
      <c r="P30" s="14">
        <v>119</v>
      </c>
      <c r="Q30" s="14">
        <v>133</v>
      </c>
      <c r="R30" s="14"/>
      <c r="S30" s="14"/>
      <c r="T30" s="13"/>
      <c r="U30" s="14">
        <v>122</v>
      </c>
      <c r="V30" s="13"/>
      <c r="W30" s="14">
        <v>127</v>
      </c>
      <c r="X30" s="13"/>
      <c r="Y30" s="14">
        <v>125</v>
      </c>
      <c r="Z30" s="13"/>
      <c r="AA30" s="4">
        <f t="shared" si="0"/>
        <v>126</v>
      </c>
      <c r="AB30" s="4">
        <f t="shared" si="1"/>
        <v>126.5</v>
      </c>
      <c r="AC30" s="4">
        <f t="shared" si="2"/>
        <v>4.4177671584938318</v>
      </c>
      <c r="AD30" s="3"/>
      <c r="AE30" s="3"/>
      <c r="AF30" s="3"/>
      <c r="AG30" s="3"/>
      <c r="AH30" s="3"/>
      <c r="AT30" s="12"/>
      <c r="AU30" s="12"/>
      <c r="AV30" s="11"/>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row>
    <row r="31" spans="2:87" ht="24" customHeight="1" x14ac:dyDescent="0.2">
      <c r="B31" s="7">
        <f t="shared" si="4"/>
        <v>204</v>
      </c>
      <c r="C31" s="7" t="s">
        <v>165</v>
      </c>
      <c r="D31" s="7">
        <v>11</v>
      </c>
      <c r="E31" s="7">
        <v>2</v>
      </c>
      <c r="F31" s="7">
        <v>3</v>
      </c>
      <c r="G31" s="7">
        <v>2</v>
      </c>
      <c r="H31" s="7">
        <v>1</v>
      </c>
      <c r="I31" s="7" t="s">
        <v>166</v>
      </c>
      <c r="J31" s="9"/>
      <c r="K31" s="7" t="s">
        <v>2</v>
      </c>
      <c r="L31" s="6">
        <v>55</v>
      </c>
      <c r="M31" s="6"/>
      <c r="N31" s="6">
        <v>100</v>
      </c>
      <c r="O31" s="6"/>
      <c r="P31" s="6">
        <v>100</v>
      </c>
      <c r="Q31" s="6">
        <v>100</v>
      </c>
      <c r="R31" s="6"/>
      <c r="S31" s="6"/>
      <c r="T31" s="6"/>
      <c r="U31" s="6">
        <v>100</v>
      </c>
      <c r="V31" s="6"/>
      <c r="W31" s="6">
        <v>56</v>
      </c>
      <c r="X31" s="6"/>
      <c r="Y31" s="6">
        <v>100</v>
      </c>
      <c r="Z31" s="6"/>
      <c r="AA31" s="4">
        <f t="shared" si="0"/>
        <v>100</v>
      </c>
      <c r="AB31" s="4">
        <f t="shared" si="1"/>
        <v>85.166666666666671</v>
      </c>
      <c r="AC31" s="4">
        <f t="shared" si="2"/>
        <v>9.3823119633583847</v>
      </c>
      <c r="AD31" s="3"/>
      <c r="AE31" s="3"/>
      <c r="AF31" s="3"/>
      <c r="AG31" s="3"/>
      <c r="AH31" s="3"/>
    </row>
    <row r="32" spans="2:87" ht="24" customHeight="1" thickBot="1" x14ac:dyDescent="0.25">
      <c r="B32" s="15">
        <f t="shared" si="4"/>
        <v>204</v>
      </c>
      <c r="C32" s="15" t="s">
        <v>165</v>
      </c>
      <c r="D32" s="15">
        <v>11</v>
      </c>
      <c r="E32" s="15">
        <v>2</v>
      </c>
      <c r="F32" s="15">
        <v>3</v>
      </c>
      <c r="G32" s="15">
        <v>2</v>
      </c>
      <c r="H32" s="15">
        <v>1</v>
      </c>
      <c r="I32" s="15" t="s">
        <v>166</v>
      </c>
      <c r="J32" s="16"/>
      <c r="K32" s="15" t="s">
        <v>0</v>
      </c>
      <c r="L32" s="14">
        <v>129</v>
      </c>
      <c r="M32" s="13"/>
      <c r="N32" s="14">
        <v>124</v>
      </c>
      <c r="O32" s="13"/>
      <c r="P32" s="14">
        <v>114</v>
      </c>
      <c r="Q32" s="14">
        <v>118</v>
      </c>
      <c r="R32" s="14"/>
      <c r="S32" s="14"/>
      <c r="T32" s="13"/>
      <c r="U32" s="14">
        <v>121</v>
      </c>
      <c r="V32" s="13"/>
      <c r="W32" s="14">
        <v>112</v>
      </c>
      <c r="X32" s="13"/>
      <c r="Y32" s="14">
        <v>123</v>
      </c>
      <c r="Z32" s="13"/>
      <c r="AA32" s="4">
        <f t="shared" si="0"/>
        <v>116</v>
      </c>
      <c r="AB32" s="4">
        <f t="shared" si="1"/>
        <v>120.83333333333333</v>
      </c>
      <c r="AC32" s="4">
        <f t="shared" si="2"/>
        <v>2.4686928615047372</v>
      </c>
      <c r="AD32" s="3"/>
      <c r="AE32" s="3"/>
      <c r="AF32" s="3"/>
      <c r="AG32" s="3"/>
      <c r="AH32" s="3"/>
      <c r="AT32" s="12"/>
      <c r="AU32" s="12"/>
      <c r="AV32" s="11"/>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row>
    <row r="33" spans="2:87" ht="24" customHeight="1" x14ac:dyDescent="0.2">
      <c r="B33" s="7">
        <f t="shared" si="4"/>
        <v>205</v>
      </c>
      <c r="C33" s="7" t="s">
        <v>160</v>
      </c>
      <c r="D33" s="7">
        <v>1</v>
      </c>
      <c r="E33" s="7">
        <v>1</v>
      </c>
      <c r="F33" s="7">
        <v>1</v>
      </c>
      <c r="G33" s="7">
        <v>2</v>
      </c>
      <c r="H33" s="7">
        <v>2</v>
      </c>
      <c r="I33" s="7" t="s">
        <v>167</v>
      </c>
      <c r="J33" s="9"/>
      <c r="K33" s="7" t="s">
        <v>2</v>
      </c>
      <c r="L33" s="6">
        <v>100</v>
      </c>
      <c r="M33" s="6"/>
      <c r="N33" s="6">
        <v>100</v>
      </c>
      <c r="O33" s="6"/>
      <c r="P33" s="6">
        <v>100</v>
      </c>
      <c r="Q33" s="6">
        <v>70</v>
      </c>
      <c r="R33" s="6"/>
      <c r="S33" s="6"/>
      <c r="T33" s="6"/>
      <c r="U33" s="6">
        <v>100</v>
      </c>
      <c r="V33" s="6"/>
      <c r="W33" s="6">
        <v>66</v>
      </c>
      <c r="X33" s="6"/>
      <c r="Y33" s="6">
        <v>70</v>
      </c>
      <c r="Z33" s="6"/>
      <c r="AA33" s="4">
        <f t="shared" si="0"/>
        <v>85</v>
      </c>
      <c r="AB33" s="4">
        <f t="shared" si="1"/>
        <v>86.833333333333329</v>
      </c>
      <c r="AC33" s="4">
        <f t="shared" si="2"/>
        <v>6.4312604605249195</v>
      </c>
      <c r="AD33" s="3"/>
      <c r="AE33" s="3"/>
      <c r="AF33" s="3"/>
      <c r="AG33" s="3"/>
      <c r="AH33" s="3"/>
    </row>
    <row r="34" spans="2:87" ht="24" customHeight="1" thickBot="1" x14ac:dyDescent="0.25">
      <c r="B34" s="15">
        <f t="shared" si="4"/>
        <v>205</v>
      </c>
      <c r="C34" s="15" t="s">
        <v>160</v>
      </c>
      <c r="D34" s="15">
        <v>1</v>
      </c>
      <c r="E34" s="15">
        <v>1</v>
      </c>
      <c r="F34" s="15">
        <v>1</v>
      </c>
      <c r="G34" s="15">
        <v>2</v>
      </c>
      <c r="H34" s="15">
        <v>2</v>
      </c>
      <c r="I34" s="15" t="s">
        <v>167</v>
      </c>
      <c r="J34" s="16"/>
      <c r="K34" s="15" t="s">
        <v>0</v>
      </c>
      <c r="L34" s="14">
        <v>116</v>
      </c>
      <c r="M34" s="13"/>
      <c r="N34" s="14">
        <v>125</v>
      </c>
      <c r="O34" s="13"/>
      <c r="P34" s="14">
        <v>113</v>
      </c>
      <c r="Q34" s="14">
        <v>110</v>
      </c>
      <c r="R34" s="14"/>
      <c r="S34" s="14"/>
      <c r="T34" s="13"/>
      <c r="U34" s="14">
        <v>118</v>
      </c>
      <c r="V34" s="13"/>
      <c r="W34" s="14">
        <v>118</v>
      </c>
      <c r="X34" s="13"/>
      <c r="Y34" s="14">
        <v>107</v>
      </c>
      <c r="Z34" s="13"/>
      <c r="AA34" s="4">
        <f t="shared" si="0"/>
        <v>111.5</v>
      </c>
      <c r="AB34" s="4">
        <f t="shared" si="1"/>
        <v>115.91666666666667</v>
      </c>
      <c r="AC34" s="4">
        <f t="shared" si="2"/>
        <v>2.5179908216230213</v>
      </c>
      <c r="AD34" s="3"/>
      <c r="AE34" s="3"/>
      <c r="AF34" s="3"/>
      <c r="AG34" s="3"/>
      <c r="AH34" s="3"/>
      <c r="AT34" s="12"/>
      <c r="AU34" s="12"/>
      <c r="AV34" s="11"/>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row>
    <row r="35" spans="2:87" ht="24" customHeight="1" x14ac:dyDescent="0.2">
      <c r="B35" s="7">
        <f t="shared" si="4"/>
        <v>206</v>
      </c>
      <c r="C35" s="7" t="s">
        <v>168</v>
      </c>
      <c r="D35" s="7">
        <v>8</v>
      </c>
      <c r="E35" s="7">
        <v>2</v>
      </c>
      <c r="F35" s="7">
        <v>1</v>
      </c>
      <c r="G35" s="7">
        <v>1</v>
      </c>
      <c r="H35" s="7">
        <v>2</v>
      </c>
      <c r="I35" s="7" t="s">
        <v>169</v>
      </c>
      <c r="J35" s="9"/>
      <c r="K35" s="7" t="s">
        <v>2</v>
      </c>
      <c r="L35" s="6">
        <v>100</v>
      </c>
      <c r="M35" s="6"/>
      <c r="N35" s="6">
        <v>85</v>
      </c>
      <c r="O35" s="6"/>
      <c r="P35" s="6">
        <v>100</v>
      </c>
      <c r="Q35" s="6">
        <v>97</v>
      </c>
      <c r="R35" s="6"/>
      <c r="S35" s="6"/>
      <c r="T35" s="6"/>
      <c r="U35" s="6">
        <v>100</v>
      </c>
      <c r="V35" s="6"/>
      <c r="W35" s="6">
        <v>92</v>
      </c>
      <c r="X35" s="6"/>
      <c r="Y35" s="6">
        <v>100</v>
      </c>
      <c r="Z35" s="6"/>
      <c r="AA35" s="4">
        <f t="shared" si="0"/>
        <v>98.5</v>
      </c>
      <c r="AB35" s="4">
        <f t="shared" si="1"/>
        <v>95.916666666666671</v>
      </c>
      <c r="AC35" s="4">
        <f t="shared" si="2"/>
        <v>2.5246011786242817</v>
      </c>
      <c r="AD35" s="3"/>
      <c r="AE35" s="3"/>
      <c r="AF35" s="3"/>
      <c r="AG35" s="3"/>
      <c r="AH35" s="3"/>
    </row>
    <row r="36" spans="2:87" ht="24" customHeight="1" thickBot="1" x14ac:dyDescent="0.25">
      <c r="B36" s="15">
        <f t="shared" si="4"/>
        <v>206</v>
      </c>
      <c r="C36" s="15" t="s">
        <v>168</v>
      </c>
      <c r="D36" s="15">
        <v>8</v>
      </c>
      <c r="E36" s="15">
        <v>2</v>
      </c>
      <c r="F36" s="15">
        <v>1</v>
      </c>
      <c r="G36" s="15">
        <v>1</v>
      </c>
      <c r="H36" s="15">
        <v>2</v>
      </c>
      <c r="I36" s="15" t="s">
        <v>169</v>
      </c>
      <c r="J36" s="16"/>
      <c r="K36" s="15" t="s">
        <v>0</v>
      </c>
      <c r="L36" s="14">
        <v>129</v>
      </c>
      <c r="M36" s="13"/>
      <c r="N36" s="14">
        <v>97</v>
      </c>
      <c r="O36" s="13"/>
      <c r="P36" s="14">
        <v>98</v>
      </c>
      <c r="Q36" s="14">
        <v>94</v>
      </c>
      <c r="R36" s="14"/>
      <c r="S36" s="14"/>
      <c r="T36" s="13"/>
      <c r="U36" s="14">
        <v>118</v>
      </c>
      <c r="V36" s="13"/>
      <c r="W36" s="14">
        <v>125</v>
      </c>
      <c r="X36" s="13"/>
      <c r="Y36" s="14">
        <v>116</v>
      </c>
      <c r="Z36" s="13"/>
      <c r="AA36" s="4">
        <f t="shared" si="0"/>
        <v>96</v>
      </c>
      <c r="AB36" s="4">
        <f t="shared" si="1"/>
        <v>113.5</v>
      </c>
      <c r="AC36" s="4">
        <f t="shared" si="2"/>
        <v>5.7081812631812365</v>
      </c>
      <c r="AD36" s="3"/>
      <c r="AE36" s="3"/>
      <c r="AF36" s="3"/>
      <c r="AG36" s="3"/>
      <c r="AH36" s="3"/>
      <c r="AT36" s="12"/>
      <c r="AU36" s="12"/>
      <c r="AV36" s="11"/>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row>
    <row r="37" spans="2:87" ht="24" customHeight="1" x14ac:dyDescent="0.2">
      <c r="B37" s="7">
        <f t="shared" si="4"/>
        <v>207</v>
      </c>
      <c r="C37" s="7" t="s">
        <v>158</v>
      </c>
      <c r="D37" s="7">
        <v>4</v>
      </c>
      <c r="E37" s="7">
        <v>1</v>
      </c>
      <c r="F37" s="7">
        <v>2</v>
      </c>
      <c r="G37" s="7">
        <v>1</v>
      </c>
      <c r="H37" s="7">
        <v>2</v>
      </c>
      <c r="I37" s="7" t="s">
        <v>170</v>
      </c>
      <c r="J37" s="9"/>
      <c r="K37" s="7" t="s">
        <v>2</v>
      </c>
      <c r="L37" s="6">
        <v>100</v>
      </c>
      <c r="M37" s="6"/>
      <c r="N37" s="6">
        <v>90</v>
      </c>
      <c r="O37" s="6"/>
      <c r="P37" s="6">
        <v>97</v>
      </c>
      <c r="Q37" s="6">
        <v>82</v>
      </c>
      <c r="R37" s="6"/>
      <c r="S37" s="6"/>
      <c r="T37" s="6"/>
      <c r="U37" s="6">
        <v>100</v>
      </c>
      <c r="V37" s="6"/>
      <c r="W37" s="6">
        <v>95</v>
      </c>
      <c r="X37" s="6"/>
      <c r="Y37" s="6">
        <v>100</v>
      </c>
      <c r="Z37" s="6"/>
      <c r="AA37" s="4">
        <f t="shared" si="0"/>
        <v>89.5</v>
      </c>
      <c r="AB37" s="4">
        <f t="shared" si="1"/>
        <v>95.75</v>
      </c>
      <c r="AC37" s="4">
        <f t="shared" si="2"/>
        <v>2.0564937798755114</v>
      </c>
      <c r="AD37" s="3"/>
      <c r="AE37" s="3"/>
      <c r="AF37" s="3"/>
      <c r="AG37" s="3"/>
      <c r="AH37" s="3"/>
    </row>
    <row r="38" spans="2:87" ht="24" customHeight="1" thickBot="1" x14ac:dyDescent="0.25">
      <c r="B38" s="15">
        <f t="shared" si="4"/>
        <v>207</v>
      </c>
      <c r="C38" s="15" t="s">
        <v>158</v>
      </c>
      <c r="D38" s="15">
        <v>4</v>
      </c>
      <c r="E38" s="15">
        <v>1</v>
      </c>
      <c r="F38" s="15">
        <v>2</v>
      </c>
      <c r="G38" s="15">
        <v>1</v>
      </c>
      <c r="H38" s="15">
        <v>2</v>
      </c>
      <c r="I38" s="15" t="s">
        <v>170</v>
      </c>
      <c r="J38" s="16"/>
      <c r="K38" s="15" t="s">
        <v>0</v>
      </c>
      <c r="L38" s="14">
        <v>103</v>
      </c>
      <c r="M38" s="13"/>
      <c r="N38" s="14">
        <v>118</v>
      </c>
      <c r="O38" s="13"/>
      <c r="P38" s="14">
        <v>98</v>
      </c>
      <c r="Q38" s="14">
        <v>116</v>
      </c>
      <c r="R38" s="14"/>
      <c r="S38" s="14"/>
      <c r="T38" s="13"/>
      <c r="U38" s="14">
        <v>98</v>
      </c>
      <c r="V38" s="13"/>
      <c r="W38" s="14">
        <v>115</v>
      </c>
      <c r="X38" s="13"/>
      <c r="Y38" s="14">
        <v>107</v>
      </c>
      <c r="Z38" s="13"/>
      <c r="AA38" s="4">
        <f t="shared" si="0"/>
        <v>107</v>
      </c>
      <c r="AB38" s="4">
        <f t="shared" si="1"/>
        <v>108</v>
      </c>
      <c r="AC38" s="4">
        <f t="shared" si="2"/>
        <v>3.0331501776206204</v>
      </c>
      <c r="AD38" s="3"/>
      <c r="AE38" s="3"/>
      <c r="AF38" s="3"/>
      <c r="AG38" s="3"/>
      <c r="AH38" s="3"/>
      <c r="AT38" s="12"/>
      <c r="AU38" s="12"/>
      <c r="AV38" s="11"/>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row>
    <row r="39" spans="2:87" ht="24" customHeight="1" x14ac:dyDescent="0.2">
      <c r="B39" s="7">
        <f t="shared" si="4"/>
        <v>208</v>
      </c>
      <c r="C39" s="7" t="s">
        <v>171</v>
      </c>
      <c r="D39" s="7">
        <v>2</v>
      </c>
      <c r="E39" s="7">
        <v>1</v>
      </c>
      <c r="F39" s="7">
        <v>1</v>
      </c>
      <c r="G39" s="7">
        <v>1</v>
      </c>
      <c r="H39" s="7">
        <v>2</v>
      </c>
      <c r="I39" s="7" t="s">
        <v>172</v>
      </c>
      <c r="J39" s="9"/>
      <c r="K39" s="7" t="s">
        <v>2</v>
      </c>
      <c r="L39" s="6">
        <v>87</v>
      </c>
      <c r="M39" s="5"/>
      <c r="N39" s="6">
        <v>100</v>
      </c>
      <c r="O39" s="5"/>
      <c r="P39" s="6">
        <v>87</v>
      </c>
      <c r="Q39" s="6">
        <v>94</v>
      </c>
      <c r="R39" s="6"/>
      <c r="S39" s="6"/>
      <c r="T39" s="5"/>
      <c r="U39" s="6">
        <v>86</v>
      </c>
      <c r="V39" s="5"/>
      <c r="W39" s="6">
        <v>93</v>
      </c>
      <c r="X39" s="5"/>
      <c r="Y39" s="6">
        <v>97</v>
      </c>
      <c r="Z39" s="5"/>
      <c r="AA39" s="4">
        <f t="shared" si="0"/>
        <v>90.5</v>
      </c>
      <c r="AB39" s="4">
        <f t="shared" si="1"/>
        <v>92.25</v>
      </c>
      <c r="AC39" s="4">
        <f t="shared" si="2"/>
        <v>2.2573952541221782</v>
      </c>
      <c r="AD39" s="3"/>
      <c r="AE39" s="3"/>
      <c r="AF39" s="3"/>
      <c r="AG39" s="3"/>
      <c r="AH39" s="3"/>
    </row>
    <row r="40" spans="2:87" ht="24" customHeight="1" thickBot="1" x14ac:dyDescent="0.25">
      <c r="B40" s="15">
        <f t="shared" si="4"/>
        <v>208</v>
      </c>
      <c r="C40" s="15" t="s">
        <v>171</v>
      </c>
      <c r="D40" s="15">
        <v>2</v>
      </c>
      <c r="E40" s="15">
        <v>1</v>
      </c>
      <c r="F40" s="15">
        <v>1</v>
      </c>
      <c r="G40" s="15">
        <v>1</v>
      </c>
      <c r="H40" s="15">
        <v>2</v>
      </c>
      <c r="I40" s="15" t="s">
        <v>172</v>
      </c>
      <c r="J40" s="16"/>
      <c r="K40" s="15" t="s">
        <v>0</v>
      </c>
      <c r="L40" s="14">
        <v>112</v>
      </c>
      <c r="M40" s="13"/>
      <c r="N40" s="14">
        <v>115</v>
      </c>
      <c r="O40" s="13"/>
      <c r="P40" s="14">
        <v>119</v>
      </c>
      <c r="Q40" s="14">
        <v>106</v>
      </c>
      <c r="R40" s="14"/>
      <c r="S40" s="14"/>
      <c r="T40" s="13"/>
      <c r="U40" s="14">
        <v>99</v>
      </c>
      <c r="V40" s="13"/>
      <c r="W40" s="14">
        <v>118</v>
      </c>
      <c r="X40" s="13"/>
      <c r="Y40" s="14">
        <v>95</v>
      </c>
      <c r="Z40" s="13"/>
      <c r="AA40" s="4">
        <f t="shared" si="0"/>
        <v>112.5</v>
      </c>
      <c r="AB40" s="4">
        <f t="shared" si="1"/>
        <v>108.58333333333333</v>
      </c>
      <c r="AC40" s="4">
        <f t="shared" si="2"/>
        <v>3.8000365495318307</v>
      </c>
      <c r="AD40" s="3"/>
      <c r="AE40" s="3"/>
      <c r="AF40" s="3"/>
      <c r="AG40" s="3"/>
      <c r="AH40" s="3"/>
      <c r="AT40" s="12"/>
      <c r="AU40" s="12"/>
      <c r="AV40" s="11"/>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row>
    <row r="41" spans="2:87" ht="24" customHeight="1" x14ac:dyDescent="0.2">
      <c r="B41" s="7">
        <f>B39+700</f>
        <v>908</v>
      </c>
      <c r="C41" s="7" t="s">
        <v>173</v>
      </c>
      <c r="D41" s="7">
        <v>21</v>
      </c>
      <c r="E41" s="7">
        <v>3</v>
      </c>
      <c r="F41" s="7">
        <v>2</v>
      </c>
      <c r="G41" s="7">
        <v>2</v>
      </c>
      <c r="H41" s="7">
        <v>2</v>
      </c>
      <c r="I41" s="7" t="s">
        <v>174</v>
      </c>
      <c r="J41" s="7"/>
      <c r="K41" s="7" t="s">
        <v>2</v>
      </c>
      <c r="L41" s="6">
        <v>78</v>
      </c>
      <c r="M41" s="5"/>
      <c r="N41" s="6">
        <v>71</v>
      </c>
      <c r="O41" s="5"/>
      <c r="P41" s="6">
        <v>76</v>
      </c>
      <c r="Q41" s="6">
        <v>73</v>
      </c>
      <c r="R41" s="6"/>
      <c r="S41" s="6"/>
      <c r="T41" s="5"/>
      <c r="U41" s="6">
        <v>67</v>
      </c>
      <c r="V41" s="5"/>
      <c r="W41" s="6">
        <v>70</v>
      </c>
      <c r="X41" s="5"/>
      <c r="Y41" s="6">
        <v>43</v>
      </c>
      <c r="Z41" s="5"/>
      <c r="AA41" s="4">
        <f t="shared" ref="AA41:AA72" si="5">AVERAGE(P41:T41)</f>
        <v>74.5</v>
      </c>
      <c r="AB41" s="4">
        <f t="shared" ref="AB41:AB72" si="6">AVERAGE(AVERAGE(L41:M41),AVERAGE(N41:O41),AVERAGE(P41:T41),AVERAGE(U41:V41),AVERAGE(W41:X41),AVERAGE(Y41:Z41))</f>
        <v>67.25</v>
      </c>
      <c r="AC41" s="4">
        <f t="shared" ref="AC41:AC72" si="7">STDEV(AVERAGE(L41:M41),AVERAGE(N41:O41),AVERAGE(P41:T41),AVERAGE(U41:V41),AVERAGE(W41:X41),AVERAGE(Y41:Z41))/SQRT(6)</f>
        <v>5.0920689966522126</v>
      </c>
      <c r="AD41" s="3"/>
      <c r="AE41" s="3"/>
      <c r="AF41" s="3"/>
      <c r="AG41" s="3"/>
      <c r="AH41" s="3"/>
    </row>
    <row r="42" spans="2:87" ht="24" customHeight="1" thickBot="1" x14ac:dyDescent="0.25">
      <c r="B42" s="15">
        <f>B40+700</f>
        <v>908</v>
      </c>
      <c r="C42" s="15" t="s">
        <v>173</v>
      </c>
      <c r="D42" s="15">
        <v>21</v>
      </c>
      <c r="E42" s="15">
        <v>3</v>
      </c>
      <c r="F42" s="15">
        <v>2</v>
      </c>
      <c r="G42" s="15">
        <v>2</v>
      </c>
      <c r="H42" s="15">
        <v>2</v>
      </c>
      <c r="I42" s="15" t="s">
        <v>174</v>
      </c>
      <c r="J42" s="16"/>
      <c r="K42" s="15" t="s">
        <v>0</v>
      </c>
      <c r="L42" s="14">
        <v>65</v>
      </c>
      <c r="M42" s="13"/>
      <c r="N42" s="14">
        <v>72</v>
      </c>
      <c r="O42" s="13"/>
      <c r="P42" s="14">
        <v>67</v>
      </c>
      <c r="Q42" s="14">
        <v>58</v>
      </c>
      <c r="R42" s="14"/>
      <c r="S42" s="14"/>
      <c r="T42" s="13"/>
      <c r="U42" s="14">
        <v>62</v>
      </c>
      <c r="V42" s="13"/>
      <c r="W42" s="14">
        <v>52</v>
      </c>
      <c r="X42" s="13"/>
      <c r="Y42" s="14">
        <v>71</v>
      </c>
      <c r="Z42" s="13"/>
      <c r="AA42" s="4">
        <f t="shared" si="5"/>
        <v>62.5</v>
      </c>
      <c r="AB42" s="4">
        <f t="shared" si="6"/>
        <v>64.083333333333329</v>
      </c>
      <c r="AC42" s="4">
        <f t="shared" si="7"/>
        <v>2.9676496498819409</v>
      </c>
      <c r="AD42" s="3"/>
      <c r="AE42" s="3"/>
      <c r="AF42" s="3"/>
      <c r="AG42" s="3"/>
      <c r="AH42" s="3"/>
      <c r="AT42" s="12"/>
      <c r="AU42" s="12"/>
      <c r="AV42" s="11"/>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row>
    <row r="43" spans="2:87" ht="24" customHeight="1" x14ac:dyDescent="0.2">
      <c r="B43" s="7">
        <v>906</v>
      </c>
      <c r="C43" s="7" t="s">
        <v>175</v>
      </c>
      <c r="D43" s="7">
        <v>22</v>
      </c>
      <c r="E43" s="7">
        <v>4</v>
      </c>
      <c r="F43" s="7">
        <v>2</v>
      </c>
      <c r="G43" s="7">
        <v>2</v>
      </c>
      <c r="H43" s="7">
        <v>2</v>
      </c>
      <c r="I43" s="7" t="s">
        <v>176</v>
      </c>
      <c r="J43" s="9"/>
      <c r="K43" s="7" t="s">
        <v>2</v>
      </c>
      <c r="L43" s="6">
        <v>95</v>
      </c>
      <c r="M43" s="6"/>
      <c r="N43" s="6">
        <v>97</v>
      </c>
      <c r="O43" s="6"/>
      <c r="P43" s="6">
        <v>75</v>
      </c>
      <c r="Q43" s="6">
        <v>75</v>
      </c>
      <c r="R43" s="6"/>
      <c r="S43" s="6"/>
      <c r="T43" s="6"/>
      <c r="U43" s="6">
        <v>94</v>
      </c>
      <c r="V43" s="6"/>
      <c r="W43" s="6">
        <v>70</v>
      </c>
      <c r="X43" s="6"/>
      <c r="Y43" s="6">
        <v>92</v>
      </c>
      <c r="Z43" s="6"/>
      <c r="AA43" s="4">
        <f t="shared" si="5"/>
        <v>75</v>
      </c>
      <c r="AB43" s="4">
        <f t="shared" si="6"/>
        <v>87.166666666666671</v>
      </c>
      <c r="AC43" s="4">
        <f t="shared" si="7"/>
        <v>4.7287536530370442</v>
      </c>
      <c r="AD43" s="3"/>
      <c r="AE43" s="3"/>
      <c r="AF43" s="3"/>
      <c r="AG43" s="3"/>
      <c r="AH43" s="3"/>
    </row>
    <row r="44" spans="2:87" ht="24" customHeight="1" thickBot="1" x14ac:dyDescent="0.25">
      <c r="B44" s="15">
        <v>906</v>
      </c>
      <c r="C44" s="15" t="s">
        <v>175</v>
      </c>
      <c r="D44" s="15">
        <v>22</v>
      </c>
      <c r="E44" s="15">
        <v>4</v>
      </c>
      <c r="F44" s="15">
        <v>2</v>
      </c>
      <c r="G44" s="15">
        <v>2</v>
      </c>
      <c r="H44" s="15">
        <v>2</v>
      </c>
      <c r="I44" s="15" t="s">
        <v>176</v>
      </c>
      <c r="J44" s="16"/>
      <c r="K44" s="15" t="s">
        <v>0</v>
      </c>
      <c r="L44" s="14">
        <v>88</v>
      </c>
      <c r="M44" s="13"/>
      <c r="N44" s="14">
        <v>91</v>
      </c>
      <c r="O44" s="13"/>
      <c r="P44" s="14">
        <v>74</v>
      </c>
      <c r="Q44" s="14">
        <v>81</v>
      </c>
      <c r="R44" s="14"/>
      <c r="S44" s="14"/>
      <c r="T44" s="13"/>
      <c r="U44" s="14">
        <v>88</v>
      </c>
      <c r="V44" s="13"/>
      <c r="W44" s="14">
        <v>75</v>
      </c>
      <c r="X44" s="13"/>
      <c r="Y44" s="14">
        <v>92</v>
      </c>
      <c r="Z44" s="13"/>
      <c r="AA44" s="4">
        <f t="shared" si="5"/>
        <v>77.5</v>
      </c>
      <c r="AB44" s="4">
        <f t="shared" si="6"/>
        <v>85.25</v>
      </c>
      <c r="AC44" s="4">
        <f t="shared" si="7"/>
        <v>2.9375443259067033</v>
      </c>
      <c r="AD44" s="3"/>
      <c r="AE44" s="3"/>
      <c r="AF44" s="3"/>
      <c r="AG44" s="3"/>
      <c r="AH44" s="3"/>
      <c r="AT44" s="12"/>
      <c r="AU44" s="12"/>
      <c r="AV44" s="11"/>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row>
    <row r="45" spans="2:87" ht="24" customHeight="1" x14ac:dyDescent="0.2">
      <c r="B45" s="7">
        <v>904</v>
      </c>
      <c r="C45" s="7" t="s">
        <v>173</v>
      </c>
      <c r="D45" s="7">
        <v>21</v>
      </c>
      <c r="E45" s="7">
        <v>3</v>
      </c>
      <c r="F45" s="7">
        <v>2</v>
      </c>
      <c r="G45" s="7">
        <v>2</v>
      </c>
      <c r="H45" s="7">
        <v>1</v>
      </c>
      <c r="I45" s="7" t="s">
        <v>177</v>
      </c>
      <c r="J45" s="9"/>
      <c r="K45" s="7" t="s">
        <v>2</v>
      </c>
      <c r="L45" s="6">
        <v>68</v>
      </c>
      <c r="M45" s="6"/>
      <c r="N45" s="6">
        <v>64</v>
      </c>
      <c r="O45" s="6"/>
      <c r="P45" s="6">
        <v>61</v>
      </c>
      <c r="Q45" s="6">
        <v>57</v>
      </c>
      <c r="R45" s="6"/>
      <c r="S45" s="6"/>
      <c r="T45" s="6"/>
      <c r="U45" s="6">
        <v>74</v>
      </c>
      <c r="V45" s="6"/>
      <c r="W45" s="6">
        <v>75</v>
      </c>
      <c r="X45" s="6"/>
      <c r="Y45" s="6">
        <v>70</v>
      </c>
      <c r="Z45" s="6"/>
      <c r="AA45" s="4">
        <f t="shared" si="5"/>
        <v>59</v>
      </c>
      <c r="AB45" s="4">
        <f t="shared" si="6"/>
        <v>68.333333333333329</v>
      </c>
      <c r="AC45" s="4">
        <f t="shared" si="7"/>
        <v>2.4855135843076335</v>
      </c>
      <c r="AD45" s="3"/>
      <c r="AE45" s="3"/>
      <c r="AF45" s="3"/>
      <c r="AG45" s="3"/>
      <c r="AH45" s="3"/>
    </row>
    <row r="46" spans="2:87" ht="24" customHeight="1" thickBot="1" x14ac:dyDescent="0.25">
      <c r="B46" s="15">
        <v>904</v>
      </c>
      <c r="C46" s="15" t="s">
        <v>173</v>
      </c>
      <c r="D46" s="15">
        <v>21</v>
      </c>
      <c r="E46" s="15">
        <v>3</v>
      </c>
      <c r="F46" s="15">
        <v>2</v>
      </c>
      <c r="G46" s="15">
        <v>2</v>
      </c>
      <c r="H46" s="15">
        <v>1</v>
      </c>
      <c r="I46" s="15" t="s">
        <v>177</v>
      </c>
      <c r="J46" s="16"/>
      <c r="K46" s="15" t="s">
        <v>0</v>
      </c>
      <c r="L46" s="14">
        <v>58</v>
      </c>
      <c r="M46" s="13"/>
      <c r="N46" s="14">
        <v>70</v>
      </c>
      <c r="O46" s="13"/>
      <c r="P46" s="14">
        <v>66</v>
      </c>
      <c r="Q46" s="14">
        <v>56</v>
      </c>
      <c r="R46" s="14"/>
      <c r="S46" s="14"/>
      <c r="T46" s="13"/>
      <c r="U46" s="14">
        <v>64</v>
      </c>
      <c r="V46" s="13"/>
      <c r="W46" s="14">
        <v>75</v>
      </c>
      <c r="X46" s="13"/>
      <c r="Y46" s="14">
        <v>58</v>
      </c>
      <c r="Z46" s="13"/>
      <c r="AA46" s="4">
        <f t="shared" si="5"/>
        <v>61</v>
      </c>
      <c r="AB46" s="4">
        <f t="shared" si="6"/>
        <v>64.333333333333329</v>
      </c>
      <c r="AC46" s="4">
        <f t="shared" si="7"/>
        <v>2.8126697479638652</v>
      </c>
      <c r="AD46" s="3"/>
      <c r="AE46" s="3"/>
      <c r="AF46" s="3"/>
      <c r="AG46" s="3"/>
      <c r="AH46" s="3"/>
      <c r="AT46" s="12"/>
      <c r="AU46" s="12"/>
      <c r="AV46" s="11"/>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row>
    <row r="47" spans="2:87" ht="24" customHeight="1" x14ac:dyDescent="0.2">
      <c r="B47" s="7">
        <v>902</v>
      </c>
      <c r="C47" s="7" t="s">
        <v>175</v>
      </c>
      <c r="D47" s="7">
        <v>22</v>
      </c>
      <c r="E47" s="7">
        <v>4</v>
      </c>
      <c r="F47" s="7">
        <v>2</v>
      </c>
      <c r="G47" s="7">
        <v>2</v>
      </c>
      <c r="H47" s="7">
        <v>1</v>
      </c>
      <c r="I47" s="7" t="s">
        <v>178</v>
      </c>
      <c r="J47" s="9"/>
      <c r="K47" s="7" t="s">
        <v>2</v>
      </c>
      <c r="L47" s="6">
        <v>84</v>
      </c>
      <c r="M47" s="6"/>
      <c r="N47" s="6">
        <v>82</v>
      </c>
      <c r="O47" s="6"/>
      <c r="P47" s="6">
        <v>89</v>
      </c>
      <c r="Q47" s="6">
        <v>70</v>
      </c>
      <c r="R47" s="6"/>
      <c r="S47" s="6"/>
      <c r="T47" s="6"/>
      <c r="U47" s="6">
        <v>100</v>
      </c>
      <c r="V47" s="6"/>
      <c r="W47" s="6">
        <v>65</v>
      </c>
      <c r="X47" s="6"/>
      <c r="Y47" s="6">
        <v>100</v>
      </c>
      <c r="Z47" s="6"/>
      <c r="AA47" s="4">
        <f t="shared" si="5"/>
        <v>79.5</v>
      </c>
      <c r="AB47" s="4">
        <f t="shared" si="6"/>
        <v>85.083333333333329</v>
      </c>
      <c r="AC47" s="4">
        <f t="shared" si="7"/>
        <v>5.4473489984680805</v>
      </c>
      <c r="AD47" s="3"/>
      <c r="AE47" s="3"/>
      <c r="AF47" s="3"/>
      <c r="AG47" s="3"/>
      <c r="AH47" s="3"/>
    </row>
    <row r="48" spans="2:87" ht="24" customHeight="1" thickBot="1" x14ac:dyDescent="0.25">
      <c r="B48" s="15">
        <v>902</v>
      </c>
      <c r="C48" s="15" t="s">
        <v>175</v>
      </c>
      <c r="D48" s="15">
        <v>22</v>
      </c>
      <c r="E48" s="15">
        <v>4</v>
      </c>
      <c r="F48" s="15">
        <v>2</v>
      </c>
      <c r="G48" s="15">
        <v>2</v>
      </c>
      <c r="H48" s="15">
        <v>1</v>
      </c>
      <c r="I48" s="15" t="s">
        <v>178</v>
      </c>
      <c r="J48" s="16"/>
      <c r="K48" s="15" t="s">
        <v>0</v>
      </c>
      <c r="L48" s="14">
        <v>88</v>
      </c>
      <c r="M48" s="13"/>
      <c r="N48" s="14">
        <v>73</v>
      </c>
      <c r="O48" s="13"/>
      <c r="P48" s="14">
        <v>81</v>
      </c>
      <c r="Q48" s="14">
        <v>61</v>
      </c>
      <c r="R48" s="14"/>
      <c r="S48" s="14"/>
      <c r="T48" s="13"/>
      <c r="U48" s="14">
        <v>75</v>
      </c>
      <c r="V48" s="13"/>
      <c r="W48" s="14">
        <v>72</v>
      </c>
      <c r="X48" s="13"/>
      <c r="Y48" s="14">
        <v>78</v>
      </c>
      <c r="Z48" s="13"/>
      <c r="AA48" s="4">
        <f t="shared" si="5"/>
        <v>71</v>
      </c>
      <c r="AB48" s="4">
        <f t="shared" si="6"/>
        <v>76.166666666666671</v>
      </c>
      <c r="AC48" s="4">
        <f t="shared" si="7"/>
        <v>2.5744470819532839</v>
      </c>
      <c r="AD48" s="3"/>
      <c r="AE48" s="3"/>
      <c r="AF48" s="3"/>
      <c r="AG48" s="3"/>
      <c r="AH48" s="3"/>
      <c r="AT48" s="12"/>
      <c r="AU48" s="12"/>
      <c r="AV48" s="11"/>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row>
    <row r="49" spans="2:87" ht="24" customHeight="1" x14ac:dyDescent="0.2">
      <c r="B49" s="7">
        <f>B47-601</f>
        <v>301</v>
      </c>
      <c r="C49" s="7" t="s">
        <v>149</v>
      </c>
      <c r="D49" s="7">
        <v>10</v>
      </c>
      <c r="E49" s="7">
        <v>2</v>
      </c>
      <c r="F49" s="7">
        <v>2</v>
      </c>
      <c r="G49" s="7">
        <v>1</v>
      </c>
      <c r="H49" s="7">
        <v>3</v>
      </c>
      <c r="I49" s="7" t="s">
        <v>179</v>
      </c>
      <c r="J49" s="7"/>
      <c r="K49" s="7" t="s">
        <v>2</v>
      </c>
      <c r="L49" s="6">
        <v>97</v>
      </c>
      <c r="M49" s="6"/>
      <c r="N49" s="6">
        <v>99</v>
      </c>
      <c r="O49" s="6"/>
      <c r="P49" s="6">
        <v>95</v>
      </c>
      <c r="Q49" s="6">
        <v>100</v>
      </c>
      <c r="R49" s="6"/>
      <c r="S49" s="6"/>
      <c r="T49" s="6"/>
      <c r="U49" s="6">
        <v>92</v>
      </c>
      <c r="V49" s="6"/>
      <c r="W49" s="6">
        <v>91</v>
      </c>
      <c r="X49" s="6"/>
      <c r="Y49" s="6">
        <v>95</v>
      </c>
      <c r="Z49" s="6"/>
      <c r="AA49" s="4">
        <f t="shared" si="5"/>
        <v>97.5</v>
      </c>
      <c r="AB49" s="4">
        <f t="shared" si="6"/>
        <v>95.25</v>
      </c>
      <c r="AC49" s="4">
        <f t="shared" si="7"/>
        <v>1.3022416570411706</v>
      </c>
      <c r="AT49" s="12">
        <v>2</v>
      </c>
      <c r="AU49" s="12" t="s">
        <v>3</v>
      </c>
      <c r="AV49" s="12">
        <v>150</v>
      </c>
    </row>
    <row r="50" spans="2:87" ht="24" customHeight="1" thickBot="1" x14ac:dyDescent="0.25">
      <c r="B50" s="15">
        <f>B48-601</f>
        <v>301</v>
      </c>
      <c r="C50" s="15" t="s">
        <v>149</v>
      </c>
      <c r="D50" s="15">
        <v>10</v>
      </c>
      <c r="E50" s="15">
        <v>2</v>
      </c>
      <c r="F50" s="15">
        <v>2</v>
      </c>
      <c r="G50" s="15">
        <v>1</v>
      </c>
      <c r="H50" s="15">
        <v>3</v>
      </c>
      <c r="I50" s="15" t="s">
        <v>179</v>
      </c>
      <c r="J50" s="16"/>
      <c r="K50" s="15" t="s">
        <v>0</v>
      </c>
      <c r="L50" s="14">
        <v>103</v>
      </c>
      <c r="M50" s="13"/>
      <c r="N50" s="14">
        <v>111</v>
      </c>
      <c r="O50" s="13"/>
      <c r="P50" s="14">
        <v>104</v>
      </c>
      <c r="Q50" s="14">
        <v>107</v>
      </c>
      <c r="R50" s="14"/>
      <c r="S50" s="14"/>
      <c r="T50" s="13"/>
      <c r="U50" s="14">
        <v>98</v>
      </c>
      <c r="V50" s="13"/>
      <c r="W50" s="14">
        <v>97</v>
      </c>
      <c r="X50" s="13"/>
      <c r="Y50" s="14">
        <v>92</v>
      </c>
      <c r="Z50" s="13"/>
      <c r="AA50" s="4">
        <f t="shared" si="5"/>
        <v>105.5</v>
      </c>
      <c r="AB50" s="4">
        <f t="shared" si="6"/>
        <v>101.08333333333333</v>
      </c>
      <c r="AC50" s="4">
        <f t="shared" si="7"/>
        <v>2.7701283564324437</v>
      </c>
      <c r="AD50" s="3"/>
      <c r="AE50" s="3"/>
      <c r="AF50" s="3"/>
      <c r="AG50" s="3"/>
      <c r="AH50" s="3"/>
      <c r="AT50" s="12"/>
      <c r="AU50" s="12"/>
      <c r="AV50" s="11"/>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row>
    <row r="51" spans="2:87" ht="24" customHeight="1" x14ac:dyDescent="0.2">
      <c r="B51" s="7">
        <f t="shared" ref="B51:B64" si="8">B49+1</f>
        <v>302</v>
      </c>
      <c r="C51" s="7" t="s">
        <v>158</v>
      </c>
      <c r="D51" s="7">
        <v>4</v>
      </c>
      <c r="E51" s="7">
        <v>1</v>
      </c>
      <c r="F51" s="7">
        <v>2</v>
      </c>
      <c r="G51" s="7">
        <v>1</v>
      </c>
      <c r="H51" s="7">
        <v>3</v>
      </c>
      <c r="I51" s="7" t="s">
        <v>180</v>
      </c>
      <c r="J51" s="9"/>
      <c r="K51" s="7" t="s">
        <v>2</v>
      </c>
      <c r="L51" s="6">
        <v>85</v>
      </c>
      <c r="M51" s="6"/>
      <c r="N51" s="6">
        <v>78</v>
      </c>
      <c r="O51" s="6"/>
      <c r="P51" s="6">
        <v>95</v>
      </c>
      <c r="Q51" s="6">
        <v>89</v>
      </c>
      <c r="R51" s="6"/>
      <c r="S51" s="6"/>
      <c r="T51" s="6"/>
      <c r="U51" s="6">
        <v>86</v>
      </c>
      <c r="V51" s="6"/>
      <c r="W51" s="6">
        <v>84</v>
      </c>
      <c r="X51" s="6"/>
      <c r="Y51" s="6">
        <v>85</v>
      </c>
      <c r="Z51" s="6"/>
      <c r="AA51" s="4">
        <f t="shared" si="5"/>
        <v>92</v>
      </c>
      <c r="AB51" s="4">
        <f t="shared" si="6"/>
        <v>85</v>
      </c>
      <c r="AC51" s="4">
        <f t="shared" si="7"/>
        <v>1.825741858350554</v>
      </c>
      <c r="AD51" s="3"/>
      <c r="AE51" s="3"/>
      <c r="AF51" s="3"/>
      <c r="AG51" s="3"/>
      <c r="AH51" s="3"/>
    </row>
    <row r="52" spans="2:87" ht="24" customHeight="1" thickBot="1" x14ac:dyDescent="0.25">
      <c r="B52" s="15">
        <f t="shared" si="8"/>
        <v>302</v>
      </c>
      <c r="C52" s="15" t="s">
        <v>158</v>
      </c>
      <c r="D52" s="15">
        <v>4</v>
      </c>
      <c r="E52" s="15">
        <v>1</v>
      </c>
      <c r="F52" s="15">
        <v>2</v>
      </c>
      <c r="G52" s="15">
        <v>1</v>
      </c>
      <c r="H52" s="15">
        <v>3</v>
      </c>
      <c r="I52" s="15" t="s">
        <v>180</v>
      </c>
      <c r="J52" s="16"/>
      <c r="K52" s="15" t="s">
        <v>0</v>
      </c>
      <c r="L52" s="14">
        <v>102</v>
      </c>
      <c r="M52" s="13"/>
      <c r="N52" s="14">
        <v>104</v>
      </c>
      <c r="O52" s="13"/>
      <c r="P52" s="14">
        <v>93</v>
      </c>
      <c r="Q52" s="14">
        <v>94</v>
      </c>
      <c r="R52" s="14"/>
      <c r="S52" s="14"/>
      <c r="T52" s="13"/>
      <c r="U52" s="14">
        <v>115</v>
      </c>
      <c r="V52" s="13"/>
      <c r="W52" s="14">
        <v>107</v>
      </c>
      <c r="X52" s="13"/>
      <c r="Y52" s="14">
        <v>105</v>
      </c>
      <c r="Z52" s="13"/>
      <c r="AA52" s="4">
        <f t="shared" si="5"/>
        <v>93.5</v>
      </c>
      <c r="AB52" s="4">
        <f t="shared" si="6"/>
        <v>104.41666666666667</v>
      </c>
      <c r="AC52" s="4">
        <f t="shared" si="7"/>
        <v>2.8531172036524852</v>
      </c>
      <c r="AD52" s="3"/>
      <c r="AE52" s="3"/>
      <c r="AF52" s="3"/>
      <c r="AG52" s="3"/>
      <c r="AH52" s="3"/>
      <c r="AT52" s="12"/>
      <c r="AU52" s="12"/>
      <c r="AV52" s="11"/>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row>
    <row r="53" spans="2:87" ht="24" customHeight="1" x14ac:dyDescent="0.2">
      <c r="B53" s="7">
        <f t="shared" si="8"/>
        <v>303</v>
      </c>
      <c r="C53" s="7" t="s">
        <v>168</v>
      </c>
      <c r="D53" s="7">
        <v>8</v>
      </c>
      <c r="E53" s="7">
        <v>2</v>
      </c>
      <c r="F53" s="7">
        <v>1</v>
      </c>
      <c r="G53" s="7">
        <v>1</v>
      </c>
      <c r="H53" s="7">
        <v>3</v>
      </c>
      <c r="I53" s="7" t="s">
        <v>181</v>
      </c>
      <c r="J53" s="9"/>
      <c r="K53" s="7" t="s">
        <v>2</v>
      </c>
      <c r="L53" s="6">
        <v>100</v>
      </c>
      <c r="M53" s="6"/>
      <c r="N53" s="6">
        <v>89</v>
      </c>
      <c r="O53" s="6"/>
      <c r="P53" s="6">
        <v>90</v>
      </c>
      <c r="Q53" s="6">
        <v>92</v>
      </c>
      <c r="R53" s="6"/>
      <c r="S53" s="6"/>
      <c r="T53" s="6"/>
      <c r="U53" s="6">
        <v>93</v>
      </c>
      <c r="V53" s="6"/>
      <c r="W53" s="6">
        <v>40</v>
      </c>
      <c r="X53" s="6"/>
      <c r="Y53" s="6">
        <v>91</v>
      </c>
      <c r="Z53" s="6"/>
      <c r="AA53" s="4">
        <f t="shared" si="5"/>
        <v>91</v>
      </c>
      <c r="AB53" s="4">
        <f t="shared" si="6"/>
        <v>84</v>
      </c>
      <c r="AC53" s="4">
        <f t="shared" si="7"/>
        <v>8.9368152418334503</v>
      </c>
      <c r="AD53" s="3"/>
      <c r="AE53" s="3"/>
      <c r="AF53" s="3"/>
      <c r="AG53" s="3"/>
      <c r="AH53" s="3"/>
    </row>
    <row r="54" spans="2:87" ht="24" customHeight="1" thickBot="1" x14ac:dyDescent="0.25">
      <c r="B54" s="15">
        <f t="shared" si="8"/>
        <v>303</v>
      </c>
      <c r="C54" s="15" t="s">
        <v>168</v>
      </c>
      <c r="D54" s="15">
        <v>8</v>
      </c>
      <c r="E54" s="15">
        <v>2</v>
      </c>
      <c r="F54" s="15">
        <v>1</v>
      </c>
      <c r="G54" s="15">
        <v>1</v>
      </c>
      <c r="H54" s="15">
        <v>3</v>
      </c>
      <c r="I54" s="15" t="s">
        <v>181</v>
      </c>
      <c r="J54" s="16"/>
      <c r="K54" s="15" t="s">
        <v>0</v>
      </c>
      <c r="L54" s="14">
        <v>98</v>
      </c>
      <c r="M54" s="13"/>
      <c r="N54" s="14">
        <v>104</v>
      </c>
      <c r="O54" s="13"/>
      <c r="P54" s="14">
        <v>99</v>
      </c>
      <c r="Q54" s="14">
        <v>103</v>
      </c>
      <c r="R54" s="14"/>
      <c r="S54" s="14"/>
      <c r="T54" s="13"/>
      <c r="U54" s="14">
        <v>91</v>
      </c>
      <c r="V54" s="13"/>
      <c r="W54" s="14">
        <v>114</v>
      </c>
      <c r="X54" s="13"/>
      <c r="Y54" s="14">
        <v>113</v>
      </c>
      <c r="Z54" s="13"/>
      <c r="AA54" s="4">
        <f t="shared" si="5"/>
        <v>101</v>
      </c>
      <c r="AB54" s="4">
        <f t="shared" si="6"/>
        <v>103.5</v>
      </c>
      <c r="AC54" s="4">
        <f t="shared" si="7"/>
        <v>3.6216938946667856</v>
      </c>
      <c r="AD54" s="3"/>
      <c r="AE54" s="3"/>
      <c r="AF54" s="3"/>
      <c r="AG54" s="3"/>
      <c r="AH54" s="3"/>
      <c r="AT54" s="12"/>
      <c r="AU54" s="12"/>
      <c r="AV54" s="11"/>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row>
    <row r="55" spans="2:87" ht="24" customHeight="1" x14ac:dyDescent="0.2">
      <c r="B55" s="7">
        <f t="shared" si="8"/>
        <v>304</v>
      </c>
      <c r="C55" s="7" t="s">
        <v>171</v>
      </c>
      <c r="D55" s="7">
        <v>2</v>
      </c>
      <c r="E55" s="7">
        <v>1</v>
      </c>
      <c r="F55" s="7">
        <v>1</v>
      </c>
      <c r="G55" s="7">
        <v>1</v>
      </c>
      <c r="H55" s="7">
        <v>3</v>
      </c>
      <c r="I55" s="7" t="s">
        <v>182</v>
      </c>
      <c r="J55" s="9"/>
      <c r="K55" s="7" t="s">
        <v>2</v>
      </c>
      <c r="L55" s="6">
        <v>99</v>
      </c>
      <c r="M55" s="6"/>
      <c r="N55" s="6">
        <v>93</v>
      </c>
      <c r="O55" s="6"/>
      <c r="P55" s="6">
        <v>92</v>
      </c>
      <c r="Q55" s="6">
        <v>87</v>
      </c>
      <c r="R55" s="6"/>
      <c r="S55" s="6"/>
      <c r="T55" s="6"/>
      <c r="U55" s="6">
        <v>88</v>
      </c>
      <c r="V55" s="6"/>
      <c r="W55" s="6">
        <v>93</v>
      </c>
      <c r="X55" s="6"/>
      <c r="Y55" s="6">
        <v>100</v>
      </c>
      <c r="Z55" s="6"/>
      <c r="AA55" s="4">
        <f t="shared" si="5"/>
        <v>89.5</v>
      </c>
      <c r="AB55" s="4">
        <f t="shared" si="6"/>
        <v>93.75</v>
      </c>
      <c r="AC55" s="4">
        <f t="shared" si="7"/>
        <v>1.9906029237394385</v>
      </c>
      <c r="AD55" s="3"/>
      <c r="AE55" s="3"/>
      <c r="AF55" s="3"/>
      <c r="AG55" s="3"/>
      <c r="AH55" s="3"/>
    </row>
    <row r="56" spans="2:87" ht="24" customHeight="1" thickBot="1" x14ac:dyDescent="0.25">
      <c r="B56" s="15">
        <f t="shared" si="8"/>
        <v>304</v>
      </c>
      <c r="C56" s="15" t="s">
        <v>171</v>
      </c>
      <c r="D56" s="15">
        <v>2</v>
      </c>
      <c r="E56" s="15">
        <v>1</v>
      </c>
      <c r="F56" s="15">
        <v>1</v>
      </c>
      <c r="G56" s="15">
        <v>1</v>
      </c>
      <c r="H56" s="15">
        <v>3</v>
      </c>
      <c r="I56" s="15" t="s">
        <v>182</v>
      </c>
      <c r="J56" s="16"/>
      <c r="K56" s="15" t="s">
        <v>0</v>
      </c>
      <c r="L56" s="14">
        <v>106</v>
      </c>
      <c r="M56" s="13"/>
      <c r="N56" s="14">
        <v>111</v>
      </c>
      <c r="O56" s="13"/>
      <c r="P56" s="14">
        <v>100</v>
      </c>
      <c r="Q56" s="14">
        <v>93</v>
      </c>
      <c r="R56" s="14"/>
      <c r="S56" s="14"/>
      <c r="T56" s="13"/>
      <c r="U56" s="14">
        <v>98</v>
      </c>
      <c r="V56" s="13"/>
      <c r="W56" s="14">
        <v>100</v>
      </c>
      <c r="X56" s="13"/>
      <c r="Y56" s="14">
        <v>91</v>
      </c>
      <c r="Z56" s="13"/>
      <c r="AA56" s="4">
        <f t="shared" si="5"/>
        <v>96.5</v>
      </c>
      <c r="AB56" s="4">
        <f t="shared" si="6"/>
        <v>100.41666666666667</v>
      </c>
      <c r="AC56" s="4">
        <f t="shared" si="7"/>
        <v>2.905215616400576</v>
      </c>
      <c r="AD56" s="3"/>
      <c r="AE56" s="3"/>
      <c r="AF56" s="3"/>
      <c r="AG56" s="3"/>
      <c r="AH56" s="3"/>
      <c r="AT56" s="12"/>
      <c r="AU56" s="12"/>
      <c r="AV56" s="11"/>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row>
    <row r="57" spans="2:87" ht="24" customHeight="1" thickBot="1" x14ac:dyDescent="0.25">
      <c r="B57" s="7">
        <f t="shared" si="8"/>
        <v>305</v>
      </c>
      <c r="C57" s="7" t="s">
        <v>165</v>
      </c>
      <c r="D57" s="7">
        <v>11</v>
      </c>
      <c r="E57" s="7">
        <v>2</v>
      </c>
      <c r="F57" s="7">
        <v>3</v>
      </c>
      <c r="G57" s="7">
        <v>2</v>
      </c>
      <c r="H57" s="7">
        <v>4</v>
      </c>
      <c r="I57" s="7" t="s">
        <v>183</v>
      </c>
      <c r="J57" s="16"/>
      <c r="K57" s="7" t="s">
        <v>2</v>
      </c>
      <c r="L57" s="6">
        <v>50</v>
      </c>
      <c r="M57" s="6"/>
      <c r="N57" s="6">
        <v>100</v>
      </c>
      <c r="O57" s="6"/>
      <c r="P57" s="6">
        <v>100</v>
      </c>
      <c r="Q57" s="6">
        <v>100</v>
      </c>
      <c r="R57" s="6"/>
      <c r="S57" s="6"/>
      <c r="T57" s="6"/>
      <c r="U57" s="6">
        <v>100</v>
      </c>
      <c r="V57" s="6"/>
      <c r="W57" s="6">
        <v>100</v>
      </c>
      <c r="X57" s="6"/>
      <c r="Y57" s="6">
        <v>100</v>
      </c>
      <c r="Z57" s="6"/>
      <c r="AA57" s="4">
        <f t="shared" si="5"/>
        <v>100</v>
      </c>
      <c r="AB57" s="4">
        <f t="shared" si="6"/>
        <v>91.666666666666671</v>
      </c>
      <c r="AC57" s="4">
        <f t="shared" si="7"/>
        <v>8.3333333333333393</v>
      </c>
      <c r="AD57" s="3"/>
      <c r="AE57" s="3"/>
      <c r="AF57" s="3"/>
      <c r="AG57" s="3"/>
      <c r="AH57" s="3"/>
    </row>
    <row r="58" spans="2:87" ht="24" customHeight="1" thickBot="1" x14ac:dyDescent="0.25">
      <c r="B58" s="15">
        <f t="shared" si="8"/>
        <v>305</v>
      </c>
      <c r="C58" s="15" t="s">
        <v>165</v>
      </c>
      <c r="D58" s="15">
        <v>11</v>
      </c>
      <c r="E58" s="15">
        <v>2</v>
      </c>
      <c r="F58" s="15">
        <v>3</v>
      </c>
      <c r="G58" s="15">
        <v>2</v>
      </c>
      <c r="H58" s="15">
        <v>4</v>
      </c>
      <c r="I58" s="15" t="s">
        <v>183</v>
      </c>
      <c r="J58" s="16"/>
      <c r="K58" s="15" t="s">
        <v>0</v>
      </c>
      <c r="L58" s="14">
        <v>139</v>
      </c>
      <c r="M58" s="13"/>
      <c r="N58" s="14">
        <v>118</v>
      </c>
      <c r="O58" s="13"/>
      <c r="P58" s="14">
        <v>112</v>
      </c>
      <c r="Q58" s="14">
        <v>114</v>
      </c>
      <c r="R58" s="14"/>
      <c r="S58" s="14"/>
      <c r="T58" s="13"/>
      <c r="U58" s="14">
        <v>115</v>
      </c>
      <c r="V58" s="13"/>
      <c r="W58" s="14">
        <v>127</v>
      </c>
      <c r="X58" s="13"/>
      <c r="Y58" s="14">
        <v>118</v>
      </c>
      <c r="Z58" s="13"/>
      <c r="AA58" s="4">
        <f t="shared" si="5"/>
        <v>113</v>
      </c>
      <c r="AB58" s="4">
        <f t="shared" si="6"/>
        <v>121.66666666666667</v>
      </c>
      <c r="AC58" s="4">
        <f t="shared" si="7"/>
        <v>3.9805080636075143</v>
      </c>
      <c r="AD58" s="3"/>
      <c r="AE58" s="3"/>
      <c r="AF58" s="3"/>
      <c r="AG58" s="3"/>
      <c r="AH58" s="3"/>
      <c r="AT58" s="12"/>
      <c r="AU58" s="12"/>
      <c r="AV58" s="11"/>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row>
    <row r="59" spans="2:87" ht="24" customHeight="1" x14ac:dyDescent="0.2">
      <c r="B59" s="7">
        <f t="shared" si="8"/>
        <v>306</v>
      </c>
      <c r="C59" s="7" t="s">
        <v>158</v>
      </c>
      <c r="D59" s="7">
        <v>4</v>
      </c>
      <c r="E59" s="7">
        <v>1</v>
      </c>
      <c r="F59" s="7">
        <v>2</v>
      </c>
      <c r="G59" s="7">
        <v>1</v>
      </c>
      <c r="H59" s="7">
        <v>4</v>
      </c>
      <c r="I59" s="7" t="s">
        <v>184</v>
      </c>
      <c r="J59" s="9"/>
      <c r="K59" s="7" t="s">
        <v>2</v>
      </c>
      <c r="L59" s="6">
        <v>93</v>
      </c>
      <c r="M59" s="6"/>
      <c r="N59" s="6">
        <v>86</v>
      </c>
      <c r="O59" s="6"/>
      <c r="P59" s="6">
        <v>80</v>
      </c>
      <c r="Q59" s="6">
        <v>89</v>
      </c>
      <c r="R59" s="6"/>
      <c r="S59" s="6"/>
      <c r="T59" s="6"/>
      <c r="U59" s="6">
        <v>98</v>
      </c>
      <c r="V59" s="6"/>
      <c r="W59" s="6">
        <v>86</v>
      </c>
      <c r="X59" s="6"/>
      <c r="Y59" s="6">
        <v>93</v>
      </c>
      <c r="Z59" s="6"/>
      <c r="AA59" s="4">
        <f t="shared" si="5"/>
        <v>84.5</v>
      </c>
      <c r="AB59" s="4">
        <f t="shared" si="6"/>
        <v>90.083333333333329</v>
      </c>
      <c r="AC59" s="4">
        <f t="shared" si="7"/>
        <v>2.1924745025756729</v>
      </c>
      <c r="AD59" s="3"/>
      <c r="AE59" s="3"/>
      <c r="AF59" s="3"/>
      <c r="AG59" s="3"/>
      <c r="AH59" s="3"/>
    </row>
    <row r="60" spans="2:87" ht="24" customHeight="1" thickBot="1" x14ac:dyDescent="0.25">
      <c r="B60" s="15">
        <f t="shared" si="8"/>
        <v>306</v>
      </c>
      <c r="C60" s="15" t="s">
        <v>158</v>
      </c>
      <c r="D60" s="15">
        <v>4</v>
      </c>
      <c r="E60" s="15">
        <v>1</v>
      </c>
      <c r="F60" s="15">
        <v>2</v>
      </c>
      <c r="G60" s="15">
        <v>1</v>
      </c>
      <c r="H60" s="15">
        <v>4</v>
      </c>
      <c r="I60" s="15" t="s">
        <v>184</v>
      </c>
      <c r="J60" s="16"/>
      <c r="K60" s="15" t="s">
        <v>0</v>
      </c>
      <c r="L60" s="14">
        <v>101</v>
      </c>
      <c r="M60" s="13"/>
      <c r="N60" s="14">
        <v>94</v>
      </c>
      <c r="O60" s="13"/>
      <c r="P60" s="14">
        <v>96</v>
      </c>
      <c r="Q60" s="14">
        <v>89</v>
      </c>
      <c r="R60" s="14"/>
      <c r="S60" s="14"/>
      <c r="T60" s="13"/>
      <c r="U60" s="14">
        <v>94</v>
      </c>
      <c r="V60" s="13"/>
      <c r="W60" s="14">
        <v>110</v>
      </c>
      <c r="X60" s="13"/>
      <c r="Y60" s="14">
        <v>110</v>
      </c>
      <c r="Z60" s="13"/>
      <c r="AA60" s="4">
        <f t="shared" si="5"/>
        <v>92.5</v>
      </c>
      <c r="AB60" s="4">
        <f t="shared" si="6"/>
        <v>100.25</v>
      </c>
      <c r="AC60" s="4">
        <f t="shared" si="7"/>
        <v>3.310966626228661</v>
      </c>
      <c r="AD60" s="3"/>
      <c r="AE60" s="3"/>
      <c r="AF60" s="3"/>
      <c r="AG60" s="3"/>
      <c r="AH60" s="3"/>
      <c r="AT60" s="12"/>
      <c r="AU60" s="12"/>
      <c r="AV60" s="11"/>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row>
    <row r="61" spans="2:87" ht="24" customHeight="1" x14ac:dyDescent="0.2">
      <c r="B61" s="7">
        <f t="shared" si="8"/>
        <v>307</v>
      </c>
      <c r="C61" s="7" t="s">
        <v>151</v>
      </c>
      <c r="D61" s="7">
        <v>9</v>
      </c>
      <c r="E61" s="7">
        <v>2</v>
      </c>
      <c r="F61" s="7">
        <v>2</v>
      </c>
      <c r="G61" s="7">
        <v>2</v>
      </c>
      <c r="H61" s="7">
        <v>4</v>
      </c>
      <c r="I61" s="7" t="s">
        <v>185</v>
      </c>
      <c r="J61" s="9"/>
      <c r="K61" s="7" t="s">
        <v>2</v>
      </c>
      <c r="L61" s="6">
        <v>94</v>
      </c>
      <c r="M61" s="5"/>
      <c r="N61" s="6">
        <v>83</v>
      </c>
      <c r="O61" s="5"/>
      <c r="P61" s="6">
        <v>97</v>
      </c>
      <c r="Q61" s="6">
        <v>97</v>
      </c>
      <c r="R61" s="6"/>
      <c r="S61" s="6"/>
      <c r="T61" s="5"/>
      <c r="U61" s="6">
        <v>100</v>
      </c>
      <c r="V61" s="5"/>
      <c r="W61" s="6">
        <v>95</v>
      </c>
      <c r="X61" s="5"/>
      <c r="Y61" s="6">
        <v>100</v>
      </c>
      <c r="Z61" s="5"/>
      <c r="AA61" s="4">
        <f t="shared" si="5"/>
        <v>97</v>
      </c>
      <c r="AB61" s="4">
        <f t="shared" si="6"/>
        <v>94.833333333333329</v>
      </c>
      <c r="AC61" s="4">
        <f t="shared" si="7"/>
        <v>2.5744470819532839</v>
      </c>
      <c r="AD61" s="3"/>
      <c r="AE61" s="3"/>
      <c r="AF61" s="3"/>
      <c r="AG61" s="3"/>
      <c r="AH61" s="3"/>
    </row>
    <row r="62" spans="2:87" ht="24" customHeight="1" thickBot="1" x14ac:dyDescent="0.25">
      <c r="B62" s="15">
        <f t="shared" si="8"/>
        <v>307</v>
      </c>
      <c r="C62" s="15" t="s">
        <v>151</v>
      </c>
      <c r="D62" s="15">
        <v>9</v>
      </c>
      <c r="E62" s="15">
        <v>2</v>
      </c>
      <c r="F62" s="15">
        <v>2</v>
      </c>
      <c r="G62" s="15">
        <v>2</v>
      </c>
      <c r="H62" s="15">
        <v>4</v>
      </c>
      <c r="I62" s="15" t="s">
        <v>185</v>
      </c>
      <c r="J62" s="16"/>
      <c r="K62" s="15" t="s">
        <v>0</v>
      </c>
      <c r="L62" s="14">
        <v>118</v>
      </c>
      <c r="M62" s="13"/>
      <c r="N62" s="14">
        <v>116</v>
      </c>
      <c r="O62" s="13"/>
      <c r="P62" s="14">
        <v>120</v>
      </c>
      <c r="Q62" s="14">
        <v>118</v>
      </c>
      <c r="R62" s="14"/>
      <c r="S62" s="14"/>
      <c r="T62" s="13"/>
      <c r="U62" s="14">
        <v>123</v>
      </c>
      <c r="V62" s="13"/>
      <c r="W62" s="14">
        <v>115</v>
      </c>
      <c r="X62" s="13"/>
      <c r="Y62" s="14">
        <v>127</v>
      </c>
      <c r="Z62" s="13"/>
      <c r="AA62" s="4">
        <f t="shared" si="5"/>
        <v>119</v>
      </c>
      <c r="AB62" s="4">
        <f t="shared" si="6"/>
        <v>119.66666666666667</v>
      </c>
      <c r="AC62" s="4">
        <f t="shared" si="7"/>
        <v>1.855921454276674</v>
      </c>
      <c r="AD62" s="3"/>
      <c r="AE62" s="3"/>
      <c r="AF62" s="3"/>
      <c r="AG62" s="3"/>
      <c r="AH62" s="3"/>
      <c r="AT62" s="12"/>
      <c r="AU62" s="12"/>
      <c r="AV62" s="11"/>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row>
    <row r="63" spans="2:87" ht="24" customHeight="1" x14ac:dyDescent="0.2">
      <c r="B63" s="7">
        <f t="shared" si="8"/>
        <v>308</v>
      </c>
      <c r="C63" s="7" t="s">
        <v>156</v>
      </c>
      <c r="D63" s="7">
        <v>5</v>
      </c>
      <c r="E63" s="7">
        <v>1</v>
      </c>
      <c r="F63" s="7">
        <v>3</v>
      </c>
      <c r="G63" s="7">
        <v>2</v>
      </c>
      <c r="H63" s="7">
        <v>4</v>
      </c>
      <c r="I63" s="7" t="s">
        <v>186</v>
      </c>
      <c r="J63" s="9"/>
      <c r="K63" s="7" t="s">
        <v>2</v>
      </c>
      <c r="L63" s="6">
        <v>100</v>
      </c>
      <c r="M63" s="5"/>
      <c r="N63" s="6">
        <v>40</v>
      </c>
      <c r="O63" s="5"/>
      <c r="P63" s="6">
        <v>100</v>
      </c>
      <c r="Q63" s="6">
        <v>100</v>
      </c>
      <c r="R63" s="6"/>
      <c r="S63" s="6"/>
      <c r="T63" s="5"/>
      <c r="U63" s="6">
        <v>100</v>
      </c>
      <c r="V63" s="5"/>
      <c r="W63" s="6">
        <v>100</v>
      </c>
      <c r="X63" s="5"/>
      <c r="Y63" s="6">
        <v>98</v>
      </c>
      <c r="Z63" s="5"/>
      <c r="AA63" s="4">
        <f t="shared" si="5"/>
        <v>100</v>
      </c>
      <c r="AB63" s="4">
        <f t="shared" si="6"/>
        <v>89.666666666666671</v>
      </c>
      <c r="AC63" s="4">
        <f t="shared" si="7"/>
        <v>9.9387010105837206</v>
      </c>
      <c r="AD63" s="3"/>
      <c r="AE63" s="3"/>
      <c r="AF63" s="3"/>
      <c r="AG63" s="3"/>
      <c r="AH63" s="3"/>
    </row>
    <row r="64" spans="2:87" ht="24" customHeight="1" x14ac:dyDescent="0.2">
      <c r="B64" s="7">
        <f t="shared" si="8"/>
        <v>308</v>
      </c>
      <c r="C64" s="7" t="s">
        <v>156</v>
      </c>
      <c r="D64" s="7">
        <v>5</v>
      </c>
      <c r="E64" s="7">
        <v>1</v>
      </c>
      <c r="F64" s="7">
        <v>3</v>
      </c>
      <c r="G64" s="7">
        <v>2</v>
      </c>
      <c r="H64" s="7">
        <v>4</v>
      </c>
      <c r="I64" s="7" t="s">
        <v>186</v>
      </c>
      <c r="J64" s="9"/>
      <c r="K64" s="7" t="s">
        <v>0</v>
      </c>
      <c r="L64" s="6">
        <v>102</v>
      </c>
      <c r="M64" s="6"/>
      <c r="N64" s="6">
        <v>101</v>
      </c>
      <c r="O64" s="6"/>
      <c r="P64" s="6">
        <v>102</v>
      </c>
      <c r="Q64" s="6">
        <v>105</v>
      </c>
      <c r="R64" s="6"/>
      <c r="S64" s="6"/>
      <c r="T64" s="6"/>
      <c r="U64" s="6">
        <v>118</v>
      </c>
      <c r="V64" s="6"/>
      <c r="W64" s="6">
        <v>114</v>
      </c>
      <c r="X64" s="6"/>
      <c r="Y64" s="6">
        <v>113</v>
      </c>
      <c r="Z64" s="6"/>
      <c r="AA64" s="4">
        <f t="shared" si="5"/>
        <v>103.5</v>
      </c>
      <c r="AB64" s="4">
        <f t="shared" si="6"/>
        <v>108.58333333333333</v>
      </c>
      <c r="AC64" s="4">
        <f t="shared" si="7"/>
        <v>2.9676496498819476</v>
      </c>
      <c r="AD64" s="3"/>
      <c r="AE64" s="3"/>
      <c r="AF64" s="3"/>
      <c r="AG64" s="3"/>
      <c r="AH64" s="3"/>
    </row>
    <row r="65" spans="2:87" ht="24" customHeight="1" x14ac:dyDescent="0.2">
      <c r="B65" s="7">
        <f>B63+100</f>
        <v>408</v>
      </c>
      <c r="C65" s="7" t="s">
        <v>149</v>
      </c>
      <c r="D65" s="7">
        <v>10</v>
      </c>
      <c r="E65" s="7">
        <v>2</v>
      </c>
      <c r="F65" s="7">
        <v>2</v>
      </c>
      <c r="G65" s="7">
        <v>1</v>
      </c>
      <c r="H65" s="7">
        <v>4</v>
      </c>
      <c r="I65" s="7" t="s">
        <v>187</v>
      </c>
      <c r="J65" s="7"/>
      <c r="K65" s="7" t="s">
        <v>2</v>
      </c>
      <c r="L65" s="6">
        <v>100</v>
      </c>
      <c r="M65" s="6"/>
      <c r="N65" s="6">
        <v>93</v>
      </c>
      <c r="O65" s="6"/>
      <c r="P65" s="6">
        <v>93</v>
      </c>
      <c r="Q65" s="6">
        <v>100</v>
      </c>
      <c r="R65" s="6"/>
      <c r="S65" s="6"/>
      <c r="T65" s="6"/>
      <c r="U65" s="6">
        <v>90</v>
      </c>
      <c r="V65" s="6"/>
      <c r="W65" s="6">
        <v>91</v>
      </c>
      <c r="X65" s="6"/>
      <c r="Y65" s="6">
        <v>92</v>
      </c>
      <c r="Z65" s="6"/>
      <c r="AA65" s="4">
        <f t="shared" si="5"/>
        <v>96.5</v>
      </c>
      <c r="AB65" s="4">
        <f t="shared" si="6"/>
        <v>93.75</v>
      </c>
      <c r="AC65" s="4">
        <f t="shared" si="7"/>
        <v>1.5478479684172259</v>
      </c>
      <c r="AT65" s="12">
        <v>2</v>
      </c>
      <c r="AU65" s="12" t="s">
        <v>3</v>
      </c>
      <c r="AV65" s="12">
        <v>150</v>
      </c>
    </row>
    <row r="66" spans="2:87" ht="24" customHeight="1" thickBot="1" x14ac:dyDescent="0.25">
      <c r="B66" s="7">
        <f>B64+100</f>
        <v>408</v>
      </c>
      <c r="C66" s="15" t="s">
        <v>149</v>
      </c>
      <c r="D66" s="15">
        <v>10</v>
      </c>
      <c r="E66" s="15">
        <v>2</v>
      </c>
      <c r="F66" s="15">
        <v>2</v>
      </c>
      <c r="G66" s="15">
        <v>1</v>
      </c>
      <c r="H66" s="15">
        <v>4</v>
      </c>
      <c r="I66" s="15" t="s">
        <v>187</v>
      </c>
      <c r="J66" s="16"/>
      <c r="K66" s="15" t="s">
        <v>0</v>
      </c>
      <c r="L66" s="14">
        <v>106</v>
      </c>
      <c r="M66" s="13"/>
      <c r="N66" s="14">
        <v>116</v>
      </c>
      <c r="O66" s="13"/>
      <c r="P66" s="14">
        <v>117</v>
      </c>
      <c r="Q66" s="14">
        <v>115</v>
      </c>
      <c r="R66" s="14"/>
      <c r="S66" s="14"/>
      <c r="T66" s="13"/>
      <c r="U66" s="14">
        <v>110</v>
      </c>
      <c r="V66" s="13"/>
      <c r="W66" s="14">
        <v>108</v>
      </c>
      <c r="X66" s="13"/>
      <c r="Y66" s="14">
        <v>121</v>
      </c>
      <c r="Z66" s="13"/>
      <c r="AA66" s="4">
        <f t="shared" si="5"/>
        <v>116</v>
      </c>
      <c r="AB66" s="4">
        <f t="shared" si="6"/>
        <v>112.83333333333333</v>
      </c>
      <c r="AC66" s="4">
        <f t="shared" si="7"/>
        <v>2.3440231322332221</v>
      </c>
      <c r="AD66" s="3"/>
      <c r="AE66" s="3"/>
      <c r="AF66" s="3"/>
      <c r="AG66" s="3"/>
      <c r="AH66" s="3"/>
      <c r="AT66" s="12"/>
      <c r="AU66" s="12"/>
      <c r="AV66" s="11"/>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row>
    <row r="67" spans="2:87" ht="24" customHeight="1" x14ac:dyDescent="0.2">
      <c r="B67" s="7">
        <f t="shared" ref="B67:B80" si="9">B65-1</f>
        <v>407</v>
      </c>
      <c r="C67" s="7" t="s">
        <v>188</v>
      </c>
      <c r="D67" s="7">
        <v>7</v>
      </c>
      <c r="E67" s="7">
        <v>2</v>
      </c>
      <c r="F67" s="7">
        <v>1</v>
      </c>
      <c r="G67" s="7">
        <v>2</v>
      </c>
      <c r="H67" s="7">
        <v>4</v>
      </c>
      <c r="I67" s="7" t="s">
        <v>189</v>
      </c>
      <c r="J67" s="9"/>
      <c r="K67" s="7" t="s">
        <v>2</v>
      </c>
      <c r="L67" s="6">
        <v>96</v>
      </c>
      <c r="M67" s="6"/>
      <c r="N67" s="6">
        <v>95</v>
      </c>
      <c r="O67" s="6"/>
      <c r="P67" s="6">
        <v>95</v>
      </c>
      <c r="Q67" s="6">
        <v>72</v>
      </c>
      <c r="R67" s="6"/>
      <c r="S67" s="6"/>
      <c r="T67" s="6"/>
      <c r="U67" s="6">
        <v>100</v>
      </c>
      <c r="V67" s="6"/>
      <c r="W67" s="6">
        <v>82</v>
      </c>
      <c r="X67" s="6"/>
      <c r="Y67" s="6">
        <v>100</v>
      </c>
      <c r="Z67" s="6"/>
      <c r="AA67" s="4">
        <f t="shared" si="5"/>
        <v>83.5</v>
      </c>
      <c r="AB67" s="4">
        <f t="shared" si="6"/>
        <v>92.75</v>
      </c>
      <c r="AC67" s="4">
        <f t="shared" si="7"/>
        <v>3.2755406678389249</v>
      </c>
      <c r="AD67" s="3"/>
      <c r="AE67" s="3"/>
      <c r="AF67" s="3"/>
      <c r="AG67" s="3"/>
      <c r="AH67" s="3"/>
    </row>
    <row r="68" spans="2:87" ht="24" customHeight="1" thickBot="1" x14ac:dyDescent="0.25">
      <c r="B68" s="7">
        <f t="shared" si="9"/>
        <v>407</v>
      </c>
      <c r="C68" s="15" t="s">
        <v>188</v>
      </c>
      <c r="D68" s="15">
        <v>7</v>
      </c>
      <c r="E68" s="15">
        <v>2</v>
      </c>
      <c r="F68" s="15">
        <v>1</v>
      </c>
      <c r="G68" s="15">
        <v>2</v>
      </c>
      <c r="H68" s="15">
        <v>4</v>
      </c>
      <c r="I68" s="15" t="s">
        <v>189</v>
      </c>
      <c r="J68" s="16"/>
      <c r="K68" s="15" t="s">
        <v>0</v>
      </c>
      <c r="L68" s="14">
        <v>127</v>
      </c>
      <c r="M68" s="13"/>
      <c r="N68" s="14">
        <v>121</v>
      </c>
      <c r="O68" s="13"/>
      <c r="P68" s="14">
        <v>107</v>
      </c>
      <c r="Q68" s="14">
        <v>90</v>
      </c>
      <c r="R68" s="14"/>
      <c r="S68" s="14"/>
      <c r="T68" s="13"/>
      <c r="U68" s="14">
        <v>103</v>
      </c>
      <c r="V68" s="13"/>
      <c r="W68" s="14">
        <v>108</v>
      </c>
      <c r="X68" s="13"/>
      <c r="Y68" s="14">
        <v>118</v>
      </c>
      <c r="Z68" s="13"/>
      <c r="AA68" s="4">
        <f t="shared" si="5"/>
        <v>98.5</v>
      </c>
      <c r="AB68" s="4">
        <f t="shared" si="6"/>
        <v>112.58333333333333</v>
      </c>
      <c r="AC68" s="4">
        <f t="shared" si="7"/>
        <v>4.5431572477493862</v>
      </c>
      <c r="AD68" s="3"/>
      <c r="AE68" s="3"/>
      <c r="AF68" s="3"/>
      <c r="AG68" s="3"/>
      <c r="AH68" s="3"/>
      <c r="AT68" s="12"/>
      <c r="AU68" s="12"/>
      <c r="AV68" s="11"/>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row>
    <row r="69" spans="2:87" ht="24" customHeight="1" x14ac:dyDescent="0.2">
      <c r="B69" s="7">
        <f t="shared" si="9"/>
        <v>406</v>
      </c>
      <c r="C69" s="7" t="s">
        <v>147</v>
      </c>
      <c r="D69" s="7">
        <v>3</v>
      </c>
      <c r="E69" s="7">
        <v>1</v>
      </c>
      <c r="F69" s="7">
        <v>2</v>
      </c>
      <c r="G69" s="7">
        <v>2</v>
      </c>
      <c r="H69" s="7">
        <v>4</v>
      </c>
      <c r="I69" s="7" t="s">
        <v>190</v>
      </c>
      <c r="J69" s="9"/>
      <c r="K69" s="7" t="s">
        <v>2</v>
      </c>
      <c r="L69" s="6">
        <v>93</v>
      </c>
      <c r="M69" s="6"/>
      <c r="N69" s="6">
        <v>100</v>
      </c>
      <c r="O69" s="6"/>
      <c r="P69" s="6">
        <v>54</v>
      </c>
      <c r="Q69" s="6">
        <v>100</v>
      </c>
      <c r="R69" s="6"/>
      <c r="S69" s="6"/>
      <c r="T69" s="6"/>
      <c r="U69" s="6">
        <v>88</v>
      </c>
      <c r="V69" s="6"/>
      <c r="W69" s="6">
        <v>70</v>
      </c>
      <c r="X69" s="6"/>
      <c r="Y69" s="6">
        <v>93</v>
      </c>
      <c r="Z69" s="6"/>
      <c r="AA69" s="4">
        <f t="shared" si="5"/>
        <v>77</v>
      </c>
      <c r="AB69" s="4">
        <f t="shared" si="6"/>
        <v>86.833333333333329</v>
      </c>
      <c r="AC69" s="4">
        <f t="shared" si="7"/>
        <v>4.5856054973992109</v>
      </c>
      <c r="AD69" s="3"/>
      <c r="AE69" s="3"/>
      <c r="AF69" s="3"/>
      <c r="AG69" s="3"/>
      <c r="AH69" s="3"/>
    </row>
    <row r="70" spans="2:87" ht="24" customHeight="1" thickBot="1" x14ac:dyDescent="0.25">
      <c r="B70" s="7">
        <f t="shared" si="9"/>
        <v>406</v>
      </c>
      <c r="C70" s="15" t="s">
        <v>147</v>
      </c>
      <c r="D70" s="15">
        <v>3</v>
      </c>
      <c r="E70" s="15">
        <v>1</v>
      </c>
      <c r="F70" s="15">
        <v>2</v>
      </c>
      <c r="G70" s="15">
        <v>2</v>
      </c>
      <c r="H70" s="15">
        <v>4</v>
      </c>
      <c r="I70" s="15" t="s">
        <v>190</v>
      </c>
      <c r="J70" s="16"/>
      <c r="K70" s="15" t="s">
        <v>0</v>
      </c>
      <c r="L70" s="14">
        <v>107</v>
      </c>
      <c r="M70" s="13"/>
      <c r="N70" s="14">
        <v>105</v>
      </c>
      <c r="O70" s="13"/>
      <c r="P70" s="14">
        <v>112</v>
      </c>
      <c r="Q70" s="14">
        <v>129</v>
      </c>
      <c r="R70" s="14"/>
      <c r="S70" s="14"/>
      <c r="T70" s="13"/>
      <c r="U70" s="14">
        <v>131</v>
      </c>
      <c r="V70" s="13"/>
      <c r="W70" s="14">
        <v>111</v>
      </c>
      <c r="X70" s="13"/>
      <c r="Y70" s="14">
        <v>122</v>
      </c>
      <c r="Z70" s="13"/>
      <c r="AA70" s="4">
        <f t="shared" si="5"/>
        <v>120.5</v>
      </c>
      <c r="AB70" s="4">
        <f t="shared" si="6"/>
        <v>116.08333333333333</v>
      </c>
      <c r="AC70" s="4">
        <f t="shared" si="7"/>
        <v>4.1158568704193028</v>
      </c>
      <c r="AD70" s="3"/>
      <c r="AE70" s="3"/>
      <c r="AF70" s="3"/>
      <c r="AG70" s="3"/>
      <c r="AH70" s="3"/>
      <c r="AT70" s="12"/>
      <c r="AU70" s="12"/>
      <c r="AV70" s="11"/>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row>
    <row r="71" spans="2:87" ht="24" customHeight="1" x14ac:dyDescent="0.2">
      <c r="B71" s="7">
        <f t="shared" si="9"/>
        <v>405</v>
      </c>
      <c r="C71" s="7" t="s">
        <v>191</v>
      </c>
      <c r="D71" s="7">
        <v>6</v>
      </c>
      <c r="E71" s="7">
        <v>1</v>
      </c>
      <c r="F71" s="7">
        <v>3</v>
      </c>
      <c r="G71" s="7">
        <v>1</v>
      </c>
      <c r="H71" s="7">
        <v>4</v>
      </c>
      <c r="I71" s="7" t="s">
        <v>192</v>
      </c>
      <c r="J71" s="9"/>
      <c r="K71" s="7" t="s">
        <v>2</v>
      </c>
      <c r="L71" s="6">
        <v>100</v>
      </c>
      <c r="M71" s="6"/>
      <c r="N71" s="6">
        <v>92</v>
      </c>
      <c r="O71" s="6"/>
      <c r="P71" s="6">
        <v>92</v>
      </c>
      <c r="Q71" s="6">
        <v>91</v>
      </c>
      <c r="R71" s="6"/>
      <c r="S71" s="6"/>
      <c r="T71" s="6"/>
      <c r="U71" s="6">
        <v>96</v>
      </c>
      <c r="V71" s="6"/>
      <c r="W71" s="6">
        <v>91</v>
      </c>
      <c r="X71" s="6"/>
      <c r="Y71" s="6">
        <v>92</v>
      </c>
      <c r="Z71" s="6"/>
      <c r="AA71" s="4">
        <f t="shared" si="5"/>
        <v>91.5</v>
      </c>
      <c r="AB71" s="4">
        <f t="shared" si="6"/>
        <v>93.75</v>
      </c>
      <c r="AC71" s="4">
        <f t="shared" si="7"/>
        <v>1.4476993242152645</v>
      </c>
      <c r="AD71" s="3"/>
      <c r="AE71" s="3"/>
      <c r="AF71" s="3"/>
      <c r="AG71" s="3"/>
      <c r="AH71" s="3"/>
    </row>
    <row r="72" spans="2:87" ht="24" customHeight="1" thickBot="1" x14ac:dyDescent="0.25">
      <c r="B72" s="7">
        <f t="shared" si="9"/>
        <v>405</v>
      </c>
      <c r="C72" s="15" t="s">
        <v>191</v>
      </c>
      <c r="D72" s="15">
        <v>6</v>
      </c>
      <c r="E72" s="15">
        <v>1</v>
      </c>
      <c r="F72" s="15">
        <v>3</v>
      </c>
      <c r="G72" s="15">
        <v>1</v>
      </c>
      <c r="H72" s="15">
        <v>4</v>
      </c>
      <c r="I72" s="15" t="s">
        <v>192</v>
      </c>
      <c r="J72" s="16"/>
      <c r="K72" s="15" t="s">
        <v>0</v>
      </c>
      <c r="L72" s="14">
        <v>88</v>
      </c>
      <c r="M72" s="13"/>
      <c r="N72" s="14">
        <v>89</v>
      </c>
      <c r="O72" s="13"/>
      <c r="P72" s="14">
        <v>80</v>
      </c>
      <c r="Q72" s="14">
        <v>80</v>
      </c>
      <c r="R72" s="14"/>
      <c r="S72" s="14"/>
      <c r="T72" s="13"/>
      <c r="U72" s="14">
        <v>90</v>
      </c>
      <c r="V72" s="13"/>
      <c r="W72" s="14">
        <v>71</v>
      </c>
      <c r="X72" s="13"/>
      <c r="Y72" s="14">
        <v>74</v>
      </c>
      <c r="Z72" s="13"/>
      <c r="AA72" s="4">
        <f t="shared" si="5"/>
        <v>80</v>
      </c>
      <c r="AB72" s="4">
        <f t="shared" si="6"/>
        <v>82</v>
      </c>
      <c r="AC72" s="4">
        <f t="shared" si="7"/>
        <v>3.356585566713095</v>
      </c>
      <c r="AD72" s="3"/>
      <c r="AE72" s="3"/>
      <c r="AF72" s="3"/>
      <c r="AG72" s="3"/>
      <c r="AH72" s="3"/>
      <c r="AT72" s="12"/>
      <c r="AU72" s="12"/>
      <c r="AV72" s="11"/>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row>
    <row r="73" spans="2:87" ht="24" customHeight="1" thickBot="1" x14ac:dyDescent="0.25">
      <c r="B73" s="7">
        <f t="shared" si="9"/>
        <v>404</v>
      </c>
      <c r="C73" s="7" t="s">
        <v>147</v>
      </c>
      <c r="D73" s="7">
        <v>3</v>
      </c>
      <c r="E73" s="7">
        <v>1</v>
      </c>
      <c r="F73" s="7">
        <v>2</v>
      </c>
      <c r="G73" s="7">
        <v>2</v>
      </c>
      <c r="H73" s="7">
        <v>3</v>
      </c>
      <c r="I73" s="7" t="s">
        <v>193</v>
      </c>
      <c r="J73" s="16"/>
      <c r="K73" s="7" t="s">
        <v>2</v>
      </c>
      <c r="L73" s="6">
        <v>89</v>
      </c>
      <c r="M73" s="6"/>
      <c r="N73" s="6">
        <v>94</v>
      </c>
      <c r="O73" s="6"/>
      <c r="P73" s="6">
        <v>92</v>
      </c>
      <c r="Q73" s="6">
        <v>93</v>
      </c>
      <c r="R73" s="6"/>
      <c r="S73" s="6"/>
      <c r="T73" s="6"/>
      <c r="U73" s="6">
        <v>60</v>
      </c>
      <c r="V73" s="6"/>
      <c r="W73" s="6">
        <v>75</v>
      </c>
      <c r="X73" s="6"/>
      <c r="Y73" s="6">
        <v>88</v>
      </c>
      <c r="Z73" s="6"/>
      <c r="AA73" s="4">
        <f t="shared" ref="AA73:AA80" si="10">AVERAGE(P73:T73)</f>
        <v>92.5</v>
      </c>
      <c r="AB73" s="4">
        <f t="shared" ref="AB73:AB80" si="11">AVERAGE(AVERAGE(L73:M73),AVERAGE(N73:O73),AVERAGE(P73:T73),AVERAGE(U73:V73),AVERAGE(W73:X73),AVERAGE(Y73:Z73))</f>
        <v>83.083333333333329</v>
      </c>
      <c r="AC73" s="4">
        <f t="shared" ref="AC73:AC80" si="12">STDEV(AVERAGE(L73:M73),AVERAGE(N73:O73),AVERAGE(P73:T73),AVERAGE(U73:V73),AVERAGE(W73:X73),AVERAGE(Y73:Z73))/SQRT(6)</f>
        <v>5.3703144952393487</v>
      </c>
      <c r="AD73" s="3"/>
      <c r="AE73" s="3"/>
      <c r="AF73" s="3"/>
      <c r="AG73" s="3"/>
      <c r="AH73" s="3"/>
    </row>
    <row r="74" spans="2:87" ht="24" customHeight="1" thickBot="1" x14ac:dyDescent="0.25">
      <c r="B74" s="7">
        <f t="shared" si="9"/>
        <v>404</v>
      </c>
      <c r="C74" s="15" t="s">
        <v>147</v>
      </c>
      <c r="D74" s="15">
        <v>3</v>
      </c>
      <c r="E74" s="15">
        <v>1</v>
      </c>
      <c r="F74" s="15">
        <v>2</v>
      </c>
      <c r="G74" s="15">
        <v>2</v>
      </c>
      <c r="H74" s="15">
        <v>3</v>
      </c>
      <c r="I74" s="15" t="s">
        <v>193</v>
      </c>
      <c r="J74" s="16"/>
      <c r="K74" s="15" t="s">
        <v>0</v>
      </c>
      <c r="L74" s="14">
        <v>120</v>
      </c>
      <c r="M74" s="13"/>
      <c r="N74" s="14">
        <v>146</v>
      </c>
      <c r="O74" s="13"/>
      <c r="P74" s="14">
        <v>109</v>
      </c>
      <c r="Q74" s="14">
        <v>121</v>
      </c>
      <c r="R74" s="14"/>
      <c r="S74" s="14"/>
      <c r="T74" s="13"/>
      <c r="U74" s="14">
        <v>119</v>
      </c>
      <c r="V74" s="13"/>
      <c r="W74" s="14">
        <v>109</v>
      </c>
      <c r="X74" s="13"/>
      <c r="Y74" s="14">
        <v>110</v>
      </c>
      <c r="Z74" s="13"/>
      <c r="AA74" s="4">
        <f t="shared" si="10"/>
        <v>115</v>
      </c>
      <c r="AB74" s="4">
        <f t="shared" si="11"/>
        <v>119.83333333333333</v>
      </c>
      <c r="AC74" s="4">
        <f t="shared" si="12"/>
        <v>5.546270017868852</v>
      </c>
      <c r="AD74" s="3"/>
      <c r="AE74" s="3"/>
      <c r="AF74" s="3"/>
      <c r="AG74" s="3"/>
      <c r="AH74" s="3"/>
      <c r="AT74" s="12"/>
      <c r="AU74" s="12"/>
      <c r="AV74" s="11"/>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row>
    <row r="75" spans="2:87" ht="24" customHeight="1" x14ac:dyDescent="0.2">
      <c r="B75" s="7">
        <f t="shared" si="9"/>
        <v>403</v>
      </c>
      <c r="C75" s="7" t="s">
        <v>191</v>
      </c>
      <c r="D75" s="7">
        <v>6</v>
      </c>
      <c r="E75" s="7">
        <v>1</v>
      </c>
      <c r="F75" s="7">
        <v>3</v>
      </c>
      <c r="G75" s="7">
        <v>1</v>
      </c>
      <c r="H75" s="7">
        <v>3</v>
      </c>
      <c r="I75" s="7" t="s">
        <v>194</v>
      </c>
      <c r="J75" s="9"/>
      <c r="K75" s="7" t="s">
        <v>2</v>
      </c>
      <c r="L75" s="6">
        <v>99</v>
      </c>
      <c r="M75" s="6"/>
      <c r="N75" s="6">
        <v>94</v>
      </c>
      <c r="O75" s="6"/>
      <c r="P75" s="6">
        <v>91</v>
      </c>
      <c r="Q75" s="6">
        <v>96</v>
      </c>
      <c r="R75" s="6"/>
      <c r="S75" s="6"/>
      <c r="T75" s="6"/>
      <c r="U75" s="6">
        <v>88</v>
      </c>
      <c r="V75" s="6"/>
      <c r="W75" s="6">
        <v>89</v>
      </c>
      <c r="X75" s="6"/>
      <c r="Y75" s="6">
        <v>100</v>
      </c>
      <c r="Z75" s="6"/>
      <c r="AA75" s="4">
        <f t="shared" si="10"/>
        <v>93.5</v>
      </c>
      <c r="AB75" s="4">
        <f t="shared" si="11"/>
        <v>93.916666666666671</v>
      </c>
      <c r="AC75" s="4">
        <f t="shared" si="12"/>
        <v>2.0183188824145484</v>
      </c>
      <c r="AD75" s="3"/>
      <c r="AE75" s="3"/>
      <c r="AF75" s="3"/>
      <c r="AG75" s="3"/>
      <c r="AH75" s="3"/>
    </row>
    <row r="76" spans="2:87" ht="24" customHeight="1" thickBot="1" x14ac:dyDescent="0.25">
      <c r="B76" s="7">
        <f t="shared" si="9"/>
        <v>403</v>
      </c>
      <c r="C76" s="15" t="s">
        <v>191</v>
      </c>
      <c r="D76" s="15">
        <v>6</v>
      </c>
      <c r="E76" s="15">
        <v>1</v>
      </c>
      <c r="F76" s="15">
        <v>3</v>
      </c>
      <c r="G76" s="15">
        <v>1</v>
      </c>
      <c r="H76" s="15">
        <v>3</v>
      </c>
      <c r="I76" s="15" t="s">
        <v>194</v>
      </c>
      <c r="J76" s="16"/>
      <c r="K76" s="15" t="s">
        <v>0</v>
      </c>
      <c r="L76" s="14">
        <v>110</v>
      </c>
      <c r="M76" s="13"/>
      <c r="N76" s="14">
        <v>102</v>
      </c>
      <c r="O76" s="13"/>
      <c r="P76" s="14">
        <v>86</v>
      </c>
      <c r="Q76" s="14">
        <v>87</v>
      </c>
      <c r="R76" s="14"/>
      <c r="S76" s="14"/>
      <c r="T76" s="13"/>
      <c r="U76" s="14">
        <v>91</v>
      </c>
      <c r="V76" s="13"/>
      <c r="W76" s="14">
        <v>116</v>
      </c>
      <c r="X76" s="13"/>
      <c r="Y76" s="14">
        <v>92</v>
      </c>
      <c r="Z76" s="13"/>
      <c r="AA76" s="4">
        <f t="shared" si="10"/>
        <v>86.5</v>
      </c>
      <c r="AB76" s="4">
        <f t="shared" si="11"/>
        <v>99.583333333333329</v>
      </c>
      <c r="AC76" s="4">
        <f t="shared" si="12"/>
        <v>4.7826364184528174</v>
      </c>
      <c r="AD76" s="3"/>
      <c r="AE76" s="3"/>
      <c r="AF76" s="3"/>
      <c r="AG76" s="3"/>
      <c r="AH76" s="3"/>
      <c r="AT76" s="12"/>
      <c r="AU76" s="12"/>
      <c r="AV76" s="11"/>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row>
    <row r="77" spans="2:87" ht="24" customHeight="1" x14ac:dyDescent="0.2">
      <c r="B77" s="7">
        <f t="shared" si="9"/>
        <v>402</v>
      </c>
      <c r="C77" s="7" t="s">
        <v>151</v>
      </c>
      <c r="D77" s="7">
        <v>9</v>
      </c>
      <c r="E77" s="7">
        <v>2</v>
      </c>
      <c r="F77" s="7">
        <v>2</v>
      </c>
      <c r="G77" s="7">
        <v>2</v>
      </c>
      <c r="H77" s="7">
        <v>3</v>
      </c>
      <c r="I77" s="7" t="s">
        <v>195</v>
      </c>
      <c r="J77" s="9"/>
      <c r="K77" s="7" t="s">
        <v>2</v>
      </c>
      <c r="L77" s="6">
        <v>100</v>
      </c>
      <c r="M77" s="5"/>
      <c r="N77" s="6">
        <v>100</v>
      </c>
      <c r="O77" s="5"/>
      <c r="P77" s="6">
        <v>100</v>
      </c>
      <c r="Q77" s="6">
        <v>100</v>
      </c>
      <c r="R77" s="6"/>
      <c r="S77" s="6"/>
      <c r="T77" s="5"/>
      <c r="U77" s="6">
        <v>100</v>
      </c>
      <c r="V77" s="5"/>
      <c r="W77" s="6">
        <v>93</v>
      </c>
      <c r="X77" s="5"/>
      <c r="Y77" s="6">
        <v>100</v>
      </c>
      <c r="Z77" s="5"/>
      <c r="AA77" s="4">
        <f t="shared" si="10"/>
        <v>100</v>
      </c>
      <c r="AB77" s="4">
        <f t="shared" si="11"/>
        <v>98.833333333333329</v>
      </c>
      <c r="AC77" s="4">
        <f t="shared" si="12"/>
        <v>1.166666666666667</v>
      </c>
      <c r="AD77" s="3"/>
      <c r="AE77" s="3"/>
      <c r="AF77" s="3"/>
      <c r="AG77" s="3"/>
      <c r="AH77" s="3"/>
    </row>
    <row r="78" spans="2:87" ht="24" customHeight="1" thickBot="1" x14ac:dyDescent="0.25">
      <c r="B78" s="7">
        <f t="shared" si="9"/>
        <v>402</v>
      </c>
      <c r="C78" s="15" t="s">
        <v>151</v>
      </c>
      <c r="D78" s="15">
        <v>9</v>
      </c>
      <c r="E78" s="15">
        <v>2</v>
      </c>
      <c r="F78" s="15">
        <v>2</v>
      </c>
      <c r="G78" s="15">
        <v>2</v>
      </c>
      <c r="H78" s="15">
        <v>3</v>
      </c>
      <c r="I78" s="15" t="s">
        <v>195</v>
      </c>
      <c r="J78" s="16"/>
      <c r="K78" s="15" t="s">
        <v>0</v>
      </c>
      <c r="L78" s="14">
        <v>116</v>
      </c>
      <c r="M78" s="13"/>
      <c r="N78" s="14">
        <v>127</v>
      </c>
      <c r="O78" s="13"/>
      <c r="P78" s="14">
        <v>113</v>
      </c>
      <c r="Q78" s="14">
        <v>117</v>
      </c>
      <c r="R78" s="14"/>
      <c r="S78" s="14"/>
      <c r="T78" s="13"/>
      <c r="U78" s="14">
        <v>110</v>
      </c>
      <c r="V78" s="13"/>
      <c r="W78" s="14">
        <v>123</v>
      </c>
      <c r="X78" s="13"/>
      <c r="Y78" s="14">
        <v>103</v>
      </c>
      <c r="Z78" s="13"/>
      <c r="AA78" s="4">
        <f t="shared" si="10"/>
        <v>115</v>
      </c>
      <c r="AB78" s="4">
        <f t="shared" si="11"/>
        <v>115.66666666666667</v>
      </c>
      <c r="AC78" s="4">
        <f t="shared" si="12"/>
        <v>3.5371049053019497</v>
      </c>
      <c r="AD78" s="3"/>
      <c r="AE78" s="3"/>
      <c r="AF78" s="3"/>
      <c r="AG78" s="3"/>
      <c r="AH78" s="3"/>
      <c r="AT78" s="12"/>
      <c r="AU78" s="12"/>
      <c r="AV78" s="11"/>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row>
    <row r="79" spans="2:87" ht="24" customHeight="1" x14ac:dyDescent="0.2">
      <c r="B79" s="7">
        <f t="shared" si="9"/>
        <v>401</v>
      </c>
      <c r="C79" s="7" t="s">
        <v>188</v>
      </c>
      <c r="D79" s="7">
        <v>7</v>
      </c>
      <c r="E79" s="7">
        <v>2</v>
      </c>
      <c r="F79" s="7">
        <v>1</v>
      </c>
      <c r="G79" s="7">
        <v>2</v>
      </c>
      <c r="H79" s="7">
        <v>3</v>
      </c>
      <c r="I79" s="7" t="s">
        <v>196</v>
      </c>
      <c r="J79" s="9"/>
      <c r="K79" s="7" t="s">
        <v>2</v>
      </c>
      <c r="L79" s="6">
        <v>100</v>
      </c>
      <c r="M79" s="5"/>
      <c r="N79" s="6">
        <v>93</v>
      </c>
      <c r="O79" s="5"/>
      <c r="P79" s="6">
        <v>98</v>
      </c>
      <c r="Q79" s="6">
        <v>100</v>
      </c>
      <c r="R79" s="6"/>
      <c r="S79" s="6"/>
      <c r="T79" s="5"/>
      <c r="U79" s="6">
        <v>56</v>
      </c>
      <c r="V79" s="5"/>
      <c r="W79" s="6">
        <v>100</v>
      </c>
      <c r="X79" s="5"/>
      <c r="Y79" s="6">
        <v>100</v>
      </c>
      <c r="Z79" s="5"/>
      <c r="AA79" s="4">
        <f t="shared" si="10"/>
        <v>99</v>
      </c>
      <c r="AB79" s="4">
        <f t="shared" si="11"/>
        <v>91.333333333333329</v>
      </c>
      <c r="AC79" s="4">
        <f t="shared" si="12"/>
        <v>7.1538645344860896</v>
      </c>
      <c r="AD79" s="3"/>
      <c r="AE79" s="3"/>
      <c r="AF79" s="3"/>
      <c r="AG79" s="3"/>
      <c r="AH79" s="3"/>
    </row>
    <row r="80" spans="2:87" ht="24" customHeight="1" x14ac:dyDescent="0.2">
      <c r="B80" s="7">
        <f t="shared" si="9"/>
        <v>401</v>
      </c>
      <c r="C80" s="7" t="s">
        <v>188</v>
      </c>
      <c r="D80" s="7">
        <v>7</v>
      </c>
      <c r="E80" s="7">
        <v>2</v>
      </c>
      <c r="F80" s="7">
        <v>1</v>
      </c>
      <c r="G80" s="7">
        <v>2</v>
      </c>
      <c r="H80" s="7">
        <v>3</v>
      </c>
      <c r="I80" s="7" t="s">
        <v>196</v>
      </c>
      <c r="J80" s="7"/>
      <c r="K80" s="7" t="s">
        <v>0</v>
      </c>
      <c r="L80" s="6">
        <v>125</v>
      </c>
      <c r="M80" s="5"/>
      <c r="N80" s="6">
        <v>116</v>
      </c>
      <c r="O80" s="5"/>
      <c r="P80" s="6">
        <v>97</v>
      </c>
      <c r="Q80" s="6">
        <v>97</v>
      </c>
      <c r="R80" s="6"/>
      <c r="S80" s="6"/>
      <c r="T80" s="5"/>
      <c r="U80" s="6">
        <v>112</v>
      </c>
      <c r="V80" s="5"/>
      <c r="W80" s="6">
        <v>129</v>
      </c>
      <c r="X80" s="5"/>
      <c r="Y80" s="6">
        <v>118</v>
      </c>
      <c r="Z80" s="5"/>
      <c r="AA80" s="4">
        <f t="shared" si="10"/>
        <v>97</v>
      </c>
      <c r="AB80" s="4">
        <f t="shared" si="11"/>
        <v>116.16666666666667</v>
      </c>
      <c r="AC80" s="4">
        <f t="shared" si="12"/>
        <v>4.585605497399202</v>
      </c>
      <c r="AD80" s="3"/>
      <c r="AE80" s="3"/>
      <c r="AF80" s="3"/>
      <c r="AG80" s="3"/>
      <c r="AH80" s="3"/>
    </row>
    <row r="81" spans="11:11" x14ac:dyDescent="0.2">
      <c r="K81" s="2"/>
    </row>
    <row r="82" spans="11:11" x14ac:dyDescent="0.2">
      <c r="K82" s="2"/>
    </row>
    <row r="83" spans="11:11" x14ac:dyDescent="0.2">
      <c r="K83" s="2"/>
    </row>
    <row r="84" spans="11:11" x14ac:dyDescent="0.2">
      <c r="K84" s="2"/>
    </row>
    <row r="85" spans="11:11" x14ac:dyDescent="0.2">
      <c r="K85" s="2"/>
    </row>
    <row r="86" spans="11:11" x14ac:dyDescent="0.2">
      <c r="K86" s="2"/>
    </row>
    <row r="87" spans="11:11" x14ac:dyDescent="0.2">
      <c r="K87" s="2"/>
    </row>
  </sheetData>
  <mergeCells count="12">
    <mergeCell ref="P6:T6"/>
    <mergeCell ref="U6:V6"/>
    <mergeCell ref="AT5:AV5"/>
    <mergeCell ref="J7:K7"/>
    <mergeCell ref="B7:H7"/>
    <mergeCell ref="AA6:AA7"/>
    <mergeCell ref="AB6:AB7"/>
    <mergeCell ref="AC6:AC7"/>
    <mergeCell ref="L6:M6"/>
    <mergeCell ref="N6:O6"/>
    <mergeCell ref="W6:X6"/>
    <mergeCell ref="Y6:Z6"/>
  </mergeCells>
  <pageMargins left="0.51" right="0" top="0.85" bottom="0" header="0.64" footer="0"/>
  <pageSetup paperSize="512" scale="30" orientation="landscape" r:id="rId1"/>
  <headerFooter alignWithMargins="0">
    <oddHeader xml:space="preserve">&amp;L&amp;"Comic Sans MS,Bold"&amp;14FISE2003 ---Cotton Plant Cover and Heights in North 1 m of Harvest Area&amp;C&amp;"Comic Sans MS,Bold"&amp;12       </oddHeader>
    <oddFooter>&amp;L&amp;F   USWCL Remote Sensing&amp;R&amp;D</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B1E2D-DB7D-44F0-9B77-B52FF91A1C0C}">
  <sheetPr>
    <pageSetUpPr fitToPage="1"/>
  </sheetPr>
  <dimension ref="A1:CI87"/>
  <sheetViews>
    <sheetView workbookViewId="0">
      <selection activeCell="N2" sqref="N2"/>
    </sheetView>
  </sheetViews>
  <sheetFormatPr defaultRowHeight="12.75" x14ac:dyDescent="0.2"/>
  <cols>
    <col min="1" max="1" width="9.140625" style="1"/>
    <col min="2" max="2" width="4.85546875" style="1" customWidth="1"/>
    <col min="3" max="3" width="5.7109375" style="1" customWidth="1"/>
    <col min="4" max="8" width="5.28515625" style="1" hidden="1" customWidth="1"/>
    <col min="9" max="9" width="7" style="1" hidden="1" customWidth="1"/>
    <col min="10" max="11" width="9" style="1" customWidth="1"/>
    <col min="12" max="13" width="9.140625" style="1"/>
    <col min="14" max="14" width="9.7109375" style="1" customWidth="1"/>
    <col min="15" max="24" width="9.140625" style="1"/>
    <col min="25" max="25" width="10.140625" style="1" bestFit="1" customWidth="1"/>
    <col min="26" max="26" width="10.140625" style="1" customWidth="1"/>
    <col min="27" max="27" width="12.7109375" style="1" customWidth="1"/>
    <col min="28" max="35" width="9.140625" style="1"/>
    <col min="36" max="36" width="7.5703125" style="1" customWidth="1"/>
    <col min="37" max="46" width="7.7109375" style="1" customWidth="1"/>
    <col min="47" max="16384" width="9.140625" style="1"/>
  </cols>
  <sheetData>
    <row r="1" spans="1:87" ht="15" customHeight="1" x14ac:dyDescent="0.25">
      <c r="A1" s="44" t="s">
        <v>82</v>
      </c>
    </row>
    <row r="2" spans="1:87" ht="15" customHeight="1" thickBot="1" x14ac:dyDescent="0.3">
      <c r="A2" s="44"/>
      <c r="N2" s="43"/>
      <c r="X2" s="20" t="s">
        <v>81</v>
      </c>
      <c r="Y2" s="42">
        <v>37908</v>
      </c>
      <c r="Z2" s="39"/>
    </row>
    <row r="3" spans="1:87" ht="15" customHeight="1" thickBot="1" x14ac:dyDescent="0.25">
      <c r="B3" s="1" t="s">
        <v>80</v>
      </c>
      <c r="D3" s="41"/>
      <c r="E3" s="41"/>
      <c r="F3" s="41"/>
      <c r="G3" s="41"/>
      <c r="H3" s="41"/>
      <c r="I3" s="41"/>
      <c r="J3" s="41" t="s">
        <v>145</v>
      </c>
      <c r="K3" s="41"/>
      <c r="L3" s="41"/>
      <c r="M3" s="41"/>
      <c r="N3" s="41"/>
      <c r="O3" s="41"/>
      <c r="P3" s="41"/>
      <c r="Q3" s="41"/>
      <c r="R3" s="41"/>
      <c r="S3" s="41"/>
      <c r="T3" s="41"/>
      <c r="U3" s="41"/>
      <c r="V3" s="41"/>
    </row>
    <row r="4" spans="1:87" ht="13.5" thickBot="1" x14ac:dyDescent="0.25">
      <c r="D4" s="40"/>
      <c r="E4" s="40"/>
      <c r="F4" s="40"/>
      <c r="G4" s="40"/>
      <c r="H4" s="40"/>
      <c r="I4" s="40"/>
      <c r="J4" s="40" t="s">
        <v>144</v>
      </c>
      <c r="K4" s="40"/>
      <c r="L4" s="40"/>
      <c r="M4" s="40"/>
      <c r="N4" s="40"/>
      <c r="O4" s="40"/>
      <c r="P4" s="40"/>
      <c r="Q4" s="40"/>
      <c r="R4" s="40"/>
      <c r="S4" s="40"/>
      <c r="T4" s="40"/>
      <c r="U4" s="40"/>
      <c r="V4" s="40"/>
      <c r="X4" s="20" t="s">
        <v>78</v>
      </c>
      <c r="Y4" s="39" t="s">
        <v>143</v>
      </c>
      <c r="Z4" s="39"/>
    </row>
    <row r="5" spans="1:87" ht="18" x14ac:dyDescent="0.2">
      <c r="AS5" s="38"/>
      <c r="AT5" s="56" t="s">
        <v>76</v>
      </c>
      <c r="AU5" s="56"/>
      <c r="AV5" s="56"/>
    </row>
    <row r="6" spans="1:87" ht="25.5" customHeight="1" x14ac:dyDescent="0.2">
      <c r="B6" s="36" t="s">
        <v>51</v>
      </c>
      <c r="C6" s="37" t="s">
        <v>50</v>
      </c>
      <c r="D6" s="37" t="s">
        <v>75</v>
      </c>
      <c r="E6" s="36" t="s">
        <v>74</v>
      </c>
      <c r="F6" s="37" t="s">
        <v>73</v>
      </c>
      <c r="G6" s="36" t="s">
        <v>72</v>
      </c>
      <c r="H6" s="36" t="s">
        <v>45</v>
      </c>
      <c r="I6" s="36" t="s">
        <v>71</v>
      </c>
      <c r="J6" s="36" t="s">
        <v>43</v>
      </c>
      <c r="K6" s="35" t="s">
        <v>70</v>
      </c>
      <c r="L6" s="65" t="s">
        <v>69</v>
      </c>
      <c r="M6" s="66"/>
      <c r="N6" s="65" t="s">
        <v>68</v>
      </c>
      <c r="O6" s="66"/>
      <c r="P6" s="65" t="s">
        <v>67</v>
      </c>
      <c r="Q6" s="67"/>
      <c r="R6" s="67"/>
      <c r="S6" s="67"/>
      <c r="T6" s="66"/>
      <c r="U6" s="65" t="s">
        <v>66</v>
      </c>
      <c r="V6" s="66"/>
      <c r="W6" s="65" t="s">
        <v>65</v>
      </c>
      <c r="X6" s="66"/>
      <c r="Y6" s="65" t="s">
        <v>64</v>
      </c>
      <c r="Z6" s="66"/>
      <c r="AA6" s="61" t="s">
        <v>63</v>
      </c>
      <c r="AB6" s="61" t="s">
        <v>62</v>
      </c>
      <c r="AC6" s="63" t="s">
        <v>61</v>
      </c>
      <c r="AS6" s="34"/>
      <c r="AT6" s="2" t="s">
        <v>60</v>
      </c>
      <c r="AU6" s="2"/>
    </row>
    <row r="7" spans="1:87" ht="15.75" customHeight="1" x14ac:dyDescent="0.2">
      <c r="B7" s="59"/>
      <c r="C7" s="60"/>
      <c r="D7" s="60"/>
      <c r="E7" s="60"/>
      <c r="F7" s="60"/>
      <c r="G7" s="60"/>
      <c r="H7" s="60"/>
      <c r="I7" s="33"/>
      <c r="J7" s="57" t="s">
        <v>59</v>
      </c>
      <c r="K7" s="58"/>
      <c r="L7" s="32" t="s">
        <v>55</v>
      </c>
      <c r="M7" s="31" t="s">
        <v>54</v>
      </c>
      <c r="N7" s="32" t="s">
        <v>55</v>
      </c>
      <c r="O7" s="31" t="s">
        <v>54</v>
      </c>
      <c r="P7" s="32" t="s">
        <v>58</v>
      </c>
      <c r="Q7" s="31" t="s">
        <v>55</v>
      </c>
      <c r="R7" s="31" t="s">
        <v>57</v>
      </c>
      <c r="S7" s="31" t="s">
        <v>54</v>
      </c>
      <c r="T7" s="31" t="s">
        <v>56</v>
      </c>
      <c r="U7" s="32" t="s">
        <v>55</v>
      </c>
      <c r="V7" s="31" t="s">
        <v>54</v>
      </c>
      <c r="W7" s="32" t="s">
        <v>55</v>
      </c>
      <c r="X7" s="31" t="s">
        <v>54</v>
      </c>
      <c r="Y7" s="32" t="s">
        <v>55</v>
      </c>
      <c r="Z7" s="31" t="s">
        <v>54</v>
      </c>
      <c r="AA7" s="62"/>
      <c r="AB7" s="62"/>
      <c r="AC7" s="64"/>
      <c r="AT7" s="12" t="s">
        <v>7</v>
      </c>
      <c r="AU7" s="12" t="s">
        <v>53</v>
      </c>
      <c r="AV7" s="12" t="s">
        <v>52</v>
      </c>
    </row>
    <row r="8" spans="1:87" ht="15.75" hidden="1" customHeight="1" x14ac:dyDescent="0.2">
      <c r="B8" s="28" t="s">
        <v>51</v>
      </c>
      <c r="C8" s="30" t="s">
        <v>50</v>
      </c>
      <c r="D8" s="30" t="s">
        <v>49</v>
      </c>
      <c r="E8" s="28" t="s">
        <v>48</v>
      </c>
      <c r="F8" s="30" t="s">
        <v>47</v>
      </c>
      <c r="G8" s="28" t="s">
        <v>46</v>
      </c>
      <c r="H8" s="28" t="s">
        <v>45</v>
      </c>
      <c r="I8" s="28" t="s">
        <v>44</v>
      </c>
      <c r="J8" s="27" t="s">
        <v>43</v>
      </c>
      <c r="K8" s="27" t="s">
        <v>42</v>
      </c>
      <c r="L8" s="29" t="s">
        <v>41</v>
      </c>
      <c r="M8" s="29" t="s">
        <v>40</v>
      </c>
      <c r="N8" s="29" t="s">
        <v>39</v>
      </c>
      <c r="O8" s="29" t="s">
        <v>38</v>
      </c>
      <c r="P8" s="29" t="s">
        <v>37</v>
      </c>
      <c r="Q8" s="29" t="s">
        <v>36</v>
      </c>
      <c r="R8" s="29" t="s">
        <v>35</v>
      </c>
      <c r="S8" s="29" t="s">
        <v>34</v>
      </c>
      <c r="T8" s="29" t="s">
        <v>33</v>
      </c>
      <c r="U8" s="29" t="s">
        <v>32</v>
      </c>
      <c r="V8" s="29" t="s">
        <v>31</v>
      </c>
      <c r="W8" s="29" t="s">
        <v>30</v>
      </c>
      <c r="X8" s="29" t="s">
        <v>29</v>
      </c>
      <c r="Y8" s="29" t="s">
        <v>28</v>
      </c>
      <c r="Z8" s="29" t="s">
        <v>27</v>
      </c>
      <c r="AA8" s="28" t="s">
        <v>26</v>
      </c>
      <c r="AB8" s="28" t="s">
        <v>25</v>
      </c>
      <c r="AC8" s="27" t="s">
        <v>24</v>
      </c>
      <c r="AT8" s="12"/>
      <c r="AU8" s="12"/>
      <c r="AV8" s="12"/>
    </row>
    <row r="9" spans="1:87" ht="24" customHeight="1" x14ac:dyDescent="0.2">
      <c r="B9" s="7">
        <v>108</v>
      </c>
      <c r="C9" s="7" t="s">
        <v>147</v>
      </c>
      <c r="D9" s="7">
        <v>3</v>
      </c>
      <c r="E9" s="7">
        <v>1</v>
      </c>
      <c r="F9" s="7">
        <v>2</v>
      </c>
      <c r="G9" s="7">
        <v>2</v>
      </c>
      <c r="H9" s="7">
        <v>2</v>
      </c>
      <c r="I9" s="7" t="s">
        <v>148</v>
      </c>
      <c r="J9" s="7"/>
      <c r="K9" s="7" t="s">
        <v>2</v>
      </c>
      <c r="L9" s="6">
        <v>69</v>
      </c>
      <c r="M9" s="5"/>
      <c r="N9" s="6">
        <v>70</v>
      </c>
      <c r="O9" s="5"/>
      <c r="P9" s="6">
        <v>79</v>
      </c>
      <c r="Q9" s="6">
        <v>62</v>
      </c>
      <c r="R9" s="6"/>
      <c r="S9" s="6"/>
      <c r="T9" s="5"/>
      <c r="U9" s="6">
        <v>85</v>
      </c>
      <c r="V9" s="5"/>
      <c r="W9" s="6">
        <v>84</v>
      </c>
      <c r="X9" s="5"/>
      <c r="Y9" s="6">
        <v>80</v>
      </c>
      <c r="Z9" s="5"/>
      <c r="AA9" s="4">
        <f t="shared" ref="AA9:AA40" si="0">AVERAGE(P9:T9)</f>
        <v>70.5</v>
      </c>
      <c r="AB9" s="4">
        <f t="shared" ref="AB9:AB40" si="1">AVERAGE(AVERAGE(L9:M9),AVERAGE(N9:O9),AVERAGE(P9:T9),AVERAGE(U9:V9),AVERAGE(W9:X9),AVERAGE(Y9:Z9))</f>
        <v>76.416666666666671</v>
      </c>
      <c r="AC9" s="4">
        <f t="shared" ref="AC9:AC40" si="2">STDEV(AVERAGE(L9:M9),AVERAGE(N9:O9),AVERAGE(P9:T9),AVERAGE(U9:V9),AVERAGE(W9:X9),AVERAGE(Y9:Z9))/SQRT(6)</f>
        <v>3.028796974231041</v>
      </c>
      <c r="AD9" s="3"/>
      <c r="AE9" s="3"/>
      <c r="AF9" s="3"/>
      <c r="AG9" s="3"/>
      <c r="AH9" s="3"/>
      <c r="AT9" s="12">
        <v>1</v>
      </c>
      <c r="AU9" s="12" t="s">
        <v>23</v>
      </c>
      <c r="AV9" s="11"/>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row>
    <row r="10" spans="1:87" ht="24" customHeight="1" thickBot="1" x14ac:dyDescent="0.25">
      <c r="B10" s="15">
        <v>108</v>
      </c>
      <c r="C10" s="15" t="s">
        <v>147</v>
      </c>
      <c r="D10" s="15">
        <v>3</v>
      </c>
      <c r="E10" s="15">
        <v>1</v>
      </c>
      <c r="F10" s="15">
        <v>2</v>
      </c>
      <c r="G10" s="15">
        <v>2</v>
      </c>
      <c r="H10" s="15">
        <v>2</v>
      </c>
      <c r="I10" s="15" t="s">
        <v>148</v>
      </c>
      <c r="J10" s="16"/>
      <c r="K10" s="15" t="s">
        <v>0</v>
      </c>
      <c r="L10" s="14">
        <v>117</v>
      </c>
      <c r="M10" s="13"/>
      <c r="N10" s="14">
        <v>112</v>
      </c>
      <c r="O10" s="13"/>
      <c r="P10" s="14">
        <v>104</v>
      </c>
      <c r="Q10" s="14">
        <v>112</v>
      </c>
      <c r="R10" s="14"/>
      <c r="S10" s="14"/>
      <c r="T10" s="13"/>
      <c r="U10" s="14">
        <v>119</v>
      </c>
      <c r="V10" s="13"/>
      <c r="W10" s="14">
        <v>114</v>
      </c>
      <c r="X10" s="13"/>
      <c r="Y10" s="14">
        <v>113</v>
      </c>
      <c r="Z10" s="13"/>
      <c r="AA10" s="4">
        <f t="shared" si="0"/>
        <v>108</v>
      </c>
      <c r="AB10" s="4">
        <f t="shared" si="1"/>
        <v>113.83333333333333</v>
      </c>
      <c r="AC10" s="4">
        <f t="shared" si="2"/>
        <v>1.5793810320642847</v>
      </c>
      <c r="AD10" s="3"/>
      <c r="AE10" s="3"/>
      <c r="AF10" s="3"/>
      <c r="AG10" s="3"/>
      <c r="AH10" s="3"/>
      <c r="AT10" s="12">
        <v>2</v>
      </c>
      <c r="AU10" s="12" t="s">
        <v>22</v>
      </c>
      <c r="AV10" s="11"/>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row>
    <row r="11" spans="1:87" ht="24" customHeight="1" x14ac:dyDescent="0.2">
      <c r="B11" s="25">
        <f t="shared" ref="B11:B24" si="3">B9-1</f>
        <v>107</v>
      </c>
      <c r="C11" s="25" t="s">
        <v>149</v>
      </c>
      <c r="D11" s="25">
        <v>10</v>
      </c>
      <c r="E11" s="25">
        <v>2</v>
      </c>
      <c r="F11" s="25">
        <v>2</v>
      </c>
      <c r="G11" s="25">
        <v>1</v>
      </c>
      <c r="H11" s="25">
        <v>2</v>
      </c>
      <c r="I11" s="25" t="s">
        <v>150</v>
      </c>
      <c r="J11" s="26"/>
      <c r="K11" s="25" t="s">
        <v>2</v>
      </c>
      <c r="L11" s="24">
        <v>71</v>
      </c>
      <c r="M11" s="23"/>
      <c r="N11" s="24">
        <v>75</v>
      </c>
      <c r="O11" s="23"/>
      <c r="P11" s="24">
        <v>50</v>
      </c>
      <c r="Q11" s="24">
        <v>61</v>
      </c>
      <c r="R11" s="24"/>
      <c r="S11" s="24"/>
      <c r="T11" s="23"/>
      <c r="U11" s="24">
        <v>72</v>
      </c>
      <c r="V11" s="23"/>
      <c r="W11" s="24">
        <v>85</v>
      </c>
      <c r="X11" s="23"/>
      <c r="Y11" s="24">
        <v>68</v>
      </c>
      <c r="Z11" s="23"/>
      <c r="AA11" s="4">
        <f t="shared" si="0"/>
        <v>55.5</v>
      </c>
      <c r="AB11" s="4">
        <f t="shared" si="1"/>
        <v>71.083333333333329</v>
      </c>
      <c r="AC11" s="4">
        <f t="shared" si="2"/>
        <v>3.9251680784960543</v>
      </c>
      <c r="AD11" s="3"/>
      <c r="AE11" s="22"/>
      <c r="AF11" s="3"/>
      <c r="AG11" s="21"/>
      <c r="AH11" s="3"/>
      <c r="AT11" s="12">
        <v>3</v>
      </c>
      <c r="AU11" s="12" t="s">
        <v>21</v>
      </c>
      <c r="AV11" s="12" t="s">
        <v>19</v>
      </c>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row>
    <row r="12" spans="1:87" ht="24" customHeight="1" thickBot="1" x14ac:dyDescent="0.25">
      <c r="B12" s="15">
        <f t="shared" si="3"/>
        <v>107</v>
      </c>
      <c r="C12" s="15" t="s">
        <v>149</v>
      </c>
      <c r="D12" s="15">
        <v>10</v>
      </c>
      <c r="E12" s="15">
        <v>2</v>
      </c>
      <c r="F12" s="15">
        <v>2</v>
      </c>
      <c r="G12" s="15">
        <v>1</v>
      </c>
      <c r="H12" s="15">
        <v>2</v>
      </c>
      <c r="I12" s="15" t="s">
        <v>150</v>
      </c>
      <c r="J12" s="16"/>
      <c r="K12" s="15" t="s">
        <v>0</v>
      </c>
      <c r="L12" s="14">
        <v>115</v>
      </c>
      <c r="M12" s="13"/>
      <c r="N12" s="14">
        <v>113</v>
      </c>
      <c r="O12" s="13"/>
      <c r="P12" s="14">
        <v>96</v>
      </c>
      <c r="Q12" s="14">
        <v>102</v>
      </c>
      <c r="R12" s="14"/>
      <c r="S12" s="14"/>
      <c r="T12" s="13"/>
      <c r="U12" s="14">
        <v>103</v>
      </c>
      <c r="V12" s="13"/>
      <c r="W12" s="14">
        <v>112</v>
      </c>
      <c r="X12" s="13"/>
      <c r="Y12" s="14">
        <v>118</v>
      </c>
      <c r="Z12" s="13"/>
      <c r="AA12" s="4">
        <f t="shared" si="0"/>
        <v>99</v>
      </c>
      <c r="AB12" s="4">
        <f t="shared" si="1"/>
        <v>110</v>
      </c>
      <c r="AC12" s="4">
        <f t="shared" si="2"/>
        <v>3.0110906108363245</v>
      </c>
      <c r="AD12" s="3"/>
      <c r="AE12" s="3"/>
      <c r="AF12" s="3"/>
      <c r="AG12" s="3"/>
      <c r="AH12" s="3"/>
      <c r="AT12" s="12">
        <v>4</v>
      </c>
      <c r="AU12" s="12" t="s">
        <v>20</v>
      </c>
      <c r="AV12" s="11" t="s">
        <v>19</v>
      </c>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row>
    <row r="13" spans="1:87" ht="24" customHeight="1" x14ac:dyDescent="0.2">
      <c r="B13" s="7">
        <f t="shared" si="3"/>
        <v>106</v>
      </c>
      <c r="C13" s="7" t="s">
        <v>151</v>
      </c>
      <c r="D13" s="7">
        <v>9</v>
      </c>
      <c r="E13" s="7">
        <v>2</v>
      </c>
      <c r="F13" s="7">
        <v>2</v>
      </c>
      <c r="G13" s="7">
        <v>2</v>
      </c>
      <c r="H13" s="7">
        <v>2</v>
      </c>
      <c r="I13" s="7" t="s">
        <v>152</v>
      </c>
      <c r="J13" s="9"/>
      <c r="K13" s="7" t="s">
        <v>2</v>
      </c>
      <c r="L13" s="6">
        <v>86</v>
      </c>
      <c r="M13" s="5"/>
      <c r="N13" s="6">
        <v>86</v>
      </c>
      <c r="O13" s="5"/>
      <c r="P13" s="6">
        <v>96</v>
      </c>
      <c r="Q13" s="6">
        <v>98</v>
      </c>
      <c r="R13" s="6"/>
      <c r="S13" s="6"/>
      <c r="T13" s="5"/>
      <c r="U13" s="6">
        <v>97</v>
      </c>
      <c r="V13" s="5"/>
      <c r="W13" s="6">
        <v>95</v>
      </c>
      <c r="X13" s="5"/>
      <c r="Y13" s="6">
        <v>100</v>
      </c>
      <c r="Z13" s="5"/>
      <c r="AA13" s="4">
        <f t="shared" si="0"/>
        <v>97</v>
      </c>
      <c r="AB13" s="4">
        <f t="shared" si="1"/>
        <v>93.5</v>
      </c>
      <c r="AC13" s="4">
        <f t="shared" si="2"/>
        <v>2.459674775249769</v>
      </c>
      <c r="AD13" s="3"/>
      <c r="AE13" s="3"/>
      <c r="AF13" s="3"/>
      <c r="AG13" s="3"/>
      <c r="AH13" s="3"/>
      <c r="AT13" s="12">
        <v>8</v>
      </c>
      <c r="AU13" s="12" t="s">
        <v>18</v>
      </c>
      <c r="AV13" s="12" t="s">
        <v>17</v>
      </c>
    </row>
    <row r="14" spans="1:87" ht="24" customHeight="1" thickBot="1" x14ac:dyDescent="0.25">
      <c r="B14" s="15">
        <f t="shared" si="3"/>
        <v>106</v>
      </c>
      <c r="C14" s="15" t="s">
        <v>151</v>
      </c>
      <c r="D14" s="15">
        <v>9</v>
      </c>
      <c r="E14" s="15">
        <v>2</v>
      </c>
      <c r="F14" s="15">
        <v>2</v>
      </c>
      <c r="G14" s="15">
        <v>2</v>
      </c>
      <c r="H14" s="15">
        <v>2</v>
      </c>
      <c r="I14" s="15" t="s">
        <v>152</v>
      </c>
      <c r="J14" s="16"/>
      <c r="K14" s="15" t="s">
        <v>0</v>
      </c>
      <c r="L14" s="14">
        <v>128</v>
      </c>
      <c r="M14" s="13"/>
      <c r="N14" s="14">
        <v>133</v>
      </c>
      <c r="O14" s="13"/>
      <c r="P14" s="14">
        <v>116</v>
      </c>
      <c r="Q14" s="14">
        <v>114</v>
      </c>
      <c r="R14" s="14"/>
      <c r="S14" s="14"/>
      <c r="T14" s="13"/>
      <c r="U14" s="14">
        <v>115</v>
      </c>
      <c r="V14" s="13"/>
      <c r="W14" s="14">
        <v>115</v>
      </c>
      <c r="X14" s="13"/>
      <c r="Y14" s="14">
        <v>128</v>
      </c>
      <c r="Z14" s="13"/>
      <c r="AA14" s="4">
        <f t="shared" si="0"/>
        <v>115</v>
      </c>
      <c r="AB14" s="4">
        <f t="shared" si="1"/>
        <v>122.33333333333333</v>
      </c>
      <c r="AC14" s="4">
        <f t="shared" si="2"/>
        <v>3.3631995348345169</v>
      </c>
      <c r="AD14" s="3"/>
      <c r="AE14" s="3"/>
      <c r="AF14" s="3"/>
      <c r="AG14" s="3"/>
      <c r="AH14" s="3"/>
      <c r="AT14" s="12">
        <v>9</v>
      </c>
      <c r="AU14" s="12" t="s">
        <v>16</v>
      </c>
      <c r="AV14" s="11" t="s">
        <v>15</v>
      </c>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row>
    <row r="15" spans="1:87" ht="24" customHeight="1" x14ac:dyDescent="0.2">
      <c r="B15" s="7">
        <f t="shared" si="3"/>
        <v>105</v>
      </c>
      <c r="C15" s="7" t="s">
        <v>153</v>
      </c>
      <c r="D15" s="7">
        <v>12</v>
      </c>
      <c r="E15" s="7">
        <v>2</v>
      </c>
      <c r="F15" s="7">
        <v>3</v>
      </c>
      <c r="G15" s="7">
        <v>1</v>
      </c>
      <c r="H15" s="7">
        <v>2</v>
      </c>
      <c r="I15" s="7" t="s">
        <v>154</v>
      </c>
      <c r="J15" s="9"/>
      <c r="K15" s="7" t="s">
        <v>2</v>
      </c>
      <c r="L15" s="6">
        <v>96</v>
      </c>
      <c r="M15" s="5"/>
      <c r="N15" s="6">
        <v>90</v>
      </c>
      <c r="O15" s="5"/>
      <c r="P15" s="6">
        <v>96</v>
      </c>
      <c r="Q15" s="6">
        <v>96</v>
      </c>
      <c r="R15" s="6"/>
      <c r="S15" s="6"/>
      <c r="T15" s="5"/>
      <c r="U15" s="6">
        <v>87</v>
      </c>
      <c r="V15" s="5"/>
      <c r="W15" s="6">
        <v>85</v>
      </c>
      <c r="X15" s="5"/>
      <c r="Y15" s="6">
        <v>72</v>
      </c>
      <c r="Z15" s="5"/>
      <c r="AA15" s="4">
        <f t="shared" si="0"/>
        <v>96</v>
      </c>
      <c r="AB15" s="4">
        <f t="shared" si="1"/>
        <v>87.666666666666671</v>
      </c>
      <c r="AC15" s="4">
        <f t="shared" si="2"/>
        <v>3.6392917503883155</v>
      </c>
      <c r="AD15" s="3"/>
      <c r="AE15" s="3"/>
      <c r="AF15" s="3"/>
      <c r="AG15" s="3"/>
      <c r="AH15" s="3"/>
    </row>
    <row r="16" spans="1:87" ht="24" customHeight="1" thickBot="1" x14ac:dyDescent="0.25">
      <c r="B16" s="15">
        <f t="shared" si="3"/>
        <v>105</v>
      </c>
      <c r="C16" s="15" t="s">
        <v>153</v>
      </c>
      <c r="D16" s="15">
        <v>12</v>
      </c>
      <c r="E16" s="15">
        <v>2</v>
      </c>
      <c r="F16" s="15">
        <v>3</v>
      </c>
      <c r="G16" s="15">
        <v>1</v>
      </c>
      <c r="H16" s="15">
        <v>2</v>
      </c>
      <c r="I16" s="15" t="s">
        <v>154</v>
      </c>
      <c r="J16" s="16"/>
      <c r="K16" s="15" t="s">
        <v>0</v>
      </c>
      <c r="L16" s="14">
        <v>91</v>
      </c>
      <c r="M16" s="13"/>
      <c r="N16" s="14">
        <v>121</v>
      </c>
      <c r="O16" s="13"/>
      <c r="P16" s="14">
        <v>93</v>
      </c>
      <c r="Q16" s="14">
        <v>104</v>
      </c>
      <c r="R16" s="14"/>
      <c r="S16" s="14"/>
      <c r="T16" s="13"/>
      <c r="U16" s="14">
        <v>107</v>
      </c>
      <c r="V16" s="13"/>
      <c r="W16" s="14">
        <v>83</v>
      </c>
      <c r="X16" s="13"/>
      <c r="Y16" s="14">
        <v>81</v>
      </c>
      <c r="Z16" s="13"/>
      <c r="AA16" s="4">
        <f t="shared" si="0"/>
        <v>98.5</v>
      </c>
      <c r="AB16" s="4">
        <f t="shared" si="1"/>
        <v>96.916666666666671</v>
      </c>
      <c r="AC16" s="4">
        <f t="shared" si="2"/>
        <v>6.2348705769335107</v>
      </c>
      <c r="AD16" s="3"/>
      <c r="AE16" s="3"/>
      <c r="AF16" s="3"/>
      <c r="AG16" s="3"/>
      <c r="AH16" s="3"/>
      <c r="AT16" s="12" t="s">
        <v>14</v>
      </c>
      <c r="AU16" s="12"/>
      <c r="AV16" s="11"/>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row>
    <row r="17" spans="2:87" ht="24" customHeight="1" x14ac:dyDescent="0.2">
      <c r="B17" s="7">
        <f t="shared" si="3"/>
        <v>104</v>
      </c>
      <c r="C17" s="7" t="s">
        <v>149</v>
      </c>
      <c r="D17" s="7">
        <v>10</v>
      </c>
      <c r="E17" s="7">
        <v>2</v>
      </c>
      <c r="F17" s="7">
        <v>2</v>
      </c>
      <c r="G17" s="7">
        <v>1</v>
      </c>
      <c r="H17" s="7">
        <v>1</v>
      </c>
      <c r="I17" s="7" t="s">
        <v>155</v>
      </c>
      <c r="J17" s="9"/>
      <c r="K17" s="7" t="s">
        <v>2</v>
      </c>
      <c r="L17" s="18">
        <v>85</v>
      </c>
      <c r="M17" s="5"/>
      <c r="N17" s="18">
        <v>77</v>
      </c>
      <c r="O17" s="5"/>
      <c r="P17" s="18">
        <v>81</v>
      </c>
      <c r="Q17" s="18">
        <v>72</v>
      </c>
      <c r="R17" s="18"/>
      <c r="S17" s="18"/>
      <c r="T17" s="5"/>
      <c r="U17" s="18">
        <v>76</v>
      </c>
      <c r="V17" s="5"/>
      <c r="W17" s="18">
        <v>78</v>
      </c>
      <c r="X17" s="5"/>
      <c r="Y17" s="18">
        <v>76</v>
      </c>
      <c r="Z17" s="5"/>
      <c r="AA17" s="4">
        <f t="shared" si="0"/>
        <v>76.5</v>
      </c>
      <c r="AB17" s="4">
        <f t="shared" si="1"/>
        <v>78.083333333333329</v>
      </c>
      <c r="AC17" s="4">
        <f t="shared" si="2"/>
        <v>1.4166666666666667</v>
      </c>
      <c r="AD17" s="3"/>
      <c r="AE17" s="3"/>
      <c r="AF17" s="3"/>
      <c r="AG17" s="3"/>
      <c r="AH17" s="3"/>
      <c r="AT17" s="12" t="s">
        <v>7</v>
      </c>
      <c r="AU17" s="12" t="s">
        <v>13</v>
      </c>
      <c r="AV17" s="12" t="s">
        <v>12</v>
      </c>
    </row>
    <row r="18" spans="2:87" ht="24" customHeight="1" thickBot="1" x14ac:dyDescent="0.25">
      <c r="B18" s="15">
        <f t="shared" si="3"/>
        <v>104</v>
      </c>
      <c r="C18" s="15" t="s">
        <v>149</v>
      </c>
      <c r="D18" s="15">
        <v>10</v>
      </c>
      <c r="E18" s="15">
        <v>2</v>
      </c>
      <c r="F18" s="15">
        <v>2</v>
      </c>
      <c r="G18" s="15">
        <v>1</v>
      </c>
      <c r="H18" s="15">
        <v>1</v>
      </c>
      <c r="I18" s="15" t="s">
        <v>155</v>
      </c>
      <c r="J18" s="16"/>
      <c r="K18" s="15" t="s">
        <v>0</v>
      </c>
      <c r="L18" s="14">
        <v>94</v>
      </c>
      <c r="M18" s="13"/>
      <c r="N18" s="14">
        <v>96</v>
      </c>
      <c r="O18" s="13"/>
      <c r="P18" s="14">
        <v>108</v>
      </c>
      <c r="Q18" s="14">
        <v>98</v>
      </c>
      <c r="R18" s="14"/>
      <c r="S18" s="14"/>
      <c r="T18" s="13"/>
      <c r="U18" s="14">
        <v>102</v>
      </c>
      <c r="V18" s="13"/>
      <c r="W18" s="14">
        <v>131</v>
      </c>
      <c r="X18" s="13"/>
      <c r="Y18" s="14">
        <v>98</v>
      </c>
      <c r="Z18" s="13"/>
      <c r="AA18" s="4">
        <f t="shared" si="0"/>
        <v>103</v>
      </c>
      <c r="AB18" s="4">
        <f t="shared" si="1"/>
        <v>104</v>
      </c>
      <c r="AC18" s="4">
        <f t="shared" si="2"/>
        <v>5.5797252023135817</v>
      </c>
      <c r="AD18" s="3"/>
      <c r="AE18" s="3"/>
      <c r="AF18" s="3"/>
      <c r="AG18" s="3"/>
      <c r="AH18" s="3"/>
      <c r="AT18" s="12">
        <v>0</v>
      </c>
      <c r="AU18" s="12">
        <v>0</v>
      </c>
      <c r="AV18" s="11" t="s">
        <v>11</v>
      </c>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row>
    <row r="19" spans="2:87" ht="24" customHeight="1" x14ac:dyDescent="0.2">
      <c r="B19" s="7">
        <f t="shared" si="3"/>
        <v>103</v>
      </c>
      <c r="C19" s="7" t="s">
        <v>156</v>
      </c>
      <c r="D19" s="7">
        <v>5</v>
      </c>
      <c r="E19" s="7">
        <v>1</v>
      </c>
      <c r="F19" s="7">
        <v>3</v>
      </c>
      <c r="G19" s="7">
        <v>2</v>
      </c>
      <c r="H19" s="7">
        <v>1</v>
      </c>
      <c r="I19" s="7" t="s">
        <v>157</v>
      </c>
      <c r="J19" s="9"/>
      <c r="K19" s="7" t="s">
        <v>2</v>
      </c>
      <c r="L19" s="18">
        <v>92</v>
      </c>
      <c r="M19" s="5"/>
      <c r="N19" s="18">
        <v>83</v>
      </c>
      <c r="O19" s="5"/>
      <c r="P19" s="18">
        <v>93</v>
      </c>
      <c r="Q19" s="18">
        <v>92</v>
      </c>
      <c r="R19" s="18"/>
      <c r="S19" s="18"/>
      <c r="T19" s="5"/>
      <c r="U19" s="18">
        <v>80</v>
      </c>
      <c r="V19" s="5"/>
      <c r="W19" s="18">
        <v>89</v>
      </c>
      <c r="X19" s="5"/>
      <c r="Y19" s="18">
        <v>95</v>
      </c>
      <c r="Z19" s="5"/>
      <c r="AA19" s="4">
        <f t="shared" si="0"/>
        <v>92.5</v>
      </c>
      <c r="AB19" s="4">
        <f t="shared" si="1"/>
        <v>88.583333333333329</v>
      </c>
      <c r="AC19" s="4">
        <f t="shared" si="2"/>
        <v>2.4028339749369101</v>
      </c>
      <c r="AD19" s="3"/>
      <c r="AE19" s="3"/>
      <c r="AF19" s="3"/>
      <c r="AG19" s="3"/>
      <c r="AH19" s="3"/>
      <c r="AT19" s="12">
        <v>1</v>
      </c>
      <c r="AU19" s="12">
        <v>5</v>
      </c>
      <c r="AV19" s="12" t="s">
        <v>10</v>
      </c>
    </row>
    <row r="20" spans="2:87" ht="24" customHeight="1" thickBot="1" x14ac:dyDescent="0.25">
      <c r="B20" s="15">
        <f t="shared" si="3"/>
        <v>103</v>
      </c>
      <c r="C20" s="15" t="s">
        <v>156</v>
      </c>
      <c r="D20" s="15">
        <v>5</v>
      </c>
      <c r="E20" s="15">
        <v>1</v>
      </c>
      <c r="F20" s="15">
        <v>3</v>
      </c>
      <c r="G20" s="15">
        <v>2</v>
      </c>
      <c r="H20" s="15">
        <v>1</v>
      </c>
      <c r="I20" s="15" t="s">
        <v>157</v>
      </c>
      <c r="J20" s="16"/>
      <c r="K20" s="15" t="s">
        <v>0</v>
      </c>
      <c r="L20" s="14">
        <v>124</v>
      </c>
      <c r="M20" s="13"/>
      <c r="N20" s="14">
        <v>121</v>
      </c>
      <c r="O20" s="13"/>
      <c r="P20" s="14">
        <v>104</v>
      </c>
      <c r="Q20" s="14">
        <v>111</v>
      </c>
      <c r="R20" s="14"/>
      <c r="S20" s="14"/>
      <c r="T20" s="13"/>
      <c r="U20" s="14">
        <v>113</v>
      </c>
      <c r="V20" s="13"/>
      <c r="W20" s="14">
        <v>92</v>
      </c>
      <c r="X20" s="13"/>
      <c r="Y20" s="14">
        <v>94</v>
      </c>
      <c r="Z20" s="13"/>
      <c r="AA20" s="4">
        <f t="shared" si="0"/>
        <v>107.5</v>
      </c>
      <c r="AB20" s="4">
        <f t="shared" si="1"/>
        <v>108.58333333333333</v>
      </c>
      <c r="AC20" s="4">
        <f t="shared" si="2"/>
        <v>5.4778594765149169</v>
      </c>
      <c r="AD20" s="3"/>
      <c r="AE20" s="3"/>
      <c r="AF20" s="3"/>
      <c r="AG20" s="3"/>
      <c r="AH20" s="3"/>
      <c r="AT20" s="12">
        <v>2</v>
      </c>
      <c r="AU20" s="12">
        <v>10</v>
      </c>
      <c r="AV20" s="11" t="s">
        <v>10</v>
      </c>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row>
    <row r="21" spans="2:87" ht="24" customHeight="1" x14ac:dyDescent="0.2">
      <c r="B21" s="7">
        <f t="shared" si="3"/>
        <v>102</v>
      </c>
      <c r="C21" s="7" t="s">
        <v>158</v>
      </c>
      <c r="D21" s="7">
        <v>4</v>
      </c>
      <c r="E21" s="7">
        <v>1</v>
      </c>
      <c r="F21" s="7">
        <v>2</v>
      </c>
      <c r="G21" s="7">
        <v>1</v>
      </c>
      <c r="H21" s="7">
        <v>1</v>
      </c>
      <c r="I21" s="7" t="s">
        <v>159</v>
      </c>
      <c r="J21" s="9"/>
      <c r="K21" s="7" t="s">
        <v>2</v>
      </c>
      <c r="L21" s="6">
        <v>86</v>
      </c>
      <c r="M21" s="5"/>
      <c r="N21" s="6">
        <v>88</v>
      </c>
      <c r="O21" s="5"/>
      <c r="P21" s="6">
        <v>71</v>
      </c>
      <c r="Q21" s="6">
        <v>81</v>
      </c>
      <c r="R21" s="6"/>
      <c r="S21" s="6"/>
      <c r="T21" s="5"/>
      <c r="U21" s="6">
        <v>80</v>
      </c>
      <c r="V21" s="5"/>
      <c r="W21" s="6">
        <v>79</v>
      </c>
      <c r="X21" s="5"/>
      <c r="Y21" s="6">
        <v>91</v>
      </c>
      <c r="Z21" s="5"/>
      <c r="AA21" s="4">
        <f t="shared" si="0"/>
        <v>76</v>
      </c>
      <c r="AB21" s="4">
        <f t="shared" si="1"/>
        <v>83.333333333333329</v>
      </c>
      <c r="AC21" s="4">
        <f t="shared" si="2"/>
        <v>2.3897931105246562</v>
      </c>
      <c r="AD21" s="3"/>
      <c r="AE21" s="3"/>
      <c r="AF21" s="3"/>
      <c r="AG21" s="3"/>
      <c r="AH21" s="3"/>
      <c r="AT21" s="12">
        <v>3</v>
      </c>
      <c r="AU21" s="12">
        <v>20</v>
      </c>
      <c r="AV21" s="12" t="s">
        <v>9</v>
      </c>
    </row>
    <row r="22" spans="2:87" ht="24" customHeight="1" thickBot="1" x14ac:dyDescent="0.25">
      <c r="B22" s="15">
        <f t="shared" si="3"/>
        <v>102</v>
      </c>
      <c r="C22" s="15" t="s">
        <v>158</v>
      </c>
      <c r="D22" s="15">
        <v>4</v>
      </c>
      <c r="E22" s="15">
        <v>1</v>
      </c>
      <c r="F22" s="15">
        <v>2</v>
      </c>
      <c r="G22" s="15">
        <v>1</v>
      </c>
      <c r="H22" s="15">
        <v>1</v>
      </c>
      <c r="I22" s="15" t="s">
        <v>159</v>
      </c>
      <c r="J22" s="16"/>
      <c r="K22" s="15" t="s">
        <v>0</v>
      </c>
      <c r="L22" s="14">
        <v>127</v>
      </c>
      <c r="M22" s="13"/>
      <c r="N22" s="14">
        <v>112</v>
      </c>
      <c r="O22" s="13"/>
      <c r="P22" s="14">
        <v>118</v>
      </c>
      <c r="Q22" s="14">
        <v>82</v>
      </c>
      <c r="R22" s="14"/>
      <c r="S22" s="14"/>
      <c r="T22" s="13"/>
      <c r="U22" s="14">
        <v>103</v>
      </c>
      <c r="V22" s="13"/>
      <c r="W22" s="14">
        <v>104</v>
      </c>
      <c r="X22" s="13"/>
      <c r="Y22" s="14">
        <v>102</v>
      </c>
      <c r="Z22" s="13"/>
      <c r="AA22" s="4">
        <f t="shared" si="0"/>
        <v>100</v>
      </c>
      <c r="AB22" s="4">
        <f t="shared" si="1"/>
        <v>108</v>
      </c>
      <c r="AC22" s="4">
        <f t="shared" si="2"/>
        <v>4.1553178779326458</v>
      </c>
      <c r="AD22" s="3"/>
      <c r="AE22" s="3"/>
      <c r="AF22" s="3"/>
      <c r="AG22" s="3"/>
      <c r="AH22" s="3"/>
      <c r="AT22" s="12"/>
      <c r="AU22" s="12"/>
      <c r="AV22" s="11"/>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row>
    <row r="23" spans="2:87" ht="24" customHeight="1" x14ac:dyDescent="0.2">
      <c r="B23" s="7">
        <f t="shared" si="3"/>
        <v>101</v>
      </c>
      <c r="C23" s="7" t="s">
        <v>160</v>
      </c>
      <c r="D23" s="7">
        <v>1</v>
      </c>
      <c r="E23" s="7">
        <v>1</v>
      </c>
      <c r="F23" s="7">
        <v>1</v>
      </c>
      <c r="G23" s="7">
        <v>2</v>
      </c>
      <c r="H23" s="7">
        <v>1</v>
      </c>
      <c r="I23" s="7" t="s">
        <v>161</v>
      </c>
      <c r="J23" s="9"/>
      <c r="K23" s="7" t="s">
        <v>2</v>
      </c>
      <c r="L23" s="6">
        <v>91</v>
      </c>
      <c r="M23" s="5"/>
      <c r="N23" s="6">
        <v>98</v>
      </c>
      <c r="O23" s="5"/>
      <c r="P23" s="6">
        <v>88</v>
      </c>
      <c r="Q23" s="6">
        <v>98</v>
      </c>
      <c r="R23" s="6"/>
      <c r="S23" s="6"/>
      <c r="T23" s="5"/>
      <c r="U23" s="6">
        <v>97</v>
      </c>
      <c r="V23" s="5"/>
      <c r="W23" s="6">
        <v>93</v>
      </c>
      <c r="X23" s="5"/>
      <c r="Y23" s="6">
        <v>73</v>
      </c>
      <c r="Z23" s="5"/>
      <c r="AA23" s="4">
        <f t="shared" si="0"/>
        <v>93</v>
      </c>
      <c r="AB23" s="4">
        <f t="shared" si="1"/>
        <v>90.833333333333329</v>
      </c>
      <c r="AC23" s="4">
        <f t="shared" si="2"/>
        <v>3.7275252439714537</v>
      </c>
      <c r="AD23" s="3"/>
      <c r="AE23" s="3"/>
      <c r="AF23" s="3"/>
      <c r="AG23" s="3"/>
      <c r="AH23" s="3"/>
      <c r="AT23" s="2" t="s">
        <v>8</v>
      </c>
      <c r="AU23" s="2"/>
      <c r="AV23" s="2"/>
    </row>
    <row r="24" spans="2:87" ht="24" customHeight="1" thickBot="1" x14ac:dyDescent="0.25">
      <c r="B24" s="15">
        <f t="shared" si="3"/>
        <v>101</v>
      </c>
      <c r="C24" s="15" t="s">
        <v>160</v>
      </c>
      <c r="D24" s="15">
        <v>1</v>
      </c>
      <c r="E24" s="15">
        <v>1</v>
      </c>
      <c r="F24" s="15">
        <v>1</v>
      </c>
      <c r="G24" s="15">
        <v>2</v>
      </c>
      <c r="H24" s="15">
        <v>1</v>
      </c>
      <c r="I24" s="15" t="s">
        <v>161</v>
      </c>
      <c r="J24" s="16"/>
      <c r="K24" s="15" t="s">
        <v>0</v>
      </c>
      <c r="L24" s="14">
        <v>148</v>
      </c>
      <c r="M24" s="13"/>
      <c r="N24" s="14">
        <v>142</v>
      </c>
      <c r="O24" s="13"/>
      <c r="P24" s="14">
        <v>129</v>
      </c>
      <c r="Q24" s="14">
        <v>129</v>
      </c>
      <c r="R24" s="14"/>
      <c r="S24" s="14"/>
      <c r="T24" s="13"/>
      <c r="U24" s="14">
        <v>121</v>
      </c>
      <c r="V24" s="13"/>
      <c r="W24" s="14">
        <v>101</v>
      </c>
      <c r="X24" s="13"/>
      <c r="Y24" s="14">
        <v>113</v>
      </c>
      <c r="Z24" s="13"/>
      <c r="AA24" s="4">
        <f t="shared" si="0"/>
        <v>129</v>
      </c>
      <c r="AB24" s="4">
        <f t="shared" si="1"/>
        <v>125.66666666666667</v>
      </c>
      <c r="AC24" s="4">
        <f t="shared" si="2"/>
        <v>7.2280318513717337</v>
      </c>
      <c r="AD24" s="3"/>
      <c r="AE24" s="3"/>
      <c r="AF24" s="3"/>
      <c r="AG24" s="3"/>
      <c r="AH24" s="3"/>
      <c r="AT24" s="12" t="s">
        <v>7</v>
      </c>
      <c r="AU24" s="12" t="s">
        <v>6</v>
      </c>
      <c r="AV24" s="11" t="s">
        <v>5</v>
      </c>
      <c r="AW24" s="10"/>
      <c r="AX24" s="10"/>
      <c r="AY24" s="10"/>
      <c r="AZ24" s="10"/>
      <c r="BA24" s="10"/>
      <c r="BB24" s="10"/>
      <c r="BC24" s="10"/>
      <c r="BD24" s="10"/>
      <c r="BE24" s="10"/>
      <c r="BF24" s="10"/>
      <c r="BG24" s="10"/>
      <c r="BH24" s="10"/>
      <c r="BI24" s="10"/>
      <c r="BJ24" s="10"/>
      <c r="BK24" s="10"/>
      <c r="BL24" s="10"/>
      <c r="BM24" s="10"/>
      <c r="BN24" s="10"/>
      <c r="BO24" s="10"/>
      <c r="BP24" s="10"/>
      <c r="BQ24" s="10"/>
      <c r="BR24" s="10"/>
      <c r="BS24" s="10"/>
      <c r="BT24" s="10"/>
      <c r="BU24" s="10"/>
      <c r="BV24" s="10"/>
      <c r="BW24" s="10"/>
      <c r="BX24" s="10"/>
      <c r="BY24" s="10"/>
      <c r="BZ24" s="10"/>
      <c r="CA24" s="10"/>
      <c r="CB24" s="10"/>
      <c r="CC24" s="10"/>
      <c r="CD24" s="10"/>
      <c r="CE24" s="10"/>
      <c r="CF24" s="10"/>
      <c r="CG24" s="10"/>
      <c r="CH24" s="10"/>
      <c r="CI24" s="10"/>
    </row>
    <row r="25" spans="2:87" ht="24" customHeight="1" x14ac:dyDescent="0.2">
      <c r="B25" s="7">
        <f>B23+100</f>
        <v>201</v>
      </c>
      <c r="C25" s="7" t="s">
        <v>153</v>
      </c>
      <c r="D25" s="7">
        <v>12</v>
      </c>
      <c r="E25" s="7">
        <v>2</v>
      </c>
      <c r="F25" s="7">
        <v>3</v>
      </c>
      <c r="G25" s="7">
        <v>1</v>
      </c>
      <c r="H25" s="7">
        <v>1</v>
      </c>
      <c r="I25" s="7" t="s">
        <v>162</v>
      </c>
      <c r="J25" s="7"/>
      <c r="K25" s="7" t="s">
        <v>2</v>
      </c>
      <c r="L25" s="6">
        <v>93</v>
      </c>
      <c r="M25" s="6"/>
      <c r="N25" s="6">
        <v>92</v>
      </c>
      <c r="O25" s="6"/>
      <c r="P25" s="6">
        <v>93</v>
      </c>
      <c r="Q25" s="6">
        <v>80</v>
      </c>
      <c r="R25" s="6"/>
      <c r="S25" s="6"/>
      <c r="T25" s="6"/>
      <c r="U25" s="6">
        <v>85</v>
      </c>
      <c r="V25" s="6"/>
      <c r="W25" s="6">
        <v>87</v>
      </c>
      <c r="X25" s="6"/>
      <c r="Y25" s="6">
        <v>93</v>
      </c>
      <c r="Z25" s="6"/>
      <c r="AA25" s="4">
        <f t="shared" si="0"/>
        <v>86.5</v>
      </c>
      <c r="AB25" s="4">
        <f t="shared" si="1"/>
        <v>89.416666666666671</v>
      </c>
      <c r="AC25" s="4">
        <f t="shared" si="2"/>
        <v>1.4855788247159571</v>
      </c>
      <c r="AD25" s="3"/>
      <c r="AE25" s="3"/>
      <c r="AF25" s="3"/>
      <c r="AG25" s="3"/>
      <c r="AH25" s="3"/>
      <c r="AT25" s="12">
        <v>1</v>
      </c>
      <c r="AU25" s="12" t="s">
        <v>4</v>
      </c>
      <c r="AV25" s="12">
        <v>0</v>
      </c>
    </row>
    <row r="26" spans="2:87" ht="24" customHeight="1" thickBot="1" x14ac:dyDescent="0.25">
      <c r="B26" s="15">
        <f>B24+100</f>
        <v>201</v>
      </c>
      <c r="C26" s="15" t="s">
        <v>153</v>
      </c>
      <c r="D26" s="15">
        <v>12</v>
      </c>
      <c r="E26" s="15">
        <v>2</v>
      </c>
      <c r="F26" s="15">
        <v>3</v>
      </c>
      <c r="G26" s="15">
        <v>1</v>
      </c>
      <c r="H26" s="15">
        <v>1</v>
      </c>
      <c r="I26" s="15" t="s">
        <v>162</v>
      </c>
      <c r="J26" s="16"/>
      <c r="K26" s="15" t="s">
        <v>0</v>
      </c>
      <c r="L26" s="14">
        <v>114</v>
      </c>
      <c r="M26" s="13"/>
      <c r="N26" s="14">
        <v>98</v>
      </c>
      <c r="O26" s="13"/>
      <c r="P26" s="14">
        <v>102</v>
      </c>
      <c r="Q26" s="14">
        <v>101</v>
      </c>
      <c r="R26" s="14"/>
      <c r="S26" s="14"/>
      <c r="T26" s="13"/>
      <c r="U26" s="14">
        <v>86</v>
      </c>
      <c r="V26" s="13"/>
      <c r="W26" s="14">
        <v>96</v>
      </c>
      <c r="X26" s="13"/>
      <c r="Y26" s="14">
        <v>102</v>
      </c>
      <c r="Z26" s="13"/>
      <c r="AA26" s="4">
        <f t="shared" si="0"/>
        <v>101.5</v>
      </c>
      <c r="AB26" s="4">
        <f t="shared" si="1"/>
        <v>99.583333333333329</v>
      </c>
      <c r="AC26" s="4">
        <f t="shared" si="2"/>
        <v>3.7292015827043254</v>
      </c>
      <c r="AD26" s="3"/>
      <c r="AE26" s="3"/>
      <c r="AF26" s="3"/>
      <c r="AG26" s="3"/>
      <c r="AH26" s="3"/>
      <c r="AT26" s="12">
        <v>2</v>
      </c>
      <c r="AU26" s="12" t="s">
        <v>3</v>
      </c>
      <c r="AV26" s="11">
        <v>150</v>
      </c>
      <c r="AW26" s="10"/>
      <c r="AX26" s="10"/>
      <c r="AY26" s="10"/>
      <c r="AZ26" s="10"/>
      <c r="BA26" s="10"/>
      <c r="BB26" s="10"/>
      <c r="BC26" s="10"/>
      <c r="BD26" s="10"/>
      <c r="BE26" s="10"/>
      <c r="BF26" s="10"/>
      <c r="BG26" s="10"/>
      <c r="BH26" s="10"/>
      <c r="BI26" s="10"/>
      <c r="BJ26" s="10"/>
      <c r="BK26" s="10"/>
      <c r="BL26" s="10"/>
      <c r="BM26" s="10"/>
      <c r="BN26" s="10"/>
      <c r="BO26" s="10"/>
      <c r="BP26" s="10"/>
      <c r="BQ26" s="10"/>
      <c r="BR26" s="10"/>
      <c r="BS26" s="10"/>
      <c r="BT26" s="10"/>
      <c r="BU26" s="10"/>
      <c r="BV26" s="10"/>
      <c r="BW26" s="10"/>
      <c r="BX26" s="10"/>
      <c r="BY26" s="10"/>
      <c r="BZ26" s="10"/>
      <c r="CA26" s="10"/>
      <c r="CB26" s="10"/>
      <c r="CC26" s="10"/>
      <c r="CD26" s="10"/>
      <c r="CE26" s="10"/>
      <c r="CF26" s="10"/>
      <c r="CG26" s="10"/>
      <c r="CH26" s="10"/>
      <c r="CI26" s="10"/>
    </row>
    <row r="27" spans="2:87" ht="24" customHeight="1" x14ac:dyDescent="0.2">
      <c r="B27" s="7">
        <f t="shared" ref="B27:B40" si="4">B25+1</f>
        <v>202</v>
      </c>
      <c r="C27" s="7" t="s">
        <v>151</v>
      </c>
      <c r="D27" s="7">
        <v>9</v>
      </c>
      <c r="E27" s="7">
        <v>2</v>
      </c>
      <c r="F27" s="7">
        <v>2</v>
      </c>
      <c r="G27" s="7">
        <v>2</v>
      </c>
      <c r="H27" s="7">
        <v>1</v>
      </c>
      <c r="I27" s="7" t="s">
        <v>163</v>
      </c>
      <c r="J27" s="9"/>
      <c r="K27" s="7" t="s">
        <v>2</v>
      </c>
      <c r="L27" s="6">
        <v>97</v>
      </c>
      <c r="M27" s="6"/>
      <c r="N27" s="6">
        <v>81</v>
      </c>
      <c r="O27" s="6"/>
      <c r="P27" s="6">
        <v>100</v>
      </c>
      <c r="Q27" s="6">
        <v>92</v>
      </c>
      <c r="R27" s="6"/>
      <c r="S27" s="6"/>
      <c r="T27" s="6"/>
      <c r="U27" s="6">
        <v>77</v>
      </c>
      <c r="V27" s="6"/>
      <c r="W27" s="6">
        <v>90</v>
      </c>
      <c r="X27" s="6"/>
      <c r="Y27" s="6">
        <v>91</v>
      </c>
      <c r="Z27" s="6"/>
      <c r="AA27" s="4">
        <f t="shared" si="0"/>
        <v>96</v>
      </c>
      <c r="AB27" s="4">
        <f t="shared" si="1"/>
        <v>88.666666666666671</v>
      </c>
      <c r="AC27" s="4">
        <f t="shared" si="2"/>
        <v>3.2930904093942588</v>
      </c>
      <c r="AD27" s="3"/>
      <c r="AE27" s="3"/>
      <c r="AF27" s="3"/>
      <c r="AG27" s="3"/>
      <c r="AH27" s="3"/>
    </row>
    <row r="28" spans="2:87" ht="24" customHeight="1" thickBot="1" x14ac:dyDescent="0.25">
      <c r="B28" s="15">
        <f t="shared" si="4"/>
        <v>202</v>
      </c>
      <c r="C28" s="15" t="s">
        <v>151</v>
      </c>
      <c r="D28" s="15">
        <v>9</v>
      </c>
      <c r="E28" s="15">
        <v>2</v>
      </c>
      <c r="F28" s="15">
        <v>2</v>
      </c>
      <c r="G28" s="15">
        <v>2</v>
      </c>
      <c r="H28" s="15">
        <v>1</v>
      </c>
      <c r="I28" s="15" t="s">
        <v>163</v>
      </c>
      <c r="J28" s="16"/>
      <c r="K28" s="15" t="s">
        <v>0</v>
      </c>
      <c r="L28" s="14">
        <v>135</v>
      </c>
      <c r="M28" s="13"/>
      <c r="N28" s="14">
        <v>135</v>
      </c>
      <c r="O28" s="13"/>
      <c r="P28" s="14">
        <v>112</v>
      </c>
      <c r="Q28" s="14">
        <v>115</v>
      </c>
      <c r="R28" s="14"/>
      <c r="S28" s="14"/>
      <c r="T28" s="13"/>
      <c r="U28" s="14">
        <v>129</v>
      </c>
      <c r="V28" s="13"/>
      <c r="W28" s="14">
        <v>117</v>
      </c>
      <c r="X28" s="13"/>
      <c r="Y28" s="14">
        <v>143</v>
      </c>
      <c r="Z28" s="13"/>
      <c r="AA28" s="4">
        <f t="shared" si="0"/>
        <v>113.5</v>
      </c>
      <c r="AB28" s="4">
        <f t="shared" si="1"/>
        <v>128.75</v>
      </c>
      <c r="AC28" s="4">
        <f t="shared" si="2"/>
        <v>4.6614554236489987</v>
      </c>
      <c r="AD28" s="3"/>
      <c r="AE28" s="3"/>
      <c r="AF28" s="3"/>
      <c r="AG28" s="3"/>
      <c r="AH28" s="3"/>
      <c r="AT28" s="12"/>
      <c r="AU28" s="12"/>
      <c r="AV28" s="11"/>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row>
    <row r="29" spans="2:87" ht="24" customHeight="1" x14ac:dyDescent="0.2">
      <c r="B29" s="7">
        <f t="shared" si="4"/>
        <v>203</v>
      </c>
      <c r="C29" s="7" t="s">
        <v>147</v>
      </c>
      <c r="D29" s="7">
        <v>3</v>
      </c>
      <c r="E29" s="7">
        <v>1</v>
      </c>
      <c r="F29" s="7">
        <v>2</v>
      </c>
      <c r="G29" s="7">
        <v>2</v>
      </c>
      <c r="H29" s="7">
        <v>1</v>
      </c>
      <c r="I29" s="7" t="s">
        <v>164</v>
      </c>
      <c r="J29" s="9"/>
      <c r="K29" s="7" t="s">
        <v>2</v>
      </c>
      <c r="L29" s="6">
        <v>89</v>
      </c>
      <c r="M29" s="6"/>
      <c r="N29" s="6">
        <v>76</v>
      </c>
      <c r="O29" s="6"/>
      <c r="P29" s="6">
        <v>85</v>
      </c>
      <c r="Q29" s="6">
        <v>96</v>
      </c>
      <c r="R29" s="6"/>
      <c r="S29" s="6"/>
      <c r="T29" s="6"/>
      <c r="U29" s="6">
        <v>85</v>
      </c>
      <c r="V29" s="6"/>
      <c r="W29" s="6">
        <v>85</v>
      </c>
      <c r="X29" s="6"/>
      <c r="Y29" s="6">
        <v>77</v>
      </c>
      <c r="Z29" s="6"/>
      <c r="AA29" s="4">
        <f t="shared" si="0"/>
        <v>90.5</v>
      </c>
      <c r="AB29" s="4">
        <f t="shared" si="1"/>
        <v>83.75</v>
      </c>
      <c r="AC29" s="4">
        <f t="shared" si="2"/>
        <v>2.4622144504490264</v>
      </c>
      <c r="AD29" s="3"/>
      <c r="AE29" s="3"/>
      <c r="AF29" s="3"/>
      <c r="AG29" s="3"/>
      <c r="AH29" s="3"/>
    </row>
    <row r="30" spans="2:87" ht="24" customHeight="1" thickBot="1" x14ac:dyDescent="0.25">
      <c r="B30" s="15">
        <f t="shared" si="4"/>
        <v>203</v>
      </c>
      <c r="C30" s="15" t="s">
        <v>147</v>
      </c>
      <c r="D30" s="15">
        <v>3</v>
      </c>
      <c r="E30" s="15">
        <v>1</v>
      </c>
      <c r="F30" s="15">
        <v>2</v>
      </c>
      <c r="G30" s="15">
        <v>2</v>
      </c>
      <c r="H30" s="15">
        <v>1</v>
      </c>
      <c r="I30" s="15" t="s">
        <v>164</v>
      </c>
      <c r="J30" s="16"/>
      <c r="K30" s="15" t="s">
        <v>0</v>
      </c>
      <c r="L30" s="14">
        <v>114</v>
      </c>
      <c r="M30" s="13"/>
      <c r="N30" s="14">
        <v>146</v>
      </c>
      <c r="O30" s="13"/>
      <c r="P30" s="14">
        <v>139</v>
      </c>
      <c r="Q30" s="14">
        <v>120</v>
      </c>
      <c r="R30" s="14"/>
      <c r="S30" s="14"/>
      <c r="T30" s="13"/>
      <c r="U30" s="14">
        <v>128</v>
      </c>
      <c r="V30" s="13"/>
      <c r="W30" s="14">
        <v>140</v>
      </c>
      <c r="X30" s="13"/>
      <c r="Y30" s="14">
        <v>121</v>
      </c>
      <c r="Z30" s="13"/>
      <c r="AA30" s="4">
        <f t="shared" si="0"/>
        <v>129.5</v>
      </c>
      <c r="AB30" s="4">
        <f t="shared" si="1"/>
        <v>129.75</v>
      </c>
      <c r="AC30" s="4">
        <f t="shared" si="2"/>
        <v>4.8196645803070846</v>
      </c>
      <c r="AD30" s="3"/>
      <c r="AE30" s="3"/>
      <c r="AF30" s="3"/>
      <c r="AG30" s="3"/>
      <c r="AH30" s="3"/>
      <c r="AT30" s="12"/>
      <c r="AU30" s="12"/>
      <c r="AV30" s="11"/>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row>
    <row r="31" spans="2:87" ht="24" customHeight="1" x14ac:dyDescent="0.2">
      <c r="B31" s="7">
        <f t="shared" si="4"/>
        <v>204</v>
      </c>
      <c r="C31" s="7" t="s">
        <v>165</v>
      </c>
      <c r="D31" s="7">
        <v>11</v>
      </c>
      <c r="E31" s="7">
        <v>2</v>
      </c>
      <c r="F31" s="7">
        <v>3</v>
      </c>
      <c r="G31" s="7">
        <v>2</v>
      </c>
      <c r="H31" s="7">
        <v>1</v>
      </c>
      <c r="I31" s="7" t="s">
        <v>166</v>
      </c>
      <c r="J31" s="9"/>
      <c r="K31" s="7" t="s">
        <v>2</v>
      </c>
      <c r="L31" s="6">
        <v>86</v>
      </c>
      <c r="M31" s="6"/>
      <c r="N31" s="6">
        <v>88</v>
      </c>
      <c r="O31" s="6"/>
      <c r="P31" s="6">
        <v>88</v>
      </c>
      <c r="Q31" s="6">
        <v>89</v>
      </c>
      <c r="R31" s="6"/>
      <c r="S31" s="6"/>
      <c r="T31" s="6"/>
      <c r="U31" s="6">
        <v>89</v>
      </c>
      <c r="V31" s="6"/>
      <c r="W31" s="6">
        <v>100</v>
      </c>
      <c r="X31" s="6"/>
      <c r="Y31" s="6">
        <v>87</v>
      </c>
      <c r="Z31" s="6"/>
      <c r="AA31" s="4">
        <f t="shared" si="0"/>
        <v>88.5</v>
      </c>
      <c r="AB31" s="4">
        <f t="shared" si="1"/>
        <v>89.75</v>
      </c>
      <c r="AC31" s="4">
        <f t="shared" si="2"/>
        <v>2.096624270901521</v>
      </c>
      <c r="AD31" s="3"/>
      <c r="AE31" s="3"/>
      <c r="AF31" s="3"/>
      <c r="AG31" s="3"/>
      <c r="AH31" s="3"/>
    </row>
    <row r="32" spans="2:87" ht="24" customHeight="1" thickBot="1" x14ac:dyDescent="0.25">
      <c r="B32" s="15">
        <f t="shared" si="4"/>
        <v>204</v>
      </c>
      <c r="C32" s="15" t="s">
        <v>165</v>
      </c>
      <c r="D32" s="15">
        <v>11</v>
      </c>
      <c r="E32" s="15">
        <v>2</v>
      </c>
      <c r="F32" s="15">
        <v>3</v>
      </c>
      <c r="G32" s="15">
        <v>2</v>
      </c>
      <c r="H32" s="15">
        <v>1</v>
      </c>
      <c r="I32" s="15" t="s">
        <v>166</v>
      </c>
      <c r="J32" s="16"/>
      <c r="K32" s="15" t="s">
        <v>0</v>
      </c>
      <c r="L32" s="14">
        <v>126</v>
      </c>
      <c r="M32" s="13"/>
      <c r="N32" s="14">
        <v>112</v>
      </c>
      <c r="O32" s="13"/>
      <c r="P32" s="14">
        <v>111</v>
      </c>
      <c r="Q32" s="14">
        <v>122</v>
      </c>
      <c r="R32" s="14"/>
      <c r="S32" s="14"/>
      <c r="T32" s="13"/>
      <c r="U32" s="14">
        <v>121</v>
      </c>
      <c r="V32" s="13"/>
      <c r="W32" s="14">
        <v>108</v>
      </c>
      <c r="X32" s="13"/>
      <c r="Y32" s="14">
        <v>106</v>
      </c>
      <c r="Z32" s="13"/>
      <c r="AA32" s="4">
        <f t="shared" si="0"/>
        <v>116.5</v>
      </c>
      <c r="AB32" s="4">
        <f t="shared" si="1"/>
        <v>114.91666666666667</v>
      </c>
      <c r="AC32" s="4">
        <f t="shared" si="2"/>
        <v>3.1528206066596591</v>
      </c>
      <c r="AD32" s="3"/>
      <c r="AE32" s="3"/>
      <c r="AF32" s="3"/>
      <c r="AG32" s="3"/>
      <c r="AH32" s="3"/>
      <c r="AT32" s="12"/>
      <c r="AU32" s="12"/>
      <c r="AV32" s="11"/>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row>
    <row r="33" spans="2:87" ht="24" customHeight="1" x14ac:dyDescent="0.2">
      <c r="B33" s="7">
        <f t="shared" si="4"/>
        <v>205</v>
      </c>
      <c r="C33" s="7" t="s">
        <v>160</v>
      </c>
      <c r="D33" s="7">
        <v>1</v>
      </c>
      <c r="E33" s="7">
        <v>1</v>
      </c>
      <c r="F33" s="7">
        <v>1</v>
      </c>
      <c r="G33" s="7">
        <v>2</v>
      </c>
      <c r="H33" s="7">
        <v>2</v>
      </c>
      <c r="I33" s="7" t="s">
        <v>167</v>
      </c>
      <c r="J33" s="9"/>
      <c r="K33" s="7" t="s">
        <v>2</v>
      </c>
      <c r="L33" s="6">
        <v>74</v>
      </c>
      <c r="M33" s="6"/>
      <c r="N33" s="6">
        <v>100</v>
      </c>
      <c r="O33" s="6"/>
      <c r="P33" s="6">
        <v>87</v>
      </c>
      <c r="Q33" s="6">
        <v>85</v>
      </c>
      <c r="R33" s="6"/>
      <c r="S33" s="6"/>
      <c r="T33" s="6"/>
      <c r="U33" s="6">
        <v>85</v>
      </c>
      <c r="V33" s="6"/>
      <c r="W33" s="6">
        <v>96</v>
      </c>
      <c r="X33" s="6"/>
      <c r="Y33" s="6">
        <v>89</v>
      </c>
      <c r="Z33" s="6"/>
      <c r="AA33" s="4">
        <f t="shared" si="0"/>
        <v>86</v>
      </c>
      <c r="AB33" s="4">
        <f t="shared" si="1"/>
        <v>88.333333333333329</v>
      </c>
      <c r="AC33" s="4">
        <f t="shared" si="2"/>
        <v>3.729760194853164</v>
      </c>
      <c r="AD33" s="3"/>
      <c r="AE33" s="3"/>
      <c r="AF33" s="3"/>
      <c r="AG33" s="3"/>
      <c r="AH33" s="3"/>
    </row>
    <row r="34" spans="2:87" ht="24" customHeight="1" thickBot="1" x14ac:dyDescent="0.25">
      <c r="B34" s="15">
        <f t="shared" si="4"/>
        <v>205</v>
      </c>
      <c r="C34" s="15" t="s">
        <v>160</v>
      </c>
      <c r="D34" s="15">
        <v>1</v>
      </c>
      <c r="E34" s="15">
        <v>1</v>
      </c>
      <c r="F34" s="15">
        <v>1</v>
      </c>
      <c r="G34" s="15">
        <v>2</v>
      </c>
      <c r="H34" s="15">
        <v>2</v>
      </c>
      <c r="I34" s="15" t="s">
        <v>167</v>
      </c>
      <c r="J34" s="16"/>
      <c r="K34" s="15" t="s">
        <v>0</v>
      </c>
      <c r="L34" s="14">
        <v>113</v>
      </c>
      <c r="M34" s="13"/>
      <c r="N34" s="14">
        <v>121</v>
      </c>
      <c r="O34" s="13"/>
      <c r="P34" s="14">
        <v>108</v>
      </c>
      <c r="Q34" s="14">
        <v>108</v>
      </c>
      <c r="R34" s="14"/>
      <c r="S34" s="14"/>
      <c r="T34" s="13"/>
      <c r="U34" s="14">
        <v>117</v>
      </c>
      <c r="V34" s="13"/>
      <c r="W34" s="14">
        <v>108</v>
      </c>
      <c r="X34" s="13"/>
      <c r="Y34" s="14">
        <v>106</v>
      </c>
      <c r="Z34" s="13"/>
      <c r="AA34" s="4">
        <f t="shared" si="0"/>
        <v>108</v>
      </c>
      <c r="AB34" s="4">
        <f t="shared" si="1"/>
        <v>112.16666666666667</v>
      </c>
      <c r="AC34" s="4">
        <f t="shared" si="2"/>
        <v>2.4140790744666543</v>
      </c>
      <c r="AD34" s="3"/>
      <c r="AE34" s="3"/>
      <c r="AF34" s="3"/>
      <c r="AG34" s="3"/>
      <c r="AH34" s="3"/>
      <c r="AT34" s="12"/>
      <c r="AU34" s="12"/>
      <c r="AV34" s="11"/>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row>
    <row r="35" spans="2:87" ht="24" customHeight="1" x14ac:dyDescent="0.2">
      <c r="B35" s="7">
        <f t="shared" si="4"/>
        <v>206</v>
      </c>
      <c r="C35" s="7" t="s">
        <v>168</v>
      </c>
      <c r="D35" s="7">
        <v>8</v>
      </c>
      <c r="E35" s="7">
        <v>2</v>
      </c>
      <c r="F35" s="7">
        <v>1</v>
      </c>
      <c r="G35" s="7">
        <v>1</v>
      </c>
      <c r="H35" s="7">
        <v>2</v>
      </c>
      <c r="I35" s="7" t="s">
        <v>169</v>
      </c>
      <c r="J35" s="9"/>
      <c r="K35" s="7" t="s">
        <v>2</v>
      </c>
      <c r="L35" s="6">
        <v>89</v>
      </c>
      <c r="M35" s="6"/>
      <c r="N35" s="6">
        <v>71</v>
      </c>
      <c r="O35" s="6"/>
      <c r="P35" s="6">
        <v>71</v>
      </c>
      <c r="Q35" s="6">
        <v>79</v>
      </c>
      <c r="R35" s="6"/>
      <c r="S35" s="6"/>
      <c r="T35" s="6"/>
      <c r="U35" s="6">
        <v>86</v>
      </c>
      <c r="V35" s="6"/>
      <c r="W35" s="6">
        <v>86</v>
      </c>
      <c r="X35" s="6"/>
      <c r="Y35" s="6">
        <v>97</v>
      </c>
      <c r="Z35" s="6"/>
      <c r="AA35" s="4">
        <f t="shared" si="0"/>
        <v>75</v>
      </c>
      <c r="AB35" s="4">
        <f t="shared" si="1"/>
        <v>84</v>
      </c>
      <c r="AC35" s="4">
        <f t="shared" si="2"/>
        <v>3.8815804341359037</v>
      </c>
      <c r="AD35" s="3"/>
      <c r="AE35" s="3"/>
      <c r="AF35" s="3"/>
      <c r="AG35" s="3"/>
      <c r="AH35" s="3"/>
    </row>
    <row r="36" spans="2:87" ht="24" customHeight="1" thickBot="1" x14ac:dyDescent="0.25">
      <c r="B36" s="15">
        <f t="shared" si="4"/>
        <v>206</v>
      </c>
      <c r="C36" s="15" t="s">
        <v>168</v>
      </c>
      <c r="D36" s="15">
        <v>8</v>
      </c>
      <c r="E36" s="15">
        <v>2</v>
      </c>
      <c r="F36" s="15">
        <v>1</v>
      </c>
      <c r="G36" s="15">
        <v>1</v>
      </c>
      <c r="H36" s="15">
        <v>2</v>
      </c>
      <c r="I36" s="15" t="s">
        <v>169</v>
      </c>
      <c r="J36" s="16"/>
      <c r="K36" s="15" t="s">
        <v>0</v>
      </c>
      <c r="L36" s="14">
        <v>112</v>
      </c>
      <c r="M36" s="13"/>
      <c r="N36" s="14">
        <v>105</v>
      </c>
      <c r="O36" s="13"/>
      <c r="P36" s="14">
        <v>104</v>
      </c>
      <c r="Q36" s="14">
        <v>96</v>
      </c>
      <c r="R36" s="14"/>
      <c r="S36" s="14"/>
      <c r="T36" s="13"/>
      <c r="U36" s="14">
        <v>112</v>
      </c>
      <c r="V36" s="13"/>
      <c r="W36" s="14">
        <v>124</v>
      </c>
      <c r="X36" s="13"/>
      <c r="Y36" s="14">
        <v>114</v>
      </c>
      <c r="Z36" s="13"/>
      <c r="AA36" s="4">
        <f t="shared" si="0"/>
        <v>100</v>
      </c>
      <c r="AB36" s="4">
        <f t="shared" si="1"/>
        <v>111.16666666666667</v>
      </c>
      <c r="AC36" s="4">
        <f t="shared" si="2"/>
        <v>3.35078763543406</v>
      </c>
      <c r="AD36" s="3"/>
      <c r="AE36" s="3"/>
      <c r="AF36" s="3"/>
      <c r="AG36" s="3"/>
      <c r="AH36" s="3"/>
      <c r="AT36" s="12"/>
      <c r="AU36" s="12"/>
      <c r="AV36" s="11"/>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row>
    <row r="37" spans="2:87" ht="24" customHeight="1" x14ac:dyDescent="0.2">
      <c r="B37" s="7">
        <f t="shared" si="4"/>
        <v>207</v>
      </c>
      <c r="C37" s="7" t="s">
        <v>158</v>
      </c>
      <c r="D37" s="7">
        <v>4</v>
      </c>
      <c r="E37" s="7">
        <v>1</v>
      </c>
      <c r="F37" s="7">
        <v>2</v>
      </c>
      <c r="G37" s="7">
        <v>1</v>
      </c>
      <c r="H37" s="7">
        <v>2</v>
      </c>
      <c r="I37" s="7" t="s">
        <v>170</v>
      </c>
      <c r="J37" s="9"/>
      <c r="K37" s="7" t="s">
        <v>2</v>
      </c>
      <c r="L37" s="6">
        <v>88</v>
      </c>
      <c r="M37" s="6"/>
      <c r="N37" s="6">
        <v>84</v>
      </c>
      <c r="O37" s="6"/>
      <c r="P37" s="6">
        <v>86</v>
      </c>
      <c r="Q37" s="6">
        <v>85</v>
      </c>
      <c r="R37" s="6"/>
      <c r="S37" s="6"/>
      <c r="T37" s="6"/>
      <c r="U37" s="6">
        <v>79</v>
      </c>
      <c r="V37" s="6"/>
      <c r="W37" s="6">
        <v>89</v>
      </c>
      <c r="X37" s="6"/>
      <c r="Y37" s="6">
        <v>80</v>
      </c>
      <c r="Z37" s="6"/>
      <c r="AA37" s="4">
        <f t="shared" si="0"/>
        <v>85.5</v>
      </c>
      <c r="AB37" s="4">
        <f t="shared" si="1"/>
        <v>84.25</v>
      </c>
      <c r="AC37" s="4">
        <f t="shared" si="2"/>
        <v>1.6720745597410822</v>
      </c>
      <c r="AD37" s="3"/>
      <c r="AE37" s="3"/>
      <c r="AF37" s="3"/>
      <c r="AG37" s="3"/>
      <c r="AH37" s="3"/>
    </row>
    <row r="38" spans="2:87" ht="24" customHeight="1" thickBot="1" x14ac:dyDescent="0.25">
      <c r="B38" s="15">
        <f t="shared" si="4"/>
        <v>207</v>
      </c>
      <c r="C38" s="15" t="s">
        <v>158</v>
      </c>
      <c r="D38" s="15">
        <v>4</v>
      </c>
      <c r="E38" s="15">
        <v>1</v>
      </c>
      <c r="F38" s="15">
        <v>2</v>
      </c>
      <c r="G38" s="15">
        <v>1</v>
      </c>
      <c r="H38" s="15">
        <v>2</v>
      </c>
      <c r="I38" s="15" t="s">
        <v>170</v>
      </c>
      <c r="J38" s="16"/>
      <c r="K38" s="15" t="s">
        <v>0</v>
      </c>
      <c r="L38" s="14">
        <v>104</v>
      </c>
      <c r="M38" s="13"/>
      <c r="N38" s="14">
        <v>129</v>
      </c>
      <c r="O38" s="13"/>
      <c r="P38" s="14">
        <v>114</v>
      </c>
      <c r="Q38" s="14">
        <v>99</v>
      </c>
      <c r="R38" s="14"/>
      <c r="S38" s="14"/>
      <c r="T38" s="13"/>
      <c r="U38" s="14">
        <v>97</v>
      </c>
      <c r="V38" s="13"/>
      <c r="W38" s="14">
        <v>116</v>
      </c>
      <c r="X38" s="13"/>
      <c r="Y38" s="14">
        <v>108</v>
      </c>
      <c r="Z38" s="13"/>
      <c r="AA38" s="4">
        <f t="shared" si="0"/>
        <v>106.5</v>
      </c>
      <c r="AB38" s="4">
        <f t="shared" si="1"/>
        <v>110.08333333333333</v>
      </c>
      <c r="AC38" s="4">
        <f t="shared" si="2"/>
        <v>4.5394872446614984</v>
      </c>
      <c r="AD38" s="3"/>
      <c r="AE38" s="3"/>
      <c r="AF38" s="3"/>
      <c r="AG38" s="3"/>
      <c r="AH38" s="3"/>
      <c r="AT38" s="12"/>
      <c r="AU38" s="12"/>
      <c r="AV38" s="11"/>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row>
    <row r="39" spans="2:87" ht="24" customHeight="1" x14ac:dyDescent="0.2">
      <c r="B39" s="7">
        <f t="shared" si="4"/>
        <v>208</v>
      </c>
      <c r="C39" s="7" t="s">
        <v>171</v>
      </c>
      <c r="D39" s="7">
        <v>2</v>
      </c>
      <c r="E39" s="7">
        <v>1</v>
      </c>
      <c r="F39" s="7">
        <v>1</v>
      </c>
      <c r="G39" s="7">
        <v>1</v>
      </c>
      <c r="H39" s="7">
        <v>2</v>
      </c>
      <c r="I39" s="7" t="s">
        <v>172</v>
      </c>
      <c r="J39" s="9"/>
      <c r="K39" s="7" t="s">
        <v>2</v>
      </c>
      <c r="L39" s="6">
        <v>88</v>
      </c>
      <c r="M39" s="5"/>
      <c r="N39" s="6">
        <v>87</v>
      </c>
      <c r="O39" s="5"/>
      <c r="P39" s="6">
        <v>77</v>
      </c>
      <c r="Q39" s="6">
        <v>73</v>
      </c>
      <c r="R39" s="6"/>
      <c r="S39" s="6"/>
      <c r="T39" s="5"/>
      <c r="U39" s="6">
        <v>79</v>
      </c>
      <c r="V39" s="5"/>
      <c r="W39" s="6">
        <v>91</v>
      </c>
      <c r="X39" s="5"/>
      <c r="Y39" s="6">
        <v>97</v>
      </c>
      <c r="Z39" s="5"/>
      <c r="AA39" s="4">
        <f t="shared" si="0"/>
        <v>75</v>
      </c>
      <c r="AB39" s="4">
        <f t="shared" si="1"/>
        <v>86.166666666666671</v>
      </c>
      <c r="AC39" s="4">
        <f t="shared" si="2"/>
        <v>3.2702361450580972</v>
      </c>
      <c r="AD39" s="3"/>
      <c r="AE39" s="3"/>
      <c r="AF39" s="3"/>
      <c r="AG39" s="3"/>
      <c r="AH39" s="3"/>
    </row>
    <row r="40" spans="2:87" ht="24" customHeight="1" thickBot="1" x14ac:dyDescent="0.25">
      <c r="B40" s="15">
        <f t="shared" si="4"/>
        <v>208</v>
      </c>
      <c r="C40" s="15" t="s">
        <v>171</v>
      </c>
      <c r="D40" s="15">
        <v>2</v>
      </c>
      <c r="E40" s="15">
        <v>1</v>
      </c>
      <c r="F40" s="15">
        <v>1</v>
      </c>
      <c r="G40" s="15">
        <v>1</v>
      </c>
      <c r="H40" s="15">
        <v>2</v>
      </c>
      <c r="I40" s="15" t="s">
        <v>172</v>
      </c>
      <c r="J40" s="16"/>
      <c r="K40" s="15" t="s">
        <v>0</v>
      </c>
      <c r="L40" s="14">
        <v>108</v>
      </c>
      <c r="M40" s="13"/>
      <c r="N40" s="14">
        <v>101</v>
      </c>
      <c r="O40" s="13"/>
      <c r="P40" s="14">
        <v>105</v>
      </c>
      <c r="Q40" s="14">
        <v>97</v>
      </c>
      <c r="R40" s="14"/>
      <c r="S40" s="14"/>
      <c r="T40" s="13"/>
      <c r="U40" s="14">
        <v>101</v>
      </c>
      <c r="V40" s="13"/>
      <c r="W40" s="14">
        <v>126</v>
      </c>
      <c r="X40" s="13"/>
      <c r="Y40" s="14">
        <v>93</v>
      </c>
      <c r="Z40" s="13"/>
      <c r="AA40" s="4">
        <f t="shared" si="0"/>
        <v>101</v>
      </c>
      <c r="AB40" s="4">
        <f t="shared" si="1"/>
        <v>105</v>
      </c>
      <c r="AC40" s="4">
        <f t="shared" si="2"/>
        <v>4.6260134024881516</v>
      </c>
      <c r="AD40" s="3"/>
      <c r="AE40" s="3"/>
      <c r="AF40" s="3"/>
      <c r="AG40" s="3"/>
      <c r="AH40" s="3"/>
      <c r="AT40" s="12"/>
      <c r="AU40" s="12"/>
      <c r="AV40" s="11"/>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row>
    <row r="41" spans="2:87" ht="24" customHeight="1" x14ac:dyDescent="0.2">
      <c r="B41" s="7">
        <f>B39+700</f>
        <v>908</v>
      </c>
      <c r="C41" s="7" t="s">
        <v>173</v>
      </c>
      <c r="D41" s="7">
        <v>21</v>
      </c>
      <c r="E41" s="7">
        <v>3</v>
      </c>
      <c r="F41" s="7">
        <v>2</v>
      </c>
      <c r="G41" s="7">
        <v>2</v>
      </c>
      <c r="H41" s="7">
        <v>2</v>
      </c>
      <c r="I41" s="7" t="s">
        <v>174</v>
      </c>
      <c r="J41" s="7"/>
      <c r="K41" s="7" t="s">
        <v>2</v>
      </c>
      <c r="L41" s="6">
        <v>77</v>
      </c>
      <c r="M41" s="5"/>
      <c r="N41" s="6">
        <v>65</v>
      </c>
      <c r="O41" s="5"/>
      <c r="P41" s="6">
        <v>72</v>
      </c>
      <c r="Q41" s="6">
        <v>64</v>
      </c>
      <c r="R41" s="6"/>
      <c r="S41" s="6"/>
      <c r="T41" s="5"/>
      <c r="U41" s="6">
        <v>58</v>
      </c>
      <c r="V41" s="5"/>
      <c r="W41" s="6">
        <v>72</v>
      </c>
      <c r="X41" s="5"/>
      <c r="Y41" s="6">
        <v>67</v>
      </c>
      <c r="Z41" s="5"/>
      <c r="AA41" s="4">
        <f t="shared" ref="AA41:AA72" si="5">AVERAGE(P41:T41)</f>
        <v>68</v>
      </c>
      <c r="AB41" s="4">
        <f t="shared" ref="AB41:AB72" si="6">AVERAGE(AVERAGE(L41:M41),AVERAGE(N41:O41),AVERAGE(P41:T41),AVERAGE(U41:V41),AVERAGE(W41:X41),AVERAGE(Y41:Z41))</f>
        <v>67.833333333333329</v>
      </c>
      <c r="AC41" s="4">
        <f t="shared" ref="AC41:AC72" si="7">STDEV(AVERAGE(L41:M41),AVERAGE(N41:O41),AVERAGE(P41:T41),AVERAGE(U41:V41),AVERAGE(W41:X41),AVERAGE(Y41:Z41))/SQRT(6)</f>
        <v>2.6257274124410643</v>
      </c>
      <c r="AD41" s="3"/>
      <c r="AE41" s="3"/>
      <c r="AF41" s="3"/>
      <c r="AG41" s="3"/>
      <c r="AH41" s="3"/>
    </row>
    <row r="42" spans="2:87" ht="24" customHeight="1" thickBot="1" x14ac:dyDescent="0.25">
      <c r="B42" s="15">
        <f>B40+700</f>
        <v>908</v>
      </c>
      <c r="C42" s="15" t="s">
        <v>173</v>
      </c>
      <c r="D42" s="15">
        <v>21</v>
      </c>
      <c r="E42" s="15">
        <v>3</v>
      </c>
      <c r="F42" s="15">
        <v>2</v>
      </c>
      <c r="G42" s="15">
        <v>2</v>
      </c>
      <c r="H42" s="15">
        <v>2</v>
      </c>
      <c r="I42" s="15" t="s">
        <v>174</v>
      </c>
      <c r="J42" s="16"/>
      <c r="K42" s="15" t="s">
        <v>0</v>
      </c>
      <c r="L42" s="14">
        <v>66</v>
      </c>
      <c r="M42" s="13"/>
      <c r="N42" s="14">
        <v>68</v>
      </c>
      <c r="O42" s="13"/>
      <c r="P42" s="14">
        <v>72</v>
      </c>
      <c r="Q42" s="14">
        <v>60</v>
      </c>
      <c r="R42" s="14"/>
      <c r="S42" s="14"/>
      <c r="T42" s="13"/>
      <c r="U42" s="14">
        <v>64</v>
      </c>
      <c r="V42" s="13"/>
      <c r="W42" s="14">
        <v>52</v>
      </c>
      <c r="X42" s="13"/>
      <c r="Y42" s="14">
        <v>66</v>
      </c>
      <c r="Z42" s="13"/>
      <c r="AA42" s="4">
        <f t="shared" si="5"/>
        <v>66</v>
      </c>
      <c r="AB42" s="4">
        <f t="shared" si="6"/>
        <v>63.666666666666664</v>
      </c>
      <c r="AC42" s="4">
        <f t="shared" si="7"/>
        <v>2.3897931105246562</v>
      </c>
      <c r="AD42" s="3"/>
      <c r="AE42" s="3"/>
      <c r="AF42" s="3"/>
      <c r="AG42" s="3"/>
      <c r="AH42" s="3"/>
      <c r="AT42" s="12"/>
      <c r="AU42" s="12"/>
      <c r="AV42" s="11"/>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row>
    <row r="43" spans="2:87" ht="24" customHeight="1" x14ac:dyDescent="0.2">
      <c r="B43" s="7">
        <v>906</v>
      </c>
      <c r="C43" s="7" t="s">
        <v>175</v>
      </c>
      <c r="D43" s="7">
        <v>22</v>
      </c>
      <c r="E43" s="7">
        <v>4</v>
      </c>
      <c r="F43" s="7">
        <v>2</v>
      </c>
      <c r="G43" s="7">
        <v>2</v>
      </c>
      <c r="H43" s="7">
        <v>2</v>
      </c>
      <c r="I43" s="7" t="s">
        <v>176</v>
      </c>
      <c r="J43" s="9"/>
      <c r="K43" s="7" t="s">
        <v>2</v>
      </c>
      <c r="L43" s="6">
        <v>74</v>
      </c>
      <c r="M43" s="6"/>
      <c r="N43" s="6">
        <v>77</v>
      </c>
      <c r="O43" s="6"/>
      <c r="P43" s="6">
        <v>80</v>
      </c>
      <c r="Q43" s="6">
        <v>82</v>
      </c>
      <c r="R43" s="6"/>
      <c r="S43" s="6"/>
      <c r="T43" s="6"/>
      <c r="U43" s="6">
        <v>91</v>
      </c>
      <c r="V43" s="6"/>
      <c r="W43" s="6">
        <v>73</v>
      </c>
      <c r="X43" s="6"/>
      <c r="Y43" s="6">
        <v>84</v>
      </c>
      <c r="Z43" s="6"/>
      <c r="AA43" s="4">
        <f t="shared" si="5"/>
        <v>81</v>
      </c>
      <c r="AB43" s="4">
        <f t="shared" si="6"/>
        <v>80</v>
      </c>
      <c r="AC43" s="4">
        <f t="shared" si="7"/>
        <v>2.780887148615228</v>
      </c>
      <c r="AD43" s="3"/>
      <c r="AE43" s="3"/>
      <c r="AF43" s="3"/>
      <c r="AG43" s="3"/>
      <c r="AH43" s="3"/>
    </row>
    <row r="44" spans="2:87" ht="24" customHeight="1" thickBot="1" x14ac:dyDescent="0.25">
      <c r="B44" s="15">
        <v>906</v>
      </c>
      <c r="C44" s="15" t="s">
        <v>175</v>
      </c>
      <c r="D44" s="15">
        <v>22</v>
      </c>
      <c r="E44" s="15">
        <v>4</v>
      </c>
      <c r="F44" s="15">
        <v>2</v>
      </c>
      <c r="G44" s="15">
        <v>2</v>
      </c>
      <c r="H44" s="15">
        <v>2</v>
      </c>
      <c r="I44" s="15" t="s">
        <v>176</v>
      </c>
      <c r="J44" s="16"/>
      <c r="K44" s="15" t="s">
        <v>0</v>
      </c>
      <c r="L44" s="14">
        <v>83</v>
      </c>
      <c r="M44" s="13"/>
      <c r="N44" s="14">
        <v>89</v>
      </c>
      <c r="O44" s="13"/>
      <c r="P44" s="14">
        <v>91</v>
      </c>
      <c r="Q44" s="14">
        <v>82</v>
      </c>
      <c r="R44" s="14"/>
      <c r="S44" s="14"/>
      <c r="T44" s="13"/>
      <c r="U44" s="14">
        <v>76</v>
      </c>
      <c r="V44" s="13"/>
      <c r="W44" s="14">
        <v>72</v>
      </c>
      <c r="X44" s="13"/>
      <c r="Y44" s="14">
        <v>93</v>
      </c>
      <c r="Z44" s="13"/>
      <c r="AA44" s="4">
        <f t="shared" si="5"/>
        <v>86.5</v>
      </c>
      <c r="AB44" s="4">
        <f t="shared" si="6"/>
        <v>83.25</v>
      </c>
      <c r="AC44" s="4">
        <f t="shared" si="7"/>
        <v>3.2551241655785321</v>
      </c>
      <c r="AD44" s="3"/>
      <c r="AE44" s="3"/>
      <c r="AF44" s="3"/>
      <c r="AG44" s="3"/>
      <c r="AH44" s="3"/>
      <c r="AT44" s="12"/>
      <c r="AU44" s="12"/>
      <c r="AV44" s="11"/>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row>
    <row r="45" spans="2:87" ht="24" customHeight="1" x14ac:dyDescent="0.2">
      <c r="B45" s="7">
        <v>904</v>
      </c>
      <c r="C45" s="7" t="s">
        <v>173</v>
      </c>
      <c r="D45" s="7">
        <v>21</v>
      </c>
      <c r="E45" s="7">
        <v>3</v>
      </c>
      <c r="F45" s="7">
        <v>2</v>
      </c>
      <c r="G45" s="7">
        <v>2</v>
      </c>
      <c r="H45" s="7">
        <v>1</v>
      </c>
      <c r="I45" s="7" t="s">
        <v>177</v>
      </c>
      <c r="J45" s="9"/>
      <c r="K45" s="7" t="s">
        <v>2</v>
      </c>
      <c r="L45" s="6">
        <v>63</v>
      </c>
      <c r="M45" s="6"/>
      <c r="N45" s="6">
        <v>61</v>
      </c>
      <c r="O45" s="6"/>
      <c r="P45" s="6">
        <v>51</v>
      </c>
      <c r="Q45" s="6">
        <v>53</v>
      </c>
      <c r="R45" s="6"/>
      <c r="S45" s="6"/>
      <c r="T45" s="6"/>
      <c r="U45" s="6">
        <v>63</v>
      </c>
      <c r="V45" s="6"/>
      <c r="W45" s="6">
        <v>68</v>
      </c>
      <c r="X45" s="6"/>
      <c r="Y45" s="6">
        <v>58</v>
      </c>
      <c r="Z45" s="6"/>
      <c r="AA45" s="4">
        <f t="shared" si="5"/>
        <v>52</v>
      </c>
      <c r="AB45" s="4">
        <f t="shared" si="6"/>
        <v>60.833333333333336</v>
      </c>
      <c r="AC45" s="4">
        <f t="shared" si="7"/>
        <v>2.2123391341393495</v>
      </c>
      <c r="AD45" s="3"/>
      <c r="AE45" s="3"/>
      <c r="AF45" s="3"/>
      <c r="AG45" s="3"/>
      <c r="AH45" s="3"/>
    </row>
    <row r="46" spans="2:87" ht="24" customHeight="1" thickBot="1" x14ac:dyDescent="0.25">
      <c r="B46" s="15">
        <v>904</v>
      </c>
      <c r="C46" s="15" t="s">
        <v>173</v>
      </c>
      <c r="D46" s="15">
        <v>21</v>
      </c>
      <c r="E46" s="15">
        <v>3</v>
      </c>
      <c r="F46" s="15">
        <v>2</v>
      </c>
      <c r="G46" s="15">
        <v>2</v>
      </c>
      <c r="H46" s="15">
        <v>1</v>
      </c>
      <c r="I46" s="15" t="s">
        <v>177</v>
      </c>
      <c r="J46" s="16"/>
      <c r="K46" s="15" t="s">
        <v>0</v>
      </c>
      <c r="L46" s="14">
        <v>64</v>
      </c>
      <c r="M46" s="13"/>
      <c r="N46" s="14">
        <v>70</v>
      </c>
      <c r="O46" s="13"/>
      <c r="P46" s="14">
        <v>66</v>
      </c>
      <c r="Q46" s="14">
        <v>66</v>
      </c>
      <c r="R46" s="14"/>
      <c r="S46" s="14"/>
      <c r="T46" s="13"/>
      <c r="U46" s="14">
        <v>65</v>
      </c>
      <c r="V46" s="13"/>
      <c r="W46" s="14">
        <v>76</v>
      </c>
      <c r="X46" s="13"/>
      <c r="Y46" s="14">
        <v>56</v>
      </c>
      <c r="Z46" s="13"/>
      <c r="AA46" s="4">
        <f t="shared" si="5"/>
        <v>66</v>
      </c>
      <c r="AB46" s="4">
        <f t="shared" si="6"/>
        <v>66.166666666666671</v>
      </c>
      <c r="AC46" s="4">
        <f t="shared" si="7"/>
        <v>2.7131367660166181</v>
      </c>
      <c r="AD46" s="3"/>
      <c r="AE46" s="3"/>
      <c r="AF46" s="3"/>
      <c r="AG46" s="3"/>
      <c r="AH46" s="3"/>
      <c r="AT46" s="12"/>
      <c r="AU46" s="12"/>
      <c r="AV46" s="11"/>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row>
    <row r="47" spans="2:87" ht="24" customHeight="1" x14ac:dyDescent="0.2">
      <c r="B47" s="7">
        <v>902</v>
      </c>
      <c r="C47" s="7" t="s">
        <v>175</v>
      </c>
      <c r="D47" s="7">
        <v>22</v>
      </c>
      <c r="E47" s="7">
        <v>4</v>
      </c>
      <c r="F47" s="7">
        <v>2</v>
      </c>
      <c r="G47" s="7">
        <v>2</v>
      </c>
      <c r="H47" s="7">
        <v>1</v>
      </c>
      <c r="I47" s="7" t="s">
        <v>178</v>
      </c>
      <c r="J47" s="9"/>
      <c r="K47" s="7" t="s">
        <v>2</v>
      </c>
      <c r="L47" s="6">
        <v>66</v>
      </c>
      <c r="M47" s="6"/>
      <c r="N47" s="6">
        <v>73</v>
      </c>
      <c r="O47" s="6"/>
      <c r="P47" s="6">
        <v>71</v>
      </c>
      <c r="Q47" s="6">
        <v>63</v>
      </c>
      <c r="R47" s="6"/>
      <c r="S47" s="6"/>
      <c r="T47" s="6"/>
      <c r="U47" s="6">
        <v>79</v>
      </c>
      <c r="V47" s="6"/>
      <c r="W47" s="6">
        <v>55</v>
      </c>
      <c r="X47" s="6"/>
      <c r="Y47" s="6">
        <v>72</v>
      </c>
      <c r="Z47" s="6"/>
      <c r="AA47" s="4">
        <f t="shared" si="5"/>
        <v>67</v>
      </c>
      <c r="AB47" s="4">
        <f t="shared" si="6"/>
        <v>68.666666666666671</v>
      </c>
      <c r="AC47" s="4">
        <f t="shared" si="7"/>
        <v>3.3333333333333282</v>
      </c>
      <c r="AD47" s="3"/>
      <c r="AE47" s="3"/>
      <c r="AF47" s="3"/>
      <c r="AG47" s="3"/>
      <c r="AH47" s="3"/>
    </row>
    <row r="48" spans="2:87" ht="24" customHeight="1" thickBot="1" x14ac:dyDescent="0.25">
      <c r="B48" s="15">
        <v>902</v>
      </c>
      <c r="C48" s="15" t="s">
        <v>175</v>
      </c>
      <c r="D48" s="15">
        <v>22</v>
      </c>
      <c r="E48" s="15">
        <v>4</v>
      </c>
      <c r="F48" s="15">
        <v>2</v>
      </c>
      <c r="G48" s="15">
        <v>2</v>
      </c>
      <c r="H48" s="15">
        <v>1</v>
      </c>
      <c r="I48" s="15" t="s">
        <v>178</v>
      </c>
      <c r="J48" s="16"/>
      <c r="K48" s="15" t="s">
        <v>0</v>
      </c>
      <c r="L48" s="14">
        <v>84</v>
      </c>
      <c r="M48" s="13"/>
      <c r="N48" s="14">
        <v>82</v>
      </c>
      <c r="O48" s="13"/>
      <c r="P48" s="14">
        <v>78</v>
      </c>
      <c r="Q48" s="14">
        <v>72</v>
      </c>
      <c r="R48" s="14"/>
      <c r="S48" s="14"/>
      <c r="T48" s="13"/>
      <c r="U48" s="14">
        <v>80</v>
      </c>
      <c r="V48" s="13"/>
      <c r="W48" s="14">
        <v>73</v>
      </c>
      <c r="X48" s="13"/>
      <c r="Y48" s="14">
        <v>89</v>
      </c>
      <c r="Z48" s="13"/>
      <c r="AA48" s="4">
        <f t="shared" si="5"/>
        <v>75</v>
      </c>
      <c r="AB48" s="4">
        <f t="shared" si="6"/>
        <v>80.5</v>
      </c>
      <c r="AC48" s="4">
        <f t="shared" si="7"/>
        <v>2.4048561980570344</v>
      </c>
      <c r="AD48" s="3"/>
      <c r="AE48" s="3"/>
      <c r="AF48" s="3"/>
      <c r="AG48" s="3"/>
      <c r="AH48" s="3"/>
      <c r="AT48" s="12"/>
      <c r="AU48" s="12"/>
      <c r="AV48" s="11"/>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row>
    <row r="49" spans="2:87" ht="24" customHeight="1" x14ac:dyDescent="0.2">
      <c r="B49" s="7">
        <f>B47-601</f>
        <v>301</v>
      </c>
      <c r="C49" s="7" t="s">
        <v>149</v>
      </c>
      <c r="D49" s="7">
        <v>10</v>
      </c>
      <c r="E49" s="7">
        <v>2</v>
      </c>
      <c r="F49" s="7">
        <v>2</v>
      </c>
      <c r="G49" s="7">
        <v>1</v>
      </c>
      <c r="H49" s="7">
        <v>3</v>
      </c>
      <c r="I49" s="7" t="s">
        <v>179</v>
      </c>
      <c r="J49" s="7"/>
      <c r="K49" s="7" t="s">
        <v>2</v>
      </c>
      <c r="L49" s="6">
        <v>90</v>
      </c>
      <c r="M49" s="6"/>
      <c r="N49" s="6">
        <v>94</v>
      </c>
      <c r="O49" s="6"/>
      <c r="P49" s="6">
        <v>88</v>
      </c>
      <c r="Q49" s="6">
        <v>87</v>
      </c>
      <c r="R49" s="6"/>
      <c r="S49" s="6"/>
      <c r="T49" s="6"/>
      <c r="U49" s="6">
        <v>81</v>
      </c>
      <c r="V49" s="6"/>
      <c r="W49" s="6">
        <v>78</v>
      </c>
      <c r="X49" s="6"/>
      <c r="Y49" s="6">
        <v>85</v>
      </c>
      <c r="Z49" s="6"/>
      <c r="AA49" s="4">
        <f t="shared" si="5"/>
        <v>87.5</v>
      </c>
      <c r="AB49" s="4">
        <f t="shared" si="6"/>
        <v>85.916666666666671</v>
      </c>
      <c r="AC49" s="4">
        <f t="shared" si="7"/>
        <v>2.3958876805430132</v>
      </c>
      <c r="AT49" s="12">
        <v>2</v>
      </c>
      <c r="AU49" s="12" t="s">
        <v>3</v>
      </c>
      <c r="AV49" s="12">
        <v>150</v>
      </c>
    </row>
    <row r="50" spans="2:87" ht="24" customHeight="1" thickBot="1" x14ac:dyDescent="0.25">
      <c r="B50" s="15">
        <f>B48-601</f>
        <v>301</v>
      </c>
      <c r="C50" s="15" t="s">
        <v>149</v>
      </c>
      <c r="D50" s="15">
        <v>10</v>
      </c>
      <c r="E50" s="15">
        <v>2</v>
      </c>
      <c r="F50" s="15">
        <v>2</v>
      </c>
      <c r="G50" s="15">
        <v>1</v>
      </c>
      <c r="H50" s="15">
        <v>3</v>
      </c>
      <c r="I50" s="15" t="s">
        <v>179</v>
      </c>
      <c r="J50" s="16"/>
      <c r="K50" s="15" t="s">
        <v>0</v>
      </c>
      <c r="L50" s="14">
        <v>89</v>
      </c>
      <c r="M50" s="13"/>
      <c r="N50" s="14">
        <v>105</v>
      </c>
      <c r="O50" s="13"/>
      <c r="P50" s="14">
        <v>104</v>
      </c>
      <c r="Q50" s="14">
        <v>98</v>
      </c>
      <c r="R50" s="14"/>
      <c r="S50" s="14"/>
      <c r="T50" s="13"/>
      <c r="U50" s="14">
        <v>97</v>
      </c>
      <c r="V50" s="13"/>
      <c r="W50" s="14">
        <v>94</v>
      </c>
      <c r="X50" s="13"/>
      <c r="Y50" s="14">
        <v>98</v>
      </c>
      <c r="Z50" s="13"/>
      <c r="AA50" s="4">
        <f t="shared" si="5"/>
        <v>101</v>
      </c>
      <c r="AB50" s="4">
        <f t="shared" si="6"/>
        <v>97.333333333333329</v>
      </c>
      <c r="AC50" s="4">
        <f t="shared" si="7"/>
        <v>2.2607766610417568</v>
      </c>
      <c r="AD50" s="3"/>
      <c r="AE50" s="3"/>
      <c r="AF50" s="3"/>
      <c r="AG50" s="3"/>
      <c r="AH50" s="3"/>
      <c r="AT50" s="12"/>
      <c r="AU50" s="12"/>
      <c r="AV50" s="11"/>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row>
    <row r="51" spans="2:87" ht="24" customHeight="1" x14ac:dyDescent="0.2">
      <c r="B51" s="7">
        <f t="shared" ref="B51:B64" si="8">B49+1</f>
        <v>302</v>
      </c>
      <c r="C51" s="7" t="s">
        <v>158</v>
      </c>
      <c r="D51" s="7">
        <v>4</v>
      </c>
      <c r="E51" s="7">
        <v>1</v>
      </c>
      <c r="F51" s="7">
        <v>2</v>
      </c>
      <c r="G51" s="7">
        <v>1</v>
      </c>
      <c r="H51" s="7">
        <v>3</v>
      </c>
      <c r="I51" s="7" t="s">
        <v>180</v>
      </c>
      <c r="J51" s="9"/>
      <c r="K51" s="7" t="s">
        <v>2</v>
      </c>
      <c r="L51" s="6">
        <v>73</v>
      </c>
      <c r="M51" s="6"/>
      <c r="N51" s="6">
        <v>73</v>
      </c>
      <c r="O51" s="6"/>
      <c r="P51" s="6">
        <v>83</v>
      </c>
      <c r="Q51" s="6">
        <v>76</v>
      </c>
      <c r="R51" s="6"/>
      <c r="S51" s="6"/>
      <c r="T51" s="6"/>
      <c r="U51" s="6">
        <v>64</v>
      </c>
      <c r="V51" s="6"/>
      <c r="W51" s="6">
        <v>69</v>
      </c>
      <c r="X51" s="6"/>
      <c r="Y51" s="6">
        <v>76</v>
      </c>
      <c r="Z51" s="6"/>
      <c r="AA51" s="4">
        <f t="shared" si="5"/>
        <v>79.5</v>
      </c>
      <c r="AB51" s="4">
        <f t="shared" si="6"/>
        <v>72.416666666666671</v>
      </c>
      <c r="AC51" s="4">
        <f t="shared" si="7"/>
        <v>2.2076256727785877</v>
      </c>
      <c r="AD51" s="3"/>
      <c r="AE51" s="3"/>
      <c r="AF51" s="3"/>
      <c r="AG51" s="3"/>
      <c r="AH51" s="3"/>
    </row>
    <row r="52" spans="2:87" ht="24" customHeight="1" thickBot="1" x14ac:dyDescent="0.25">
      <c r="B52" s="15">
        <f t="shared" si="8"/>
        <v>302</v>
      </c>
      <c r="C52" s="15" t="s">
        <v>158</v>
      </c>
      <c r="D52" s="15">
        <v>4</v>
      </c>
      <c r="E52" s="15">
        <v>1</v>
      </c>
      <c r="F52" s="15">
        <v>2</v>
      </c>
      <c r="G52" s="15">
        <v>1</v>
      </c>
      <c r="H52" s="15">
        <v>3</v>
      </c>
      <c r="I52" s="15" t="s">
        <v>180</v>
      </c>
      <c r="J52" s="16"/>
      <c r="K52" s="15" t="s">
        <v>0</v>
      </c>
      <c r="L52" s="14">
        <v>97</v>
      </c>
      <c r="M52" s="13"/>
      <c r="N52" s="14">
        <v>113</v>
      </c>
      <c r="O52" s="13"/>
      <c r="P52" s="14">
        <v>90</v>
      </c>
      <c r="Q52" s="14">
        <v>96</v>
      </c>
      <c r="R52" s="14"/>
      <c r="S52" s="14"/>
      <c r="T52" s="13"/>
      <c r="U52" s="14">
        <v>113</v>
      </c>
      <c r="V52" s="13"/>
      <c r="W52" s="14">
        <v>107</v>
      </c>
      <c r="X52" s="13"/>
      <c r="Y52" s="14">
        <v>107</v>
      </c>
      <c r="Z52" s="13"/>
      <c r="AA52" s="4">
        <f t="shared" si="5"/>
        <v>93</v>
      </c>
      <c r="AB52" s="4">
        <f t="shared" si="6"/>
        <v>105</v>
      </c>
      <c r="AC52" s="4">
        <f t="shared" si="7"/>
        <v>3.3862466931200785</v>
      </c>
      <c r="AD52" s="3"/>
      <c r="AE52" s="3"/>
      <c r="AF52" s="3"/>
      <c r="AG52" s="3"/>
      <c r="AH52" s="3"/>
      <c r="AT52" s="12"/>
      <c r="AU52" s="12"/>
      <c r="AV52" s="11"/>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row>
    <row r="53" spans="2:87" ht="24" customHeight="1" x14ac:dyDescent="0.2">
      <c r="B53" s="7">
        <f t="shared" si="8"/>
        <v>303</v>
      </c>
      <c r="C53" s="7" t="s">
        <v>168</v>
      </c>
      <c r="D53" s="7">
        <v>8</v>
      </c>
      <c r="E53" s="7">
        <v>2</v>
      </c>
      <c r="F53" s="7">
        <v>1</v>
      </c>
      <c r="G53" s="7">
        <v>1</v>
      </c>
      <c r="H53" s="7">
        <v>3</v>
      </c>
      <c r="I53" s="7" t="s">
        <v>181</v>
      </c>
      <c r="J53" s="9"/>
      <c r="K53" s="7" t="s">
        <v>2</v>
      </c>
      <c r="L53" s="6">
        <v>77</v>
      </c>
      <c r="M53" s="6"/>
      <c r="N53" s="6">
        <v>73</v>
      </c>
      <c r="O53" s="6"/>
      <c r="P53" s="6">
        <v>86</v>
      </c>
      <c r="Q53" s="6">
        <v>81</v>
      </c>
      <c r="R53" s="6"/>
      <c r="S53" s="6"/>
      <c r="T53" s="6"/>
      <c r="U53" s="6">
        <v>80</v>
      </c>
      <c r="V53" s="6"/>
      <c r="W53" s="6">
        <v>83</v>
      </c>
      <c r="X53" s="6"/>
      <c r="Y53" s="6">
        <v>84</v>
      </c>
      <c r="Z53" s="6"/>
      <c r="AA53" s="4">
        <f t="shared" si="5"/>
        <v>83.5</v>
      </c>
      <c r="AB53" s="4">
        <f t="shared" si="6"/>
        <v>80.083333333333329</v>
      </c>
      <c r="AC53" s="4">
        <f t="shared" si="7"/>
        <v>1.7814631938693293</v>
      </c>
      <c r="AD53" s="3"/>
      <c r="AE53" s="3"/>
      <c r="AF53" s="3"/>
      <c r="AG53" s="3"/>
      <c r="AH53" s="3"/>
    </row>
    <row r="54" spans="2:87" ht="24" customHeight="1" thickBot="1" x14ac:dyDescent="0.25">
      <c r="B54" s="15">
        <f t="shared" si="8"/>
        <v>303</v>
      </c>
      <c r="C54" s="15" t="s">
        <v>168</v>
      </c>
      <c r="D54" s="15">
        <v>8</v>
      </c>
      <c r="E54" s="15">
        <v>2</v>
      </c>
      <c r="F54" s="15">
        <v>1</v>
      </c>
      <c r="G54" s="15">
        <v>1</v>
      </c>
      <c r="H54" s="15">
        <v>3</v>
      </c>
      <c r="I54" s="15" t="s">
        <v>181</v>
      </c>
      <c r="J54" s="16"/>
      <c r="K54" s="15" t="s">
        <v>0</v>
      </c>
      <c r="L54" s="14">
        <v>96</v>
      </c>
      <c r="M54" s="13"/>
      <c r="N54" s="14">
        <v>103</v>
      </c>
      <c r="O54" s="13"/>
      <c r="P54" s="14">
        <v>97</v>
      </c>
      <c r="Q54" s="14">
        <v>104</v>
      </c>
      <c r="R54" s="14"/>
      <c r="S54" s="14"/>
      <c r="T54" s="13"/>
      <c r="U54" s="14">
        <v>82</v>
      </c>
      <c r="V54" s="13"/>
      <c r="W54" s="14">
        <v>105</v>
      </c>
      <c r="X54" s="13"/>
      <c r="Y54" s="14">
        <v>108</v>
      </c>
      <c r="Z54" s="13"/>
      <c r="AA54" s="4">
        <f t="shared" si="5"/>
        <v>100.5</v>
      </c>
      <c r="AB54" s="4">
        <f t="shared" si="6"/>
        <v>99.083333333333329</v>
      </c>
      <c r="AC54" s="4">
        <f t="shared" si="7"/>
        <v>3.8000365495318307</v>
      </c>
      <c r="AD54" s="3"/>
      <c r="AE54" s="3"/>
      <c r="AF54" s="3"/>
      <c r="AG54" s="3"/>
      <c r="AH54" s="3"/>
      <c r="AT54" s="12"/>
      <c r="AU54" s="12"/>
      <c r="AV54" s="11"/>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row>
    <row r="55" spans="2:87" ht="24" customHeight="1" x14ac:dyDescent="0.2">
      <c r="B55" s="7">
        <f t="shared" si="8"/>
        <v>304</v>
      </c>
      <c r="C55" s="7" t="s">
        <v>171</v>
      </c>
      <c r="D55" s="7">
        <v>2</v>
      </c>
      <c r="E55" s="7">
        <v>1</v>
      </c>
      <c r="F55" s="7">
        <v>1</v>
      </c>
      <c r="G55" s="7">
        <v>1</v>
      </c>
      <c r="H55" s="7">
        <v>3</v>
      </c>
      <c r="I55" s="7" t="s">
        <v>182</v>
      </c>
      <c r="J55" s="9"/>
      <c r="K55" s="7" t="s">
        <v>2</v>
      </c>
      <c r="L55" s="6">
        <v>87</v>
      </c>
      <c r="M55" s="6"/>
      <c r="N55" s="6">
        <v>77</v>
      </c>
      <c r="O55" s="6"/>
      <c r="P55" s="6">
        <v>95</v>
      </c>
      <c r="Q55" s="6">
        <v>82</v>
      </c>
      <c r="R55" s="6"/>
      <c r="S55" s="6"/>
      <c r="T55" s="6"/>
      <c r="U55" s="6">
        <v>81</v>
      </c>
      <c r="V55" s="6"/>
      <c r="W55" s="6">
        <v>85</v>
      </c>
      <c r="X55" s="6"/>
      <c r="Y55" s="6">
        <v>86</v>
      </c>
      <c r="Z55" s="6"/>
      <c r="AA55" s="4">
        <f t="shared" si="5"/>
        <v>88.5</v>
      </c>
      <c r="AB55" s="4">
        <f t="shared" si="6"/>
        <v>84.083333333333329</v>
      </c>
      <c r="AC55" s="4">
        <f t="shared" si="7"/>
        <v>1.7531717289276345</v>
      </c>
      <c r="AD55" s="3"/>
      <c r="AE55" s="3"/>
      <c r="AF55" s="3"/>
      <c r="AG55" s="3"/>
      <c r="AH55" s="3"/>
    </row>
    <row r="56" spans="2:87" ht="24" customHeight="1" thickBot="1" x14ac:dyDescent="0.25">
      <c r="B56" s="15">
        <f t="shared" si="8"/>
        <v>304</v>
      </c>
      <c r="C56" s="15" t="s">
        <v>171</v>
      </c>
      <c r="D56" s="15">
        <v>2</v>
      </c>
      <c r="E56" s="15">
        <v>1</v>
      </c>
      <c r="F56" s="15">
        <v>1</v>
      </c>
      <c r="G56" s="15">
        <v>1</v>
      </c>
      <c r="H56" s="15">
        <v>3</v>
      </c>
      <c r="I56" s="15" t="s">
        <v>182</v>
      </c>
      <c r="J56" s="16"/>
      <c r="K56" s="15" t="s">
        <v>0</v>
      </c>
      <c r="L56" s="14">
        <v>104</v>
      </c>
      <c r="M56" s="13"/>
      <c r="N56" s="14">
        <v>110</v>
      </c>
      <c r="O56" s="13"/>
      <c r="P56" s="14">
        <v>96</v>
      </c>
      <c r="Q56" s="14">
        <v>97</v>
      </c>
      <c r="R56" s="14"/>
      <c r="S56" s="14"/>
      <c r="T56" s="13"/>
      <c r="U56" s="14">
        <v>98</v>
      </c>
      <c r="V56" s="13"/>
      <c r="W56" s="14">
        <v>93</v>
      </c>
      <c r="X56" s="13"/>
      <c r="Y56" s="14">
        <v>90</v>
      </c>
      <c r="Z56" s="13"/>
      <c r="AA56" s="4">
        <f t="shared" si="5"/>
        <v>96.5</v>
      </c>
      <c r="AB56" s="4">
        <f t="shared" si="6"/>
        <v>98.583333333333329</v>
      </c>
      <c r="AC56" s="4">
        <f t="shared" si="7"/>
        <v>2.9955986231655127</v>
      </c>
      <c r="AD56" s="3"/>
      <c r="AE56" s="3"/>
      <c r="AF56" s="3"/>
      <c r="AG56" s="3"/>
      <c r="AH56" s="3"/>
      <c r="AT56" s="12"/>
      <c r="AU56" s="12"/>
      <c r="AV56" s="11"/>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row>
    <row r="57" spans="2:87" ht="24" customHeight="1" thickBot="1" x14ac:dyDescent="0.25">
      <c r="B57" s="7">
        <f t="shared" si="8"/>
        <v>305</v>
      </c>
      <c r="C57" s="7" t="s">
        <v>165</v>
      </c>
      <c r="D57" s="7">
        <v>11</v>
      </c>
      <c r="E57" s="7">
        <v>2</v>
      </c>
      <c r="F57" s="7">
        <v>3</v>
      </c>
      <c r="G57" s="7">
        <v>2</v>
      </c>
      <c r="H57" s="7">
        <v>4</v>
      </c>
      <c r="I57" s="7" t="s">
        <v>183</v>
      </c>
      <c r="J57" s="16"/>
      <c r="K57" s="7" t="s">
        <v>2</v>
      </c>
      <c r="L57" s="6">
        <v>87</v>
      </c>
      <c r="M57" s="6"/>
      <c r="N57" s="6">
        <v>92</v>
      </c>
      <c r="O57" s="6"/>
      <c r="P57" s="6">
        <v>86</v>
      </c>
      <c r="Q57" s="6">
        <v>90</v>
      </c>
      <c r="R57" s="6"/>
      <c r="S57" s="6"/>
      <c r="T57" s="6"/>
      <c r="U57" s="6">
        <v>96</v>
      </c>
      <c r="V57" s="6"/>
      <c r="W57" s="6">
        <v>100</v>
      </c>
      <c r="X57" s="6"/>
      <c r="Y57" s="6">
        <v>90</v>
      </c>
      <c r="Z57" s="6"/>
      <c r="AA57" s="4">
        <f t="shared" si="5"/>
        <v>88</v>
      </c>
      <c r="AB57" s="4">
        <f t="shared" si="6"/>
        <v>92.166666666666671</v>
      </c>
      <c r="AC57" s="4">
        <f t="shared" si="7"/>
        <v>2.0398801707725656</v>
      </c>
      <c r="AD57" s="3"/>
      <c r="AE57" s="3"/>
      <c r="AF57" s="3"/>
      <c r="AG57" s="3"/>
      <c r="AH57" s="3"/>
    </row>
    <row r="58" spans="2:87" ht="24" customHeight="1" thickBot="1" x14ac:dyDescent="0.25">
      <c r="B58" s="15">
        <f t="shared" si="8"/>
        <v>305</v>
      </c>
      <c r="C58" s="15" t="s">
        <v>165</v>
      </c>
      <c r="D58" s="15">
        <v>11</v>
      </c>
      <c r="E58" s="15">
        <v>2</v>
      </c>
      <c r="F58" s="15">
        <v>3</v>
      </c>
      <c r="G58" s="15">
        <v>2</v>
      </c>
      <c r="H58" s="15">
        <v>4</v>
      </c>
      <c r="I58" s="15" t="s">
        <v>183</v>
      </c>
      <c r="J58" s="16"/>
      <c r="K58" s="15" t="s">
        <v>0</v>
      </c>
      <c r="L58" s="14">
        <v>148</v>
      </c>
      <c r="M58" s="13"/>
      <c r="N58" s="14">
        <v>146</v>
      </c>
      <c r="O58" s="13"/>
      <c r="P58" s="14">
        <v>118</v>
      </c>
      <c r="Q58" s="14">
        <v>64</v>
      </c>
      <c r="R58" s="14"/>
      <c r="S58" s="14"/>
      <c r="T58" s="13"/>
      <c r="U58" s="14">
        <v>100</v>
      </c>
      <c r="V58" s="13"/>
      <c r="W58" s="14">
        <v>127</v>
      </c>
      <c r="X58" s="13"/>
      <c r="Y58" s="14">
        <v>108</v>
      </c>
      <c r="Z58" s="13"/>
      <c r="AA58" s="4">
        <f t="shared" si="5"/>
        <v>91</v>
      </c>
      <c r="AB58" s="4">
        <f t="shared" si="6"/>
        <v>120</v>
      </c>
      <c r="AC58" s="4">
        <f t="shared" si="7"/>
        <v>9.8217445836606174</v>
      </c>
      <c r="AD58" s="3"/>
      <c r="AE58" s="3"/>
      <c r="AF58" s="3"/>
      <c r="AG58" s="3"/>
      <c r="AH58" s="3"/>
      <c r="AT58" s="12"/>
      <c r="AU58" s="12"/>
      <c r="AV58" s="11"/>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row>
    <row r="59" spans="2:87" ht="24" customHeight="1" x14ac:dyDescent="0.2">
      <c r="B59" s="7">
        <f t="shared" si="8"/>
        <v>306</v>
      </c>
      <c r="C59" s="7" t="s">
        <v>158</v>
      </c>
      <c r="D59" s="7">
        <v>4</v>
      </c>
      <c r="E59" s="7">
        <v>1</v>
      </c>
      <c r="F59" s="7">
        <v>2</v>
      </c>
      <c r="G59" s="7">
        <v>1</v>
      </c>
      <c r="H59" s="7">
        <v>4</v>
      </c>
      <c r="I59" s="7" t="s">
        <v>184</v>
      </c>
      <c r="J59" s="9"/>
      <c r="K59" s="7" t="s">
        <v>2</v>
      </c>
      <c r="L59" s="6">
        <v>81</v>
      </c>
      <c r="M59" s="6"/>
      <c r="N59" s="6">
        <v>76</v>
      </c>
      <c r="O59" s="6"/>
      <c r="P59" s="6">
        <v>84</v>
      </c>
      <c r="Q59" s="6">
        <v>78</v>
      </c>
      <c r="R59" s="6"/>
      <c r="S59" s="6"/>
      <c r="T59" s="6"/>
      <c r="U59" s="6">
        <v>88</v>
      </c>
      <c r="V59" s="6"/>
      <c r="W59" s="6">
        <v>79</v>
      </c>
      <c r="X59" s="6"/>
      <c r="Y59" s="6">
        <v>93</v>
      </c>
      <c r="Z59" s="6"/>
      <c r="AA59" s="4">
        <f t="shared" si="5"/>
        <v>81</v>
      </c>
      <c r="AB59" s="4">
        <f t="shared" si="6"/>
        <v>83</v>
      </c>
      <c r="AC59" s="4">
        <f t="shared" si="7"/>
        <v>2.5690465157330262</v>
      </c>
      <c r="AD59" s="3"/>
      <c r="AE59" s="3"/>
      <c r="AF59" s="3"/>
      <c r="AG59" s="3"/>
      <c r="AH59" s="3"/>
    </row>
    <row r="60" spans="2:87" ht="24" customHeight="1" thickBot="1" x14ac:dyDescent="0.25">
      <c r="B60" s="15">
        <f t="shared" si="8"/>
        <v>306</v>
      </c>
      <c r="C60" s="15" t="s">
        <v>158</v>
      </c>
      <c r="D60" s="15">
        <v>4</v>
      </c>
      <c r="E60" s="15">
        <v>1</v>
      </c>
      <c r="F60" s="15">
        <v>2</v>
      </c>
      <c r="G60" s="15">
        <v>1</v>
      </c>
      <c r="H60" s="15">
        <v>4</v>
      </c>
      <c r="I60" s="15" t="s">
        <v>184</v>
      </c>
      <c r="J60" s="16"/>
      <c r="K60" s="15" t="s">
        <v>0</v>
      </c>
      <c r="L60" s="14">
        <v>105</v>
      </c>
      <c r="M60" s="13"/>
      <c r="N60" s="14">
        <v>83</v>
      </c>
      <c r="O60" s="13"/>
      <c r="P60" s="14">
        <v>92</v>
      </c>
      <c r="Q60" s="14">
        <v>84</v>
      </c>
      <c r="R60" s="14"/>
      <c r="S60" s="14"/>
      <c r="T60" s="13"/>
      <c r="U60" s="14">
        <v>93</v>
      </c>
      <c r="V60" s="13"/>
      <c r="W60" s="14">
        <v>112</v>
      </c>
      <c r="X60" s="13"/>
      <c r="Y60" s="14">
        <v>105</v>
      </c>
      <c r="Z60" s="13"/>
      <c r="AA60" s="4">
        <f t="shared" si="5"/>
        <v>88</v>
      </c>
      <c r="AB60" s="4">
        <f t="shared" si="6"/>
        <v>97.666666666666671</v>
      </c>
      <c r="AC60" s="4">
        <f t="shared" si="7"/>
        <v>4.6308146631499438</v>
      </c>
      <c r="AD60" s="3"/>
      <c r="AE60" s="3"/>
      <c r="AF60" s="3"/>
      <c r="AG60" s="3"/>
      <c r="AH60" s="3"/>
      <c r="AT60" s="12"/>
      <c r="AU60" s="12"/>
      <c r="AV60" s="11"/>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row>
    <row r="61" spans="2:87" ht="24" customHeight="1" x14ac:dyDescent="0.2">
      <c r="B61" s="7">
        <f t="shared" si="8"/>
        <v>307</v>
      </c>
      <c r="C61" s="7" t="s">
        <v>151</v>
      </c>
      <c r="D61" s="7">
        <v>9</v>
      </c>
      <c r="E61" s="7">
        <v>2</v>
      </c>
      <c r="F61" s="7">
        <v>2</v>
      </c>
      <c r="G61" s="7">
        <v>2</v>
      </c>
      <c r="H61" s="7">
        <v>4</v>
      </c>
      <c r="I61" s="7" t="s">
        <v>185</v>
      </c>
      <c r="J61" s="9"/>
      <c r="K61" s="7" t="s">
        <v>2</v>
      </c>
      <c r="L61" s="6">
        <v>89</v>
      </c>
      <c r="M61" s="5"/>
      <c r="N61" s="6">
        <v>93</v>
      </c>
      <c r="O61" s="5"/>
      <c r="P61" s="6">
        <v>87</v>
      </c>
      <c r="Q61" s="6">
        <v>86</v>
      </c>
      <c r="R61" s="6"/>
      <c r="S61" s="6"/>
      <c r="T61" s="5"/>
      <c r="U61" s="6">
        <v>83</v>
      </c>
      <c r="V61" s="5"/>
      <c r="W61" s="6">
        <v>89</v>
      </c>
      <c r="X61" s="5"/>
      <c r="Y61" s="6">
        <v>91</v>
      </c>
      <c r="Z61" s="5"/>
      <c r="AA61" s="4">
        <f t="shared" si="5"/>
        <v>86.5</v>
      </c>
      <c r="AB61" s="4">
        <f t="shared" si="6"/>
        <v>88.583333333333329</v>
      </c>
      <c r="AC61" s="4">
        <f t="shared" si="7"/>
        <v>1.4283829240710553</v>
      </c>
      <c r="AD61" s="3"/>
      <c r="AE61" s="3"/>
      <c r="AF61" s="3"/>
      <c r="AG61" s="3"/>
      <c r="AH61" s="3"/>
    </row>
    <row r="62" spans="2:87" ht="24" customHeight="1" thickBot="1" x14ac:dyDescent="0.25">
      <c r="B62" s="15">
        <f t="shared" si="8"/>
        <v>307</v>
      </c>
      <c r="C62" s="15" t="s">
        <v>151</v>
      </c>
      <c r="D62" s="15">
        <v>9</v>
      </c>
      <c r="E62" s="15">
        <v>2</v>
      </c>
      <c r="F62" s="15">
        <v>2</v>
      </c>
      <c r="G62" s="15">
        <v>2</v>
      </c>
      <c r="H62" s="15">
        <v>4</v>
      </c>
      <c r="I62" s="15" t="s">
        <v>185</v>
      </c>
      <c r="J62" s="16"/>
      <c r="K62" s="15" t="s">
        <v>0</v>
      </c>
      <c r="L62" s="14">
        <v>102</v>
      </c>
      <c r="M62" s="13"/>
      <c r="N62" s="14">
        <v>120</v>
      </c>
      <c r="O62" s="13"/>
      <c r="P62" s="14">
        <v>114</v>
      </c>
      <c r="Q62" s="14">
        <v>119</v>
      </c>
      <c r="R62" s="14"/>
      <c r="S62" s="14"/>
      <c r="T62" s="13"/>
      <c r="U62" s="14">
        <v>120</v>
      </c>
      <c r="V62" s="13"/>
      <c r="W62" s="14">
        <v>113</v>
      </c>
      <c r="X62" s="13"/>
      <c r="Y62" s="14">
        <v>115</v>
      </c>
      <c r="Z62" s="13"/>
      <c r="AA62" s="4">
        <f t="shared" si="5"/>
        <v>116.5</v>
      </c>
      <c r="AB62" s="4">
        <f t="shared" si="6"/>
        <v>114.41666666666667</v>
      </c>
      <c r="AC62" s="4">
        <f t="shared" si="7"/>
        <v>2.7276872580590648</v>
      </c>
      <c r="AD62" s="3"/>
      <c r="AE62" s="3"/>
      <c r="AF62" s="3"/>
      <c r="AG62" s="3"/>
      <c r="AH62" s="3"/>
      <c r="AT62" s="12"/>
      <c r="AU62" s="12"/>
      <c r="AV62" s="11"/>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row>
    <row r="63" spans="2:87" ht="24" customHeight="1" x14ac:dyDescent="0.2">
      <c r="B63" s="7">
        <f t="shared" si="8"/>
        <v>308</v>
      </c>
      <c r="C63" s="7" t="s">
        <v>156</v>
      </c>
      <c r="D63" s="7">
        <v>5</v>
      </c>
      <c r="E63" s="7">
        <v>1</v>
      </c>
      <c r="F63" s="7">
        <v>3</v>
      </c>
      <c r="G63" s="7">
        <v>2</v>
      </c>
      <c r="H63" s="7">
        <v>4</v>
      </c>
      <c r="I63" s="7" t="s">
        <v>186</v>
      </c>
      <c r="J63" s="9"/>
      <c r="K63" s="7" t="s">
        <v>2</v>
      </c>
      <c r="L63" s="6">
        <v>79</v>
      </c>
      <c r="M63" s="5"/>
      <c r="N63" s="6">
        <v>83</v>
      </c>
      <c r="O63" s="5"/>
      <c r="P63" s="6">
        <v>88</v>
      </c>
      <c r="Q63" s="6">
        <v>84</v>
      </c>
      <c r="R63" s="6"/>
      <c r="S63" s="6"/>
      <c r="T63" s="5"/>
      <c r="U63" s="6">
        <v>85</v>
      </c>
      <c r="V63" s="5"/>
      <c r="W63" s="6">
        <v>82</v>
      </c>
      <c r="X63" s="5"/>
      <c r="Y63" s="6">
        <v>82</v>
      </c>
      <c r="Z63" s="5"/>
      <c r="AA63" s="4">
        <f t="shared" si="5"/>
        <v>86</v>
      </c>
      <c r="AB63" s="4">
        <f t="shared" si="6"/>
        <v>82.833333333333329</v>
      </c>
      <c r="AC63" s="4">
        <f t="shared" si="7"/>
        <v>1.0137937550497034</v>
      </c>
      <c r="AD63" s="3"/>
      <c r="AE63" s="3"/>
      <c r="AF63" s="3"/>
      <c r="AG63" s="3"/>
      <c r="AH63" s="3"/>
    </row>
    <row r="64" spans="2:87" ht="24" customHeight="1" x14ac:dyDescent="0.2">
      <c r="B64" s="7">
        <f t="shared" si="8"/>
        <v>308</v>
      </c>
      <c r="C64" s="7" t="s">
        <v>156</v>
      </c>
      <c r="D64" s="7">
        <v>5</v>
      </c>
      <c r="E64" s="7">
        <v>1</v>
      </c>
      <c r="F64" s="7">
        <v>3</v>
      </c>
      <c r="G64" s="7">
        <v>2</v>
      </c>
      <c r="H64" s="7">
        <v>4</v>
      </c>
      <c r="I64" s="7" t="s">
        <v>186</v>
      </c>
      <c r="J64" s="9"/>
      <c r="K64" s="7" t="s">
        <v>0</v>
      </c>
      <c r="L64" s="6">
        <v>101</v>
      </c>
      <c r="M64" s="6"/>
      <c r="N64" s="6">
        <v>96</v>
      </c>
      <c r="O64" s="6"/>
      <c r="P64" s="6">
        <v>99</v>
      </c>
      <c r="Q64" s="6">
        <v>100</v>
      </c>
      <c r="R64" s="6"/>
      <c r="S64" s="6"/>
      <c r="T64" s="6"/>
      <c r="U64" s="6">
        <v>119</v>
      </c>
      <c r="V64" s="6"/>
      <c r="W64" s="6">
        <v>102</v>
      </c>
      <c r="X64" s="6"/>
      <c r="Y64" s="6">
        <v>103</v>
      </c>
      <c r="Z64" s="6"/>
      <c r="AA64" s="4">
        <f t="shared" si="5"/>
        <v>99.5</v>
      </c>
      <c r="AB64" s="4">
        <f t="shared" si="6"/>
        <v>103.41666666666667</v>
      </c>
      <c r="AC64" s="4">
        <f t="shared" si="7"/>
        <v>3.2721467638913215</v>
      </c>
      <c r="AD64" s="3"/>
      <c r="AE64" s="3"/>
      <c r="AF64" s="3"/>
      <c r="AG64" s="3"/>
      <c r="AH64" s="3"/>
    </row>
    <row r="65" spans="2:87" ht="24" customHeight="1" x14ac:dyDescent="0.2">
      <c r="B65" s="7">
        <f>B63+100</f>
        <v>408</v>
      </c>
      <c r="C65" s="7" t="s">
        <v>149</v>
      </c>
      <c r="D65" s="7">
        <v>10</v>
      </c>
      <c r="E65" s="7">
        <v>2</v>
      </c>
      <c r="F65" s="7">
        <v>2</v>
      </c>
      <c r="G65" s="7">
        <v>1</v>
      </c>
      <c r="H65" s="7">
        <v>4</v>
      </c>
      <c r="I65" s="7" t="s">
        <v>187</v>
      </c>
      <c r="J65" s="7"/>
      <c r="K65" s="7" t="s">
        <v>2</v>
      </c>
      <c r="L65" s="6">
        <v>86</v>
      </c>
      <c r="M65" s="6"/>
      <c r="N65" s="6">
        <v>81</v>
      </c>
      <c r="O65" s="6"/>
      <c r="P65" s="6">
        <v>78</v>
      </c>
      <c r="Q65" s="6">
        <v>84</v>
      </c>
      <c r="R65" s="6"/>
      <c r="S65" s="6"/>
      <c r="T65" s="6"/>
      <c r="U65" s="6">
        <v>91</v>
      </c>
      <c r="V65" s="6"/>
      <c r="W65" s="6">
        <v>103</v>
      </c>
      <c r="X65" s="6"/>
      <c r="Y65" s="6">
        <v>73</v>
      </c>
      <c r="Z65" s="6"/>
      <c r="AA65" s="4">
        <f t="shared" si="5"/>
        <v>81</v>
      </c>
      <c r="AB65" s="4">
        <f t="shared" si="6"/>
        <v>85.833333333333329</v>
      </c>
      <c r="AC65" s="4">
        <f t="shared" si="7"/>
        <v>4.2143933265787137</v>
      </c>
      <c r="AT65" s="12">
        <v>2</v>
      </c>
      <c r="AU65" s="12" t="s">
        <v>3</v>
      </c>
      <c r="AV65" s="12">
        <v>150</v>
      </c>
    </row>
    <row r="66" spans="2:87" ht="24" customHeight="1" thickBot="1" x14ac:dyDescent="0.25">
      <c r="B66" s="7">
        <f>B64+100</f>
        <v>408</v>
      </c>
      <c r="C66" s="15" t="s">
        <v>149</v>
      </c>
      <c r="D66" s="15">
        <v>10</v>
      </c>
      <c r="E66" s="15">
        <v>2</v>
      </c>
      <c r="F66" s="15">
        <v>2</v>
      </c>
      <c r="G66" s="15">
        <v>1</v>
      </c>
      <c r="H66" s="15">
        <v>4</v>
      </c>
      <c r="I66" s="15" t="s">
        <v>187</v>
      </c>
      <c r="J66" s="16"/>
      <c r="K66" s="15" t="s">
        <v>0</v>
      </c>
      <c r="L66" s="14">
        <v>108</v>
      </c>
      <c r="M66" s="13"/>
      <c r="N66" s="14">
        <v>100</v>
      </c>
      <c r="O66" s="13"/>
      <c r="P66" s="14">
        <v>112</v>
      </c>
      <c r="Q66" s="14">
        <v>118</v>
      </c>
      <c r="R66" s="14"/>
      <c r="S66" s="14"/>
      <c r="T66" s="13"/>
      <c r="U66" s="14">
        <v>101</v>
      </c>
      <c r="V66" s="13"/>
      <c r="W66" s="14">
        <v>103</v>
      </c>
      <c r="X66" s="13"/>
      <c r="Y66" s="14">
        <v>122</v>
      </c>
      <c r="Z66" s="13"/>
      <c r="AA66" s="4">
        <f t="shared" si="5"/>
        <v>115</v>
      </c>
      <c r="AB66" s="4">
        <f t="shared" si="6"/>
        <v>108.16666666666667</v>
      </c>
      <c r="AC66" s="4">
        <f t="shared" si="7"/>
        <v>3.5722697422102816</v>
      </c>
      <c r="AD66" s="3"/>
      <c r="AE66" s="3"/>
      <c r="AF66" s="3"/>
      <c r="AG66" s="3"/>
      <c r="AH66" s="3"/>
      <c r="AT66" s="12"/>
      <c r="AU66" s="12"/>
      <c r="AV66" s="11"/>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row>
    <row r="67" spans="2:87" ht="24" customHeight="1" x14ac:dyDescent="0.2">
      <c r="B67" s="7">
        <f t="shared" ref="B67:B80" si="9">B65-1</f>
        <v>407</v>
      </c>
      <c r="C67" s="7" t="s">
        <v>188</v>
      </c>
      <c r="D67" s="7">
        <v>7</v>
      </c>
      <c r="E67" s="7">
        <v>2</v>
      </c>
      <c r="F67" s="7">
        <v>1</v>
      </c>
      <c r="G67" s="7">
        <v>2</v>
      </c>
      <c r="H67" s="7">
        <v>4</v>
      </c>
      <c r="I67" s="7" t="s">
        <v>189</v>
      </c>
      <c r="J67" s="9"/>
      <c r="K67" s="7" t="s">
        <v>2</v>
      </c>
      <c r="L67" s="6">
        <v>75</v>
      </c>
      <c r="M67" s="6"/>
      <c r="N67" s="6">
        <v>88</v>
      </c>
      <c r="O67" s="6"/>
      <c r="P67" s="6">
        <v>79</v>
      </c>
      <c r="Q67" s="6">
        <v>83</v>
      </c>
      <c r="R67" s="6"/>
      <c r="S67" s="6"/>
      <c r="T67" s="6"/>
      <c r="U67" s="6">
        <v>85</v>
      </c>
      <c r="V67" s="6"/>
      <c r="W67" s="6">
        <v>78</v>
      </c>
      <c r="X67" s="6"/>
      <c r="Y67" s="6">
        <v>100</v>
      </c>
      <c r="Z67" s="6"/>
      <c r="AA67" s="4">
        <f t="shared" si="5"/>
        <v>81</v>
      </c>
      <c r="AB67" s="4">
        <f t="shared" si="6"/>
        <v>84.5</v>
      </c>
      <c r="AC67" s="4">
        <f t="shared" si="7"/>
        <v>3.640054944640259</v>
      </c>
      <c r="AD67" s="3"/>
      <c r="AE67" s="3"/>
      <c r="AF67" s="3"/>
      <c r="AG67" s="3"/>
      <c r="AH67" s="3"/>
    </row>
    <row r="68" spans="2:87" ht="24" customHeight="1" thickBot="1" x14ac:dyDescent="0.25">
      <c r="B68" s="7">
        <f t="shared" si="9"/>
        <v>407</v>
      </c>
      <c r="C68" s="15" t="s">
        <v>188</v>
      </c>
      <c r="D68" s="15">
        <v>7</v>
      </c>
      <c r="E68" s="15">
        <v>2</v>
      </c>
      <c r="F68" s="15">
        <v>1</v>
      </c>
      <c r="G68" s="15">
        <v>2</v>
      </c>
      <c r="H68" s="15">
        <v>4</v>
      </c>
      <c r="I68" s="15" t="s">
        <v>189</v>
      </c>
      <c r="J68" s="16"/>
      <c r="K68" s="15" t="s">
        <v>0</v>
      </c>
      <c r="L68" s="14">
        <v>114</v>
      </c>
      <c r="M68" s="13"/>
      <c r="N68" s="14">
        <v>118</v>
      </c>
      <c r="O68" s="13"/>
      <c r="P68" s="14">
        <v>105</v>
      </c>
      <c r="Q68" s="14">
        <v>89</v>
      </c>
      <c r="R68" s="14"/>
      <c r="S68" s="14"/>
      <c r="T68" s="13"/>
      <c r="U68" s="14">
        <v>101</v>
      </c>
      <c r="V68" s="13"/>
      <c r="W68" s="14">
        <v>110</v>
      </c>
      <c r="X68" s="13"/>
      <c r="Y68" s="14">
        <v>117</v>
      </c>
      <c r="Z68" s="13"/>
      <c r="AA68" s="4">
        <f t="shared" si="5"/>
        <v>97</v>
      </c>
      <c r="AB68" s="4">
        <f t="shared" si="6"/>
        <v>109.5</v>
      </c>
      <c r="AC68" s="4">
        <f t="shared" si="7"/>
        <v>3.5472994422987938</v>
      </c>
      <c r="AD68" s="3"/>
      <c r="AE68" s="3"/>
      <c r="AF68" s="3"/>
      <c r="AG68" s="3"/>
      <c r="AH68" s="3"/>
      <c r="AT68" s="12"/>
      <c r="AU68" s="12"/>
      <c r="AV68" s="11"/>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row>
    <row r="69" spans="2:87" ht="24" customHeight="1" x14ac:dyDescent="0.2">
      <c r="B69" s="7">
        <f t="shared" si="9"/>
        <v>406</v>
      </c>
      <c r="C69" s="7" t="s">
        <v>147</v>
      </c>
      <c r="D69" s="7">
        <v>3</v>
      </c>
      <c r="E69" s="7">
        <v>1</v>
      </c>
      <c r="F69" s="7">
        <v>2</v>
      </c>
      <c r="G69" s="7">
        <v>2</v>
      </c>
      <c r="H69" s="7">
        <v>4</v>
      </c>
      <c r="I69" s="7" t="s">
        <v>190</v>
      </c>
      <c r="J69" s="9"/>
      <c r="K69" s="7" t="s">
        <v>2</v>
      </c>
      <c r="L69" s="6">
        <v>75</v>
      </c>
      <c r="M69" s="6"/>
      <c r="N69" s="6">
        <v>77</v>
      </c>
      <c r="O69" s="6"/>
      <c r="P69" s="6">
        <v>93</v>
      </c>
      <c r="Q69" s="6">
        <v>90</v>
      </c>
      <c r="R69" s="6"/>
      <c r="S69" s="6"/>
      <c r="T69" s="6"/>
      <c r="U69" s="6">
        <v>83</v>
      </c>
      <c r="V69" s="6"/>
      <c r="W69" s="6">
        <v>84</v>
      </c>
      <c r="X69" s="6"/>
      <c r="Y69" s="6">
        <v>81</v>
      </c>
      <c r="Z69" s="6"/>
      <c r="AA69" s="4">
        <f t="shared" si="5"/>
        <v>91.5</v>
      </c>
      <c r="AB69" s="4">
        <f t="shared" si="6"/>
        <v>81.916666666666671</v>
      </c>
      <c r="AC69" s="4">
        <f t="shared" si="7"/>
        <v>2.3819343213260757</v>
      </c>
      <c r="AD69" s="3"/>
      <c r="AE69" s="3"/>
      <c r="AF69" s="3"/>
      <c r="AG69" s="3"/>
      <c r="AH69" s="3"/>
    </row>
    <row r="70" spans="2:87" ht="24" customHeight="1" thickBot="1" x14ac:dyDescent="0.25">
      <c r="B70" s="7">
        <f t="shared" si="9"/>
        <v>406</v>
      </c>
      <c r="C70" s="15" t="s">
        <v>147</v>
      </c>
      <c r="D70" s="15">
        <v>3</v>
      </c>
      <c r="E70" s="15">
        <v>1</v>
      </c>
      <c r="F70" s="15">
        <v>2</v>
      </c>
      <c r="G70" s="15">
        <v>2</v>
      </c>
      <c r="H70" s="15">
        <v>4</v>
      </c>
      <c r="I70" s="15" t="s">
        <v>190</v>
      </c>
      <c r="J70" s="16"/>
      <c r="K70" s="15" t="s">
        <v>0</v>
      </c>
      <c r="L70" s="14">
        <v>103</v>
      </c>
      <c r="M70" s="13"/>
      <c r="N70" s="14">
        <v>100</v>
      </c>
      <c r="O70" s="13"/>
      <c r="P70" s="14">
        <v>106</v>
      </c>
      <c r="Q70" s="14">
        <v>127</v>
      </c>
      <c r="R70" s="14"/>
      <c r="S70" s="14"/>
      <c r="T70" s="13"/>
      <c r="U70" s="14">
        <v>124</v>
      </c>
      <c r="V70" s="13"/>
      <c r="W70" s="14">
        <v>113</v>
      </c>
      <c r="X70" s="13"/>
      <c r="Y70" s="14">
        <v>118</v>
      </c>
      <c r="Z70" s="13"/>
      <c r="AA70" s="4">
        <f t="shared" si="5"/>
        <v>116.5</v>
      </c>
      <c r="AB70" s="4">
        <f t="shared" si="6"/>
        <v>112.41666666666667</v>
      </c>
      <c r="AC70" s="4">
        <f t="shared" si="7"/>
        <v>3.7647856660255061</v>
      </c>
      <c r="AD70" s="3"/>
      <c r="AE70" s="3"/>
      <c r="AF70" s="3"/>
      <c r="AG70" s="3"/>
      <c r="AH70" s="3"/>
      <c r="AT70" s="12"/>
      <c r="AU70" s="12"/>
      <c r="AV70" s="11"/>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row>
    <row r="71" spans="2:87" ht="24" customHeight="1" x14ac:dyDescent="0.2">
      <c r="B71" s="7">
        <f t="shared" si="9"/>
        <v>405</v>
      </c>
      <c r="C71" s="7" t="s">
        <v>191</v>
      </c>
      <c r="D71" s="7">
        <v>6</v>
      </c>
      <c r="E71" s="7">
        <v>1</v>
      </c>
      <c r="F71" s="7">
        <v>3</v>
      </c>
      <c r="G71" s="7">
        <v>1</v>
      </c>
      <c r="H71" s="7">
        <v>4</v>
      </c>
      <c r="I71" s="7" t="s">
        <v>192</v>
      </c>
      <c r="J71" s="9"/>
      <c r="K71" s="7" t="s">
        <v>2</v>
      </c>
      <c r="L71" s="6">
        <v>60</v>
      </c>
      <c r="M71" s="6"/>
      <c r="N71" s="6">
        <v>43</v>
      </c>
      <c r="O71" s="6"/>
      <c r="P71" s="6">
        <v>73</v>
      </c>
      <c r="Q71" s="6">
        <v>81</v>
      </c>
      <c r="R71" s="6"/>
      <c r="S71" s="6"/>
      <c r="T71" s="6"/>
      <c r="U71" s="6">
        <v>86</v>
      </c>
      <c r="V71" s="6"/>
      <c r="W71" s="6">
        <v>90</v>
      </c>
      <c r="X71" s="6"/>
      <c r="Y71" s="6">
        <v>92</v>
      </c>
      <c r="Z71" s="6"/>
      <c r="AA71" s="4">
        <f t="shared" si="5"/>
        <v>77</v>
      </c>
      <c r="AB71" s="4">
        <f t="shared" si="6"/>
        <v>74.666666666666671</v>
      </c>
      <c r="AC71" s="4">
        <f t="shared" si="7"/>
        <v>7.9316524830019635</v>
      </c>
      <c r="AD71" s="3"/>
      <c r="AE71" s="3"/>
      <c r="AF71" s="3"/>
      <c r="AG71" s="3"/>
      <c r="AH71" s="3"/>
    </row>
    <row r="72" spans="2:87" ht="24" customHeight="1" thickBot="1" x14ac:dyDescent="0.25">
      <c r="B72" s="7">
        <f t="shared" si="9"/>
        <v>405</v>
      </c>
      <c r="C72" s="15" t="s">
        <v>191</v>
      </c>
      <c r="D72" s="15">
        <v>6</v>
      </c>
      <c r="E72" s="15">
        <v>1</v>
      </c>
      <c r="F72" s="15">
        <v>3</v>
      </c>
      <c r="G72" s="15">
        <v>1</v>
      </c>
      <c r="H72" s="15">
        <v>4</v>
      </c>
      <c r="I72" s="15" t="s">
        <v>192</v>
      </c>
      <c r="J72" s="16"/>
      <c r="K72" s="15" t="s">
        <v>0</v>
      </c>
      <c r="L72" s="14">
        <v>93</v>
      </c>
      <c r="M72" s="13"/>
      <c r="N72" s="14">
        <v>83</v>
      </c>
      <c r="O72" s="13"/>
      <c r="P72" s="14">
        <v>71</v>
      </c>
      <c r="Q72" s="14">
        <v>72</v>
      </c>
      <c r="R72" s="14"/>
      <c r="S72" s="14"/>
      <c r="T72" s="13"/>
      <c r="U72" s="14">
        <v>88</v>
      </c>
      <c r="V72" s="13"/>
      <c r="W72" s="14">
        <v>91</v>
      </c>
      <c r="X72" s="13"/>
      <c r="Y72" s="14">
        <v>73</v>
      </c>
      <c r="Z72" s="13"/>
      <c r="AA72" s="4">
        <f t="shared" si="5"/>
        <v>71.5</v>
      </c>
      <c r="AB72" s="4">
        <f t="shared" si="6"/>
        <v>83.25</v>
      </c>
      <c r="AC72" s="4">
        <f t="shared" si="7"/>
        <v>3.7455529186845924</v>
      </c>
      <c r="AD72" s="3"/>
      <c r="AE72" s="3"/>
      <c r="AF72" s="3"/>
      <c r="AG72" s="3"/>
      <c r="AH72" s="3"/>
      <c r="AT72" s="12"/>
      <c r="AU72" s="12"/>
      <c r="AV72" s="11"/>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row>
    <row r="73" spans="2:87" ht="24" customHeight="1" thickBot="1" x14ac:dyDescent="0.25">
      <c r="B73" s="7">
        <f t="shared" si="9"/>
        <v>404</v>
      </c>
      <c r="C73" s="7" t="s">
        <v>147</v>
      </c>
      <c r="D73" s="7">
        <v>3</v>
      </c>
      <c r="E73" s="7">
        <v>1</v>
      </c>
      <c r="F73" s="7">
        <v>2</v>
      </c>
      <c r="G73" s="7">
        <v>2</v>
      </c>
      <c r="H73" s="7">
        <v>3</v>
      </c>
      <c r="I73" s="7" t="s">
        <v>193</v>
      </c>
      <c r="J73" s="16"/>
      <c r="K73" s="7" t="s">
        <v>2</v>
      </c>
      <c r="L73" s="6">
        <v>77</v>
      </c>
      <c r="M73" s="6"/>
      <c r="N73" s="6">
        <v>88</v>
      </c>
      <c r="O73" s="6"/>
      <c r="P73" s="6">
        <v>76</v>
      </c>
      <c r="Q73" s="6">
        <v>66</v>
      </c>
      <c r="R73" s="6"/>
      <c r="S73" s="6"/>
      <c r="T73" s="6"/>
      <c r="U73" s="6">
        <v>83</v>
      </c>
      <c r="V73" s="6"/>
      <c r="W73" s="6">
        <v>80</v>
      </c>
      <c r="X73" s="6"/>
      <c r="Y73" s="6">
        <v>90</v>
      </c>
      <c r="Z73" s="6"/>
      <c r="AA73" s="4">
        <f t="shared" ref="AA73:AA80" si="10">AVERAGE(P73:T73)</f>
        <v>71</v>
      </c>
      <c r="AB73" s="4">
        <f t="shared" ref="AB73:AB80" si="11">AVERAGE(AVERAGE(L73:M73),AVERAGE(N73:O73),AVERAGE(P73:T73),AVERAGE(U73:V73),AVERAGE(W73:X73),AVERAGE(Y73:Z73))</f>
        <v>81.5</v>
      </c>
      <c r="AC73" s="4">
        <f t="shared" ref="AC73:AC80" si="12">STDEV(AVERAGE(L73:M73),AVERAGE(N73:O73),AVERAGE(P73:T73),AVERAGE(U73:V73),AVERAGE(W73:X73),AVERAGE(Y73:Z73))/SQRT(6)</f>
        <v>2.8838631497813254</v>
      </c>
      <c r="AD73" s="3"/>
      <c r="AE73" s="3"/>
      <c r="AF73" s="3"/>
      <c r="AG73" s="3"/>
      <c r="AH73" s="3"/>
    </row>
    <row r="74" spans="2:87" ht="24" customHeight="1" thickBot="1" x14ac:dyDescent="0.25">
      <c r="B74" s="7">
        <f t="shared" si="9"/>
        <v>404</v>
      </c>
      <c r="C74" s="15" t="s">
        <v>147</v>
      </c>
      <c r="D74" s="15">
        <v>3</v>
      </c>
      <c r="E74" s="15">
        <v>1</v>
      </c>
      <c r="F74" s="15">
        <v>2</v>
      </c>
      <c r="G74" s="15">
        <v>2</v>
      </c>
      <c r="H74" s="15">
        <v>3</v>
      </c>
      <c r="I74" s="15" t="s">
        <v>193</v>
      </c>
      <c r="J74" s="16"/>
      <c r="K74" s="15" t="s">
        <v>0</v>
      </c>
      <c r="L74" s="14">
        <v>113</v>
      </c>
      <c r="M74" s="13"/>
      <c r="N74" s="14">
        <v>143</v>
      </c>
      <c r="O74" s="13"/>
      <c r="P74" s="14">
        <v>95</v>
      </c>
      <c r="Q74" s="14">
        <v>105</v>
      </c>
      <c r="R74" s="14"/>
      <c r="S74" s="14"/>
      <c r="T74" s="13"/>
      <c r="U74" s="14">
        <v>117</v>
      </c>
      <c r="V74" s="13"/>
      <c r="W74" s="14">
        <v>107</v>
      </c>
      <c r="X74" s="13"/>
      <c r="Y74" s="14">
        <v>110</v>
      </c>
      <c r="Z74" s="13"/>
      <c r="AA74" s="4">
        <f t="shared" si="10"/>
        <v>100</v>
      </c>
      <c r="AB74" s="4">
        <f t="shared" si="11"/>
        <v>115</v>
      </c>
      <c r="AC74" s="4">
        <f t="shared" si="12"/>
        <v>6.0717927061673205</v>
      </c>
      <c r="AD74" s="3"/>
      <c r="AE74" s="3"/>
      <c r="AF74" s="3"/>
      <c r="AG74" s="3"/>
      <c r="AH74" s="3"/>
      <c r="AT74" s="12"/>
      <c r="AU74" s="12"/>
      <c r="AV74" s="11"/>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row>
    <row r="75" spans="2:87" ht="24" customHeight="1" x14ac:dyDescent="0.2">
      <c r="B75" s="7">
        <f t="shared" si="9"/>
        <v>403</v>
      </c>
      <c r="C75" s="7" t="s">
        <v>191</v>
      </c>
      <c r="D75" s="7">
        <v>6</v>
      </c>
      <c r="E75" s="7">
        <v>1</v>
      </c>
      <c r="F75" s="7">
        <v>3</v>
      </c>
      <c r="G75" s="7">
        <v>1</v>
      </c>
      <c r="H75" s="7">
        <v>3</v>
      </c>
      <c r="I75" s="7" t="s">
        <v>194</v>
      </c>
      <c r="J75" s="9"/>
      <c r="K75" s="7" t="s">
        <v>2</v>
      </c>
      <c r="L75" s="6">
        <v>87</v>
      </c>
      <c r="M75" s="6"/>
      <c r="N75" s="6">
        <v>81</v>
      </c>
      <c r="O75" s="6"/>
      <c r="P75" s="6">
        <v>88</v>
      </c>
      <c r="Q75" s="6">
        <v>85</v>
      </c>
      <c r="R75" s="6"/>
      <c r="S75" s="6"/>
      <c r="T75" s="6"/>
      <c r="U75" s="6">
        <v>69</v>
      </c>
      <c r="V75" s="6"/>
      <c r="W75" s="6">
        <v>73</v>
      </c>
      <c r="X75" s="6"/>
      <c r="Y75" s="6">
        <v>78</v>
      </c>
      <c r="Z75" s="6"/>
      <c r="AA75" s="4">
        <f t="shared" si="10"/>
        <v>86.5</v>
      </c>
      <c r="AB75" s="4">
        <f t="shared" si="11"/>
        <v>79.083333333333329</v>
      </c>
      <c r="AC75" s="4">
        <f t="shared" si="12"/>
        <v>2.9507531995143959</v>
      </c>
      <c r="AD75" s="3"/>
      <c r="AE75" s="3"/>
      <c r="AF75" s="3"/>
      <c r="AG75" s="3"/>
      <c r="AH75" s="3"/>
    </row>
    <row r="76" spans="2:87" ht="24" customHeight="1" thickBot="1" x14ac:dyDescent="0.25">
      <c r="B76" s="7">
        <f t="shared" si="9"/>
        <v>403</v>
      </c>
      <c r="C76" s="15" t="s">
        <v>191</v>
      </c>
      <c r="D76" s="15">
        <v>6</v>
      </c>
      <c r="E76" s="15">
        <v>1</v>
      </c>
      <c r="F76" s="15">
        <v>3</v>
      </c>
      <c r="G76" s="15">
        <v>1</v>
      </c>
      <c r="H76" s="15">
        <v>3</v>
      </c>
      <c r="I76" s="15" t="s">
        <v>194</v>
      </c>
      <c r="J76" s="16"/>
      <c r="K76" s="15" t="s">
        <v>0</v>
      </c>
      <c r="L76" s="14">
        <v>105</v>
      </c>
      <c r="M76" s="13"/>
      <c r="N76" s="14">
        <v>93</v>
      </c>
      <c r="O76" s="13"/>
      <c r="P76" s="14">
        <v>90</v>
      </c>
      <c r="Q76" s="14">
        <v>82</v>
      </c>
      <c r="R76" s="14"/>
      <c r="S76" s="14"/>
      <c r="T76" s="13"/>
      <c r="U76" s="14">
        <v>87</v>
      </c>
      <c r="V76" s="13"/>
      <c r="W76" s="14">
        <v>107</v>
      </c>
      <c r="X76" s="13"/>
      <c r="Y76" s="14">
        <v>91</v>
      </c>
      <c r="Z76" s="13"/>
      <c r="AA76" s="4">
        <f t="shared" si="10"/>
        <v>86</v>
      </c>
      <c r="AB76" s="4">
        <f t="shared" si="11"/>
        <v>94.833333333333329</v>
      </c>
      <c r="AC76" s="4">
        <f t="shared" si="12"/>
        <v>3.6915820155832622</v>
      </c>
      <c r="AD76" s="3"/>
      <c r="AE76" s="3"/>
      <c r="AF76" s="3"/>
      <c r="AG76" s="3"/>
      <c r="AH76" s="3"/>
      <c r="AT76" s="12"/>
      <c r="AU76" s="12"/>
      <c r="AV76" s="11"/>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row>
    <row r="77" spans="2:87" ht="24" customHeight="1" x14ac:dyDescent="0.2">
      <c r="B77" s="7">
        <f t="shared" si="9"/>
        <v>402</v>
      </c>
      <c r="C77" s="7" t="s">
        <v>151</v>
      </c>
      <c r="D77" s="7">
        <v>9</v>
      </c>
      <c r="E77" s="7">
        <v>2</v>
      </c>
      <c r="F77" s="7">
        <v>2</v>
      </c>
      <c r="G77" s="7">
        <v>2</v>
      </c>
      <c r="H77" s="7">
        <v>3</v>
      </c>
      <c r="I77" s="7" t="s">
        <v>195</v>
      </c>
      <c r="J77" s="9"/>
      <c r="K77" s="7" t="s">
        <v>2</v>
      </c>
      <c r="L77" s="6">
        <v>89</v>
      </c>
      <c r="M77" s="5"/>
      <c r="N77" s="6">
        <v>90</v>
      </c>
      <c r="O77" s="5"/>
      <c r="P77" s="6">
        <v>98</v>
      </c>
      <c r="Q77" s="6">
        <v>92</v>
      </c>
      <c r="R77" s="6"/>
      <c r="S77" s="6"/>
      <c r="T77" s="5"/>
      <c r="U77" s="6">
        <v>92</v>
      </c>
      <c r="V77" s="5"/>
      <c r="W77" s="6">
        <v>86</v>
      </c>
      <c r="X77" s="5"/>
      <c r="Y77" s="6">
        <v>73</v>
      </c>
      <c r="Z77" s="5"/>
      <c r="AA77" s="4">
        <f t="shared" si="10"/>
        <v>95</v>
      </c>
      <c r="AB77" s="4">
        <f t="shared" si="11"/>
        <v>87.5</v>
      </c>
      <c r="AC77" s="4">
        <f t="shared" si="12"/>
        <v>3.1490739379485309</v>
      </c>
      <c r="AD77" s="3"/>
      <c r="AE77" s="3"/>
      <c r="AF77" s="3"/>
      <c r="AG77" s="3"/>
      <c r="AH77" s="3"/>
    </row>
    <row r="78" spans="2:87" ht="24" customHeight="1" thickBot="1" x14ac:dyDescent="0.25">
      <c r="B78" s="7">
        <f t="shared" si="9"/>
        <v>402</v>
      </c>
      <c r="C78" s="15" t="s">
        <v>151</v>
      </c>
      <c r="D78" s="15">
        <v>9</v>
      </c>
      <c r="E78" s="15">
        <v>2</v>
      </c>
      <c r="F78" s="15">
        <v>2</v>
      </c>
      <c r="G78" s="15">
        <v>2</v>
      </c>
      <c r="H78" s="15">
        <v>3</v>
      </c>
      <c r="I78" s="15" t="s">
        <v>195</v>
      </c>
      <c r="J78" s="16"/>
      <c r="K78" s="15" t="s">
        <v>0</v>
      </c>
      <c r="L78" s="14">
        <v>99</v>
      </c>
      <c r="M78" s="13"/>
      <c r="N78" s="14">
        <v>128</v>
      </c>
      <c r="O78" s="13"/>
      <c r="P78" s="14">
        <v>113</v>
      </c>
      <c r="Q78" s="14">
        <v>104</v>
      </c>
      <c r="R78" s="14"/>
      <c r="S78" s="14"/>
      <c r="T78" s="13"/>
      <c r="U78" s="14">
        <v>105</v>
      </c>
      <c r="V78" s="13"/>
      <c r="W78" s="14">
        <v>126</v>
      </c>
      <c r="X78" s="13"/>
      <c r="Y78" s="14">
        <v>101</v>
      </c>
      <c r="Z78" s="13"/>
      <c r="AA78" s="4">
        <f t="shared" si="10"/>
        <v>108.5</v>
      </c>
      <c r="AB78" s="4">
        <f t="shared" si="11"/>
        <v>111.25</v>
      </c>
      <c r="AC78" s="4">
        <f t="shared" si="12"/>
        <v>5.1635743434175518</v>
      </c>
      <c r="AD78" s="3"/>
      <c r="AE78" s="3"/>
      <c r="AF78" s="3"/>
      <c r="AG78" s="3"/>
      <c r="AH78" s="3"/>
      <c r="AT78" s="12"/>
      <c r="AU78" s="12"/>
      <c r="AV78" s="11"/>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row>
    <row r="79" spans="2:87" ht="24" customHeight="1" x14ac:dyDescent="0.2">
      <c r="B79" s="7">
        <f t="shared" si="9"/>
        <v>401</v>
      </c>
      <c r="C79" s="7" t="s">
        <v>188</v>
      </c>
      <c r="D79" s="7">
        <v>7</v>
      </c>
      <c r="E79" s="7">
        <v>2</v>
      </c>
      <c r="F79" s="7">
        <v>1</v>
      </c>
      <c r="G79" s="7">
        <v>2</v>
      </c>
      <c r="H79" s="7">
        <v>3</v>
      </c>
      <c r="I79" s="7" t="s">
        <v>196</v>
      </c>
      <c r="J79" s="9"/>
      <c r="K79" s="7" t="s">
        <v>2</v>
      </c>
      <c r="L79" s="6">
        <v>76</v>
      </c>
      <c r="M79" s="5"/>
      <c r="N79" s="6">
        <v>73</v>
      </c>
      <c r="O79" s="5"/>
      <c r="P79" s="6">
        <v>82</v>
      </c>
      <c r="Q79" s="6">
        <v>81</v>
      </c>
      <c r="R79" s="6"/>
      <c r="S79" s="6"/>
      <c r="T79" s="5"/>
      <c r="U79" s="6">
        <v>77</v>
      </c>
      <c r="V79" s="5"/>
      <c r="W79" s="6">
        <v>81</v>
      </c>
      <c r="X79" s="5"/>
      <c r="Y79" s="6">
        <v>88</v>
      </c>
      <c r="Z79" s="5"/>
      <c r="AA79" s="4">
        <f t="shared" si="10"/>
        <v>81.5</v>
      </c>
      <c r="AB79" s="4">
        <f t="shared" si="11"/>
        <v>79.416666666666671</v>
      </c>
      <c r="AC79" s="4">
        <f t="shared" si="12"/>
        <v>2.1541303994368071</v>
      </c>
      <c r="AD79" s="3"/>
      <c r="AE79" s="3"/>
      <c r="AF79" s="3"/>
      <c r="AG79" s="3"/>
      <c r="AH79" s="3"/>
    </row>
    <row r="80" spans="2:87" ht="24" customHeight="1" x14ac:dyDescent="0.2">
      <c r="B80" s="7">
        <f t="shared" si="9"/>
        <v>401</v>
      </c>
      <c r="C80" s="7" t="s">
        <v>188</v>
      </c>
      <c r="D80" s="7">
        <v>7</v>
      </c>
      <c r="E80" s="7">
        <v>2</v>
      </c>
      <c r="F80" s="7">
        <v>1</v>
      </c>
      <c r="G80" s="7">
        <v>2</v>
      </c>
      <c r="H80" s="7">
        <v>3</v>
      </c>
      <c r="I80" s="7" t="s">
        <v>196</v>
      </c>
      <c r="J80" s="7"/>
      <c r="K80" s="7" t="s">
        <v>0</v>
      </c>
      <c r="L80" s="6">
        <v>125</v>
      </c>
      <c r="M80" s="5"/>
      <c r="N80" s="6">
        <v>115</v>
      </c>
      <c r="O80" s="5"/>
      <c r="P80" s="6">
        <v>81</v>
      </c>
      <c r="Q80" s="6">
        <v>116</v>
      </c>
      <c r="R80" s="6"/>
      <c r="S80" s="6"/>
      <c r="T80" s="5"/>
      <c r="U80" s="6">
        <v>103</v>
      </c>
      <c r="V80" s="5"/>
      <c r="W80" s="6">
        <v>130</v>
      </c>
      <c r="X80" s="5"/>
      <c r="Y80" s="6">
        <v>114</v>
      </c>
      <c r="Z80" s="5"/>
      <c r="AA80" s="4">
        <f t="shared" si="10"/>
        <v>98.5</v>
      </c>
      <c r="AB80" s="4">
        <f t="shared" si="11"/>
        <v>114.25</v>
      </c>
      <c r="AC80" s="4">
        <f t="shared" si="12"/>
        <v>4.9627781198303307</v>
      </c>
      <c r="AD80" s="3"/>
      <c r="AE80" s="3"/>
      <c r="AF80" s="3"/>
      <c r="AG80" s="3"/>
      <c r="AH80" s="3"/>
    </row>
    <row r="81" spans="11:11" x14ac:dyDescent="0.2">
      <c r="K81" s="2"/>
    </row>
    <row r="82" spans="11:11" x14ac:dyDescent="0.2">
      <c r="K82" s="2"/>
    </row>
    <row r="83" spans="11:11" x14ac:dyDescent="0.2">
      <c r="K83" s="2"/>
    </row>
    <row r="84" spans="11:11" x14ac:dyDescent="0.2">
      <c r="K84" s="2"/>
    </row>
    <row r="85" spans="11:11" x14ac:dyDescent="0.2">
      <c r="K85" s="2"/>
    </row>
    <row r="86" spans="11:11" x14ac:dyDescent="0.2">
      <c r="K86" s="2"/>
    </row>
    <row r="87" spans="11:11" x14ac:dyDescent="0.2">
      <c r="K87" s="2"/>
    </row>
  </sheetData>
  <mergeCells count="12">
    <mergeCell ref="P6:T6"/>
    <mergeCell ref="U6:V6"/>
    <mergeCell ref="AT5:AV5"/>
    <mergeCell ref="J7:K7"/>
    <mergeCell ref="B7:H7"/>
    <mergeCell ref="AA6:AA7"/>
    <mergeCell ref="AB6:AB7"/>
    <mergeCell ref="AC6:AC7"/>
    <mergeCell ref="L6:M6"/>
    <mergeCell ref="N6:O6"/>
    <mergeCell ref="W6:X6"/>
    <mergeCell ref="Y6:Z6"/>
  </mergeCells>
  <pageMargins left="0.51" right="0" top="0.85" bottom="0" header="0.64" footer="0"/>
  <pageSetup paperSize="512" scale="30" orientation="landscape" r:id="rId1"/>
  <headerFooter alignWithMargins="0">
    <oddHeader xml:space="preserve">&amp;L&amp;"Comic Sans MS,Bold"&amp;14FISE2003 ---Cotton Plant Cover and Heights in North 1 m of Harvest Area&amp;C&amp;"Comic Sans MS,Bold"&amp;12       </oddHeader>
    <oddFooter>&amp;L&amp;F   USWCL Remote Sensing&amp;R&amp;D</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8</vt:i4>
      </vt:variant>
    </vt:vector>
  </HeadingPairs>
  <TitlesOfParts>
    <vt:vector size="18" baseType="lpstr">
      <vt:lpstr>Height</vt:lpstr>
      <vt:lpstr>Width</vt:lpstr>
      <vt:lpstr>DOY168</vt:lpstr>
      <vt:lpstr>DOY176</vt:lpstr>
      <vt:lpstr>DOY189</vt:lpstr>
      <vt:lpstr>DOY209</vt:lpstr>
      <vt:lpstr>DOY217</vt:lpstr>
      <vt:lpstr>DOY233</vt:lpstr>
      <vt:lpstr>DOY259</vt:lpstr>
      <vt:lpstr>DOY287</vt:lpstr>
      <vt:lpstr>'DOY168'!Print_Area</vt:lpstr>
      <vt:lpstr>'DOY176'!Print_Area</vt:lpstr>
      <vt:lpstr>'DOY189'!Print_Area</vt:lpstr>
      <vt:lpstr>'DOY209'!Print_Area</vt:lpstr>
      <vt:lpstr>'DOY217'!Print_Area</vt:lpstr>
      <vt:lpstr>'DOY233'!Print_Area</vt:lpstr>
      <vt:lpstr>'DOY259'!Print_Area</vt:lpstr>
      <vt:lpstr>'DOY287'!Print_Area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Reviewer</dc:creator>
  <cp:lastModifiedBy>Reviewer</cp:lastModifiedBy>
  <dcterms:created xsi:type="dcterms:W3CDTF">2024-09-20T17:25:04Z</dcterms:created>
  <dcterms:modified xsi:type="dcterms:W3CDTF">2024-09-24T13:20:56Z</dcterms:modified>
</cp:coreProperties>
</file>