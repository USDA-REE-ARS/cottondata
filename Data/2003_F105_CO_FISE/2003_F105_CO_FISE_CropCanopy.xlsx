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0.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1.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2.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3.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4.xml" ContentType="application/vnd.openxmlformats-officedocument.drawing+xml"/>
  <Override PartName="/xl/comments5.xml" ContentType="application/vnd.openxmlformats-officedocument.spreadsheetml.comments+xml"/>
  <Override PartName="/xl/charts/chart6.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5.xml" ContentType="application/vnd.openxmlformats-officedocument.drawing+xml"/>
  <Override PartName="/xl/comments6.xml" ContentType="application/vnd.openxmlformats-officedocument.spreadsheetml.comments+xml"/>
  <Override PartName="/xl/charts/chart7.xml" ContentType="application/vnd.openxmlformats-officedocument.drawingml.chart+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6.xml" ContentType="application/vnd.openxmlformats-officedocument.drawing+xml"/>
  <Override PartName="/xl/comments7.xml" ContentType="application/vnd.openxmlformats-officedocument.spreadsheetml.comments+xml"/>
  <Override PartName="/xl/charts/chart8.xml" ContentType="application/vnd.openxmlformats-officedocument.drawingml.chart+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7.xml" ContentType="application/vnd.openxmlformats-officedocument.drawing+xml"/>
  <Override PartName="/xl/comments8.xml" ContentType="application/vnd.openxmlformats-officedocument.spreadsheetml.comments+xml"/>
  <Override PartName="/xl/charts/chart9.xml" ContentType="application/vnd.openxmlformats-officedocument.drawingml.chart+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8.xml" ContentType="application/vnd.openxmlformats-officedocument.drawing+xml"/>
  <Override PartName="/xl/comments9.xml" ContentType="application/vnd.openxmlformats-officedocument.spreadsheetml.comments+xml"/>
  <Override PartName="/xl/charts/chart10.xml" ContentType="application/vnd.openxmlformats-officedocument.drawingml.chart+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9.xml" ContentType="application/vnd.openxmlformats-officedocument.drawing+xml"/>
  <Override PartName="/xl/comments10.xml" ContentType="application/vnd.openxmlformats-officedocument.spreadsheetml.comments+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E:\mnt\Data1\USDA-ALARC\GIS\PDI project\cottondata\Data\2003_F105_CO_FISE\"/>
    </mc:Choice>
  </mc:AlternateContent>
  <xr:revisionPtr revIDLastSave="0" documentId="13_ncr:1_{3592991F-7113-424C-808A-A1878D052A6F}" xr6:coauthVersionLast="47" xr6:coauthVersionMax="47" xr10:uidLastSave="{00000000-0000-0000-0000-000000000000}"/>
  <bookViews>
    <workbookView xWindow="-1755" yWindow="-21450" windowWidth="16335" windowHeight="21135" firstSheet="2" activeTab="6" xr2:uid="{7A2D3CCE-9A94-4BB2-97AF-8C5C9F598322}"/>
  </bookViews>
  <sheets>
    <sheet name="Height" sheetId="1" r:id="rId1"/>
    <sheet name="Width" sheetId="3" r:id="rId2"/>
    <sheet name="SPAD" sheetId="27" r:id="rId3"/>
    <sheet name="ChlA" sheetId="28" r:id="rId4"/>
    <sheet name="Density" sheetId="12" r:id="rId5"/>
    <sheet name="Develop" sheetId="13" r:id="rId6"/>
    <sheet name="PlotDevelop" sheetId="29" r:id="rId7"/>
    <sheet name="HgtDOY168" sheetId="2" r:id="rId8"/>
    <sheet name="HgtDOY176" sheetId="5" r:id="rId9"/>
    <sheet name="HgtDOY189" sheetId="6" r:id="rId10"/>
    <sheet name="HgtDOY209" sheetId="7" r:id="rId11"/>
    <sheet name="HgtDOY217" sheetId="8" r:id="rId12"/>
    <sheet name="HgtDOY233" sheetId="9" r:id="rId13"/>
    <sheet name="HgtDOY259" sheetId="10" r:id="rId14"/>
    <sheet name="HgtDOY287" sheetId="11" r:id="rId15"/>
    <sheet name="EmgSummary1" sheetId="14" r:id="rId16"/>
    <sheet name="EmgSummary2" sheetId="26" r:id="rId17"/>
    <sheet name="EmgDOY114" sheetId="16" r:id="rId18"/>
    <sheet name="EmgDOY115" sheetId="17" r:id="rId19"/>
    <sheet name="EmgDOY118" sheetId="18" r:id="rId20"/>
    <sheet name="EmgDOY119" sheetId="19" r:id="rId21"/>
    <sheet name="EmgDOY120" sheetId="20" r:id="rId22"/>
    <sheet name="EmgDOY122" sheetId="21" r:id="rId23"/>
    <sheet name="EmgDOY126" sheetId="22" r:id="rId24"/>
    <sheet name="EmgDOY132" sheetId="23" r:id="rId25"/>
    <sheet name="EmgDOY136" sheetId="24" r:id="rId26"/>
    <sheet name="DenDOY141" sheetId="25" r:id="rId27"/>
  </sheets>
  <definedNames>
    <definedName name="_xlnm._FilterDatabase" localSheetId="15" hidden="1">EmgSummary1!$C$9:$M$49</definedName>
    <definedName name="_xlnm.Print_Area" localSheetId="7">HgtDOY168!$B$2:$Z$80</definedName>
    <definedName name="_xlnm.Print_Area" localSheetId="8">HgtDOY176!$B$2:$Z$80</definedName>
    <definedName name="_xlnm.Print_Area" localSheetId="9">HgtDOY189!$B$2:$Z$80</definedName>
    <definedName name="_xlnm.Print_Area" localSheetId="10">HgtDOY209!$B$2:$Z$80</definedName>
    <definedName name="_xlnm.Print_Area" localSheetId="11">HgtDOY217!$B$2:$Z$80</definedName>
    <definedName name="_xlnm.Print_Area" localSheetId="12">HgtDOY233!$B$2:$Z$80</definedName>
    <definedName name="_xlnm.Print_Area" localSheetId="13">HgtDOY259!$B$2:$Z$80</definedName>
    <definedName name="_xlnm.Print_Area" localSheetId="14">HgtDOY287!$B$2:$Z$80</definedName>
  </definedNames>
  <calcPr calcId="191029"/>
  <pivotCaches>
    <pivotCache cacheId="88" r:id="rId28"/>
    <pivotCache cacheId="89" r:id="rId29"/>
    <pivotCache cacheId="90" r:id="rId30"/>
    <pivotCache cacheId="91" r:id="rId31"/>
    <pivotCache cacheId="92" r:id="rId32"/>
    <pivotCache cacheId="93" r:id="rId33"/>
    <pivotCache cacheId="94" r:id="rId34"/>
    <pivotCache cacheId="95" r:id="rId35"/>
    <pivotCache cacheId="96" r:id="rId36"/>
    <pivotCache cacheId="97" r:id="rId37"/>
    <pivotCache cacheId="98" r:id="rId38"/>
    <pivotCache cacheId="99" r:id="rId39"/>
    <pivotCache cacheId="100" r:id="rId40"/>
    <pivotCache cacheId="101" r:id="rId41"/>
    <pivotCache cacheId="102" r:id="rId42"/>
    <pivotCache cacheId="103" r:id="rId43"/>
    <pivotCache cacheId="104" r:id="rId44"/>
    <pivotCache cacheId="105" r:id="rId45"/>
    <pivotCache cacheId="106" r:id="rId46"/>
    <pivotCache cacheId="107" r:id="rId4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14" l="1"/>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10" i="14"/>
  <c r="M217" i="26"/>
  <c r="M215" i="26"/>
  <c r="M216" i="26"/>
  <c r="M214" i="26"/>
  <c r="M213" i="26"/>
  <c r="M212" i="26"/>
  <c r="M211" i="26"/>
  <c r="M210" i="26"/>
  <c r="M209" i="26"/>
  <c r="M208" i="26"/>
  <c r="M207" i="26"/>
  <c r="M206" i="26"/>
  <c r="M205" i="26"/>
  <c r="M204" i="26"/>
  <c r="M203" i="26"/>
  <c r="M202" i="26"/>
  <c r="M201" i="26"/>
  <c r="M200" i="26"/>
  <c r="M199" i="26"/>
  <c r="M198" i="26"/>
  <c r="M197" i="26"/>
  <c r="M196" i="26"/>
  <c r="M195" i="26"/>
  <c r="M194" i="26"/>
  <c r="M193" i="26"/>
  <c r="M191" i="26"/>
  <c r="M190" i="26"/>
  <c r="M189" i="26"/>
  <c r="M184" i="26"/>
  <c r="M181" i="26"/>
  <c r="M180" i="26"/>
  <c r="M179" i="26"/>
  <c r="M178" i="26"/>
  <c r="M176" i="26"/>
  <c r="M174" i="26"/>
  <c r="M173" i="26"/>
  <c r="M172" i="26"/>
  <c r="M171" i="26"/>
  <c r="M170" i="26"/>
  <c r="M169" i="26"/>
  <c r="M167" i="26"/>
  <c r="M165" i="26"/>
  <c r="M164" i="26"/>
  <c r="M163" i="26"/>
  <c r="M161" i="26"/>
  <c r="M160" i="26"/>
  <c r="M159" i="26"/>
  <c r="M158" i="26"/>
  <c r="M157" i="26"/>
  <c r="M156" i="26"/>
  <c r="M155" i="26"/>
  <c r="M154" i="26"/>
  <c r="M153" i="26"/>
  <c r="M152" i="26"/>
  <c r="M151" i="26"/>
  <c r="M150" i="26"/>
  <c r="M149" i="26"/>
  <c r="M148" i="26"/>
  <c r="M147" i="26"/>
  <c r="M146" i="26"/>
  <c r="M145" i="26"/>
  <c r="M144" i="26"/>
  <c r="M142" i="26"/>
  <c r="M140" i="26"/>
  <c r="M139" i="26"/>
  <c r="M136" i="26"/>
  <c r="M135" i="26"/>
  <c r="M134" i="26"/>
  <c r="M131" i="26"/>
  <c r="M130" i="26"/>
  <c r="M129" i="26"/>
  <c r="M128" i="26"/>
  <c r="M127" i="26"/>
  <c r="M126" i="26"/>
  <c r="M125" i="26"/>
  <c r="M124" i="26"/>
  <c r="M123" i="26"/>
  <c r="M122" i="26"/>
  <c r="M121" i="26"/>
  <c r="M120" i="26"/>
  <c r="M119" i="26"/>
  <c r="M118" i="26"/>
  <c r="M117" i="26"/>
  <c r="M116" i="26"/>
  <c r="M115" i="26"/>
  <c r="M114" i="26"/>
  <c r="M113" i="26"/>
  <c r="M112" i="26"/>
  <c r="M111" i="26"/>
  <c r="M110" i="26"/>
  <c r="M109" i="26"/>
  <c r="M108" i="26"/>
  <c r="M107" i="26"/>
  <c r="M106" i="26"/>
  <c r="M105" i="26"/>
  <c r="M104" i="26"/>
  <c r="M103" i="26"/>
  <c r="M102" i="26"/>
  <c r="M101" i="26"/>
  <c r="M100" i="26"/>
  <c r="M99" i="26"/>
  <c r="M98" i="26"/>
  <c r="M97" i="26"/>
  <c r="M95" i="26"/>
  <c r="M94" i="26"/>
  <c r="M93" i="26"/>
  <c r="M92" i="26"/>
  <c r="M91" i="26"/>
  <c r="M90" i="26"/>
  <c r="M89" i="26"/>
  <c r="M88" i="26"/>
  <c r="M87" i="26"/>
  <c r="M85" i="26"/>
  <c r="M84" i="26"/>
  <c r="M83" i="26"/>
  <c r="M82" i="26"/>
  <c r="M81" i="26"/>
  <c r="M80" i="26"/>
  <c r="M79" i="26"/>
  <c r="M78" i="26"/>
  <c r="M77" i="26"/>
  <c r="M76" i="26"/>
  <c r="M75" i="26"/>
  <c r="M74" i="26"/>
  <c r="M73" i="26"/>
  <c r="M71" i="26"/>
  <c r="M69" i="26"/>
  <c r="M68" i="26"/>
  <c r="M67" i="26"/>
  <c r="M66" i="26"/>
  <c r="M65" i="26"/>
  <c r="M64" i="26"/>
  <c r="M63" i="26"/>
  <c r="M62" i="26"/>
  <c r="M61" i="26"/>
  <c r="M60" i="26"/>
  <c r="M59" i="26"/>
  <c r="M58" i="26"/>
  <c r="M57" i="26"/>
  <c r="M56" i="26"/>
  <c r="M55" i="26"/>
  <c r="M54" i="26"/>
  <c r="M53" i="26"/>
  <c r="M52" i="26"/>
  <c r="M51" i="26"/>
  <c r="M50" i="26"/>
  <c r="M49" i="26"/>
  <c r="M48" i="26"/>
  <c r="M47" i="26"/>
  <c r="M46" i="26"/>
  <c r="M45" i="26"/>
  <c r="M44" i="26"/>
  <c r="M43" i="26"/>
  <c r="M42" i="26"/>
  <c r="M41" i="26"/>
  <c r="M40" i="26"/>
  <c r="M39" i="26"/>
  <c r="M37" i="26"/>
  <c r="M36" i="26"/>
  <c r="M35" i="26"/>
  <c r="M34" i="26"/>
  <c r="M33" i="26"/>
  <c r="M32" i="26"/>
  <c r="M31" i="26"/>
  <c r="M30" i="26"/>
  <c r="M29" i="26"/>
  <c r="M28" i="26"/>
  <c r="M27" i="26"/>
  <c r="M26" i="26"/>
  <c r="M25" i="26"/>
  <c r="M24" i="26"/>
  <c r="M23" i="26"/>
  <c r="M22" i="26"/>
  <c r="M21" i="26"/>
  <c r="M20" i="26"/>
  <c r="M13" i="26"/>
  <c r="M14" i="26"/>
  <c r="M12" i="26"/>
  <c r="M11" i="26"/>
  <c r="M10" i="26"/>
  <c r="M9" i="26"/>
  <c r="M8" i="26"/>
  <c r="M7" i="26"/>
  <c r="M6" i="26"/>
  <c r="M5" i="26"/>
  <c r="M4" i="26"/>
  <c r="M3" i="26"/>
  <c r="M15" i="26"/>
  <c r="M16" i="26"/>
  <c r="M17" i="26"/>
  <c r="M141" i="26"/>
  <c r="M187" i="26"/>
  <c r="M2" i="26"/>
  <c r="L3" i="26"/>
  <c r="L4" i="26"/>
  <c r="L5" i="26"/>
  <c r="L6" i="26"/>
  <c r="L7" i="26"/>
  <c r="L8" i="26"/>
  <c r="L9" i="26"/>
  <c r="L10" i="26"/>
  <c r="L11" i="26"/>
  <c r="L12" i="26"/>
  <c r="L13" i="26"/>
  <c r="L14" i="26"/>
  <c r="L15" i="26"/>
  <c r="L16" i="26"/>
  <c r="L17" i="26"/>
  <c r="L18" i="26"/>
  <c r="L19" i="26"/>
  <c r="L20" i="26"/>
  <c r="L21" i="26"/>
  <c r="L22" i="26"/>
  <c r="L23" i="26"/>
  <c r="L24" i="26"/>
  <c r="L25" i="26"/>
  <c r="L26" i="26"/>
  <c r="L27" i="26"/>
  <c r="L28" i="26"/>
  <c r="L29" i="26"/>
  <c r="L30" i="26"/>
  <c r="L31" i="26"/>
  <c r="L32" i="26"/>
  <c r="L33" i="26"/>
  <c r="L34" i="26"/>
  <c r="L35" i="26"/>
  <c r="L36" i="26"/>
  <c r="L37" i="26"/>
  <c r="L38" i="26"/>
  <c r="L39" i="26"/>
  <c r="L40" i="26"/>
  <c r="L41" i="26"/>
  <c r="L42" i="26"/>
  <c r="L43" i="26"/>
  <c r="L44" i="26"/>
  <c r="L45" i="26"/>
  <c r="L46" i="26"/>
  <c r="L47" i="26"/>
  <c r="L48" i="26"/>
  <c r="L49" i="26"/>
  <c r="L50" i="26"/>
  <c r="L51" i="26"/>
  <c r="L52" i="26"/>
  <c r="L53" i="26"/>
  <c r="L54" i="26"/>
  <c r="L55" i="26"/>
  <c r="L56" i="26"/>
  <c r="L57" i="26"/>
  <c r="L58" i="26"/>
  <c r="L59" i="26"/>
  <c r="L60" i="26"/>
  <c r="L61" i="26"/>
  <c r="L62" i="26"/>
  <c r="L63" i="26"/>
  <c r="L64" i="26"/>
  <c r="L65" i="26"/>
  <c r="L66" i="26"/>
  <c r="L67" i="26"/>
  <c r="L68" i="26"/>
  <c r="L69" i="26"/>
  <c r="L70" i="26"/>
  <c r="L71" i="26"/>
  <c r="L72" i="26"/>
  <c r="L73" i="26"/>
  <c r="L74" i="26"/>
  <c r="L75" i="26"/>
  <c r="L76" i="26"/>
  <c r="L77" i="26"/>
  <c r="L78" i="26"/>
  <c r="L79" i="26"/>
  <c r="L80" i="26"/>
  <c r="L81" i="26"/>
  <c r="L82" i="26"/>
  <c r="L83" i="26"/>
  <c r="L84" i="26"/>
  <c r="L85" i="26"/>
  <c r="L86" i="26"/>
  <c r="L87" i="26"/>
  <c r="L88" i="26"/>
  <c r="L89" i="26"/>
  <c r="L90" i="26"/>
  <c r="L91" i="26"/>
  <c r="L92" i="26"/>
  <c r="L93" i="26"/>
  <c r="L94" i="26"/>
  <c r="L95" i="26"/>
  <c r="L96" i="26"/>
  <c r="L97" i="26"/>
  <c r="L98" i="26"/>
  <c r="L99" i="26"/>
  <c r="L100" i="26"/>
  <c r="L101" i="26"/>
  <c r="L102" i="26"/>
  <c r="L103" i="26"/>
  <c r="L104" i="26"/>
  <c r="L105" i="26"/>
  <c r="L106" i="26"/>
  <c r="L107" i="26"/>
  <c r="L108" i="26"/>
  <c r="L109" i="26"/>
  <c r="L110" i="26"/>
  <c r="L111" i="26"/>
  <c r="L112" i="26"/>
  <c r="L113" i="26"/>
  <c r="L114" i="26"/>
  <c r="L115" i="26"/>
  <c r="L116" i="26"/>
  <c r="L117" i="26"/>
  <c r="L118" i="26"/>
  <c r="L119" i="26"/>
  <c r="L120" i="26"/>
  <c r="L121" i="26"/>
  <c r="L122" i="26"/>
  <c r="L123" i="26"/>
  <c r="L124" i="26"/>
  <c r="L125" i="26"/>
  <c r="L126" i="26"/>
  <c r="L127" i="26"/>
  <c r="L128" i="26"/>
  <c r="L129" i="26"/>
  <c r="L130" i="26"/>
  <c r="L131" i="26"/>
  <c r="L132" i="26"/>
  <c r="L133" i="26"/>
  <c r="L134" i="26"/>
  <c r="L135" i="26"/>
  <c r="L136" i="26"/>
  <c r="L137" i="26"/>
  <c r="L138" i="26"/>
  <c r="L139" i="26"/>
  <c r="L140" i="26"/>
  <c r="L141" i="26"/>
  <c r="L142" i="26"/>
  <c r="L143" i="26"/>
  <c r="L144" i="26"/>
  <c r="L145" i="26"/>
  <c r="L146" i="26"/>
  <c r="L147" i="26"/>
  <c r="L148" i="26"/>
  <c r="L149" i="26"/>
  <c r="L150" i="26"/>
  <c r="L151" i="26"/>
  <c r="L152" i="26"/>
  <c r="L153" i="26"/>
  <c r="L154" i="26"/>
  <c r="L155" i="26"/>
  <c r="L156" i="26"/>
  <c r="L157" i="26"/>
  <c r="L158" i="26"/>
  <c r="L159" i="26"/>
  <c r="L160" i="26"/>
  <c r="L161" i="26"/>
  <c r="L162" i="26"/>
  <c r="L163" i="26"/>
  <c r="L164" i="26"/>
  <c r="L165" i="26"/>
  <c r="L166" i="26"/>
  <c r="L167" i="26"/>
  <c r="L168" i="26"/>
  <c r="L169" i="26"/>
  <c r="L170" i="26"/>
  <c r="L171" i="26"/>
  <c r="L172" i="26"/>
  <c r="L173" i="26"/>
  <c r="L174" i="26"/>
  <c r="L175" i="26"/>
  <c r="L176" i="26"/>
  <c r="L177" i="26"/>
  <c r="L178" i="26"/>
  <c r="L179" i="26"/>
  <c r="L180" i="26"/>
  <c r="L181" i="26"/>
  <c r="L182" i="26"/>
  <c r="L183" i="26"/>
  <c r="L184" i="26"/>
  <c r="L185" i="26"/>
  <c r="L186" i="26"/>
  <c r="L187" i="26"/>
  <c r="L188" i="26"/>
  <c r="L189" i="26"/>
  <c r="L190" i="26"/>
  <c r="L191" i="26"/>
  <c r="L192" i="26"/>
  <c r="L193" i="26"/>
  <c r="L194" i="26"/>
  <c r="L195" i="26"/>
  <c r="L196" i="26"/>
  <c r="L197" i="26"/>
  <c r="L198" i="26"/>
  <c r="L199" i="26"/>
  <c r="L200" i="26"/>
  <c r="L201" i="26"/>
  <c r="L202" i="26"/>
  <c r="L203" i="26"/>
  <c r="L204" i="26"/>
  <c r="L205" i="26"/>
  <c r="L206" i="26"/>
  <c r="L207" i="26"/>
  <c r="L208" i="26"/>
  <c r="L209" i="26"/>
  <c r="L210" i="26"/>
  <c r="L211" i="26"/>
  <c r="L212" i="26"/>
  <c r="L213" i="26"/>
  <c r="L214" i="26"/>
  <c r="L215" i="26"/>
  <c r="L216" i="26"/>
  <c r="L217" i="26"/>
  <c r="L2" i="26"/>
  <c r="Q4" i="25"/>
  <c r="R4" i="25"/>
  <c r="E10" i="25"/>
  <c r="F10" i="25"/>
  <c r="S10" i="25" s="1"/>
  <c r="G10" i="25"/>
  <c r="I10" i="25"/>
  <c r="J10" i="25"/>
  <c r="Q10" i="25"/>
  <c r="U10" i="25"/>
  <c r="E11" i="25"/>
  <c r="F11" i="25"/>
  <c r="S11" i="25" s="1"/>
  <c r="G11" i="25"/>
  <c r="I11" i="25"/>
  <c r="J11" i="25"/>
  <c r="K11" i="25"/>
  <c r="L11" i="25"/>
  <c r="M11" i="25"/>
  <c r="N11" i="25"/>
  <c r="O11" i="25"/>
  <c r="P11" i="25"/>
  <c r="Q11" i="25"/>
  <c r="R11" i="25"/>
  <c r="U11" i="25"/>
  <c r="E12" i="25"/>
  <c r="F12" i="25"/>
  <c r="G12" i="25"/>
  <c r="I12" i="25"/>
  <c r="J12" i="25"/>
  <c r="K12" i="25"/>
  <c r="L12" i="25"/>
  <c r="M12" i="25"/>
  <c r="N12" i="25"/>
  <c r="O12" i="25"/>
  <c r="P12" i="25"/>
  <c r="Q12" i="25"/>
  <c r="R12" i="25"/>
  <c r="S12" i="25"/>
  <c r="U12" i="25"/>
  <c r="E13" i="25"/>
  <c r="F13" i="25"/>
  <c r="G13" i="25"/>
  <c r="I13" i="25"/>
  <c r="J13" i="25"/>
  <c r="K13" i="25"/>
  <c r="L13" i="25"/>
  <c r="M13" i="25"/>
  <c r="N13" i="25"/>
  <c r="O13" i="25"/>
  <c r="P13" i="25"/>
  <c r="Q13" i="25"/>
  <c r="R13" i="25"/>
  <c r="S13" i="25"/>
  <c r="U13" i="25"/>
  <c r="E14" i="25"/>
  <c r="F14" i="25"/>
  <c r="G14" i="25"/>
  <c r="I14" i="25"/>
  <c r="J14" i="25"/>
  <c r="K14" i="25"/>
  <c r="L14" i="25"/>
  <c r="M14" i="25"/>
  <c r="N14" i="25"/>
  <c r="O14" i="25"/>
  <c r="P14" i="25"/>
  <c r="Q14" i="25"/>
  <c r="R14" i="25"/>
  <c r="S14" i="25"/>
  <c r="U14" i="25"/>
  <c r="E15" i="25"/>
  <c r="J15" i="25" s="1"/>
  <c r="F15" i="25"/>
  <c r="G15" i="25"/>
  <c r="I15" i="25"/>
  <c r="K15" i="25"/>
  <c r="L15" i="25"/>
  <c r="M15" i="25"/>
  <c r="N15" i="25"/>
  <c r="O15" i="25"/>
  <c r="P15" i="25"/>
  <c r="Q15" i="25"/>
  <c r="R15" i="25"/>
  <c r="S15" i="25"/>
  <c r="U15" i="25"/>
  <c r="E16" i="25"/>
  <c r="J16" i="25" s="1"/>
  <c r="F16" i="25"/>
  <c r="S16" i="25" s="1"/>
  <c r="G16" i="25"/>
  <c r="I16" i="25"/>
  <c r="K16" i="25"/>
  <c r="L16" i="25"/>
  <c r="M16" i="25"/>
  <c r="N16" i="25"/>
  <c r="O16" i="25"/>
  <c r="P16" i="25"/>
  <c r="Q16" i="25"/>
  <c r="R16" i="25"/>
  <c r="U16" i="25"/>
  <c r="E17" i="25"/>
  <c r="J17" i="25" s="1"/>
  <c r="F17" i="25"/>
  <c r="S17" i="25" s="1"/>
  <c r="G17" i="25"/>
  <c r="I17" i="25"/>
  <c r="K17" i="25"/>
  <c r="L17" i="25"/>
  <c r="M17" i="25"/>
  <c r="N17" i="25"/>
  <c r="O17" i="25"/>
  <c r="P17" i="25"/>
  <c r="Q17" i="25"/>
  <c r="R17" i="25"/>
  <c r="U17" i="25"/>
  <c r="E18" i="25"/>
  <c r="J18" i="25" s="1"/>
  <c r="F18" i="25"/>
  <c r="S18" i="25" s="1"/>
  <c r="G18" i="25"/>
  <c r="I18" i="25"/>
  <c r="K18" i="25"/>
  <c r="L18" i="25"/>
  <c r="M18" i="25"/>
  <c r="N18" i="25"/>
  <c r="O18" i="25"/>
  <c r="P18" i="25"/>
  <c r="Q18" i="25"/>
  <c r="R18" i="25"/>
  <c r="U18" i="25"/>
  <c r="E19" i="25"/>
  <c r="F19" i="25"/>
  <c r="S19" i="25" s="1"/>
  <c r="G19" i="25"/>
  <c r="I19" i="25"/>
  <c r="J19" i="25"/>
  <c r="K19" i="25"/>
  <c r="L19" i="25"/>
  <c r="M19" i="25"/>
  <c r="N19" i="25"/>
  <c r="O19" i="25"/>
  <c r="P19" i="25"/>
  <c r="Q19" i="25"/>
  <c r="R19" i="25"/>
  <c r="U19" i="25"/>
  <c r="E20" i="25"/>
  <c r="F20" i="25"/>
  <c r="S20" i="25" s="1"/>
  <c r="G20" i="25"/>
  <c r="I20" i="25"/>
  <c r="J20" i="25"/>
  <c r="K20" i="25"/>
  <c r="Q20" i="25" s="1"/>
  <c r="L20" i="25"/>
  <c r="M20" i="25"/>
  <c r="N20" i="25"/>
  <c r="O20" i="25"/>
  <c r="P20" i="25"/>
  <c r="U20" i="25"/>
  <c r="E21" i="25"/>
  <c r="F21" i="25"/>
  <c r="G21" i="25"/>
  <c r="I21" i="25"/>
  <c r="J21" i="25"/>
  <c r="K21" i="25"/>
  <c r="Q21" i="25" s="1"/>
  <c r="L21" i="25"/>
  <c r="M21" i="25"/>
  <c r="N21" i="25"/>
  <c r="O21" i="25"/>
  <c r="P21" i="25"/>
  <c r="U21" i="25"/>
  <c r="E22" i="25"/>
  <c r="F22" i="25"/>
  <c r="G22" i="25"/>
  <c r="I22" i="25"/>
  <c r="J22" i="25"/>
  <c r="U22" i="25"/>
  <c r="E23" i="25"/>
  <c r="F23" i="25"/>
  <c r="G23" i="25"/>
  <c r="I23" i="25"/>
  <c r="J23" i="25"/>
  <c r="U23" i="25"/>
  <c r="E24" i="25"/>
  <c r="F24" i="25"/>
  <c r="G24" i="25"/>
  <c r="I24" i="25"/>
  <c r="J24" i="25"/>
  <c r="K24" i="25"/>
  <c r="L24" i="25"/>
  <c r="M24" i="25"/>
  <c r="N24" i="25"/>
  <c r="O24" i="25"/>
  <c r="P24" i="25"/>
  <c r="U24" i="25"/>
  <c r="V24" i="25"/>
  <c r="E25" i="25"/>
  <c r="F25" i="25"/>
  <c r="G25" i="25"/>
  <c r="I25" i="25"/>
  <c r="J25" i="25"/>
  <c r="U25" i="25"/>
  <c r="E26" i="25"/>
  <c r="F26" i="25"/>
  <c r="G26" i="25"/>
  <c r="I26" i="25"/>
  <c r="J26" i="25"/>
  <c r="K26" i="25"/>
  <c r="L26" i="25"/>
  <c r="M26" i="25"/>
  <c r="N26" i="25"/>
  <c r="O26" i="25"/>
  <c r="P26" i="25"/>
  <c r="U26" i="25"/>
  <c r="V26" i="25"/>
  <c r="E27" i="25"/>
  <c r="F27" i="25"/>
  <c r="G27" i="25"/>
  <c r="I27" i="25"/>
  <c r="J27" i="25"/>
  <c r="K27" i="25"/>
  <c r="L27" i="25"/>
  <c r="M27" i="25"/>
  <c r="N27" i="25"/>
  <c r="O27" i="25"/>
  <c r="P27" i="25"/>
  <c r="U27" i="25"/>
  <c r="E28" i="25"/>
  <c r="F28" i="25"/>
  <c r="G28" i="25"/>
  <c r="I28" i="25"/>
  <c r="J28" i="25"/>
  <c r="Q28" i="25"/>
  <c r="U28" i="25"/>
  <c r="E29" i="25"/>
  <c r="F29" i="25"/>
  <c r="G29" i="25"/>
  <c r="I29" i="25"/>
  <c r="J29" i="25"/>
  <c r="Q29" i="25"/>
  <c r="U29" i="25"/>
  <c r="E30" i="25"/>
  <c r="F30" i="25"/>
  <c r="G30" i="25"/>
  <c r="I30" i="25"/>
  <c r="J30" i="25"/>
  <c r="K30" i="25"/>
  <c r="L30" i="25"/>
  <c r="M30" i="25"/>
  <c r="N30" i="25"/>
  <c r="O30" i="25"/>
  <c r="P30" i="25"/>
  <c r="Q30" i="25"/>
  <c r="R30" i="25"/>
  <c r="S30" i="25"/>
  <c r="U30" i="25"/>
  <c r="E31" i="25"/>
  <c r="F31" i="25"/>
  <c r="G31" i="25"/>
  <c r="I31" i="25"/>
  <c r="J31" i="25"/>
  <c r="K31" i="25"/>
  <c r="L31" i="25"/>
  <c r="M31" i="25"/>
  <c r="N31" i="25"/>
  <c r="O31" i="25"/>
  <c r="P31" i="25"/>
  <c r="Q31" i="25"/>
  <c r="R31" i="25"/>
  <c r="S31" i="25"/>
  <c r="U31" i="25"/>
  <c r="E32" i="25"/>
  <c r="F32" i="25"/>
  <c r="G32" i="25"/>
  <c r="I32" i="25"/>
  <c r="J32" i="25"/>
  <c r="K32" i="25"/>
  <c r="L32" i="25"/>
  <c r="M32" i="25"/>
  <c r="N32" i="25"/>
  <c r="O32" i="25"/>
  <c r="P32" i="25"/>
  <c r="Q32" i="25"/>
  <c r="R32" i="25"/>
  <c r="S32" i="25"/>
  <c r="U32" i="25"/>
  <c r="E33" i="25"/>
  <c r="J33" i="25" s="1"/>
  <c r="F33" i="25"/>
  <c r="G33" i="25"/>
  <c r="I33" i="25"/>
  <c r="K33" i="25"/>
  <c r="L33" i="25"/>
  <c r="M33" i="25"/>
  <c r="N33" i="25"/>
  <c r="O33" i="25"/>
  <c r="P33" i="25"/>
  <c r="Q33" i="25"/>
  <c r="R33" i="25"/>
  <c r="S33" i="25"/>
  <c r="U33" i="25"/>
  <c r="E34" i="25"/>
  <c r="J34" i="25" s="1"/>
  <c r="F34" i="25"/>
  <c r="S34" i="25" s="1"/>
  <c r="G34" i="25"/>
  <c r="I34" i="25"/>
  <c r="Q34" i="25"/>
  <c r="R34" i="25"/>
  <c r="U34" i="25"/>
  <c r="E35" i="25"/>
  <c r="J35" i="25" s="1"/>
  <c r="F35" i="25"/>
  <c r="S35" i="25" s="1"/>
  <c r="G35" i="25"/>
  <c r="I35" i="25"/>
  <c r="K35" i="25"/>
  <c r="L35" i="25"/>
  <c r="M35" i="25"/>
  <c r="N35" i="25"/>
  <c r="O35" i="25"/>
  <c r="P35" i="25"/>
  <c r="Q35" i="25"/>
  <c r="R35" i="25"/>
  <c r="U35" i="25"/>
  <c r="E36" i="25"/>
  <c r="J36" i="25" s="1"/>
  <c r="F36" i="25"/>
  <c r="S36" i="25" s="1"/>
  <c r="G36" i="25"/>
  <c r="I36" i="25"/>
  <c r="K36" i="25"/>
  <c r="L36" i="25"/>
  <c r="M36" i="25"/>
  <c r="N36" i="25"/>
  <c r="O36" i="25"/>
  <c r="P36" i="25"/>
  <c r="Q36" i="25"/>
  <c r="R36" i="25"/>
  <c r="U36" i="25"/>
  <c r="E37" i="25"/>
  <c r="F37" i="25"/>
  <c r="S37" i="25" s="1"/>
  <c r="G37" i="25"/>
  <c r="I37" i="25"/>
  <c r="J37" i="25"/>
  <c r="K37" i="25"/>
  <c r="L37" i="25"/>
  <c r="M37" i="25"/>
  <c r="N37" i="25"/>
  <c r="O37" i="25"/>
  <c r="P37" i="25"/>
  <c r="Q37" i="25"/>
  <c r="R37" i="25"/>
  <c r="U37" i="25"/>
  <c r="E38" i="25"/>
  <c r="F38" i="25"/>
  <c r="G38" i="25"/>
  <c r="I38" i="25"/>
  <c r="J38" i="25"/>
  <c r="K38" i="25"/>
  <c r="Q38" i="25" s="1"/>
  <c r="L38" i="25"/>
  <c r="M38" i="25"/>
  <c r="N38" i="25"/>
  <c r="O38" i="25"/>
  <c r="P38" i="25"/>
  <c r="U38" i="25"/>
  <c r="E39" i="25"/>
  <c r="F39" i="25"/>
  <c r="G39" i="25"/>
  <c r="I39" i="25"/>
  <c r="J39" i="25"/>
  <c r="K39" i="25"/>
  <c r="Q39" i="25" s="1"/>
  <c r="L39" i="25"/>
  <c r="M39" i="25"/>
  <c r="N39" i="25"/>
  <c r="O39" i="25"/>
  <c r="P39" i="25"/>
  <c r="U39" i="25"/>
  <c r="E40" i="25"/>
  <c r="F40" i="25"/>
  <c r="G40" i="25"/>
  <c r="I40" i="25"/>
  <c r="J40" i="25"/>
  <c r="U40" i="25"/>
  <c r="E41" i="25"/>
  <c r="F41" i="25"/>
  <c r="S41" i="25" s="1"/>
  <c r="G41" i="25"/>
  <c r="I41" i="25"/>
  <c r="J41" i="25"/>
  <c r="K41" i="25"/>
  <c r="Q41" i="25" s="1"/>
  <c r="L41" i="25"/>
  <c r="M41" i="25"/>
  <c r="N41" i="25"/>
  <c r="O41" i="25"/>
  <c r="P41" i="25"/>
  <c r="U41" i="25"/>
  <c r="I42" i="25"/>
  <c r="J42" i="25"/>
  <c r="K42" i="25"/>
  <c r="L42" i="25"/>
  <c r="M42" i="25"/>
  <c r="N42" i="25"/>
  <c r="O42" i="25"/>
  <c r="P42" i="25"/>
  <c r="Q42" i="25"/>
  <c r="S42" i="25" s="1"/>
  <c r="R42" i="25"/>
  <c r="U42" i="25"/>
  <c r="I43" i="25"/>
  <c r="J43" i="25"/>
  <c r="K43" i="25"/>
  <c r="L43" i="25"/>
  <c r="M43" i="25"/>
  <c r="N43" i="25"/>
  <c r="O43" i="25"/>
  <c r="P43" i="25"/>
  <c r="Q43" i="25"/>
  <c r="R43" i="25"/>
  <c r="S43" i="25"/>
  <c r="U43" i="25"/>
  <c r="I44" i="25"/>
  <c r="J44" i="25"/>
  <c r="K44" i="25"/>
  <c r="L44" i="25"/>
  <c r="M44" i="25"/>
  <c r="N44" i="25"/>
  <c r="O44" i="25"/>
  <c r="P44" i="25"/>
  <c r="Q44" i="25"/>
  <c r="R44" i="25"/>
  <c r="S44" i="25"/>
  <c r="U44" i="25"/>
  <c r="I45" i="25"/>
  <c r="J45" i="25"/>
  <c r="K45" i="25"/>
  <c r="Q45" i="25" s="1"/>
  <c r="S45" i="25" s="1"/>
  <c r="L45" i="25"/>
  <c r="M45" i="25"/>
  <c r="N45" i="25"/>
  <c r="O45" i="25"/>
  <c r="P45" i="25"/>
  <c r="U45" i="25"/>
  <c r="I46" i="25"/>
  <c r="J46" i="25"/>
  <c r="K46" i="25"/>
  <c r="Q46" i="25" s="1"/>
  <c r="S46" i="25" s="1"/>
  <c r="L46" i="25"/>
  <c r="M46" i="25"/>
  <c r="N46" i="25"/>
  <c r="O46" i="25"/>
  <c r="P46" i="25"/>
  <c r="U46" i="25"/>
  <c r="I47" i="25"/>
  <c r="J47" i="25"/>
  <c r="K47" i="25"/>
  <c r="L47" i="25"/>
  <c r="M47" i="25"/>
  <c r="N47" i="25"/>
  <c r="O47" i="25"/>
  <c r="P47" i="25"/>
  <c r="Q47" i="25"/>
  <c r="R47" i="25"/>
  <c r="S47" i="25"/>
  <c r="U47" i="25"/>
  <c r="I48" i="25"/>
  <c r="J48" i="25"/>
  <c r="K48" i="25"/>
  <c r="L48" i="25"/>
  <c r="M48" i="25"/>
  <c r="N48" i="25"/>
  <c r="O48" i="25"/>
  <c r="P48" i="25"/>
  <c r="Q48" i="25"/>
  <c r="R48" i="25"/>
  <c r="S48" i="25"/>
  <c r="U48" i="25"/>
  <c r="I49" i="25"/>
  <c r="J49" i="25"/>
  <c r="K49" i="25"/>
  <c r="Q49" i="25" s="1"/>
  <c r="S49" i="25" s="1"/>
  <c r="L49" i="25"/>
  <c r="M49" i="25"/>
  <c r="N49" i="25"/>
  <c r="O49" i="25"/>
  <c r="P49" i="25"/>
  <c r="U49" i="25"/>
  <c r="E10" i="24"/>
  <c r="F10" i="24"/>
  <c r="G10" i="24"/>
  <c r="I10" i="24"/>
  <c r="J10" i="24"/>
  <c r="Q10" i="24"/>
  <c r="R10" i="24"/>
  <c r="S10" i="24"/>
  <c r="U10" i="24"/>
  <c r="E11" i="24"/>
  <c r="F11" i="24"/>
  <c r="S11" i="24" s="1"/>
  <c r="G11" i="24"/>
  <c r="I11" i="24"/>
  <c r="J11" i="24"/>
  <c r="Q11" i="24"/>
  <c r="R11" i="24"/>
  <c r="U11" i="24"/>
  <c r="E12" i="24"/>
  <c r="F12" i="24"/>
  <c r="G12" i="24"/>
  <c r="I12" i="24"/>
  <c r="J12" i="24"/>
  <c r="K12" i="24"/>
  <c r="L12" i="24"/>
  <c r="M12" i="24"/>
  <c r="N12" i="24"/>
  <c r="O12" i="24"/>
  <c r="P12" i="24"/>
  <c r="Q12" i="24"/>
  <c r="U12" i="24"/>
  <c r="E13" i="24"/>
  <c r="F13" i="24"/>
  <c r="G13" i="24"/>
  <c r="I13" i="24"/>
  <c r="J13" i="24"/>
  <c r="Q13" i="24"/>
  <c r="R13" i="24"/>
  <c r="S13" i="24"/>
  <c r="U13" i="24"/>
  <c r="E14" i="24"/>
  <c r="F14" i="24"/>
  <c r="S14" i="24" s="1"/>
  <c r="G14" i="24"/>
  <c r="I14" i="24"/>
  <c r="K14" i="24"/>
  <c r="L14" i="24"/>
  <c r="M14" i="24"/>
  <c r="N14" i="24"/>
  <c r="O14" i="24"/>
  <c r="P14" i="24"/>
  <c r="Q14" i="24"/>
  <c r="R14" i="24"/>
  <c r="U14" i="24"/>
  <c r="E15" i="24"/>
  <c r="F15" i="24"/>
  <c r="S15" i="24" s="1"/>
  <c r="G15" i="24"/>
  <c r="I15" i="24"/>
  <c r="J15" i="24"/>
  <c r="Q15" i="24"/>
  <c r="R15" i="24"/>
  <c r="U15" i="24"/>
  <c r="E16" i="24"/>
  <c r="F16" i="24"/>
  <c r="G16" i="24"/>
  <c r="I16" i="24"/>
  <c r="J16" i="24"/>
  <c r="Q16" i="24"/>
  <c r="R16" i="24"/>
  <c r="S16" i="24"/>
  <c r="U16" i="24"/>
  <c r="E17" i="24"/>
  <c r="F17" i="24"/>
  <c r="S17" i="24" s="1"/>
  <c r="G17" i="24"/>
  <c r="I17" i="24"/>
  <c r="Q17" i="24"/>
  <c r="R17" i="24"/>
  <c r="U17" i="24"/>
  <c r="E18" i="24"/>
  <c r="F18" i="24"/>
  <c r="G18" i="24"/>
  <c r="I18" i="24"/>
  <c r="J18" i="24"/>
  <c r="K18" i="24"/>
  <c r="L18" i="24"/>
  <c r="M18" i="24"/>
  <c r="N18" i="24"/>
  <c r="O18" i="24"/>
  <c r="P18" i="24"/>
  <c r="U18" i="24"/>
  <c r="E19" i="24"/>
  <c r="F19" i="24"/>
  <c r="G19" i="24"/>
  <c r="I19" i="24"/>
  <c r="J19" i="24"/>
  <c r="Q19" i="24"/>
  <c r="R19" i="24"/>
  <c r="S19" i="24"/>
  <c r="U19" i="24"/>
  <c r="E20" i="24"/>
  <c r="F20" i="24"/>
  <c r="S20" i="24" s="1"/>
  <c r="G20" i="24"/>
  <c r="I20" i="24"/>
  <c r="Q20" i="24"/>
  <c r="R20" i="24"/>
  <c r="U20" i="24"/>
  <c r="E21" i="24"/>
  <c r="F21" i="24"/>
  <c r="G21" i="24"/>
  <c r="I21" i="24"/>
  <c r="J21" i="24"/>
  <c r="K21" i="24"/>
  <c r="L21" i="24"/>
  <c r="M21" i="24"/>
  <c r="N21" i="24"/>
  <c r="O21" i="24"/>
  <c r="P21" i="24"/>
  <c r="U21" i="24"/>
  <c r="E22" i="24"/>
  <c r="F22" i="24"/>
  <c r="G22" i="24"/>
  <c r="I22" i="24"/>
  <c r="J22" i="24"/>
  <c r="Q22" i="24"/>
  <c r="R22" i="24"/>
  <c r="S22" i="24"/>
  <c r="U22" i="24"/>
  <c r="E23" i="24"/>
  <c r="J23" i="24" s="1"/>
  <c r="F23" i="24"/>
  <c r="G23" i="24"/>
  <c r="I23" i="24"/>
  <c r="Q23" i="24"/>
  <c r="R23" i="24"/>
  <c r="S23" i="24"/>
  <c r="U23" i="24"/>
  <c r="E24" i="24"/>
  <c r="F24" i="24"/>
  <c r="G24" i="24"/>
  <c r="I24" i="24"/>
  <c r="J24" i="24"/>
  <c r="Q24" i="24"/>
  <c r="R24" i="24"/>
  <c r="S24" i="24"/>
  <c r="U24" i="24"/>
  <c r="V24" i="24"/>
  <c r="E25" i="24"/>
  <c r="F25" i="24"/>
  <c r="G25" i="24"/>
  <c r="I25" i="24"/>
  <c r="J25" i="24"/>
  <c r="Q25" i="24"/>
  <c r="R25" i="24"/>
  <c r="S25" i="24"/>
  <c r="U25" i="24"/>
  <c r="E26" i="24"/>
  <c r="F26" i="24"/>
  <c r="S26" i="24" s="1"/>
  <c r="G26" i="24"/>
  <c r="I26" i="24"/>
  <c r="J26" i="24"/>
  <c r="Q26" i="24"/>
  <c r="R26" i="24"/>
  <c r="U26" i="24"/>
  <c r="V26" i="24"/>
  <c r="E27" i="24"/>
  <c r="F27" i="24"/>
  <c r="G27" i="24"/>
  <c r="I27" i="24"/>
  <c r="J27" i="24"/>
  <c r="Q27" i="24"/>
  <c r="R27" i="24"/>
  <c r="S27" i="24"/>
  <c r="U27" i="24"/>
  <c r="E28" i="24"/>
  <c r="F28" i="24"/>
  <c r="S28" i="24" s="1"/>
  <c r="G28" i="24"/>
  <c r="I28" i="24"/>
  <c r="Q28" i="24"/>
  <c r="R28" i="24"/>
  <c r="U28" i="24"/>
  <c r="E29" i="24"/>
  <c r="F29" i="24"/>
  <c r="G29" i="24"/>
  <c r="I29" i="24"/>
  <c r="J29" i="24"/>
  <c r="Q29" i="24"/>
  <c r="R29" i="24"/>
  <c r="S29" i="24"/>
  <c r="U29" i="24"/>
  <c r="E30" i="24"/>
  <c r="F30" i="24"/>
  <c r="G30" i="24"/>
  <c r="I30" i="24"/>
  <c r="J30" i="24"/>
  <c r="K30" i="24"/>
  <c r="L30" i="24"/>
  <c r="M30" i="24"/>
  <c r="N30" i="24"/>
  <c r="O30" i="24"/>
  <c r="P30" i="24"/>
  <c r="Q30" i="24"/>
  <c r="R30" i="24"/>
  <c r="S30" i="24"/>
  <c r="U30" i="24"/>
  <c r="E31" i="24"/>
  <c r="J31" i="24" s="1"/>
  <c r="F31" i="24"/>
  <c r="G31" i="24"/>
  <c r="I31" i="24"/>
  <c r="Q31" i="24"/>
  <c r="R31" i="24"/>
  <c r="S31" i="24"/>
  <c r="U31" i="24"/>
  <c r="E32" i="24"/>
  <c r="F32" i="24"/>
  <c r="G32" i="24"/>
  <c r="I32" i="24"/>
  <c r="J32" i="24"/>
  <c r="Q32" i="24"/>
  <c r="R32" i="24"/>
  <c r="S32" i="24"/>
  <c r="U32" i="24"/>
  <c r="E33" i="24"/>
  <c r="F33" i="24"/>
  <c r="G33" i="24"/>
  <c r="I33" i="24"/>
  <c r="J33" i="24"/>
  <c r="K33" i="24"/>
  <c r="L33" i="24"/>
  <c r="M33" i="24"/>
  <c r="N33" i="24"/>
  <c r="O33" i="24"/>
  <c r="P33" i="24"/>
  <c r="Q33" i="24"/>
  <c r="R33" i="24"/>
  <c r="S33" i="24"/>
  <c r="U33" i="24"/>
  <c r="E34" i="24"/>
  <c r="F34" i="24"/>
  <c r="G34" i="24"/>
  <c r="I34" i="24"/>
  <c r="J34" i="24"/>
  <c r="Q34" i="24"/>
  <c r="R34" i="24"/>
  <c r="S34" i="24"/>
  <c r="U34" i="24"/>
  <c r="E35" i="24"/>
  <c r="F35" i="24"/>
  <c r="G35" i="24"/>
  <c r="I35" i="24"/>
  <c r="J35" i="24"/>
  <c r="Q35" i="24"/>
  <c r="R35" i="24"/>
  <c r="U35" i="24"/>
  <c r="E36" i="24"/>
  <c r="F36" i="24"/>
  <c r="G36" i="24"/>
  <c r="I36" i="24"/>
  <c r="J36" i="24"/>
  <c r="K36" i="24"/>
  <c r="L36" i="24"/>
  <c r="M36" i="24"/>
  <c r="N36" i="24"/>
  <c r="O36" i="24"/>
  <c r="P36" i="24"/>
  <c r="Q36" i="24"/>
  <c r="R36" i="24"/>
  <c r="S36" i="24"/>
  <c r="U36" i="24"/>
  <c r="E37" i="24"/>
  <c r="F37" i="24"/>
  <c r="G37" i="24"/>
  <c r="I37" i="24"/>
  <c r="J37" i="24"/>
  <c r="Q37" i="24"/>
  <c r="R37" i="24"/>
  <c r="S37" i="24"/>
  <c r="U37" i="24"/>
  <c r="E38" i="24"/>
  <c r="F38" i="24"/>
  <c r="G38" i="24"/>
  <c r="I38" i="24"/>
  <c r="J38" i="24"/>
  <c r="K38" i="24"/>
  <c r="L38" i="24"/>
  <c r="M38" i="24"/>
  <c r="N38" i="24"/>
  <c r="O38" i="24"/>
  <c r="P38" i="24"/>
  <c r="U38" i="24"/>
  <c r="E39" i="24"/>
  <c r="F39" i="24"/>
  <c r="S39" i="24" s="1"/>
  <c r="G39" i="24"/>
  <c r="I39" i="24"/>
  <c r="J39" i="24"/>
  <c r="Q39" i="24"/>
  <c r="R39" i="24"/>
  <c r="U39" i="24"/>
  <c r="E40" i="24"/>
  <c r="F40" i="24"/>
  <c r="G40" i="24"/>
  <c r="I40" i="24"/>
  <c r="J40" i="24"/>
  <c r="Q40" i="24"/>
  <c r="R40" i="24"/>
  <c r="S40" i="24"/>
  <c r="U40" i="24"/>
  <c r="E41" i="24"/>
  <c r="J41" i="24" s="1"/>
  <c r="F41" i="24"/>
  <c r="S41" i="24" s="1"/>
  <c r="G41" i="24"/>
  <c r="I41" i="24"/>
  <c r="Q41" i="24"/>
  <c r="R41" i="24"/>
  <c r="U41" i="24"/>
  <c r="I42" i="24"/>
  <c r="J42" i="24"/>
  <c r="Q42" i="24"/>
  <c r="R42" i="24"/>
  <c r="S42" i="24"/>
  <c r="U42" i="24"/>
  <c r="I43" i="24"/>
  <c r="J43" i="24"/>
  <c r="Q43" i="24"/>
  <c r="R43" i="24"/>
  <c r="S43" i="24"/>
  <c r="U43" i="24"/>
  <c r="I44" i="24"/>
  <c r="J44" i="24"/>
  <c r="Q44" i="24"/>
  <c r="R44" i="24"/>
  <c r="S44" i="24"/>
  <c r="U44" i="24"/>
  <c r="I45" i="24"/>
  <c r="J45" i="24"/>
  <c r="Q45" i="24"/>
  <c r="R45" i="24"/>
  <c r="S45" i="24"/>
  <c r="U45" i="24"/>
  <c r="I46" i="24"/>
  <c r="J46" i="24"/>
  <c r="Q46" i="24"/>
  <c r="R46" i="24"/>
  <c r="S46" i="24"/>
  <c r="U46" i="24"/>
  <c r="I47" i="24"/>
  <c r="J47" i="24"/>
  <c r="Q47" i="24"/>
  <c r="R47" i="24"/>
  <c r="S47" i="24"/>
  <c r="U47" i="24"/>
  <c r="I48" i="24"/>
  <c r="J48" i="24"/>
  <c r="Q48" i="24"/>
  <c r="R48" i="24"/>
  <c r="S48" i="24"/>
  <c r="U48" i="24"/>
  <c r="I49" i="24"/>
  <c r="J49" i="24"/>
  <c r="Q49" i="24"/>
  <c r="R49" i="24"/>
  <c r="S49" i="24"/>
  <c r="U49" i="24"/>
  <c r="E10" i="23"/>
  <c r="F10" i="23"/>
  <c r="G10" i="23"/>
  <c r="I10" i="23"/>
  <c r="J10" i="23"/>
  <c r="Q10" i="23"/>
  <c r="R10" i="23"/>
  <c r="S10" i="23"/>
  <c r="U10" i="23"/>
  <c r="E11" i="23"/>
  <c r="F11" i="23"/>
  <c r="G11" i="23"/>
  <c r="I11" i="23"/>
  <c r="J11" i="23"/>
  <c r="Q11" i="23"/>
  <c r="R11" i="23"/>
  <c r="S11" i="23"/>
  <c r="U11" i="23"/>
  <c r="E12" i="23"/>
  <c r="F12" i="23"/>
  <c r="G12" i="23"/>
  <c r="I12" i="23"/>
  <c r="J12" i="23"/>
  <c r="K12" i="23"/>
  <c r="L12" i="23"/>
  <c r="M12" i="23"/>
  <c r="N12" i="23"/>
  <c r="O12" i="23"/>
  <c r="P12" i="23"/>
  <c r="Q12" i="23"/>
  <c r="U12" i="23"/>
  <c r="E13" i="23"/>
  <c r="F13" i="23"/>
  <c r="G13" i="23"/>
  <c r="I13" i="23"/>
  <c r="J13" i="23"/>
  <c r="Q13" i="23"/>
  <c r="R13" i="23"/>
  <c r="S13" i="23"/>
  <c r="U13" i="23"/>
  <c r="E14" i="23"/>
  <c r="F14" i="23"/>
  <c r="G14" i="23"/>
  <c r="I14" i="23"/>
  <c r="J14" i="23"/>
  <c r="K14" i="23"/>
  <c r="L14" i="23"/>
  <c r="M14" i="23"/>
  <c r="N14" i="23"/>
  <c r="O14" i="23"/>
  <c r="P14" i="23"/>
  <c r="Q14" i="23"/>
  <c r="R14" i="23"/>
  <c r="S14" i="23"/>
  <c r="U14" i="23"/>
  <c r="E15" i="23"/>
  <c r="F15" i="23"/>
  <c r="S15" i="23" s="1"/>
  <c r="G15" i="23"/>
  <c r="I15" i="23"/>
  <c r="J15" i="23"/>
  <c r="Q15" i="23"/>
  <c r="R15" i="23"/>
  <c r="U15" i="23"/>
  <c r="E16" i="23"/>
  <c r="F16" i="23"/>
  <c r="G16" i="23"/>
  <c r="I16" i="23"/>
  <c r="J16" i="23"/>
  <c r="Q16" i="23"/>
  <c r="R16" i="23"/>
  <c r="S16" i="23"/>
  <c r="U16" i="23"/>
  <c r="E17" i="23"/>
  <c r="F17" i="23"/>
  <c r="G17" i="23"/>
  <c r="I17" i="23"/>
  <c r="J17" i="23"/>
  <c r="Q17" i="23"/>
  <c r="R17" i="23"/>
  <c r="S17" i="23"/>
  <c r="U17" i="23"/>
  <c r="E18" i="23"/>
  <c r="F18" i="23"/>
  <c r="G18" i="23"/>
  <c r="I18" i="23"/>
  <c r="J18" i="23"/>
  <c r="K18" i="23"/>
  <c r="L18" i="23"/>
  <c r="M18" i="23"/>
  <c r="N18" i="23"/>
  <c r="O18" i="23"/>
  <c r="P18" i="23"/>
  <c r="U18" i="23"/>
  <c r="E19" i="23"/>
  <c r="F19" i="23"/>
  <c r="G19" i="23"/>
  <c r="I19" i="23"/>
  <c r="J19" i="23"/>
  <c r="Q19" i="23"/>
  <c r="R19" i="23"/>
  <c r="S19" i="23"/>
  <c r="U19" i="23"/>
  <c r="E20" i="23"/>
  <c r="F20" i="23"/>
  <c r="G20" i="23"/>
  <c r="I20" i="23"/>
  <c r="J20" i="23"/>
  <c r="Q20" i="23"/>
  <c r="R20" i="23"/>
  <c r="S20" i="23"/>
  <c r="U20" i="23"/>
  <c r="E21" i="23"/>
  <c r="F21" i="23"/>
  <c r="G21" i="23"/>
  <c r="I21" i="23"/>
  <c r="J21" i="23"/>
  <c r="K21" i="23"/>
  <c r="L21" i="23"/>
  <c r="M21" i="23"/>
  <c r="N21" i="23"/>
  <c r="O21" i="23"/>
  <c r="P21" i="23"/>
  <c r="U21" i="23"/>
  <c r="E22" i="23"/>
  <c r="F22" i="23"/>
  <c r="G22" i="23"/>
  <c r="I22" i="23"/>
  <c r="J22" i="23"/>
  <c r="Q22" i="23"/>
  <c r="R22" i="23"/>
  <c r="S22" i="23"/>
  <c r="U22" i="23"/>
  <c r="E23" i="23"/>
  <c r="F23" i="23"/>
  <c r="G23" i="23"/>
  <c r="I23" i="23"/>
  <c r="J23" i="23"/>
  <c r="Q23" i="23"/>
  <c r="R23" i="23"/>
  <c r="S23" i="23"/>
  <c r="U23" i="23"/>
  <c r="E24" i="23"/>
  <c r="F24" i="23"/>
  <c r="G24" i="23"/>
  <c r="I24" i="23"/>
  <c r="J24" i="23"/>
  <c r="Q24" i="23"/>
  <c r="R24" i="23"/>
  <c r="S24" i="23"/>
  <c r="U24" i="23"/>
  <c r="V24" i="23"/>
  <c r="E25" i="23"/>
  <c r="F25" i="23"/>
  <c r="G25" i="23"/>
  <c r="I25" i="23"/>
  <c r="J25" i="23"/>
  <c r="Q25" i="23"/>
  <c r="R25" i="23"/>
  <c r="S25" i="23"/>
  <c r="U25" i="23"/>
  <c r="E26" i="23"/>
  <c r="F26" i="23"/>
  <c r="G26" i="23"/>
  <c r="I26" i="23"/>
  <c r="J26" i="23"/>
  <c r="Q26" i="23"/>
  <c r="R26" i="23"/>
  <c r="S26" i="23"/>
  <c r="U26" i="23"/>
  <c r="V26" i="23"/>
  <c r="E27" i="23"/>
  <c r="F27" i="23"/>
  <c r="G27" i="23"/>
  <c r="I27" i="23"/>
  <c r="J27" i="23"/>
  <c r="Q27" i="23"/>
  <c r="R27" i="23"/>
  <c r="S27" i="23"/>
  <c r="U27" i="23"/>
  <c r="E28" i="23"/>
  <c r="F28" i="23"/>
  <c r="S28" i="23" s="1"/>
  <c r="G28" i="23"/>
  <c r="I28" i="23"/>
  <c r="Q28" i="23"/>
  <c r="R28" i="23"/>
  <c r="U28" i="23"/>
  <c r="E29" i="23"/>
  <c r="F29" i="23"/>
  <c r="G29" i="23"/>
  <c r="I29" i="23"/>
  <c r="J29" i="23"/>
  <c r="Q29" i="23"/>
  <c r="R29" i="23"/>
  <c r="S29" i="23"/>
  <c r="U29" i="23"/>
  <c r="E30" i="23"/>
  <c r="F30" i="23"/>
  <c r="G30" i="23"/>
  <c r="I30" i="23"/>
  <c r="J30" i="23"/>
  <c r="K30" i="23"/>
  <c r="L30" i="23"/>
  <c r="M30" i="23"/>
  <c r="N30" i="23"/>
  <c r="O30" i="23"/>
  <c r="P30" i="23"/>
  <c r="Q30" i="23"/>
  <c r="R30" i="23"/>
  <c r="S30" i="23"/>
  <c r="U30" i="23"/>
  <c r="E31" i="23"/>
  <c r="J31" i="23" s="1"/>
  <c r="F31" i="23"/>
  <c r="G31" i="23"/>
  <c r="I31" i="23"/>
  <c r="Q31" i="23"/>
  <c r="R31" i="23"/>
  <c r="S31" i="23"/>
  <c r="U31" i="23"/>
  <c r="E32" i="23"/>
  <c r="F32" i="23"/>
  <c r="G32" i="23"/>
  <c r="I32" i="23"/>
  <c r="J32" i="23"/>
  <c r="Q32" i="23"/>
  <c r="R32" i="23"/>
  <c r="S32" i="23"/>
  <c r="U32" i="23"/>
  <c r="E33" i="23"/>
  <c r="F33" i="23"/>
  <c r="G33" i="23"/>
  <c r="I33" i="23"/>
  <c r="J33" i="23"/>
  <c r="K33" i="23"/>
  <c r="L33" i="23"/>
  <c r="M33" i="23"/>
  <c r="N33" i="23"/>
  <c r="O33" i="23"/>
  <c r="P33" i="23"/>
  <c r="Q33" i="23"/>
  <c r="R33" i="23"/>
  <c r="S33" i="23"/>
  <c r="U33" i="23"/>
  <c r="E34" i="23"/>
  <c r="F34" i="23"/>
  <c r="G34" i="23"/>
  <c r="I34" i="23"/>
  <c r="J34" i="23"/>
  <c r="Q34" i="23"/>
  <c r="R34" i="23"/>
  <c r="S34" i="23"/>
  <c r="U34" i="23"/>
  <c r="E35" i="23"/>
  <c r="F35" i="23"/>
  <c r="G35" i="23"/>
  <c r="I35" i="23"/>
  <c r="J35" i="23"/>
  <c r="Q35" i="23"/>
  <c r="R35" i="23"/>
  <c r="S35" i="23"/>
  <c r="U35" i="23"/>
  <c r="E36" i="23"/>
  <c r="F36" i="23"/>
  <c r="G36" i="23"/>
  <c r="I36" i="23"/>
  <c r="J36" i="23"/>
  <c r="K36" i="23"/>
  <c r="L36" i="23"/>
  <c r="M36" i="23"/>
  <c r="N36" i="23"/>
  <c r="O36" i="23"/>
  <c r="P36" i="23"/>
  <c r="Q36" i="23"/>
  <c r="R36" i="23"/>
  <c r="S36" i="23"/>
  <c r="U36" i="23"/>
  <c r="E37" i="23"/>
  <c r="F37" i="23"/>
  <c r="G37" i="23"/>
  <c r="I37" i="23"/>
  <c r="J37" i="23"/>
  <c r="Q37" i="23"/>
  <c r="R37" i="23"/>
  <c r="S37" i="23"/>
  <c r="U37" i="23"/>
  <c r="E38" i="23"/>
  <c r="F38" i="23"/>
  <c r="G38" i="23"/>
  <c r="I38" i="23"/>
  <c r="J38" i="23"/>
  <c r="K38" i="23"/>
  <c r="L38" i="23"/>
  <c r="M38" i="23"/>
  <c r="N38" i="23"/>
  <c r="O38" i="23"/>
  <c r="P38" i="23"/>
  <c r="Q38" i="23"/>
  <c r="R38" i="23"/>
  <c r="S38" i="23"/>
  <c r="U38" i="23"/>
  <c r="E39" i="23"/>
  <c r="F39" i="23"/>
  <c r="G39" i="23"/>
  <c r="I39" i="23"/>
  <c r="J39" i="23"/>
  <c r="Q39" i="23"/>
  <c r="R39" i="23"/>
  <c r="U39" i="23"/>
  <c r="E40" i="23"/>
  <c r="F40" i="23"/>
  <c r="G40" i="23"/>
  <c r="I40" i="23"/>
  <c r="J40" i="23"/>
  <c r="Q40" i="23"/>
  <c r="R40" i="23"/>
  <c r="S40" i="23"/>
  <c r="U40" i="23"/>
  <c r="E41" i="23"/>
  <c r="F41" i="23"/>
  <c r="G41" i="23"/>
  <c r="I41" i="23"/>
  <c r="J41" i="23"/>
  <c r="Q41" i="23"/>
  <c r="R41" i="23"/>
  <c r="S41" i="23"/>
  <c r="U41" i="23"/>
  <c r="I42" i="23"/>
  <c r="J42" i="23"/>
  <c r="Q42" i="23"/>
  <c r="R42" i="23"/>
  <c r="S42" i="23"/>
  <c r="U42" i="23"/>
  <c r="I43" i="23"/>
  <c r="J43" i="23"/>
  <c r="Q43" i="23"/>
  <c r="R43" i="23"/>
  <c r="S43" i="23"/>
  <c r="U43" i="23"/>
  <c r="I44" i="23"/>
  <c r="J44" i="23"/>
  <c r="Q44" i="23"/>
  <c r="R44" i="23"/>
  <c r="S44" i="23"/>
  <c r="U44" i="23"/>
  <c r="I45" i="23"/>
  <c r="J45" i="23"/>
  <c r="Q45" i="23"/>
  <c r="R45" i="23"/>
  <c r="S45" i="23"/>
  <c r="U45" i="23"/>
  <c r="I46" i="23"/>
  <c r="J46" i="23"/>
  <c r="Q46" i="23"/>
  <c r="R46" i="23"/>
  <c r="S46" i="23"/>
  <c r="U46" i="23"/>
  <c r="I47" i="23"/>
  <c r="J47" i="23"/>
  <c r="Q47" i="23"/>
  <c r="R47" i="23"/>
  <c r="S47" i="23"/>
  <c r="U47" i="23"/>
  <c r="I48" i="23"/>
  <c r="J48" i="23"/>
  <c r="Q48" i="23"/>
  <c r="R48" i="23"/>
  <c r="S48" i="23"/>
  <c r="U48" i="23"/>
  <c r="I49" i="23"/>
  <c r="J49" i="23"/>
  <c r="Q49" i="23"/>
  <c r="R49" i="23"/>
  <c r="S49" i="23"/>
  <c r="U49" i="23"/>
  <c r="E10" i="22"/>
  <c r="F10" i="22"/>
  <c r="G10" i="22"/>
  <c r="I10" i="22"/>
  <c r="J10" i="22"/>
  <c r="Q10" i="22"/>
  <c r="R10" i="22"/>
  <c r="S10" i="22"/>
  <c r="U10" i="22"/>
  <c r="E11" i="22"/>
  <c r="F11" i="22"/>
  <c r="G11" i="22"/>
  <c r="I11" i="22"/>
  <c r="J11" i="22"/>
  <c r="Q11" i="22"/>
  <c r="R11" i="22"/>
  <c r="S11" i="22"/>
  <c r="U11" i="22"/>
  <c r="E12" i="22"/>
  <c r="F12" i="22"/>
  <c r="G12" i="22"/>
  <c r="I12" i="22"/>
  <c r="J12" i="22"/>
  <c r="K12" i="22"/>
  <c r="L12" i="22"/>
  <c r="M12" i="22"/>
  <c r="N12" i="22"/>
  <c r="O12" i="22"/>
  <c r="P12" i="22"/>
  <c r="Q12" i="22"/>
  <c r="U12" i="22"/>
  <c r="E13" i="22"/>
  <c r="F13" i="22"/>
  <c r="G13" i="22"/>
  <c r="I13" i="22"/>
  <c r="J13" i="22"/>
  <c r="Q13" i="22"/>
  <c r="R13" i="22"/>
  <c r="S13" i="22"/>
  <c r="U13" i="22"/>
  <c r="E14" i="22"/>
  <c r="F14" i="22"/>
  <c r="G14" i="22"/>
  <c r="I14" i="22"/>
  <c r="J14" i="22"/>
  <c r="K14" i="22"/>
  <c r="L14" i="22"/>
  <c r="M14" i="22"/>
  <c r="N14" i="22"/>
  <c r="O14" i="22"/>
  <c r="P14" i="22"/>
  <c r="Q14" i="22"/>
  <c r="R14" i="22"/>
  <c r="S14" i="22"/>
  <c r="U14" i="22"/>
  <c r="E15" i="22"/>
  <c r="F15" i="22"/>
  <c r="S15" i="22" s="1"/>
  <c r="G15" i="22"/>
  <c r="I15" i="22"/>
  <c r="J15" i="22"/>
  <c r="Q15" i="22"/>
  <c r="R15" i="22"/>
  <c r="U15" i="22"/>
  <c r="E16" i="22"/>
  <c r="F16" i="22"/>
  <c r="G16" i="22"/>
  <c r="I16" i="22"/>
  <c r="J16" i="22"/>
  <c r="Q16" i="22"/>
  <c r="R16" i="22"/>
  <c r="S16" i="22"/>
  <c r="U16" i="22"/>
  <c r="E17" i="22"/>
  <c r="F17" i="22"/>
  <c r="G17" i="22"/>
  <c r="I17" i="22"/>
  <c r="J17" i="22"/>
  <c r="Q17" i="22"/>
  <c r="R17" i="22"/>
  <c r="S17" i="22"/>
  <c r="U17" i="22"/>
  <c r="E18" i="22"/>
  <c r="F18" i="22"/>
  <c r="G18" i="22"/>
  <c r="I18" i="22"/>
  <c r="J18" i="22"/>
  <c r="K18" i="22"/>
  <c r="L18" i="22"/>
  <c r="M18" i="22"/>
  <c r="N18" i="22"/>
  <c r="O18" i="22"/>
  <c r="P18" i="22"/>
  <c r="U18" i="22"/>
  <c r="E19" i="22"/>
  <c r="F19" i="22"/>
  <c r="G19" i="22"/>
  <c r="I19" i="22"/>
  <c r="J19" i="22"/>
  <c r="Q19" i="22"/>
  <c r="R19" i="22"/>
  <c r="S19" i="22"/>
  <c r="U19" i="22"/>
  <c r="E20" i="22"/>
  <c r="F20" i="22"/>
  <c r="G20" i="22"/>
  <c r="I20" i="22"/>
  <c r="J20" i="22"/>
  <c r="Q20" i="22"/>
  <c r="R20" i="22"/>
  <c r="S20" i="22"/>
  <c r="U20" i="22"/>
  <c r="E21" i="22"/>
  <c r="F21" i="22"/>
  <c r="G21" i="22"/>
  <c r="I21" i="22"/>
  <c r="J21" i="22"/>
  <c r="K21" i="22"/>
  <c r="L21" i="22"/>
  <c r="M21" i="22"/>
  <c r="N21" i="22"/>
  <c r="O21" i="22"/>
  <c r="P21" i="22"/>
  <c r="U21" i="22"/>
  <c r="E22" i="22"/>
  <c r="F22" i="22"/>
  <c r="G22" i="22"/>
  <c r="I22" i="22"/>
  <c r="J22" i="22"/>
  <c r="Q22" i="22"/>
  <c r="R22" i="22"/>
  <c r="S22" i="22"/>
  <c r="U22" i="22"/>
  <c r="E23" i="22"/>
  <c r="F23" i="22"/>
  <c r="G23" i="22"/>
  <c r="I23" i="22"/>
  <c r="J23" i="22"/>
  <c r="Q23" i="22"/>
  <c r="R23" i="22"/>
  <c r="S23" i="22"/>
  <c r="U23" i="22"/>
  <c r="E24" i="22"/>
  <c r="F24" i="22"/>
  <c r="G24" i="22"/>
  <c r="I24" i="22"/>
  <c r="J24" i="22"/>
  <c r="Q24" i="22"/>
  <c r="R24" i="22"/>
  <c r="S24" i="22"/>
  <c r="U24" i="22"/>
  <c r="V24" i="22"/>
  <c r="E25" i="22"/>
  <c r="F25" i="22"/>
  <c r="G25" i="22"/>
  <c r="I25" i="22"/>
  <c r="J25" i="22"/>
  <c r="Q25" i="22"/>
  <c r="R25" i="22"/>
  <c r="S25" i="22"/>
  <c r="U25" i="22"/>
  <c r="E26" i="22"/>
  <c r="F26" i="22"/>
  <c r="G26" i="22"/>
  <c r="I26" i="22"/>
  <c r="J26" i="22"/>
  <c r="Q26" i="22"/>
  <c r="R26" i="22"/>
  <c r="S26" i="22"/>
  <c r="U26" i="22"/>
  <c r="V26" i="22"/>
  <c r="E27" i="22"/>
  <c r="F27" i="22"/>
  <c r="G27" i="22"/>
  <c r="I27" i="22"/>
  <c r="J27" i="22"/>
  <c r="Q27" i="22"/>
  <c r="R27" i="22"/>
  <c r="S27" i="22"/>
  <c r="U27" i="22"/>
  <c r="E28" i="22"/>
  <c r="F28" i="22"/>
  <c r="S28" i="22" s="1"/>
  <c r="G28" i="22"/>
  <c r="I28" i="22"/>
  <c r="Q28" i="22"/>
  <c r="R28" i="22"/>
  <c r="U28" i="22"/>
  <c r="E29" i="22"/>
  <c r="F29" i="22"/>
  <c r="G29" i="22"/>
  <c r="I29" i="22"/>
  <c r="J29" i="22"/>
  <c r="Q29" i="22"/>
  <c r="R29" i="22"/>
  <c r="S29" i="22"/>
  <c r="U29" i="22"/>
  <c r="E30" i="22"/>
  <c r="F30" i="22"/>
  <c r="G30" i="22"/>
  <c r="I30" i="22"/>
  <c r="J30" i="22"/>
  <c r="K30" i="22"/>
  <c r="L30" i="22"/>
  <c r="M30" i="22"/>
  <c r="N30" i="22"/>
  <c r="O30" i="22"/>
  <c r="P30" i="22"/>
  <c r="Q30" i="22"/>
  <c r="R30" i="22"/>
  <c r="S30" i="22"/>
  <c r="U30" i="22"/>
  <c r="E31" i="22"/>
  <c r="J31" i="22" s="1"/>
  <c r="F31" i="22"/>
  <c r="G31" i="22"/>
  <c r="I31" i="22"/>
  <c r="Q31" i="22"/>
  <c r="R31" i="22"/>
  <c r="S31" i="22"/>
  <c r="U31" i="22"/>
  <c r="E32" i="22"/>
  <c r="F32" i="22"/>
  <c r="G32" i="22"/>
  <c r="I32" i="22"/>
  <c r="J32" i="22"/>
  <c r="Q32" i="22"/>
  <c r="R32" i="22"/>
  <c r="S32" i="22"/>
  <c r="U32" i="22"/>
  <c r="E33" i="22"/>
  <c r="F33" i="22"/>
  <c r="G33" i="22"/>
  <c r="I33" i="22"/>
  <c r="J33" i="22"/>
  <c r="K33" i="22"/>
  <c r="L33" i="22"/>
  <c r="M33" i="22"/>
  <c r="N33" i="22"/>
  <c r="O33" i="22"/>
  <c r="P33" i="22"/>
  <c r="Q33" i="22"/>
  <c r="R33" i="22"/>
  <c r="S33" i="22"/>
  <c r="U33" i="22"/>
  <c r="E34" i="22"/>
  <c r="F34" i="22"/>
  <c r="G34" i="22"/>
  <c r="I34" i="22"/>
  <c r="J34" i="22"/>
  <c r="Q34" i="22"/>
  <c r="R34" i="22"/>
  <c r="S34" i="22"/>
  <c r="U34" i="22"/>
  <c r="E35" i="22"/>
  <c r="F35" i="22"/>
  <c r="G35" i="22"/>
  <c r="I35" i="22"/>
  <c r="J35" i="22"/>
  <c r="Q35" i="22"/>
  <c r="R35" i="22"/>
  <c r="S35" i="22"/>
  <c r="U35" i="22"/>
  <c r="E36" i="22"/>
  <c r="F36" i="22"/>
  <c r="G36" i="22"/>
  <c r="I36" i="22"/>
  <c r="J36" i="22"/>
  <c r="K36" i="22"/>
  <c r="L36" i="22"/>
  <c r="M36" i="22"/>
  <c r="N36" i="22"/>
  <c r="O36" i="22"/>
  <c r="P36" i="22"/>
  <c r="Q36" i="22"/>
  <c r="R36" i="22"/>
  <c r="S36" i="22"/>
  <c r="U36" i="22"/>
  <c r="E37" i="22"/>
  <c r="F37" i="22"/>
  <c r="G37" i="22"/>
  <c r="I37" i="22"/>
  <c r="J37" i="22"/>
  <c r="Q37" i="22"/>
  <c r="R37" i="22"/>
  <c r="S37" i="22"/>
  <c r="U37" i="22"/>
  <c r="E38" i="22"/>
  <c r="F38" i="22"/>
  <c r="G38" i="22"/>
  <c r="I38" i="22"/>
  <c r="J38" i="22"/>
  <c r="K38" i="22"/>
  <c r="L38" i="22"/>
  <c r="M38" i="22"/>
  <c r="N38" i="22"/>
  <c r="O38" i="22"/>
  <c r="P38" i="22"/>
  <c r="Q38" i="22"/>
  <c r="R38" i="22"/>
  <c r="S38" i="22"/>
  <c r="U38" i="22"/>
  <c r="E39" i="22"/>
  <c r="F39" i="22"/>
  <c r="G39" i="22"/>
  <c r="I39" i="22"/>
  <c r="J39" i="22"/>
  <c r="Q39" i="22"/>
  <c r="R39" i="22"/>
  <c r="U39" i="22"/>
  <c r="E40" i="22"/>
  <c r="F40" i="22"/>
  <c r="G40" i="22"/>
  <c r="I40" i="22"/>
  <c r="J40" i="22"/>
  <c r="Q40" i="22"/>
  <c r="R40" i="22"/>
  <c r="S40" i="22"/>
  <c r="U40" i="22"/>
  <c r="E41" i="22"/>
  <c r="F41" i="22"/>
  <c r="G41" i="22"/>
  <c r="I41" i="22"/>
  <c r="J41" i="22"/>
  <c r="Q41" i="22"/>
  <c r="R41" i="22"/>
  <c r="S41" i="22"/>
  <c r="U41" i="22"/>
  <c r="I42" i="22"/>
  <c r="J42" i="22"/>
  <c r="Q42" i="22"/>
  <c r="R42" i="22"/>
  <c r="S42" i="22"/>
  <c r="U42" i="22"/>
  <c r="I43" i="22"/>
  <c r="J43" i="22"/>
  <c r="Q43" i="22"/>
  <c r="R43" i="22"/>
  <c r="S43" i="22"/>
  <c r="U43" i="22"/>
  <c r="I44" i="22"/>
  <c r="J44" i="22"/>
  <c r="Q44" i="22"/>
  <c r="R44" i="22"/>
  <c r="S44" i="22"/>
  <c r="U44" i="22"/>
  <c r="I45" i="22"/>
  <c r="J45" i="22"/>
  <c r="Q45" i="22"/>
  <c r="R45" i="22"/>
  <c r="S45" i="22"/>
  <c r="U45" i="22"/>
  <c r="I46" i="22"/>
  <c r="J46" i="22"/>
  <c r="Q46" i="22"/>
  <c r="R46" i="22"/>
  <c r="S46" i="22"/>
  <c r="U46" i="22"/>
  <c r="I47" i="22"/>
  <c r="J47" i="22"/>
  <c r="Q47" i="22"/>
  <c r="R47" i="22"/>
  <c r="S47" i="22"/>
  <c r="U47" i="22"/>
  <c r="I48" i="22"/>
  <c r="J48" i="22"/>
  <c r="Q48" i="22"/>
  <c r="R48" i="22"/>
  <c r="S48" i="22"/>
  <c r="U48" i="22"/>
  <c r="I49" i="22"/>
  <c r="J49" i="22"/>
  <c r="Q49" i="22"/>
  <c r="R49" i="22"/>
  <c r="S49" i="22"/>
  <c r="U49" i="22"/>
  <c r="E10" i="21"/>
  <c r="F10" i="21"/>
  <c r="G10" i="21"/>
  <c r="I10" i="21"/>
  <c r="J10" i="21"/>
  <c r="Q10" i="21"/>
  <c r="N4" i="21" s="1"/>
  <c r="R10" i="21"/>
  <c r="S10" i="21"/>
  <c r="E11" i="21"/>
  <c r="F11" i="21"/>
  <c r="G11" i="21"/>
  <c r="I11" i="21"/>
  <c r="J11" i="21"/>
  <c r="Q11" i="21"/>
  <c r="R11" i="21"/>
  <c r="S11" i="21"/>
  <c r="E12" i="21"/>
  <c r="J12" i="21" s="1"/>
  <c r="F12" i="21"/>
  <c r="S12" i="21" s="1"/>
  <c r="G12" i="21"/>
  <c r="I12" i="21"/>
  <c r="K12" i="21"/>
  <c r="L12" i="21"/>
  <c r="M12" i="21"/>
  <c r="N12" i="21"/>
  <c r="O12" i="21"/>
  <c r="P12" i="21"/>
  <c r="Q12" i="21"/>
  <c r="R12" i="21"/>
  <c r="E13" i="21"/>
  <c r="F13" i="21"/>
  <c r="G13" i="21"/>
  <c r="I13" i="21"/>
  <c r="J13" i="21"/>
  <c r="Q13" i="21"/>
  <c r="R13" i="21"/>
  <c r="S13" i="21"/>
  <c r="E14" i="21"/>
  <c r="F14" i="21"/>
  <c r="S14" i="21" s="1"/>
  <c r="G14" i="21"/>
  <c r="I14" i="21"/>
  <c r="J14" i="21"/>
  <c r="K14" i="21"/>
  <c r="R14" i="21" s="1"/>
  <c r="L14" i="21"/>
  <c r="M14" i="21"/>
  <c r="N14" i="21"/>
  <c r="O14" i="21"/>
  <c r="P14" i="21"/>
  <c r="Q14" i="21"/>
  <c r="E15" i="21"/>
  <c r="F15" i="21"/>
  <c r="G15" i="21"/>
  <c r="I15" i="21"/>
  <c r="J15" i="21"/>
  <c r="Q15" i="21"/>
  <c r="R15" i="21"/>
  <c r="S15" i="21"/>
  <c r="E16" i="21"/>
  <c r="J16" i="21" s="1"/>
  <c r="F16" i="21"/>
  <c r="S16" i="21" s="1"/>
  <c r="G16" i="21"/>
  <c r="I16" i="21"/>
  <c r="Q16" i="21"/>
  <c r="R16" i="21"/>
  <c r="E17" i="21"/>
  <c r="F17" i="21"/>
  <c r="G17" i="21"/>
  <c r="I17" i="21"/>
  <c r="J17" i="21"/>
  <c r="Q17" i="21"/>
  <c r="R17" i="21"/>
  <c r="S17" i="21"/>
  <c r="E18" i="21"/>
  <c r="F18" i="21"/>
  <c r="G18" i="21"/>
  <c r="I18" i="21"/>
  <c r="J18" i="21"/>
  <c r="K18" i="21"/>
  <c r="Q18" i="21" s="1"/>
  <c r="L18" i="21"/>
  <c r="M18" i="21"/>
  <c r="N18" i="21"/>
  <c r="O18" i="21"/>
  <c r="P18" i="21"/>
  <c r="E19" i="21"/>
  <c r="J19" i="21" s="1"/>
  <c r="F19" i="21"/>
  <c r="S19" i="21" s="1"/>
  <c r="G19" i="21"/>
  <c r="I19" i="21"/>
  <c r="Q19" i="21"/>
  <c r="R19" i="21"/>
  <c r="E20" i="21"/>
  <c r="F20" i="21"/>
  <c r="G20" i="21"/>
  <c r="I20" i="21"/>
  <c r="J20" i="21"/>
  <c r="Q20" i="21"/>
  <c r="R20" i="21"/>
  <c r="S20" i="21"/>
  <c r="E21" i="21"/>
  <c r="F21" i="21"/>
  <c r="G21" i="21"/>
  <c r="I21" i="21"/>
  <c r="J21" i="21"/>
  <c r="K21" i="21"/>
  <c r="Q21" i="21" s="1"/>
  <c r="L21" i="21"/>
  <c r="M21" i="21"/>
  <c r="N21" i="21"/>
  <c r="O21" i="21"/>
  <c r="P21" i="21"/>
  <c r="E22" i="21"/>
  <c r="F22" i="21"/>
  <c r="S22" i="21" s="1"/>
  <c r="G22" i="21"/>
  <c r="I22" i="21"/>
  <c r="J22" i="21"/>
  <c r="Q22" i="21"/>
  <c r="R22" i="21"/>
  <c r="E23" i="21"/>
  <c r="F23" i="21"/>
  <c r="G23" i="21"/>
  <c r="I23" i="21"/>
  <c r="J23" i="21"/>
  <c r="Q23" i="21"/>
  <c r="R23" i="21"/>
  <c r="S23" i="21"/>
  <c r="E24" i="21"/>
  <c r="F24" i="21"/>
  <c r="G24" i="21"/>
  <c r="I24" i="21"/>
  <c r="J24" i="21"/>
  <c r="Q24" i="21"/>
  <c r="R24" i="21"/>
  <c r="S24" i="21"/>
  <c r="V24" i="21"/>
  <c r="E25" i="21"/>
  <c r="J25" i="21" s="1"/>
  <c r="F25" i="21"/>
  <c r="G25" i="21"/>
  <c r="I25" i="21"/>
  <c r="Q25" i="21"/>
  <c r="R25" i="21"/>
  <c r="S25" i="21"/>
  <c r="E26" i="21"/>
  <c r="F26" i="21"/>
  <c r="S26" i="21" s="1"/>
  <c r="G26" i="21"/>
  <c r="I26" i="21"/>
  <c r="J26" i="21"/>
  <c r="Q26" i="21"/>
  <c r="R26" i="21"/>
  <c r="V26" i="21"/>
  <c r="E27" i="21"/>
  <c r="F27" i="21"/>
  <c r="G27" i="21"/>
  <c r="I27" i="21"/>
  <c r="J27" i="21"/>
  <c r="Q27" i="21"/>
  <c r="R27" i="21"/>
  <c r="S27" i="21"/>
  <c r="E28" i="21"/>
  <c r="F28" i="21"/>
  <c r="G28" i="21"/>
  <c r="I28" i="21"/>
  <c r="J28" i="21"/>
  <c r="Q28" i="21"/>
  <c r="R28" i="21"/>
  <c r="S28" i="21"/>
  <c r="E29" i="21"/>
  <c r="F29" i="21"/>
  <c r="G29" i="21"/>
  <c r="I29" i="21"/>
  <c r="J29" i="21"/>
  <c r="Q29" i="21"/>
  <c r="R29" i="21"/>
  <c r="S29" i="21"/>
  <c r="E30" i="21"/>
  <c r="J30" i="21" s="1"/>
  <c r="F30" i="21"/>
  <c r="S30" i="21" s="1"/>
  <c r="G30" i="21"/>
  <c r="I30" i="21"/>
  <c r="K30" i="21"/>
  <c r="L30" i="21"/>
  <c r="M30" i="21"/>
  <c r="N30" i="21"/>
  <c r="O30" i="21"/>
  <c r="P30" i="21"/>
  <c r="Q30" i="21"/>
  <c r="R30" i="21"/>
  <c r="E31" i="21"/>
  <c r="F31" i="21"/>
  <c r="G31" i="21"/>
  <c r="I31" i="21"/>
  <c r="J31" i="21"/>
  <c r="Q31" i="21"/>
  <c r="R31" i="21"/>
  <c r="S31" i="21"/>
  <c r="E32" i="21"/>
  <c r="J32" i="21" s="1"/>
  <c r="F32" i="21"/>
  <c r="S32" i="21" s="1"/>
  <c r="G32" i="21"/>
  <c r="I32" i="21"/>
  <c r="Q32" i="21"/>
  <c r="R32" i="21"/>
  <c r="E33" i="21"/>
  <c r="F33" i="21"/>
  <c r="G33" i="21"/>
  <c r="I33" i="21"/>
  <c r="J33" i="21"/>
  <c r="K33" i="21"/>
  <c r="Q33" i="21" s="1"/>
  <c r="L33" i="21"/>
  <c r="M33" i="21"/>
  <c r="N33" i="21"/>
  <c r="O33" i="21"/>
  <c r="P33" i="21"/>
  <c r="E34" i="21"/>
  <c r="F34" i="21"/>
  <c r="G34" i="21"/>
  <c r="I34" i="21"/>
  <c r="J34" i="21"/>
  <c r="Q34" i="21"/>
  <c r="R34" i="21"/>
  <c r="S34" i="21"/>
  <c r="E35" i="21"/>
  <c r="J35" i="21" s="1"/>
  <c r="F35" i="21"/>
  <c r="S35" i="21" s="1"/>
  <c r="G35" i="21"/>
  <c r="I35" i="21"/>
  <c r="Q35" i="21"/>
  <c r="R35" i="21"/>
  <c r="E36" i="21"/>
  <c r="F36" i="21"/>
  <c r="S36" i="21" s="1"/>
  <c r="G36" i="21"/>
  <c r="I36" i="21"/>
  <c r="J36" i="21"/>
  <c r="K36" i="21"/>
  <c r="Q36" i="21" s="1"/>
  <c r="L36" i="21"/>
  <c r="M36" i="21"/>
  <c r="N36" i="21"/>
  <c r="O36" i="21"/>
  <c r="P36" i="21"/>
  <c r="E37" i="21"/>
  <c r="F37" i="21"/>
  <c r="G37" i="21"/>
  <c r="I37" i="21"/>
  <c r="J37" i="21"/>
  <c r="Q37" i="21"/>
  <c r="R37" i="21"/>
  <c r="S37" i="21"/>
  <c r="E38" i="21"/>
  <c r="F38" i="21"/>
  <c r="S38" i="21" s="1"/>
  <c r="G38" i="21"/>
  <c r="I38" i="21"/>
  <c r="J38" i="21"/>
  <c r="K38" i="21"/>
  <c r="Q38" i="21" s="1"/>
  <c r="L38" i="21"/>
  <c r="M38" i="21"/>
  <c r="N38" i="21"/>
  <c r="O38" i="21"/>
  <c r="P38" i="21"/>
  <c r="E39" i="21"/>
  <c r="J39" i="21" s="1"/>
  <c r="F39" i="21"/>
  <c r="S39" i="21" s="1"/>
  <c r="G39" i="21"/>
  <c r="I39" i="21"/>
  <c r="Q39" i="21"/>
  <c r="R39" i="21"/>
  <c r="E40" i="21"/>
  <c r="F40" i="21"/>
  <c r="G40" i="21"/>
  <c r="I40" i="21"/>
  <c r="J40" i="21"/>
  <c r="Q40" i="21"/>
  <c r="R40" i="21"/>
  <c r="S40" i="21"/>
  <c r="E41" i="21"/>
  <c r="F41" i="21"/>
  <c r="G41" i="21"/>
  <c r="I41" i="21"/>
  <c r="J41" i="21"/>
  <c r="Q41" i="21"/>
  <c r="R41" i="21"/>
  <c r="S41" i="21"/>
  <c r="I42" i="21"/>
  <c r="J42" i="21"/>
  <c r="I43" i="21"/>
  <c r="J43" i="21"/>
  <c r="Q43" i="21"/>
  <c r="R43" i="21"/>
  <c r="S43" i="21"/>
  <c r="I44" i="21"/>
  <c r="J44" i="21"/>
  <c r="I45" i="21"/>
  <c r="J45" i="21"/>
  <c r="Q45" i="21"/>
  <c r="S45" i="21" s="1"/>
  <c r="R45" i="21"/>
  <c r="I46" i="21"/>
  <c r="J46" i="21"/>
  <c r="I47" i="21"/>
  <c r="J47" i="21"/>
  <c r="Q47" i="21"/>
  <c r="R47" i="21"/>
  <c r="S47" i="21"/>
  <c r="I48" i="21"/>
  <c r="J48" i="21"/>
  <c r="I49" i="21"/>
  <c r="J49" i="21"/>
  <c r="Q49" i="21"/>
  <c r="R49" i="21"/>
  <c r="S49" i="21"/>
  <c r="E10" i="20"/>
  <c r="F10" i="20"/>
  <c r="G10" i="20"/>
  <c r="I10" i="20"/>
  <c r="J10" i="20"/>
  <c r="Q10" i="20"/>
  <c r="N4" i="20" s="1"/>
  <c r="R10" i="20"/>
  <c r="S10" i="20"/>
  <c r="E11" i="20"/>
  <c r="F11" i="20"/>
  <c r="S11" i="20" s="1"/>
  <c r="G11" i="20"/>
  <c r="I11" i="20"/>
  <c r="J11" i="20"/>
  <c r="Q11" i="20"/>
  <c r="R11" i="20"/>
  <c r="E12" i="20"/>
  <c r="F12" i="20"/>
  <c r="G12" i="20"/>
  <c r="I12" i="20"/>
  <c r="J12" i="20"/>
  <c r="K12" i="20"/>
  <c r="L12" i="20"/>
  <c r="M12" i="20"/>
  <c r="N12" i="20"/>
  <c r="O12" i="20"/>
  <c r="P12" i="20"/>
  <c r="Q12" i="20"/>
  <c r="O4" i="20" s="1"/>
  <c r="R12" i="20"/>
  <c r="S12" i="20"/>
  <c r="E13" i="20"/>
  <c r="F13" i="20"/>
  <c r="G13" i="20"/>
  <c r="I13" i="20"/>
  <c r="J13" i="20"/>
  <c r="Q13" i="20"/>
  <c r="R13" i="20"/>
  <c r="S13" i="20"/>
  <c r="E14" i="20"/>
  <c r="F14" i="20"/>
  <c r="G14" i="20"/>
  <c r="I14" i="20"/>
  <c r="J14" i="20"/>
  <c r="K14" i="20"/>
  <c r="Q14" i="20" s="1"/>
  <c r="L14" i="20"/>
  <c r="M14" i="20"/>
  <c r="N14" i="20"/>
  <c r="O14" i="20"/>
  <c r="P14" i="20"/>
  <c r="E15" i="20"/>
  <c r="F15" i="20"/>
  <c r="G15" i="20"/>
  <c r="I15" i="20"/>
  <c r="J15" i="20"/>
  <c r="K15" i="20"/>
  <c r="Q15" i="20"/>
  <c r="R15" i="20"/>
  <c r="S15" i="20"/>
  <c r="E16" i="20"/>
  <c r="J16" i="20" s="1"/>
  <c r="F16" i="20"/>
  <c r="G16" i="20"/>
  <c r="I16" i="20"/>
  <c r="Q16" i="20"/>
  <c r="R16" i="20"/>
  <c r="S16" i="20"/>
  <c r="E17" i="20"/>
  <c r="F17" i="20"/>
  <c r="G17" i="20"/>
  <c r="I17" i="20"/>
  <c r="J17" i="20"/>
  <c r="Q17" i="20"/>
  <c r="R17" i="20"/>
  <c r="S17" i="20"/>
  <c r="E18" i="20"/>
  <c r="J18" i="20" s="1"/>
  <c r="F18" i="20"/>
  <c r="S18" i="20" s="1"/>
  <c r="G18" i="20"/>
  <c r="I18" i="20"/>
  <c r="K18" i="20"/>
  <c r="L18" i="20"/>
  <c r="M18" i="20"/>
  <c r="N18" i="20"/>
  <c r="O18" i="20"/>
  <c r="P18" i="20"/>
  <c r="Q18" i="20"/>
  <c r="R18" i="20"/>
  <c r="E19" i="20"/>
  <c r="J19" i="20" s="1"/>
  <c r="F19" i="20"/>
  <c r="S19" i="20" s="1"/>
  <c r="G19" i="20"/>
  <c r="I19" i="20"/>
  <c r="Q19" i="20"/>
  <c r="R19" i="20"/>
  <c r="E20" i="20"/>
  <c r="F20" i="20"/>
  <c r="G20" i="20"/>
  <c r="I20" i="20"/>
  <c r="J20" i="20"/>
  <c r="Q20" i="20"/>
  <c r="R20" i="20"/>
  <c r="S20" i="20"/>
  <c r="E21" i="20"/>
  <c r="J21" i="20" s="1"/>
  <c r="F21" i="20"/>
  <c r="S21" i="20" s="1"/>
  <c r="G21" i="20"/>
  <c r="I21" i="20"/>
  <c r="K21" i="20"/>
  <c r="L21" i="20"/>
  <c r="M21" i="20"/>
  <c r="N21" i="20"/>
  <c r="O21" i="20"/>
  <c r="P21" i="20"/>
  <c r="Q21" i="20"/>
  <c r="R21" i="20"/>
  <c r="E22" i="20"/>
  <c r="F22" i="20"/>
  <c r="S22" i="20" s="1"/>
  <c r="G22" i="20"/>
  <c r="I22" i="20"/>
  <c r="J22" i="20"/>
  <c r="Q22" i="20"/>
  <c r="R22" i="20"/>
  <c r="E23" i="20"/>
  <c r="F23" i="20"/>
  <c r="G23" i="20"/>
  <c r="I23" i="20"/>
  <c r="J23" i="20"/>
  <c r="Q23" i="20"/>
  <c r="R23" i="20"/>
  <c r="S23" i="20"/>
  <c r="E24" i="20"/>
  <c r="F24" i="20"/>
  <c r="S24" i="20" s="1"/>
  <c r="G24" i="20"/>
  <c r="I24" i="20"/>
  <c r="J24" i="20"/>
  <c r="Q24" i="20"/>
  <c r="R24" i="20"/>
  <c r="V24" i="20"/>
  <c r="E25" i="20"/>
  <c r="F25" i="20"/>
  <c r="G25" i="20"/>
  <c r="I25" i="20"/>
  <c r="J25" i="20"/>
  <c r="Q25" i="20"/>
  <c r="R25" i="20"/>
  <c r="S25" i="20"/>
  <c r="E26" i="20"/>
  <c r="J26" i="20" s="1"/>
  <c r="F26" i="20"/>
  <c r="S26" i="20" s="1"/>
  <c r="G26" i="20"/>
  <c r="I26" i="20"/>
  <c r="Q26" i="20"/>
  <c r="R26" i="20"/>
  <c r="V26" i="20"/>
  <c r="E27" i="20"/>
  <c r="F27" i="20"/>
  <c r="G27" i="20"/>
  <c r="I27" i="20"/>
  <c r="J27" i="20"/>
  <c r="Q27" i="20"/>
  <c r="R27" i="20"/>
  <c r="S27" i="20"/>
  <c r="E28" i="20"/>
  <c r="J28" i="20" s="1"/>
  <c r="F28" i="20"/>
  <c r="S28" i="20" s="1"/>
  <c r="G28" i="20"/>
  <c r="I28" i="20"/>
  <c r="Q28" i="20"/>
  <c r="R28" i="20"/>
  <c r="E29" i="20"/>
  <c r="F29" i="20"/>
  <c r="G29" i="20"/>
  <c r="I29" i="20"/>
  <c r="J29" i="20"/>
  <c r="Q29" i="20"/>
  <c r="R29" i="20"/>
  <c r="S29" i="20"/>
  <c r="E30" i="20"/>
  <c r="J30" i="20" s="1"/>
  <c r="F30" i="20"/>
  <c r="S30" i="20" s="1"/>
  <c r="G30" i="20"/>
  <c r="I30" i="20"/>
  <c r="K30" i="20"/>
  <c r="L30" i="20"/>
  <c r="M30" i="20"/>
  <c r="N30" i="20"/>
  <c r="O30" i="20"/>
  <c r="P30" i="20"/>
  <c r="Q30" i="20"/>
  <c r="R30" i="20"/>
  <c r="E31" i="20"/>
  <c r="F31" i="20"/>
  <c r="S31" i="20" s="1"/>
  <c r="G31" i="20"/>
  <c r="I31" i="20"/>
  <c r="J31" i="20"/>
  <c r="Q31" i="20"/>
  <c r="R31" i="20"/>
  <c r="E32" i="20"/>
  <c r="F32" i="20"/>
  <c r="G32" i="20"/>
  <c r="I32" i="20"/>
  <c r="J32" i="20"/>
  <c r="Q32" i="20"/>
  <c r="R32" i="20"/>
  <c r="S32" i="20"/>
  <c r="E33" i="20"/>
  <c r="F33" i="20"/>
  <c r="S33" i="20" s="1"/>
  <c r="G33" i="20"/>
  <c r="I33" i="20"/>
  <c r="J33" i="20"/>
  <c r="K33" i="20"/>
  <c r="L33" i="20"/>
  <c r="M33" i="20"/>
  <c r="N33" i="20"/>
  <c r="O33" i="20"/>
  <c r="P33" i="20"/>
  <c r="Q33" i="20"/>
  <c r="R33" i="20"/>
  <c r="E34" i="20"/>
  <c r="F34" i="20"/>
  <c r="G34" i="20"/>
  <c r="I34" i="20"/>
  <c r="J34" i="20"/>
  <c r="Q34" i="20"/>
  <c r="R34" i="20"/>
  <c r="S34" i="20"/>
  <c r="E35" i="20"/>
  <c r="F35" i="20"/>
  <c r="G35" i="20"/>
  <c r="I35" i="20"/>
  <c r="J35" i="20"/>
  <c r="Q35" i="20"/>
  <c r="R35" i="20"/>
  <c r="S35" i="20"/>
  <c r="E36" i="20"/>
  <c r="F36" i="20"/>
  <c r="G36" i="20"/>
  <c r="I36" i="20"/>
  <c r="J36" i="20"/>
  <c r="K36" i="20"/>
  <c r="Q36" i="20" s="1"/>
  <c r="L36" i="20"/>
  <c r="M36" i="20"/>
  <c r="N36" i="20"/>
  <c r="O36" i="20"/>
  <c r="P36" i="20"/>
  <c r="E37" i="20"/>
  <c r="F37" i="20"/>
  <c r="G37" i="20"/>
  <c r="I37" i="20"/>
  <c r="J37" i="20"/>
  <c r="Q37" i="20"/>
  <c r="R37" i="20"/>
  <c r="S37" i="20"/>
  <c r="E38" i="20"/>
  <c r="J38" i="20" s="1"/>
  <c r="F38" i="20"/>
  <c r="S38" i="20" s="1"/>
  <c r="G38" i="20"/>
  <c r="I38" i="20"/>
  <c r="K38" i="20"/>
  <c r="L38" i="20"/>
  <c r="M38" i="20"/>
  <c r="N38" i="20"/>
  <c r="O38" i="20"/>
  <c r="P38" i="20"/>
  <c r="Q38" i="20"/>
  <c r="R38" i="20"/>
  <c r="E39" i="20"/>
  <c r="J39" i="20" s="1"/>
  <c r="F39" i="20"/>
  <c r="S39" i="20" s="1"/>
  <c r="G39" i="20"/>
  <c r="I39" i="20"/>
  <c r="Q39" i="20"/>
  <c r="R39" i="20"/>
  <c r="E40" i="20"/>
  <c r="F40" i="20"/>
  <c r="G40" i="20"/>
  <c r="I40" i="20"/>
  <c r="J40" i="20"/>
  <c r="Q40" i="20"/>
  <c r="R40" i="20"/>
  <c r="S40" i="20"/>
  <c r="E41" i="20"/>
  <c r="J41" i="20" s="1"/>
  <c r="F41" i="20"/>
  <c r="S41" i="20" s="1"/>
  <c r="G41" i="20"/>
  <c r="I41" i="20"/>
  <c r="Q41" i="20"/>
  <c r="R41" i="20"/>
  <c r="I42" i="20"/>
  <c r="J42" i="20"/>
  <c r="Q42" i="20"/>
  <c r="R42" i="20"/>
  <c r="S42" i="20"/>
  <c r="I43" i="20"/>
  <c r="J43" i="20"/>
  <c r="Q43" i="20"/>
  <c r="R43" i="20"/>
  <c r="S43" i="20"/>
  <c r="I44" i="20"/>
  <c r="J44" i="20"/>
  <c r="Q44" i="20"/>
  <c r="R44" i="20"/>
  <c r="S44" i="20"/>
  <c r="I45" i="20"/>
  <c r="J45" i="20"/>
  <c r="Q45" i="20"/>
  <c r="R45" i="20"/>
  <c r="S45" i="20"/>
  <c r="I46" i="20"/>
  <c r="J46" i="20"/>
  <c r="Q46" i="20"/>
  <c r="R46" i="20"/>
  <c r="S46" i="20"/>
  <c r="I47" i="20"/>
  <c r="J47" i="20"/>
  <c r="Q47" i="20"/>
  <c r="R47" i="20"/>
  <c r="I48" i="20"/>
  <c r="J48" i="20"/>
  <c r="Q48" i="20"/>
  <c r="R48" i="20"/>
  <c r="S48" i="20"/>
  <c r="I49" i="20"/>
  <c r="J49" i="20"/>
  <c r="Q49" i="20"/>
  <c r="R49" i="20"/>
  <c r="S49" i="20"/>
  <c r="E10" i="19"/>
  <c r="F10" i="19"/>
  <c r="G10" i="19"/>
  <c r="J10" i="19" s="1"/>
  <c r="I10" i="19"/>
  <c r="Q10" i="19"/>
  <c r="N4" i="19" s="1"/>
  <c r="R10" i="19"/>
  <c r="S10" i="19"/>
  <c r="E11" i="19"/>
  <c r="F11" i="19"/>
  <c r="G11" i="19"/>
  <c r="I11" i="19"/>
  <c r="J11" i="19"/>
  <c r="Q11" i="19"/>
  <c r="R11" i="19"/>
  <c r="E12" i="19"/>
  <c r="F12" i="19"/>
  <c r="G12" i="19"/>
  <c r="I12" i="19"/>
  <c r="J12" i="19"/>
  <c r="K12" i="19"/>
  <c r="L12" i="19"/>
  <c r="M12" i="19"/>
  <c r="N12" i="19"/>
  <c r="O12" i="19"/>
  <c r="P12" i="19"/>
  <c r="Q12" i="19"/>
  <c r="R12" i="19"/>
  <c r="S12" i="19"/>
  <c r="E13" i="19"/>
  <c r="F13" i="19"/>
  <c r="G13" i="19"/>
  <c r="I13" i="19"/>
  <c r="J13" i="19"/>
  <c r="Q13" i="19"/>
  <c r="R13" i="19"/>
  <c r="S13" i="19"/>
  <c r="E14" i="19"/>
  <c r="F14" i="19"/>
  <c r="G14" i="19"/>
  <c r="I14" i="19"/>
  <c r="J14" i="19"/>
  <c r="K14" i="19"/>
  <c r="L14" i="19"/>
  <c r="M14" i="19"/>
  <c r="Q14" i="19" s="1"/>
  <c r="N14" i="19"/>
  <c r="O14" i="19"/>
  <c r="P14" i="19"/>
  <c r="R14" i="19"/>
  <c r="E15" i="19"/>
  <c r="F15" i="19"/>
  <c r="G15" i="19"/>
  <c r="I15" i="19"/>
  <c r="J15" i="19"/>
  <c r="Q15" i="19"/>
  <c r="R15" i="19"/>
  <c r="S15" i="19"/>
  <c r="E16" i="19"/>
  <c r="J16" i="19" s="1"/>
  <c r="F16" i="19"/>
  <c r="S16" i="19" s="1"/>
  <c r="G16" i="19"/>
  <c r="I16" i="19"/>
  <c r="K16" i="19"/>
  <c r="R16" i="19" s="1"/>
  <c r="Q16" i="19"/>
  <c r="E17" i="19"/>
  <c r="F17" i="19"/>
  <c r="G17" i="19"/>
  <c r="I17" i="19"/>
  <c r="J17" i="19"/>
  <c r="Q17" i="19"/>
  <c r="R17" i="19"/>
  <c r="S17" i="19"/>
  <c r="E18" i="19"/>
  <c r="J18" i="19" s="1"/>
  <c r="F18" i="19"/>
  <c r="G18" i="19"/>
  <c r="I18" i="19"/>
  <c r="K18" i="19"/>
  <c r="L18" i="19"/>
  <c r="M18" i="19"/>
  <c r="N18" i="19"/>
  <c r="O18" i="19"/>
  <c r="P18" i="19"/>
  <c r="Q18" i="19"/>
  <c r="R18" i="19"/>
  <c r="S18" i="19"/>
  <c r="E19" i="19"/>
  <c r="J19" i="19" s="1"/>
  <c r="F19" i="19"/>
  <c r="S19" i="19" s="1"/>
  <c r="G19" i="19"/>
  <c r="I19" i="19"/>
  <c r="K19" i="19"/>
  <c r="Q19" i="19"/>
  <c r="R19" i="19"/>
  <c r="E20" i="19"/>
  <c r="F20" i="19"/>
  <c r="G20" i="19"/>
  <c r="I20" i="19"/>
  <c r="J20" i="19"/>
  <c r="Q20" i="19"/>
  <c r="R20" i="19"/>
  <c r="S20" i="19"/>
  <c r="E21" i="19"/>
  <c r="J21" i="19" s="1"/>
  <c r="F21" i="19"/>
  <c r="G21" i="19"/>
  <c r="I21" i="19"/>
  <c r="K21" i="19"/>
  <c r="L21" i="19"/>
  <c r="M21" i="19"/>
  <c r="N21" i="19"/>
  <c r="O21" i="19"/>
  <c r="P21" i="19"/>
  <c r="Q21" i="19"/>
  <c r="R21" i="19"/>
  <c r="S21" i="19"/>
  <c r="E22" i="19"/>
  <c r="J22" i="19" s="1"/>
  <c r="F22" i="19"/>
  <c r="S22" i="19" s="1"/>
  <c r="G22" i="19"/>
  <c r="I22" i="19"/>
  <c r="Q22" i="19"/>
  <c r="R22" i="19"/>
  <c r="E23" i="19"/>
  <c r="F23" i="19"/>
  <c r="G23" i="19"/>
  <c r="I23" i="19"/>
  <c r="J23" i="19"/>
  <c r="Q23" i="19"/>
  <c r="R23" i="19"/>
  <c r="S23" i="19"/>
  <c r="E24" i="19"/>
  <c r="J24" i="19" s="1"/>
  <c r="F24" i="19"/>
  <c r="G24" i="19"/>
  <c r="I24" i="19"/>
  <c r="Q24" i="19"/>
  <c r="R24" i="19"/>
  <c r="S24" i="19"/>
  <c r="V24" i="19"/>
  <c r="E25" i="19"/>
  <c r="F25" i="19"/>
  <c r="G25" i="19"/>
  <c r="I25" i="19"/>
  <c r="J25" i="19"/>
  <c r="Q25" i="19"/>
  <c r="R25" i="19"/>
  <c r="S25" i="19"/>
  <c r="E26" i="19"/>
  <c r="J26" i="19" s="1"/>
  <c r="F26" i="19"/>
  <c r="S26" i="19" s="1"/>
  <c r="G26" i="19"/>
  <c r="I26" i="19"/>
  <c r="Q26" i="19"/>
  <c r="R26" i="19"/>
  <c r="V26" i="19"/>
  <c r="E27" i="19"/>
  <c r="F27" i="19"/>
  <c r="G27" i="19"/>
  <c r="I27" i="19"/>
  <c r="J27" i="19"/>
  <c r="Q27" i="19"/>
  <c r="R27" i="19"/>
  <c r="S27" i="19"/>
  <c r="E28" i="19"/>
  <c r="J28" i="19" s="1"/>
  <c r="F28" i="19"/>
  <c r="G28" i="19"/>
  <c r="I28" i="19"/>
  <c r="Q28" i="19"/>
  <c r="R28" i="19"/>
  <c r="S28" i="19"/>
  <c r="E29" i="19"/>
  <c r="F29" i="19"/>
  <c r="G29" i="19"/>
  <c r="I29" i="19"/>
  <c r="J29" i="19"/>
  <c r="Q29" i="19"/>
  <c r="R29" i="19"/>
  <c r="S29" i="19"/>
  <c r="E30" i="19"/>
  <c r="J30" i="19" s="1"/>
  <c r="F30" i="19"/>
  <c r="S30" i="19" s="1"/>
  <c r="G30" i="19"/>
  <c r="I30" i="19"/>
  <c r="K30" i="19"/>
  <c r="L30" i="19"/>
  <c r="M30" i="19"/>
  <c r="N30" i="19"/>
  <c r="O30" i="19"/>
  <c r="P30" i="19"/>
  <c r="Q30" i="19"/>
  <c r="R30" i="19"/>
  <c r="E31" i="19"/>
  <c r="J31" i="19" s="1"/>
  <c r="F31" i="19"/>
  <c r="G31" i="19"/>
  <c r="I31" i="19"/>
  <c r="Q31" i="19"/>
  <c r="R31" i="19"/>
  <c r="S31" i="19"/>
  <c r="E32" i="19"/>
  <c r="F32" i="19"/>
  <c r="G32" i="19"/>
  <c r="I32" i="19"/>
  <c r="J32" i="19"/>
  <c r="Q32" i="19"/>
  <c r="R32" i="19"/>
  <c r="S32" i="19"/>
  <c r="E33" i="19"/>
  <c r="J33" i="19" s="1"/>
  <c r="F33" i="19"/>
  <c r="S33" i="19" s="1"/>
  <c r="G33" i="19"/>
  <c r="I33" i="19"/>
  <c r="K33" i="19"/>
  <c r="L33" i="19"/>
  <c r="M33" i="19"/>
  <c r="N33" i="19"/>
  <c r="O33" i="19"/>
  <c r="P33" i="19"/>
  <c r="Q33" i="19"/>
  <c r="R33" i="19"/>
  <c r="E34" i="19"/>
  <c r="F34" i="19"/>
  <c r="G34" i="19"/>
  <c r="I34" i="19"/>
  <c r="J34" i="19"/>
  <c r="Q34" i="19"/>
  <c r="S34" i="19" s="1"/>
  <c r="R34" i="19"/>
  <c r="E35" i="19"/>
  <c r="F35" i="19"/>
  <c r="G35" i="19"/>
  <c r="I35" i="19"/>
  <c r="J35" i="19"/>
  <c r="Q35" i="19"/>
  <c r="R35" i="19"/>
  <c r="S35" i="19"/>
  <c r="E36" i="19"/>
  <c r="F36" i="19"/>
  <c r="G36" i="19"/>
  <c r="I36" i="19"/>
  <c r="J36" i="19"/>
  <c r="K36" i="19"/>
  <c r="Q36" i="19" s="1"/>
  <c r="L36" i="19"/>
  <c r="M36" i="19"/>
  <c r="N36" i="19"/>
  <c r="O36" i="19"/>
  <c r="P36" i="19"/>
  <c r="E37" i="19"/>
  <c r="F37" i="19"/>
  <c r="G37" i="19"/>
  <c r="I37" i="19"/>
  <c r="J37" i="19"/>
  <c r="Q37" i="19"/>
  <c r="R37" i="19"/>
  <c r="S37" i="19"/>
  <c r="E38" i="19"/>
  <c r="F38" i="19"/>
  <c r="G38" i="19"/>
  <c r="I38" i="19"/>
  <c r="J38" i="19"/>
  <c r="K38" i="19"/>
  <c r="L38" i="19"/>
  <c r="M38" i="19"/>
  <c r="N38" i="19"/>
  <c r="O38" i="19"/>
  <c r="P38" i="19"/>
  <c r="Q38" i="19"/>
  <c r="R38" i="19"/>
  <c r="S38" i="19"/>
  <c r="E39" i="19"/>
  <c r="J39" i="19" s="1"/>
  <c r="F39" i="19"/>
  <c r="S39" i="19" s="1"/>
  <c r="G39" i="19"/>
  <c r="I39" i="19"/>
  <c r="K39" i="19"/>
  <c r="R39" i="19" s="1"/>
  <c r="Q39" i="19"/>
  <c r="E40" i="19"/>
  <c r="F40" i="19"/>
  <c r="G40" i="19"/>
  <c r="I40" i="19"/>
  <c r="J40" i="19"/>
  <c r="Q40" i="19"/>
  <c r="R40" i="19"/>
  <c r="S40" i="19"/>
  <c r="E41" i="19"/>
  <c r="J41" i="19" s="1"/>
  <c r="F41" i="19"/>
  <c r="G41" i="19"/>
  <c r="I41" i="19"/>
  <c r="Q41" i="19"/>
  <c r="R41" i="19"/>
  <c r="S41" i="19"/>
  <c r="I42" i="19"/>
  <c r="J42" i="19"/>
  <c r="Q42" i="19"/>
  <c r="R42" i="19"/>
  <c r="S42" i="19"/>
  <c r="I43" i="19"/>
  <c r="J43" i="19"/>
  <c r="Q43" i="19"/>
  <c r="S43" i="19" s="1"/>
  <c r="R43" i="19"/>
  <c r="I44" i="19"/>
  <c r="J44" i="19"/>
  <c r="Q44" i="19"/>
  <c r="S44" i="19" s="1"/>
  <c r="R44" i="19"/>
  <c r="I45" i="19"/>
  <c r="J45" i="19"/>
  <c r="Q45" i="19"/>
  <c r="R45" i="19"/>
  <c r="S45" i="19"/>
  <c r="I46" i="19"/>
  <c r="J46" i="19"/>
  <c r="Q46" i="19"/>
  <c r="R46" i="19"/>
  <c r="S46" i="19"/>
  <c r="I47" i="19"/>
  <c r="J47" i="19"/>
  <c r="Q47" i="19"/>
  <c r="R47" i="19"/>
  <c r="S47" i="19"/>
  <c r="I48" i="19"/>
  <c r="J48" i="19"/>
  <c r="Q48" i="19"/>
  <c r="R48" i="19"/>
  <c r="S48" i="19"/>
  <c r="I49" i="19"/>
  <c r="J49" i="19"/>
  <c r="Q49" i="19"/>
  <c r="R49" i="19"/>
  <c r="S49" i="19"/>
  <c r="E10" i="18"/>
  <c r="F10" i="18"/>
  <c r="G10" i="18"/>
  <c r="I10" i="18"/>
  <c r="J10" i="18"/>
  <c r="Q10" i="18"/>
  <c r="N4" i="18" s="1"/>
  <c r="R10" i="18"/>
  <c r="S10" i="18"/>
  <c r="E11" i="18"/>
  <c r="F11" i="18"/>
  <c r="S11" i="18" s="1"/>
  <c r="G11" i="18"/>
  <c r="I11" i="18"/>
  <c r="J11" i="18"/>
  <c r="Q11" i="18"/>
  <c r="R11" i="18"/>
  <c r="E12" i="18"/>
  <c r="F12" i="18"/>
  <c r="G12" i="18"/>
  <c r="I12" i="18"/>
  <c r="J12" i="18"/>
  <c r="K12" i="18"/>
  <c r="L12" i="18"/>
  <c r="M12" i="18"/>
  <c r="N12" i="18"/>
  <c r="O12" i="18"/>
  <c r="P12" i="18"/>
  <c r="Q12" i="18"/>
  <c r="R12" i="18"/>
  <c r="S12" i="18"/>
  <c r="E13" i="18"/>
  <c r="F13" i="18"/>
  <c r="G13" i="18"/>
  <c r="I13" i="18"/>
  <c r="J13" i="18"/>
  <c r="Q13" i="18"/>
  <c r="R13" i="18"/>
  <c r="S13" i="18"/>
  <c r="E14" i="18"/>
  <c r="F14" i="18"/>
  <c r="G14" i="18"/>
  <c r="I14" i="18"/>
  <c r="J14" i="18"/>
  <c r="K14" i="18"/>
  <c r="R14" i="18" s="1"/>
  <c r="L14" i="18"/>
  <c r="M14" i="18"/>
  <c r="N14" i="18"/>
  <c r="O14" i="18"/>
  <c r="P14" i="18"/>
  <c r="E15" i="18"/>
  <c r="F15" i="18"/>
  <c r="G15" i="18"/>
  <c r="I15" i="18"/>
  <c r="J15" i="18"/>
  <c r="Q15" i="18"/>
  <c r="R15" i="18"/>
  <c r="S15" i="18"/>
  <c r="E16" i="18"/>
  <c r="J16" i="18" s="1"/>
  <c r="F16" i="18"/>
  <c r="S16" i="18" s="1"/>
  <c r="G16" i="18"/>
  <c r="I16" i="18"/>
  <c r="Q16" i="18"/>
  <c r="R16" i="18"/>
  <c r="E17" i="18"/>
  <c r="F17" i="18"/>
  <c r="G17" i="18"/>
  <c r="I17" i="18"/>
  <c r="J17" i="18"/>
  <c r="Q17" i="18"/>
  <c r="R17" i="18"/>
  <c r="S17" i="18"/>
  <c r="E18" i="18"/>
  <c r="J18" i="18" s="1"/>
  <c r="F18" i="18"/>
  <c r="S18" i="18" s="1"/>
  <c r="G18" i="18"/>
  <c r="I18" i="18"/>
  <c r="K18" i="18"/>
  <c r="L18" i="18"/>
  <c r="M18" i="18"/>
  <c r="N18" i="18"/>
  <c r="O18" i="18"/>
  <c r="P18" i="18"/>
  <c r="Q18" i="18"/>
  <c r="R18" i="18"/>
  <c r="E19" i="18"/>
  <c r="J19" i="18" s="1"/>
  <c r="F19" i="18"/>
  <c r="S19" i="18" s="1"/>
  <c r="G19" i="18"/>
  <c r="I19" i="18"/>
  <c r="Q19" i="18"/>
  <c r="R19" i="18"/>
  <c r="E20" i="18"/>
  <c r="F20" i="18"/>
  <c r="G20" i="18"/>
  <c r="I20" i="18"/>
  <c r="J20" i="18"/>
  <c r="Q20" i="18"/>
  <c r="R20" i="18"/>
  <c r="S20" i="18"/>
  <c r="E21" i="18"/>
  <c r="J21" i="18" s="1"/>
  <c r="F21" i="18"/>
  <c r="S21" i="18" s="1"/>
  <c r="G21" i="18"/>
  <c r="I21" i="18"/>
  <c r="K21" i="18"/>
  <c r="L21" i="18"/>
  <c r="M21" i="18"/>
  <c r="N21" i="18"/>
  <c r="O21" i="18"/>
  <c r="P21" i="18"/>
  <c r="Q21" i="18"/>
  <c r="R21" i="18"/>
  <c r="E22" i="18"/>
  <c r="F22" i="18"/>
  <c r="S22" i="18" s="1"/>
  <c r="G22" i="18"/>
  <c r="I22" i="18"/>
  <c r="J22" i="18"/>
  <c r="O22" i="18"/>
  <c r="Q22" i="18" s="1"/>
  <c r="E23" i="18"/>
  <c r="F23" i="18"/>
  <c r="G23" i="18"/>
  <c r="I23" i="18"/>
  <c r="J23" i="18"/>
  <c r="Q23" i="18"/>
  <c r="R23" i="18"/>
  <c r="S23" i="18"/>
  <c r="E24" i="18"/>
  <c r="F24" i="18"/>
  <c r="S24" i="18" s="1"/>
  <c r="G24" i="18"/>
  <c r="I24" i="18"/>
  <c r="J24" i="18"/>
  <c r="Q24" i="18"/>
  <c r="R24" i="18"/>
  <c r="V24" i="18"/>
  <c r="E25" i="18"/>
  <c r="F25" i="18"/>
  <c r="G25" i="18"/>
  <c r="I25" i="18"/>
  <c r="J25" i="18"/>
  <c r="Q25" i="18"/>
  <c r="R25" i="18"/>
  <c r="S25" i="18"/>
  <c r="E26" i="18"/>
  <c r="J26" i="18" s="1"/>
  <c r="F26" i="18"/>
  <c r="S26" i="18" s="1"/>
  <c r="G26" i="18"/>
  <c r="I26" i="18"/>
  <c r="Q26" i="18"/>
  <c r="R26" i="18"/>
  <c r="V26" i="18"/>
  <c r="E27" i="18"/>
  <c r="F27" i="18"/>
  <c r="G27" i="18"/>
  <c r="I27" i="18"/>
  <c r="J27" i="18"/>
  <c r="Q27" i="18"/>
  <c r="R27" i="18"/>
  <c r="S27" i="18"/>
  <c r="E28" i="18"/>
  <c r="J28" i="18" s="1"/>
  <c r="F28" i="18"/>
  <c r="S28" i="18" s="1"/>
  <c r="G28" i="18"/>
  <c r="I28" i="18"/>
  <c r="Q28" i="18"/>
  <c r="R28" i="18"/>
  <c r="E29" i="18"/>
  <c r="F29" i="18"/>
  <c r="G29" i="18"/>
  <c r="I29" i="18"/>
  <c r="J29" i="18"/>
  <c r="Q29" i="18"/>
  <c r="R29" i="18"/>
  <c r="S29" i="18"/>
  <c r="E30" i="18"/>
  <c r="J30" i="18" s="1"/>
  <c r="F30" i="18"/>
  <c r="S30" i="18" s="1"/>
  <c r="G30" i="18"/>
  <c r="I30" i="18"/>
  <c r="K30" i="18"/>
  <c r="L30" i="18"/>
  <c r="M30" i="18"/>
  <c r="N30" i="18"/>
  <c r="O30" i="18"/>
  <c r="P30" i="18"/>
  <c r="Q30" i="18"/>
  <c r="R30" i="18"/>
  <c r="E31" i="18"/>
  <c r="F31" i="18"/>
  <c r="S31" i="18" s="1"/>
  <c r="G31" i="18"/>
  <c r="I31" i="18"/>
  <c r="J31" i="18"/>
  <c r="Q31" i="18"/>
  <c r="R31" i="18"/>
  <c r="E32" i="18"/>
  <c r="F32" i="18"/>
  <c r="G32" i="18"/>
  <c r="I32" i="18"/>
  <c r="J32" i="18"/>
  <c r="Q32" i="18"/>
  <c r="R32" i="18"/>
  <c r="S32" i="18"/>
  <c r="E33" i="18"/>
  <c r="F33" i="18"/>
  <c r="S33" i="18" s="1"/>
  <c r="G33" i="18"/>
  <c r="I33" i="18"/>
  <c r="J33" i="18"/>
  <c r="K33" i="18"/>
  <c r="L33" i="18"/>
  <c r="M33" i="18"/>
  <c r="N33" i="18"/>
  <c r="O33" i="18"/>
  <c r="P33" i="18"/>
  <c r="Q33" i="18"/>
  <c r="R33" i="18"/>
  <c r="E34" i="18"/>
  <c r="F34" i="18"/>
  <c r="S34" i="18" s="1"/>
  <c r="G34" i="18"/>
  <c r="I34" i="18"/>
  <c r="J34" i="18"/>
  <c r="M34" i="18"/>
  <c r="R34" i="18" s="1"/>
  <c r="Q34" i="18"/>
  <c r="E35" i="18"/>
  <c r="F35" i="18"/>
  <c r="G35" i="18"/>
  <c r="I35" i="18"/>
  <c r="J35" i="18"/>
  <c r="Q35" i="18"/>
  <c r="R35" i="18"/>
  <c r="S35" i="18"/>
  <c r="E36" i="18"/>
  <c r="F36" i="18"/>
  <c r="S36" i="18" s="1"/>
  <c r="G36" i="18"/>
  <c r="I36" i="18"/>
  <c r="J36" i="18"/>
  <c r="K36" i="18"/>
  <c r="Q36" i="18" s="1"/>
  <c r="L36" i="18"/>
  <c r="M36" i="18"/>
  <c r="N36" i="18"/>
  <c r="O36" i="18"/>
  <c r="P36" i="18"/>
  <c r="E37" i="18"/>
  <c r="F37" i="18"/>
  <c r="G37" i="18"/>
  <c r="I37" i="18"/>
  <c r="J37" i="18"/>
  <c r="Q37" i="18"/>
  <c r="R37" i="18"/>
  <c r="S37" i="18"/>
  <c r="E38" i="18"/>
  <c r="F38" i="18"/>
  <c r="G38" i="18"/>
  <c r="I38" i="18"/>
  <c r="J38" i="18"/>
  <c r="K38" i="18"/>
  <c r="L38" i="18"/>
  <c r="M38" i="18"/>
  <c r="N38" i="18"/>
  <c r="O38" i="18"/>
  <c r="P38" i="18"/>
  <c r="Q38" i="18"/>
  <c r="R38" i="18"/>
  <c r="S38" i="18"/>
  <c r="E39" i="18"/>
  <c r="J39" i="18" s="1"/>
  <c r="F39" i="18"/>
  <c r="S39" i="18" s="1"/>
  <c r="G39" i="18"/>
  <c r="I39" i="18"/>
  <c r="Q39" i="18"/>
  <c r="R39" i="18"/>
  <c r="E40" i="18"/>
  <c r="F40" i="18"/>
  <c r="G40" i="18"/>
  <c r="I40" i="18"/>
  <c r="J40" i="18"/>
  <c r="Q40" i="18"/>
  <c r="R40" i="18"/>
  <c r="S40" i="18"/>
  <c r="E41" i="18"/>
  <c r="J41" i="18" s="1"/>
  <c r="F41" i="18"/>
  <c r="S41" i="18" s="1"/>
  <c r="G41" i="18"/>
  <c r="I41" i="18"/>
  <c r="Q41" i="18"/>
  <c r="R41" i="18"/>
  <c r="I42" i="18"/>
  <c r="J42" i="18"/>
  <c r="Q42" i="18"/>
  <c r="R42" i="18"/>
  <c r="S42" i="18"/>
  <c r="I43" i="18"/>
  <c r="J43" i="18"/>
  <c r="Q43" i="18"/>
  <c r="R43" i="18"/>
  <c r="S43" i="18"/>
  <c r="I44" i="18"/>
  <c r="J44" i="18"/>
  <c r="Q44" i="18"/>
  <c r="R44" i="18"/>
  <c r="S44" i="18"/>
  <c r="I45" i="18"/>
  <c r="J45" i="18"/>
  <c r="Q45" i="18"/>
  <c r="R45" i="18"/>
  <c r="S45" i="18"/>
  <c r="I46" i="18"/>
  <c r="J46" i="18"/>
  <c r="Q46" i="18"/>
  <c r="R46" i="18"/>
  <c r="S46" i="18"/>
  <c r="I47" i="18"/>
  <c r="J47" i="18"/>
  <c r="Q47" i="18"/>
  <c r="R47" i="18"/>
  <c r="S47" i="18"/>
  <c r="I48" i="18"/>
  <c r="J48" i="18"/>
  <c r="Q48" i="18"/>
  <c r="R48" i="18"/>
  <c r="S48" i="18"/>
  <c r="I49" i="18"/>
  <c r="J49" i="18"/>
  <c r="Q49" i="18"/>
  <c r="R49" i="18"/>
  <c r="S49" i="18"/>
  <c r="E10" i="17"/>
  <c r="F10" i="17"/>
  <c r="G10" i="17"/>
  <c r="I10" i="17"/>
  <c r="J10" i="17"/>
  <c r="Q10" i="17"/>
  <c r="N4" i="17" s="1"/>
  <c r="R10" i="17"/>
  <c r="S10" i="17"/>
  <c r="E11" i="17"/>
  <c r="F11" i="17"/>
  <c r="G11" i="17"/>
  <c r="I11" i="17"/>
  <c r="J11" i="17"/>
  <c r="Q11" i="17"/>
  <c r="R11" i="17"/>
  <c r="S11" i="17"/>
  <c r="E12" i="17"/>
  <c r="F12" i="17"/>
  <c r="G12" i="17"/>
  <c r="I12" i="17"/>
  <c r="J12" i="17"/>
  <c r="K12" i="17"/>
  <c r="L12" i="17"/>
  <c r="M12" i="17"/>
  <c r="N12" i="17"/>
  <c r="O12" i="17"/>
  <c r="P12" i="17"/>
  <c r="Q12" i="17"/>
  <c r="O4" i="17" s="1"/>
  <c r="R12" i="17"/>
  <c r="S12" i="17"/>
  <c r="E13" i="17"/>
  <c r="F13" i="17"/>
  <c r="G13" i="17"/>
  <c r="I13" i="17"/>
  <c r="J13" i="17"/>
  <c r="Q13" i="17"/>
  <c r="R13" i="17"/>
  <c r="S13" i="17"/>
  <c r="E14" i="17"/>
  <c r="F14" i="17"/>
  <c r="G14" i="17"/>
  <c r="I14" i="17"/>
  <c r="J14" i="17"/>
  <c r="K14" i="17"/>
  <c r="L14" i="17"/>
  <c r="M14" i="17"/>
  <c r="N14" i="17"/>
  <c r="O14" i="17"/>
  <c r="P14" i="17"/>
  <c r="Q14" i="17"/>
  <c r="R14" i="17"/>
  <c r="S14" i="17"/>
  <c r="E15" i="17"/>
  <c r="F15" i="17"/>
  <c r="G15" i="17"/>
  <c r="I15" i="17"/>
  <c r="J15" i="17"/>
  <c r="Q15" i="17"/>
  <c r="R15" i="17"/>
  <c r="S15" i="17"/>
  <c r="E16" i="17"/>
  <c r="J16" i="17" s="1"/>
  <c r="F16" i="17"/>
  <c r="S16" i="17" s="1"/>
  <c r="G16" i="17"/>
  <c r="I16" i="17"/>
  <c r="Q16" i="17"/>
  <c r="R16" i="17"/>
  <c r="E17" i="17"/>
  <c r="F17" i="17"/>
  <c r="G17" i="17"/>
  <c r="I17" i="17"/>
  <c r="J17" i="17"/>
  <c r="Q17" i="17"/>
  <c r="R17" i="17"/>
  <c r="S17" i="17"/>
  <c r="E18" i="17"/>
  <c r="F18" i="17"/>
  <c r="G18" i="17"/>
  <c r="I18" i="17"/>
  <c r="J18" i="17"/>
  <c r="K18" i="17"/>
  <c r="L18" i="17"/>
  <c r="M18" i="17"/>
  <c r="N18" i="17"/>
  <c r="O18" i="17"/>
  <c r="P18" i="17"/>
  <c r="Q18" i="17"/>
  <c r="R18" i="17"/>
  <c r="S18" i="17"/>
  <c r="E19" i="17"/>
  <c r="J19" i="17" s="1"/>
  <c r="F19" i="17"/>
  <c r="S19" i="17" s="1"/>
  <c r="G19" i="17"/>
  <c r="I19" i="17"/>
  <c r="Q19" i="17"/>
  <c r="R19" i="17"/>
  <c r="E20" i="17"/>
  <c r="F20" i="17"/>
  <c r="G20" i="17"/>
  <c r="I20" i="17"/>
  <c r="J20" i="17"/>
  <c r="Q20" i="17"/>
  <c r="R20" i="17"/>
  <c r="S20" i="17"/>
  <c r="E21" i="17"/>
  <c r="F21" i="17"/>
  <c r="G21" i="17"/>
  <c r="I21" i="17"/>
  <c r="J21" i="17"/>
  <c r="K21" i="17"/>
  <c r="L21" i="17"/>
  <c r="M21" i="17"/>
  <c r="N21" i="17"/>
  <c r="O21" i="17"/>
  <c r="P21" i="17"/>
  <c r="Q21" i="17"/>
  <c r="R21" i="17"/>
  <c r="S21" i="17"/>
  <c r="E22" i="17"/>
  <c r="F22" i="17"/>
  <c r="S22" i="17" s="1"/>
  <c r="G22" i="17"/>
  <c r="I22" i="17"/>
  <c r="J22" i="17"/>
  <c r="Q22" i="17"/>
  <c r="R22" i="17"/>
  <c r="E23" i="17"/>
  <c r="F23" i="17"/>
  <c r="G23" i="17"/>
  <c r="I23" i="17"/>
  <c r="J23" i="17"/>
  <c r="Q23" i="17"/>
  <c r="R23" i="17"/>
  <c r="S23" i="17"/>
  <c r="E24" i="17"/>
  <c r="F24" i="17"/>
  <c r="G24" i="17"/>
  <c r="I24" i="17"/>
  <c r="J24" i="17"/>
  <c r="Q24" i="17"/>
  <c r="R24" i="17"/>
  <c r="S24" i="17"/>
  <c r="V24" i="17"/>
  <c r="E25" i="17"/>
  <c r="F25" i="17"/>
  <c r="G25" i="17"/>
  <c r="I25" i="17"/>
  <c r="J25" i="17"/>
  <c r="Q25" i="17"/>
  <c r="R25" i="17"/>
  <c r="S25" i="17"/>
  <c r="E26" i="17"/>
  <c r="F26" i="17"/>
  <c r="S26" i="17" s="1"/>
  <c r="G26" i="17"/>
  <c r="I26" i="17"/>
  <c r="J26" i="17"/>
  <c r="Q26" i="17"/>
  <c r="R26" i="17"/>
  <c r="V26" i="17"/>
  <c r="E27" i="17"/>
  <c r="F27" i="17"/>
  <c r="G27" i="17"/>
  <c r="I27" i="17"/>
  <c r="J27" i="17"/>
  <c r="Q27" i="17"/>
  <c r="R27" i="17"/>
  <c r="S27" i="17"/>
  <c r="E28" i="17"/>
  <c r="F28" i="17"/>
  <c r="G28" i="17"/>
  <c r="I28" i="17"/>
  <c r="J28" i="17"/>
  <c r="Q28" i="17"/>
  <c r="R28" i="17"/>
  <c r="S28" i="17"/>
  <c r="E29" i="17"/>
  <c r="F29" i="17"/>
  <c r="G29" i="17"/>
  <c r="I29" i="17"/>
  <c r="J29" i="17"/>
  <c r="Q29" i="17"/>
  <c r="R29" i="17"/>
  <c r="S29" i="17"/>
  <c r="E30" i="17"/>
  <c r="J30" i="17" s="1"/>
  <c r="F30" i="17"/>
  <c r="S30" i="17" s="1"/>
  <c r="G30" i="17"/>
  <c r="I30" i="17"/>
  <c r="K30" i="17"/>
  <c r="L30" i="17"/>
  <c r="M30" i="17"/>
  <c r="N30" i="17"/>
  <c r="O30" i="17"/>
  <c r="P30" i="17"/>
  <c r="Q30" i="17"/>
  <c r="R30" i="17"/>
  <c r="E31" i="17"/>
  <c r="F31" i="17"/>
  <c r="G31" i="17"/>
  <c r="I31" i="17"/>
  <c r="J31" i="17"/>
  <c r="Q31" i="17"/>
  <c r="R31" i="17"/>
  <c r="S31" i="17"/>
  <c r="E32" i="17"/>
  <c r="F32" i="17"/>
  <c r="G32" i="17"/>
  <c r="I32" i="17"/>
  <c r="J32" i="17"/>
  <c r="Q32" i="17"/>
  <c r="R32" i="17"/>
  <c r="S32" i="17"/>
  <c r="E33" i="17"/>
  <c r="F33" i="17"/>
  <c r="G33" i="17"/>
  <c r="I33" i="17"/>
  <c r="J33" i="17"/>
  <c r="K33" i="17"/>
  <c r="Q33" i="17" s="1"/>
  <c r="L33" i="17"/>
  <c r="M33" i="17"/>
  <c r="N33" i="17"/>
  <c r="O33" i="17"/>
  <c r="P33" i="17"/>
  <c r="E34" i="17"/>
  <c r="F34" i="17"/>
  <c r="G34" i="17"/>
  <c r="I34" i="17"/>
  <c r="J34" i="17"/>
  <c r="Q34" i="17"/>
  <c r="R34" i="17"/>
  <c r="S34" i="17"/>
  <c r="E35" i="17"/>
  <c r="F35" i="17"/>
  <c r="G35" i="17"/>
  <c r="I35" i="17"/>
  <c r="J35" i="17"/>
  <c r="Q35" i="17"/>
  <c r="R35" i="17"/>
  <c r="S35" i="17"/>
  <c r="E36" i="17"/>
  <c r="F36" i="17"/>
  <c r="G36" i="17"/>
  <c r="I36" i="17"/>
  <c r="J36" i="17"/>
  <c r="K36" i="17"/>
  <c r="Q36" i="17" s="1"/>
  <c r="L36" i="17"/>
  <c r="M36" i="17"/>
  <c r="N36" i="17"/>
  <c r="O36" i="17"/>
  <c r="P36" i="17"/>
  <c r="E37" i="17"/>
  <c r="F37" i="17"/>
  <c r="G37" i="17"/>
  <c r="I37" i="17"/>
  <c r="J37" i="17"/>
  <c r="Q37" i="17"/>
  <c r="R37" i="17"/>
  <c r="S37" i="17"/>
  <c r="E38" i="17"/>
  <c r="F38" i="17"/>
  <c r="G38" i="17"/>
  <c r="I38" i="17"/>
  <c r="J38" i="17"/>
  <c r="Q38" i="17"/>
  <c r="R38" i="17"/>
  <c r="S38" i="17"/>
  <c r="E39" i="17"/>
  <c r="F39" i="17"/>
  <c r="G39" i="17"/>
  <c r="I39" i="17"/>
  <c r="J39" i="17"/>
  <c r="Q39" i="17"/>
  <c r="R39" i="17"/>
  <c r="S39" i="17"/>
  <c r="E40" i="17"/>
  <c r="J40" i="17" s="1"/>
  <c r="F40" i="17"/>
  <c r="S40" i="17" s="1"/>
  <c r="G40" i="17"/>
  <c r="I40" i="17"/>
  <c r="Q40" i="17"/>
  <c r="R40" i="17"/>
  <c r="E41" i="17"/>
  <c r="F41" i="17"/>
  <c r="G41" i="17"/>
  <c r="I41" i="17"/>
  <c r="J41" i="17"/>
  <c r="Q41" i="17"/>
  <c r="R41" i="17"/>
  <c r="S41" i="17"/>
  <c r="I42" i="17"/>
  <c r="J42" i="17"/>
  <c r="Q42" i="17"/>
  <c r="R42" i="17"/>
  <c r="S42" i="17"/>
  <c r="I43" i="17"/>
  <c r="J43" i="17"/>
  <c r="Q43" i="17"/>
  <c r="R43" i="17"/>
  <c r="S43" i="17"/>
  <c r="I44" i="17"/>
  <c r="J44" i="17"/>
  <c r="Q44" i="17"/>
  <c r="R44" i="17"/>
  <c r="S44" i="17"/>
  <c r="I45" i="17"/>
  <c r="J45" i="17"/>
  <c r="Q45" i="17"/>
  <c r="S45" i="17" s="1"/>
  <c r="R45" i="17"/>
  <c r="I46" i="17"/>
  <c r="J46" i="17"/>
  <c r="Q46" i="17"/>
  <c r="R46" i="17"/>
  <c r="S46" i="17"/>
  <c r="I47" i="17"/>
  <c r="J47" i="17"/>
  <c r="Q47" i="17"/>
  <c r="R47" i="17"/>
  <c r="S47" i="17"/>
  <c r="I48" i="17"/>
  <c r="J48" i="17"/>
  <c r="Q48" i="17"/>
  <c r="R48" i="17"/>
  <c r="S48" i="17"/>
  <c r="I49" i="17"/>
  <c r="J49" i="17"/>
  <c r="Q49" i="17"/>
  <c r="R49" i="17"/>
  <c r="S49" i="17"/>
  <c r="E10" i="16"/>
  <c r="F10" i="16"/>
  <c r="G10" i="16"/>
  <c r="I10" i="16"/>
  <c r="J10" i="16"/>
  <c r="Q10" i="16"/>
  <c r="R10" i="16"/>
  <c r="S10" i="16"/>
  <c r="E11" i="16"/>
  <c r="F11" i="16"/>
  <c r="G11" i="16"/>
  <c r="I11" i="16"/>
  <c r="J11" i="16"/>
  <c r="Q11" i="16"/>
  <c r="R11" i="16"/>
  <c r="S11" i="16"/>
  <c r="E12" i="16"/>
  <c r="F12" i="16"/>
  <c r="G12" i="16"/>
  <c r="I12" i="16"/>
  <c r="J12" i="16"/>
  <c r="Q12" i="16"/>
  <c r="O4" i="16" s="1"/>
  <c r="R12" i="16"/>
  <c r="S12" i="16"/>
  <c r="E13" i="16"/>
  <c r="F13" i="16"/>
  <c r="S13" i="16" s="1"/>
  <c r="G13" i="16"/>
  <c r="I13" i="16"/>
  <c r="J13" i="16"/>
  <c r="Q13" i="16"/>
  <c r="R13" i="16"/>
  <c r="E14" i="16"/>
  <c r="F14" i="16"/>
  <c r="G14" i="16"/>
  <c r="I14" i="16"/>
  <c r="J14" i="16"/>
  <c r="Q14" i="16"/>
  <c r="R14" i="16"/>
  <c r="S14" i="16"/>
  <c r="E15" i="16"/>
  <c r="F15" i="16"/>
  <c r="G15" i="16"/>
  <c r="I15" i="16"/>
  <c r="J15" i="16"/>
  <c r="Q15" i="16"/>
  <c r="R15" i="16"/>
  <c r="S15" i="16"/>
  <c r="E16" i="16"/>
  <c r="F16" i="16"/>
  <c r="G16" i="16"/>
  <c r="I16" i="16"/>
  <c r="J16" i="16"/>
  <c r="Q16" i="16"/>
  <c r="R16" i="16"/>
  <c r="S16" i="16"/>
  <c r="E17" i="16"/>
  <c r="F17" i="16"/>
  <c r="S17" i="16" s="1"/>
  <c r="G17" i="16"/>
  <c r="I17" i="16"/>
  <c r="J17" i="16"/>
  <c r="Q17" i="16"/>
  <c r="R17" i="16"/>
  <c r="E18" i="16"/>
  <c r="F18" i="16"/>
  <c r="G18" i="16"/>
  <c r="I18" i="16"/>
  <c r="J18" i="16"/>
  <c r="Q18" i="16"/>
  <c r="R18" i="16"/>
  <c r="S18" i="16"/>
  <c r="E19" i="16"/>
  <c r="F19" i="16"/>
  <c r="G19" i="16"/>
  <c r="I19" i="16"/>
  <c r="J19" i="16"/>
  <c r="Q19" i="16"/>
  <c r="R19" i="16"/>
  <c r="S19" i="16"/>
  <c r="E20" i="16"/>
  <c r="F20" i="16"/>
  <c r="G20" i="16"/>
  <c r="I20" i="16"/>
  <c r="J20" i="16"/>
  <c r="Q20" i="16"/>
  <c r="R20" i="16"/>
  <c r="S20" i="16"/>
  <c r="E21" i="16"/>
  <c r="F21" i="16"/>
  <c r="S21" i="16" s="1"/>
  <c r="G21" i="16"/>
  <c r="I21" i="16"/>
  <c r="J21" i="16"/>
  <c r="Q21" i="16"/>
  <c r="R21" i="16"/>
  <c r="E22" i="16"/>
  <c r="F22" i="16"/>
  <c r="G22" i="16"/>
  <c r="I22" i="16"/>
  <c r="J22" i="16"/>
  <c r="Q22" i="16"/>
  <c r="R22" i="16"/>
  <c r="S22" i="16"/>
  <c r="E23" i="16"/>
  <c r="F23" i="16"/>
  <c r="G23" i="16"/>
  <c r="I23" i="16"/>
  <c r="J23" i="16"/>
  <c r="Q23" i="16"/>
  <c r="R23" i="16"/>
  <c r="S23" i="16"/>
  <c r="E24" i="16"/>
  <c r="F24" i="16"/>
  <c r="G24" i="16"/>
  <c r="I24" i="16"/>
  <c r="J24" i="16"/>
  <c r="Q24" i="16"/>
  <c r="R24" i="16"/>
  <c r="S24" i="16"/>
  <c r="V24" i="16"/>
  <c r="E25" i="16"/>
  <c r="F25" i="16"/>
  <c r="S25" i="16" s="1"/>
  <c r="G25" i="16"/>
  <c r="I25" i="16"/>
  <c r="J25" i="16"/>
  <c r="Q25" i="16"/>
  <c r="R25" i="16"/>
  <c r="E26" i="16"/>
  <c r="F26" i="16"/>
  <c r="G26" i="16"/>
  <c r="I26" i="16"/>
  <c r="J26" i="16"/>
  <c r="Q26" i="16"/>
  <c r="R26" i="16"/>
  <c r="S26" i="16"/>
  <c r="V26" i="16"/>
  <c r="E27" i="16"/>
  <c r="F27" i="16"/>
  <c r="G27" i="16"/>
  <c r="I27" i="16"/>
  <c r="J27" i="16"/>
  <c r="Q27" i="16"/>
  <c r="R27" i="16"/>
  <c r="S27" i="16"/>
  <c r="E28" i="16"/>
  <c r="F28" i="16"/>
  <c r="G28" i="16"/>
  <c r="I28" i="16"/>
  <c r="J28" i="16"/>
  <c r="Q28" i="16"/>
  <c r="R28" i="16"/>
  <c r="S28" i="16"/>
  <c r="E29" i="16"/>
  <c r="F29" i="16"/>
  <c r="S29" i="16" s="1"/>
  <c r="G29" i="16"/>
  <c r="I29" i="16"/>
  <c r="J29" i="16"/>
  <c r="Q29" i="16"/>
  <c r="R29" i="16"/>
  <c r="E30" i="16"/>
  <c r="F30" i="16"/>
  <c r="G30" i="16"/>
  <c r="I30" i="16"/>
  <c r="J30" i="16"/>
  <c r="Q30" i="16"/>
  <c r="R30" i="16"/>
  <c r="S30" i="16"/>
  <c r="E31" i="16"/>
  <c r="F31" i="16"/>
  <c r="G31" i="16"/>
  <c r="I31" i="16"/>
  <c r="J31" i="16"/>
  <c r="Q31" i="16"/>
  <c r="R31" i="16"/>
  <c r="S31" i="16"/>
  <c r="E32" i="16"/>
  <c r="F32" i="16"/>
  <c r="G32" i="16"/>
  <c r="I32" i="16"/>
  <c r="J32" i="16"/>
  <c r="Q32" i="16"/>
  <c r="R32" i="16"/>
  <c r="S32" i="16"/>
  <c r="E33" i="16"/>
  <c r="F33" i="16"/>
  <c r="S33" i="16" s="1"/>
  <c r="G33" i="16"/>
  <c r="I33" i="16"/>
  <c r="J33" i="16"/>
  <c r="Q33" i="16"/>
  <c r="R33" i="16"/>
  <c r="E34" i="16"/>
  <c r="F34" i="16"/>
  <c r="G34" i="16"/>
  <c r="I34" i="16"/>
  <c r="J34" i="16"/>
  <c r="Q34" i="16"/>
  <c r="R34" i="16"/>
  <c r="S34" i="16"/>
  <c r="E35" i="16"/>
  <c r="F35" i="16"/>
  <c r="G35" i="16"/>
  <c r="I35" i="16"/>
  <c r="J35" i="16"/>
  <c r="Q35" i="16"/>
  <c r="R35" i="16"/>
  <c r="S35" i="16"/>
  <c r="E36" i="16"/>
  <c r="F36" i="16"/>
  <c r="G36" i="16"/>
  <c r="I36" i="16"/>
  <c r="J36" i="16"/>
  <c r="Q36" i="16"/>
  <c r="R36" i="16"/>
  <c r="S36" i="16"/>
  <c r="E37" i="16"/>
  <c r="F37" i="16"/>
  <c r="G37" i="16"/>
  <c r="I37" i="16"/>
  <c r="J37" i="16"/>
  <c r="Q37" i="16"/>
  <c r="R37" i="16"/>
  <c r="E38" i="16"/>
  <c r="F38" i="16"/>
  <c r="G38" i="16"/>
  <c r="I38" i="16"/>
  <c r="J38" i="16"/>
  <c r="Q38" i="16"/>
  <c r="R38" i="16"/>
  <c r="S38" i="16"/>
  <c r="E39" i="16"/>
  <c r="F39" i="16"/>
  <c r="G39" i="16"/>
  <c r="I39" i="16"/>
  <c r="J39" i="16"/>
  <c r="Q39" i="16"/>
  <c r="R39" i="16"/>
  <c r="S39" i="16"/>
  <c r="E40" i="16"/>
  <c r="F40" i="16"/>
  <c r="G40" i="16"/>
  <c r="I40" i="16"/>
  <c r="J40" i="16"/>
  <c r="Q40" i="16"/>
  <c r="R40" i="16"/>
  <c r="S40" i="16"/>
  <c r="E41" i="16"/>
  <c r="F41" i="16"/>
  <c r="G41" i="16"/>
  <c r="I41" i="16"/>
  <c r="J41" i="16"/>
  <c r="Q41" i="16"/>
  <c r="R41" i="16"/>
  <c r="I42" i="16"/>
  <c r="J42" i="16"/>
  <c r="Q42" i="16"/>
  <c r="R42" i="16"/>
  <c r="S42" i="16"/>
  <c r="I43" i="16"/>
  <c r="J43" i="16"/>
  <c r="Q43" i="16"/>
  <c r="R43" i="16"/>
  <c r="S43" i="16"/>
  <c r="I44" i="16"/>
  <c r="J44" i="16"/>
  <c r="Q44" i="16"/>
  <c r="R44" i="16"/>
  <c r="S44" i="16"/>
  <c r="I45" i="16"/>
  <c r="J45" i="16"/>
  <c r="Q45" i="16"/>
  <c r="R45" i="16"/>
  <c r="S45" i="16"/>
  <c r="I46" i="16"/>
  <c r="J46" i="16"/>
  <c r="Q46" i="16"/>
  <c r="R46" i="16"/>
  <c r="S46" i="16"/>
  <c r="I47" i="16"/>
  <c r="J47" i="16"/>
  <c r="Q47" i="16"/>
  <c r="S47" i="16" s="1"/>
  <c r="R47" i="16"/>
  <c r="I48" i="16"/>
  <c r="J48" i="16"/>
  <c r="Q48" i="16"/>
  <c r="R48" i="16"/>
  <c r="S48" i="16"/>
  <c r="I49" i="16"/>
  <c r="J49" i="16"/>
  <c r="Q49" i="16"/>
  <c r="R49" i="16"/>
  <c r="S49" i="16"/>
  <c r="AE44" i="25"/>
  <c r="AE42" i="25"/>
  <c r="AE43" i="25"/>
  <c r="AE43" i="24"/>
  <c r="AE42" i="24"/>
  <c r="AE44" i="24"/>
  <c r="AE43" i="23"/>
  <c r="AE44" i="23"/>
  <c r="X56" i="23"/>
  <c r="X57" i="23"/>
  <c r="X58" i="23"/>
  <c r="AE42" i="23"/>
  <c r="AE43" i="22"/>
  <c r="AE44" i="22"/>
  <c r="AE42" i="22"/>
  <c r="Q24" i="25" l="1"/>
  <c r="S24" i="25" s="1"/>
  <c r="S29" i="25"/>
  <c r="Q26" i="25"/>
  <c r="Q40" i="25"/>
  <c r="Q23" i="25"/>
  <c r="R28" i="25"/>
  <c r="Q22" i="25"/>
  <c r="R29" i="25"/>
  <c r="Q27" i="25"/>
  <c r="S28" i="25"/>
  <c r="Q25" i="25"/>
  <c r="R10" i="25"/>
  <c r="S38" i="25"/>
  <c r="S21" i="25"/>
  <c r="S26" i="25"/>
  <c r="S40" i="25"/>
  <c r="S23" i="25"/>
  <c r="S25" i="25"/>
  <c r="O4" i="25"/>
  <c r="S39" i="25"/>
  <c r="S22" i="25"/>
  <c r="S27" i="25"/>
  <c r="R45" i="25"/>
  <c r="R38" i="25"/>
  <c r="R21" i="25"/>
  <c r="R40" i="25"/>
  <c r="R23" i="25"/>
  <c r="R25" i="25"/>
  <c r="R27" i="25"/>
  <c r="R49" i="25"/>
  <c r="R20" i="25"/>
  <c r="R39" i="25"/>
  <c r="R22" i="25"/>
  <c r="R41" i="25"/>
  <c r="R46" i="25"/>
  <c r="R24" i="25"/>
  <c r="R26" i="25"/>
  <c r="S12" i="24"/>
  <c r="Q38" i="24"/>
  <c r="R38" i="24"/>
  <c r="R12" i="24"/>
  <c r="S38" i="24"/>
  <c r="S35" i="24"/>
  <c r="Q18" i="24"/>
  <c r="Q21" i="24"/>
  <c r="J28" i="24"/>
  <c r="J14" i="24"/>
  <c r="J17" i="24"/>
  <c r="N4" i="24"/>
  <c r="J20" i="24"/>
  <c r="R21" i="24"/>
  <c r="R18" i="24"/>
  <c r="R12" i="23"/>
  <c r="J28" i="23"/>
  <c r="S12" i="23"/>
  <c r="N4" i="23"/>
  <c r="Q18" i="23"/>
  <c r="R18" i="23"/>
  <c r="Q21" i="23"/>
  <c r="R21" i="23"/>
  <c r="S21" i="23"/>
  <c r="S39" i="23"/>
  <c r="Q18" i="22"/>
  <c r="R18" i="22"/>
  <c r="J28" i="22"/>
  <c r="S18" i="22"/>
  <c r="S39" i="22"/>
  <c r="N4" i="22"/>
  <c r="R12" i="22"/>
  <c r="R21" i="22"/>
  <c r="Q21" i="22"/>
  <c r="S12" i="22"/>
  <c r="S21" i="22"/>
  <c r="O4" i="21"/>
  <c r="S18" i="21"/>
  <c r="S33" i="21"/>
  <c r="S21" i="21"/>
  <c r="R38" i="21"/>
  <c r="R18" i="21"/>
  <c r="R21" i="21"/>
  <c r="R33" i="21"/>
  <c r="R36" i="21"/>
  <c r="S36" i="20"/>
  <c r="S14" i="20"/>
  <c r="R14" i="20"/>
  <c r="S47" i="20"/>
  <c r="R36" i="20"/>
  <c r="O4" i="19"/>
  <c r="S36" i="19"/>
  <c r="S14" i="19"/>
  <c r="S11" i="19"/>
  <c r="R36" i="19"/>
  <c r="Q14" i="18"/>
  <c r="R36" i="18"/>
  <c r="R22" i="18"/>
  <c r="O4" i="18"/>
  <c r="S33" i="17"/>
  <c r="S36" i="17"/>
  <c r="R33" i="17"/>
  <c r="R36" i="17"/>
  <c r="N4" i="16"/>
  <c r="S41" i="16"/>
  <c r="S37" i="16"/>
  <c r="N4" i="25" l="1"/>
  <c r="S21" i="24"/>
  <c r="S18" i="24"/>
  <c r="O4" i="24"/>
  <c r="S18" i="23"/>
  <c r="O4" i="23"/>
  <c r="O4" i="22"/>
  <c r="S14" i="18"/>
  <c r="L52" i="14" l="1"/>
  <c r="M52" i="14"/>
  <c r="O10" i="14"/>
  <c r="P10" i="14"/>
  <c r="O11" i="14"/>
  <c r="O12" i="14"/>
  <c r="I52" i="14"/>
  <c r="O13" i="14"/>
  <c r="O14" i="14"/>
  <c r="L57" i="14"/>
  <c r="O15" i="14"/>
  <c r="O16" i="14"/>
  <c r="O17" i="14"/>
  <c r="O18" i="14"/>
  <c r="O19" i="14"/>
  <c r="O20" i="14"/>
  <c r="O21" i="14"/>
  <c r="O22" i="14"/>
  <c r="P22" i="14"/>
  <c r="O23" i="14"/>
  <c r="O24" i="14"/>
  <c r="O25" i="14"/>
  <c r="O26" i="14"/>
  <c r="O27" i="14"/>
  <c r="P27" i="14"/>
  <c r="O28" i="14"/>
  <c r="P28" i="14" s="1"/>
  <c r="O29" i="14"/>
  <c r="P29" i="14"/>
  <c r="O30" i="14"/>
  <c r="O31" i="14"/>
  <c r="O32" i="14"/>
  <c r="O33" i="14"/>
  <c r="O34" i="14"/>
  <c r="P34" i="14"/>
  <c r="O35" i="14"/>
  <c r="P35" i="14" s="1"/>
  <c r="O36" i="14"/>
  <c r="O37" i="14"/>
  <c r="O38" i="14"/>
  <c r="O39" i="14"/>
  <c r="O40" i="14"/>
  <c r="P62" i="14" s="1"/>
  <c r="O41" i="14"/>
  <c r="P41" i="14"/>
  <c r="D61" i="14"/>
  <c r="E61" i="14"/>
  <c r="F61" i="14"/>
  <c r="I61" i="14"/>
  <c r="J61" i="14"/>
  <c r="K61" i="14"/>
  <c r="M61" i="14"/>
  <c r="O43" i="14"/>
  <c r="H60" i="14"/>
  <c r="I60" i="14"/>
  <c r="J60" i="14"/>
  <c r="K60" i="14"/>
  <c r="L60" i="14"/>
  <c r="M60" i="14"/>
  <c r="O45" i="14"/>
  <c r="O47" i="14"/>
  <c r="O49" i="14"/>
  <c r="N52" i="14"/>
  <c r="D55" i="14"/>
  <c r="E55" i="14"/>
  <c r="F55" i="14"/>
  <c r="G55" i="14"/>
  <c r="H55" i="14"/>
  <c r="I55" i="14"/>
  <c r="J55" i="14"/>
  <c r="K55" i="14"/>
  <c r="L55" i="14"/>
  <c r="M55" i="14"/>
  <c r="E60" i="14"/>
  <c r="L61" i="14"/>
  <c r="G52" i="14" l="1"/>
  <c r="P13" i="14"/>
  <c r="H61" i="14"/>
  <c r="G61" i="14"/>
  <c r="D56" i="14"/>
  <c r="E58" i="14"/>
  <c r="J58" i="14"/>
  <c r="P49" i="14"/>
  <c r="P26" i="14"/>
  <c r="F52" i="14"/>
  <c r="K57" i="14"/>
  <c r="E52" i="14"/>
  <c r="J52" i="14"/>
  <c r="D52" i="14"/>
  <c r="P47" i="14"/>
  <c r="H58" i="14"/>
  <c r="M58" i="14"/>
  <c r="G58" i="14"/>
  <c r="M57" i="14"/>
  <c r="P18" i="14"/>
  <c r="K56" i="14"/>
  <c r="I56" i="14"/>
  <c r="H56" i="14"/>
  <c r="G56" i="14"/>
  <c r="F56" i="14"/>
  <c r="E56" i="14"/>
  <c r="D58" i="14"/>
  <c r="I58" i="14"/>
  <c r="G60" i="14"/>
  <c r="F58" i="14"/>
  <c r="F60" i="14"/>
  <c r="K58" i="14"/>
  <c r="P19" i="14"/>
  <c r="H52" i="14"/>
  <c r="M56" i="14"/>
  <c r="L56" i="14"/>
  <c r="J56" i="14"/>
  <c r="P45" i="14"/>
  <c r="P31" i="14"/>
  <c r="O52" i="14"/>
  <c r="J57" i="14"/>
  <c r="K52" i="14"/>
  <c r="I57" i="14"/>
  <c r="H57" i="14"/>
  <c r="G57" i="14"/>
  <c r="D60" i="14"/>
  <c r="L58" i="14"/>
  <c r="P43" i="14"/>
  <c r="P11" i="14"/>
  <c r="F57" i="14"/>
  <c r="E57" i="14"/>
  <c r="D57" i="14"/>
  <c r="P52" i="14" l="1"/>
  <c r="AA9" i="11"/>
  <c r="AB9" i="11"/>
  <c r="AC9" i="11"/>
  <c r="AA10" i="11"/>
  <c r="AB10" i="11"/>
  <c r="AC10" i="11"/>
  <c r="B11" i="11"/>
  <c r="AA11" i="11"/>
  <c r="AB11" i="11"/>
  <c r="AC11" i="11"/>
  <c r="B12" i="11"/>
  <c r="AA12" i="11"/>
  <c r="AB12" i="11"/>
  <c r="AC12" i="11"/>
  <c r="B13" i="11"/>
  <c r="B15" i="11" s="1"/>
  <c r="AA13" i="11"/>
  <c r="AB13" i="11"/>
  <c r="AC13" i="11"/>
  <c r="AA14" i="11"/>
  <c r="AB14" i="11"/>
  <c r="AC14" i="11"/>
  <c r="AA15" i="11"/>
  <c r="AB15" i="11"/>
  <c r="AC15" i="11"/>
  <c r="AA16" i="11"/>
  <c r="AB16" i="11"/>
  <c r="AC16" i="11"/>
  <c r="AA17" i="11"/>
  <c r="AB17" i="11"/>
  <c r="AC17" i="11"/>
  <c r="AA18" i="11"/>
  <c r="AB18" i="11"/>
  <c r="AC18" i="11"/>
  <c r="AA19" i="11"/>
  <c r="AB19" i="11"/>
  <c r="AC19" i="11"/>
  <c r="AA20" i="11"/>
  <c r="AB20" i="11"/>
  <c r="AC20" i="11"/>
  <c r="AA21" i="11"/>
  <c r="AB21" i="11"/>
  <c r="AC21" i="11"/>
  <c r="AA22" i="11"/>
  <c r="AB22" i="11"/>
  <c r="AC22" i="11"/>
  <c r="AA23" i="11"/>
  <c r="AB23" i="11"/>
  <c r="AC23" i="11"/>
  <c r="AA24" i="11"/>
  <c r="AB24" i="11"/>
  <c r="AC24" i="11"/>
  <c r="AA25" i="11"/>
  <c r="AB25" i="11"/>
  <c r="AC25" i="11"/>
  <c r="AA26" i="11"/>
  <c r="AB26" i="11"/>
  <c r="AC26" i="11"/>
  <c r="AA27" i="11"/>
  <c r="AB27" i="11"/>
  <c r="AC27" i="11"/>
  <c r="AA28" i="11"/>
  <c r="AB28" i="11"/>
  <c r="AC28" i="11"/>
  <c r="AA29" i="11"/>
  <c r="AB29" i="11"/>
  <c r="AC29" i="11"/>
  <c r="AA30" i="11"/>
  <c r="AB30" i="11"/>
  <c r="AC30" i="11"/>
  <c r="AA31" i="11"/>
  <c r="AB31" i="11"/>
  <c r="AC31" i="11"/>
  <c r="AA32" i="11"/>
  <c r="AB32" i="11"/>
  <c r="AC32" i="11"/>
  <c r="AA33" i="11"/>
  <c r="AB33" i="11"/>
  <c r="AC33" i="11"/>
  <c r="AA34" i="11"/>
  <c r="AB34" i="11"/>
  <c r="AC34" i="11"/>
  <c r="AA35" i="11"/>
  <c r="AB35" i="11"/>
  <c r="AC35" i="11"/>
  <c r="AA36" i="11"/>
  <c r="AB36" i="11"/>
  <c r="AC36" i="11"/>
  <c r="AA37" i="11"/>
  <c r="AB37" i="11"/>
  <c r="AC37" i="11"/>
  <c r="AA38" i="11"/>
  <c r="AB38" i="11"/>
  <c r="AC38" i="11"/>
  <c r="AA39" i="11"/>
  <c r="AB39" i="11"/>
  <c r="AC39" i="11"/>
  <c r="AA40" i="11"/>
  <c r="AB40" i="11"/>
  <c r="AC40" i="11"/>
  <c r="AA41" i="11"/>
  <c r="AB41" i="11"/>
  <c r="AC41" i="11"/>
  <c r="AA42" i="11"/>
  <c r="AB42" i="11"/>
  <c r="AC42" i="11"/>
  <c r="AA43" i="11"/>
  <c r="AB43" i="11"/>
  <c r="AC43" i="11"/>
  <c r="AA44" i="11"/>
  <c r="AB44" i="11"/>
  <c r="AC44" i="11"/>
  <c r="AA45" i="11"/>
  <c r="AB45" i="11"/>
  <c r="AC45" i="11"/>
  <c r="AA46" i="11"/>
  <c r="AB46" i="11"/>
  <c r="AC46" i="11"/>
  <c r="AA47" i="11"/>
  <c r="AB47" i="11"/>
  <c r="AC47" i="11"/>
  <c r="AA48" i="11"/>
  <c r="AB48" i="11"/>
  <c r="AC48" i="11"/>
  <c r="B49" i="11"/>
  <c r="AA49" i="11"/>
  <c r="AB49" i="11"/>
  <c r="AC49" i="11"/>
  <c r="B50" i="11"/>
  <c r="AA50" i="11"/>
  <c r="AB50" i="11"/>
  <c r="AC50" i="11"/>
  <c r="AA51" i="11"/>
  <c r="AB51" i="11"/>
  <c r="AC51" i="11"/>
  <c r="B52" i="11"/>
  <c r="AA52" i="11"/>
  <c r="AB52" i="11"/>
  <c r="AC52" i="11"/>
  <c r="AA53" i="11"/>
  <c r="AB53" i="11"/>
  <c r="AC53" i="11"/>
  <c r="AA54" i="11"/>
  <c r="AB54" i="11"/>
  <c r="AC54" i="11"/>
  <c r="AA55" i="11"/>
  <c r="AB55" i="11"/>
  <c r="AC55" i="11"/>
  <c r="AA56" i="11"/>
  <c r="AB56" i="11"/>
  <c r="AC56" i="11"/>
  <c r="AA57" i="11"/>
  <c r="AB57" i="11"/>
  <c r="AC57" i="11"/>
  <c r="AA58" i="11"/>
  <c r="AB58" i="11"/>
  <c r="AC58" i="11"/>
  <c r="AA59" i="11"/>
  <c r="AB59" i="11"/>
  <c r="AC59" i="11"/>
  <c r="AA60" i="11"/>
  <c r="AB60" i="11"/>
  <c r="AC60" i="11"/>
  <c r="AA61" i="11"/>
  <c r="AB61" i="11"/>
  <c r="AC61" i="11"/>
  <c r="AA62" i="11"/>
  <c r="AB62" i="11"/>
  <c r="AC62" i="11"/>
  <c r="AA63" i="11"/>
  <c r="AB63" i="11"/>
  <c r="AC63" i="11"/>
  <c r="AA64" i="11"/>
  <c r="AB64" i="11"/>
  <c r="AC64" i="11"/>
  <c r="AA65" i="11"/>
  <c r="AB65" i="11"/>
  <c r="AC65" i="11"/>
  <c r="AA66" i="11"/>
  <c r="AB66" i="11"/>
  <c r="AC66" i="11"/>
  <c r="AA67" i="11"/>
  <c r="AB67" i="11"/>
  <c r="AC67" i="11"/>
  <c r="AA68" i="11"/>
  <c r="AB68" i="11"/>
  <c r="AC68" i="11"/>
  <c r="AA69" i="11"/>
  <c r="AB69" i="11"/>
  <c r="AC69" i="11"/>
  <c r="AA70" i="11"/>
  <c r="AB70" i="11"/>
  <c r="AC70" i="11"/>
  <c r="AA71" i="11"/>
  <c r="AB71" i="11"/>
  <c r="AC71" i="11"/>
  <c r="AA72" i="11"/>
  <c r="AB72" i="11"/>
  <c r="AC72" i="11"/>
  <c r="AA73" i="11"/>
  <c r="AB73" i="11"/>
  <c r="AC73" i="11"/>
  <c r="AA74" i="11"/>
  <c r="AB74" i="11"/>
  <c r="AC74" i="11"/>
  <c r="AA75" i="11"/>
  <c r="AB75" i="11"/>
  <c r="AC75" i="11"/>
  <c r="AA76" i="11"/>
  <c r="AB76" i="11"/>
  <c r="AC76" i="11"/>
  <c r="AA77" i="11"/>
  <c r="AB77" i="11"/>
  <c r="AC77" i="11"/>
  <c r="AA78" i="11"/>
  <c r="AB78" i="11"/>
  <c r="AC78" i="11"/>
  <c r="AA79" i="11"/>
  <c r="AB79" i="11"/>
  <c r="AC79" i="11"/>
  <c r="AA80" i="11"/>
  <c r="AB80" i="11"/>
  <c r="AC80" i="11"/>
  <c r="AA9" i="10"/>
  <c r="AB9" i="10"/>
  <c r="AC9" i="10"/>
  <c r="AA10" i="10"/>
  <c r="AB10" i="10"/>
  <c r="AC10" i="10"/>
  <c r="B11" i="10"/>
  <c r="B13" i="10" s="1"/>
  <c r="AA11" i="10"/>
  <c r="AB11" i="10"/>
  <c r="AC11" i="10"/>
  <c r="B12" i="10"/>
  <c r="AA12" i="10"/>
  <c r="AB12" i="10"/>
  <c r="AC12" i="10"/>
  <c r="AA13" i="10"/>
  <c r="AB13" i="10"/>
  <c r="AC13" i="10"/>
  <c r="AA14" i="10"/>
  <c r="AB14" i="10"/>
  <c r="AC14" i="10"/>
  <c r="AA15" i="10"/>
  <c r="AB15" i="10"/>
  <c r="AC15" i="10"/>
  <c r="AA16" i="10"/>
  <c r="AB16" i="10"/>
  <c r="AC16" i="10"/>
  <c r="AA17" i="10"/>
  <c r="AB17" i="10"/>
  <c r="AC17" i="10"/>
  <c r="AA18" i="10"/>
  <c r="AB18" i="10"/>
  <c r="AC18" i="10"/>
  <c r="AA19" i="10"/>
  <c r="AB19" i="10"/>
  <c r="AC19" i="10"/>
  <c r="AA20" i="10"/>
  <c r="AB20" i="10"/>
  <c r="AC20" i="10"/>
  <c r="AA21" i="10"/>
  <c r="AB21" i="10"/>
  <c r="AC21" i="10"/>
  <c r="AA22" i="10"/>
  <c r="AB22" i="10"/>
  <c r="AC22" i="10"/>
  <c r="AA23" i="10"/>
  <c r="AB23" i="10"/>
  <c r="AC23" i="10"/>
  <c r="AA24" i="10"/>
  <c r="AB24" i="10"/>
  <c r="AC24" i="10"/>
  <c r="AA25" i="10"/>
  <c r="AB25" i="10"/>
  <c r="AC25" i="10"/>
  <c r="AA26" i="10"/>
  <c r="AB26" i="10"/>
  <c r="AC26" i="10"/>
  <c r="AA27" i="10"/>
  <c r="AB27" i="10"/>
  <c r="AC27" i="10"/>
  <c r="AA28" i="10"/>
  <c r="AB28" i="10"/>
  <c r="AC28" i="10"/>
  <c r="AA29" i="10"/>
  <c r="AB29" i="10"/>
  <c r="AC29" i="10"/>
  <c r="AA30" i="10"/>
  <c r="AB30" i="10"/>
  <c r="AC30" i="10"/>
  <c r="AA31" i="10"/>
  <c r="AB31" i="10"/>
  <c r="AC31" i="10"/>
  <c r="AA32" i="10"/>
  <c r="AB32" i="10"/>
  <c r="AC32" i="10"/>
  <c r="AA33" i="10"/>
  <c r="AB33" i="10"/>
  <c r="AC33" i="10"/>
  <c r="AA34" i="10"/>
  <c r="AB34" i="10"/>
  <c r="AC34" i="10"/>
  <c r="AA35" i="10"/>
  <c r="AB35" i="10"/>
  <c r="AC35" i="10"/>
  <c r="AA36" i="10"/>
  <c r="AB36" i="10"/>
  <c r="AC36" i="10"/>
  <c r="AA37" i="10"/>
  <c r="AB37" i="10"/>
  <c r="AC37" i="10"/>
  <c r="AA38" i="10"/>
  <c r="AB38" i="10"/>
  <c r="AC38" i="10"/>
  <c r="AA39" i="10"/>
  <c r="AB39" i="10"/>
  <c r="AC39" i="10"/>
  <c r="AA40" i="10"/>
  <c r="AB40" i="10"/>
  <c r="AC40" i="10"/>
  <c r="AA41" i="10"/>
  <c r="AB41" i="10"/>
  <c r="AC41" i="10"/>
  <c r="AA42" i="10"/>
  <c r="AB42" i="10"/>
  <c r="AC42" i="10"/>
  <c r="AA43" i="10"/>
  <c r="AB43" i="10"/>
  <c r="AC43" i="10"/>
  <c r="AA44" i="10"/>
  <c r="AB44" i="10"/>
  <c r="AC44" i="10"/>
  <c r="AA45" i="10"/>
  <c r="AB45" i="10"/>
  <c r="AC45" i="10"/>
  <c r="AA46" i="10"/>
  <c r="AB46" i="10"/>
  <c r="AC46" i="10"/>
  <c r="AA47" i="10"/>
  <c r="AB47" i="10"/>
  <c r="AC47" i="10"/>
  <c r="AA48" i="10"/>
  <c r="AB48" i="10"/>
  <c r="AC48" i="10"/>
  <c r="B49" i="10"/>
  <c r="AA49" i="10"/>
  <c r="AB49" i="10"/>
  <c r="AC49" i="10"/>
  <c r="B50" i="10"/>
  <c r="AA50" i="10"/>
  <c r="AB50" i="10"/>
  <c r="AC50" i="10"/>
  <c r="AA51" i="10"/>
  <c r="AB51" i="10"/>
  <c r="AC51" i="10"/>
  <c r="B52" i="10"/>
  <c r="B54" i="10" s="1"/>
  <c r="AA52" i="10"/>
  <c r="AB52" i="10"/>
  <c r="AC52" i="10"/>
  <c r="AA53" i="10"/>
  <c r="AB53" i="10"/>
  <c r="AC53" i="10"/>
  <c r="AA54" i="10"/>
  <c r="AB54" i="10"/>
  <c r="AC54" i="10"/>
  <c r="AA55" i="10"/>
  <c r="AB55" i="10"/>
  <c r="AC55" i="10"/>
  <c r="AA56" i="10"/>
  <c r="AB56" i="10"/>
  <c r="AC56" i="10"/>
  <c r="AA57" i="10"/>
  <c r="AB57" i="10"/>
  <c r="AC57" i="10"/>
  <c r="AA58" i="10"/>
  <c r="AB58" i="10"/>
  <c r="AC58" i="10"/>
  <c r="AA59" i="10"/>
  <c r="AB59" i="10"/>
  <c r="AC59" i="10"/>
  <c r="AA60" i="10"/>
  <c r="AB60" i="10"/>
  <c r="AC60" i="10"/>
  <c r="AA61" i="10"/>
  <c r="AB61" i="10"/>
  <c r="AC61" i="10"/>
  <c r="AA62" i="10"/>
  <c r="AB62" i="10"/>
  <c r="AC62" i="10"/>
  <c r="AA63" i="10"/>
  <c r="AB63" i="10"/>
  <c r="AC63" i="10"/>
  <c r="AA64" i="10"/>
  <c r="AB64" i="10"/>
  <c r="AC64" i="10"/>
  <c r="AA65" i="10"/>
  <c r="AB65" i="10"/>
  <c r="AC65" i="10"/>
  <c r="AA66" i="10"/>
  <c r="AB66" i="10"/>
  <c r="AC66" i="10"/>
  <c r="AA67" i="10"/>
  <c r="AB67" i="10"/>
  <c r="AC67" i="10"/>
  <c r="AA68" i="10"/>
  <c r="AB68" i="10"/>
  <c r="AC68" i="10"/>
  <c r="AA69" i="10"/>
  <c r="AB69" i="10"/>
  <c r="AC69" i="10"/>
  <c r="AA70" i="10"/>
  <c r="AB70" i="10"/>
  <c r="AC70" i="10"/>
  <c r="AA71" i="10"/>
  <c r="AB71" i="10"/>
  <c r="AC71" i="10"/>
  <c r="AA72" i="10"/>
  <c r="AB72" i="10"/>
  <c r="AC72" i="10"/>
  <c r="AA73" i="10"/>
  <c r="AB73" i="10"/>
  <c r="AC73" i="10"/>
  <c r="AA74" i="10"/>
  <c r="AB74" i="10"/>
  <c r="AC74" i="10"/>
  <c r="AA75" i="10"/>
  <c r="AB75" i="10"/>
  <c r="AC75" i="10"/>
  <c r="AA76" i="10"/>
  <c r="AB76" i="10"/>
  <c r="AC76" i="10"/>
  <c r="AA77" i="10"/>
  <c r="AB77" i="10"/>
  <c r="AC77" i="10"/>
  <c r="AA78" i="10"/>
  <c r="AB78" i="10"/>
  <c r="AC78" i="10"/>
  <c r="AA79" i="10"/>
  <c r="AB79" i="10"/>
  <c r="AC79" i="10"/>
  <c r="AA80" i="10"/>
  <c r="AB80" i="10"/>
  <c r="AC80" i="10"/>
  <c r="AA9" i="9"/>
  <c r="AB9" i="9"/>
  <c r="AC9" i="9"/>
  <c r="AA10" i="9"/>
  <c r="AB10" i="9"/>
  <c r="AC10" i="9"/>
  <c r="B11" i="9"/>
  <c r="B13" i="9" s="1"/>
  <c r="AA11" i="9"/>
  <c r="AB11" i="9"/>
  <c r="AC11" i="9"/>
  <c r="B12" i="9"/>
  <c r="AA12" i="9"/>
  <c r="AB12" i="9"/>
  <c r="AC12" i="9"/>
  <c r="AA13" i="9"/>
  <c r="AB13" i="9"/>
  <c r="AC13" i="9"/>
  <c r="AA14" i="9"/>
  <c r="AB14" i="9"/>
  <c r="AC14" i="9"/>
  <c r="AA15" i="9"/>
  <c r="AB15" i="9"/>
  <c r="AC15" i="9"/>
  <c r="AA16" i="9"/>
  <c r="AB16" i="9"/>
  <c r="AC16" i="9"/>
  <c r="AA17" i="9"/>
  <c r="AB17" i="9"/>
  <c r="AC17" i="9"/>
  <c r="AA18" i="9"/>
  <c r="AB18" i="9"/>
  <c r="AC18" i="9"/>
  <c r="AA19" i="9"/>
  <c r="AB19" i="9"/>
  <c r="AC19" i="9"/>
  <c r="AA20" i="9"/>
  <c r="AB20" i="9"/>
  <c r="AC20" i="9"/>
  <c r="AA21" i="9"/>
  <c r="AB21" i="9"/>
  <c r="AC21" i="9"/>
  <c r="AA22" i="9"/>
  <c r="AB22" i="9"/>
  <c r="AC22" i="9"/>
  <c r="AA23" i="9"/>
  <c r="AB23" i="9"/>
  <c r="AC23" i="9"/>
  <c r="AA24" i="9"/>
  <c r="AB24" i="9"/>
  <c r="AC24" i="9"/>
  <c r="AA25" i="9"/>
  <c r="AB25" i="9"/>
  <c r="AC25" i="9"/>
  <c r="AA26" i="9"/>
  <c r="AB26" i="9"/>
  <c r="AC26" i="9"/>
  <c r="AA27" i="9"/>
  <c r="AB27" i="9"/>
  <c r="AC27" i="9"/>
  <c r="AA28" i="9"/>
  <c r="AB28" i="9"/>
  <c r="AC28" i="9"/>
  <c r="AA29" i="9"/>
  <c r="AB29" i="9"/>
  <c r="AC29" i="9"/>
  <c r="AA30" i="9"/>
  <c r="AB30" i="9"/>
  <c r="AC30" i="9"/>
  <c r="AA31" i="9"/>
  <c r="AB31" i="9"/>
  <c r="AC31" i="9"/>
  <c r="AA32" i="9"/>
  <c r="AB32" i="9"/>
  <c r="AC32" i="9"/>
  <c r="AA33" i="9"/>
  <c r="AB33" i="9"/>
  <c r="AC33" i="9"/>
  <c r="AA34" i="9"/>
  <c r="AB34" i="9"/>
  <c r="AC34" i="9"/>
  <c r="AA35" i="9"/>
  <c r="AB35" i="9"/>
  <c r="AC35" i="9"/>
  <c r="AA36" i="9"/>
  <c r="AB36" i="9"/>
  <c r="AC36" i="9"/>
  <c r="AA37" i="9"/>
  <c r="AB37" i="9"/>
  <c r="AC37" i="9"/>
  <c r="AA38" i="9"/>
  <c r="AB38" i="9"/>
  <c r="AC38" i="9"/>
  <c r="AA39" i="9"/>
  <c r="AB39" i="9"/>
  <c r="AC39" i="9"/>
  <c r="AA40" i="9"/>
  <c r="AB40" i="9"/>
  <c r="AC40" i="9"/>
  <c r="AA41" i="9"/>
  <c r="AB41" i="9"/>
  <c r="AC41" i="9"/>
  <c r="AA42" i="9"/>
  <c r="AB42" i="9"/>
  <c r="AC42" i="9"/>
  <c r="AA43" i="9"/>
  <c r="AB43" i="9"/>
  <c r="AC43" i="9"/>
  <c r="AA44" i="9"/>
  <c r="AB44" i="9"/>
  <c r="AC44" i="9"/>
  <c r="AA45" i="9"/>
  <c r="AB45" i="9"/>
  <c r="AC45" i="9"/>
  <c r="AA46" i="9"/>
  <c r="AB46" i="9"/>
  <c r="AC46" i="9"/>
  <c r="AA47" i="9"/>
  <c r="AB47" i="9"/>
  <c r="AC47" i="9"/>
  <c r="AA48" i="9"/>
  <c r="AB48" i="9"/>
  <c r="AC48" i="9"/>
  <c r="B49" i="9"/>
  <c r="AA49" i="9"/>
  <c r="AB49" i="9"/>
  <c r="AC49" i="9"/>
  <c r="B50" i="9"/>
  <c r="AA50" i="9"/>
  <c r="AB50" i="9"/>
  <c r="AC50" i="9"/>
  <c r="B51" i="9"/>
  <c r="AA51" i="9"/>
  <c r="AB51" i="9"/>
  <c r="AC51" i="9"/>
  <c r="AA52" i="9"/>
  <c r="AB52" i="9"/>
  <c r="AC52" i="9"/>
  <c r="AA53" i="9"/>
  <c r="AB53" i="9"/>
  <c r="AC53" i="9"/>
  <c r="AA54" i="9"/>
  <c r="AB54" i="9"/>
  <c r="AC54" i="9"/>
  <c r="AA55" i="9"/>
  <c r="AB55" i="9"/>
  <c r="AC55" i="9"/>
  <c r="AA56" i="9"/>
  <c r="AB56" i="9"/>
  <c r="AC56" i="9"/>
  <c r="AA57" i="9"/>
  <c r="AB57" i="9"/>
  <c r="AC57" i="9"/>
  <c r="AA58" i="9"/>
  <c r="AB58" i="9"/>
  <c r="AC58" i="9"/>
  <c r="AA59" i="9"/>
  <c r="AB59" i="9"/>
  <c r="AC59" i="9"/>
  <c r="AA60" i="9"/>
  <c r="AB60" i="9"/>
  <c r="AC60" i="9"/>
  <c r="AA61" i="9"/>
  <c r="AB61" i="9"/>
  <c r="AC61" i="9"/>
  <c r="AA62" i="9"/>
  <c r="AB62" i="9"/>
  <c r="AC62" i="9"/>
  <c r="AA63" i="9"/>
  <c r="AB63" i="9"/>
  <c r="AC63" i="9"/>
  <c r="AA64" i="9"/>
  <c r="AB64" i="9"/>
  <c r="AC64" i="9"/>
  <c r="AA65" i="9"/>
  <c r="AB65" i="9"/>
  <c r="AC65" i="9"/>
  <c r="AA66" i="9"/>
  <c r="AB66" i="9"/>
  <c r="AC66" i="9"/>
  <c r="AA67" i="9"/>
  <c r="AB67" i="9"/>
  <c r="AC67" i="9"/>
  <c r="AA68" i="9"/>
  <c r="AB68" i="9"/>
  <c r="AC68" i="9"/>
  <c r="AA69" i="9"/>
  <c r="AB69" i="9"/>
  <c r="AC69" i="9"/>
  <c r="AA70" i="9"/>
  <c r="AB70" i="9"/>
  <c r="AC70" i="9"/>
  <c r="AA71" i="9"/>
  <c r="AB71" i="9"/>
  <c r="AC71" i="9"/>
  <c r="AA72" i="9"/>
  <c r="AB72" i="9"/>
  <c r="AC72" i="9"/>
  <c r="AA73" i="9"/>
  <c r="AB73" i="9"/>
  <c r="AC73" i="9"/>
  <c r="AA74" i="9"/>
  <c r="AB74" i="9"/>
  <c r="AC74" i="9"/>
  <c r="AA75" i="9"/>
  <c r="AB75" i="9"/>
  <c r="AC75" i="9"/>
  <c r="AA76" i="9"/>
  <c r="AB76" i="9"/>
  <c r="AC76" i="9"/>
  <c r="AA77" i="9"/>
  <c r="AB77" i="9"/>
  <c r="AC77" i="9"/>
  <c r="AA78" i="9"/>
  <c r="AB78" i="9"/>
  <c r="AC78" i="9"/>
  <c r="AA79" i="9"/>
  <c r="AB79" i="9"/>
  <c r="AC79" i="9"/>
  <c r="AA80" i="9"/>
  <c r="AB80" i="9"/>
  <c r="AC80" i="9"/>
  <c r="AA9" i="8"/>
  <c r="AB9" i="8"/>
  <c r="AC9" i="8"/>
  <c r="AA10" i="8"/>
  <c r="AB10" i="8"/>
  <c r="AC10" i="8"/>
  <c r="B11" i="8"/>
  <c r="AA11" i="8"/>
  <c r="AB11" i="8"/>
  <c r="AC11" i="8"/>
  <c r="B12" i="8"/>
  <c r="AA12" i="8"/>
  <c r="AB12" i="8"/>
  <c r="AC12" i="8"/>
  <c r="B13" i="8"/>
  <c r="AA13" i="8"/>
  <c r="AB13" i="8"/>
  <c r="AC13" i="8"/>
  <c r="AA14" i="8"/>
  <c r="AB14" i="8"/>
  <c r="AC14" i="8"/>
  <c r="B15" i="8"/>
  <c r="B17" i="8" s="1"/>
  <c r="AA15" i="8"/>
  <c r="AB15" i="8"/>
  <c r="AC15" i="8"/>
  <c r="AA16" i="8"/>
  <c r="AB16" i="8"/>
  <c r="AC16" i="8"/>
  <c r="AA17" i="8"/>
  <c r="AB17" i="8"/>
  <c r="AC17" i="8"/>
  <c r="AA18" i="8"/>
  <c r="AB18" i="8"/>
  <c r="AC18" i="8"/>
  <c r="AA19" i="8"/>
  <c r="AB19" i="8"/>
  <c r="AC19" i="8"/>
  <c r="AA20" i="8"/>
  <c r="AB20" i="8"/>
  <c r="AC20" i="8"/>
  <c r="AA21" i="8"/>
  <c r="AB21" i="8"/>
  <c r="AC21" i="8"/>
  <c r="AA22" i="8"/>
  <c r="AB22" i="8"/>
  <c r="AC22" i="8"/>
  <c r="AA23" i="8"/>
  <c r="AB23" i="8"/>
  <c r="AC23" i="8"/>
  <c r="AA24" i="8"/>
  <c r="AB24" i="8"/>
  <c r="AC24" i="8"/>
  <c r="AA25" i="8"/>
  <c r="AB25" i="8"/>
  <c r="AC25" i="8"/>
  <c r="AA26" i="8"/>
  <c r="AB26" i="8"/>
  <c r="AC26" i="8"/>
  <c r="AA27" i="8"/>
  <c r="AB27" i="8"/>
  <c r="AC27" i="8"/>
  <c r="AA28" i="8"/>
  <c r="AB28" i="8"/>
  <c r="AC28" i="8"/>
  <c r="AA29" i="8"/>
  <c r="AB29" i="8"/>
  <c r="AC29" i="8"/>
  <c r="AA30" i="8"/>
  <c r="AB30" i="8"/>
  <c r="AC30" i="8"/>
  <c r="AA31" i="8"/>
  <c r="AB31" i="8"/>
  <c r="AC31" i="8"/>
  <c r="AA32" i="8"/>
  <c r="AB32" i="8"/>
  <c r="AC32" i="8"/>
  <c r="AA33" i="8"/>
  <c r="AB33" i="8"/>
  <c r="AC33" i="8"/>
  <c r="AA34" i="8"/>
  <c r="AB34" i="8"/>
  <c r="AC34" i="8"/>
  <c r="AA35" i="8"/>
  <c r="AB35" i="8"/>
  <c r="AC35" i="8"/>
  <c r="AA36" i="8"/>
  <c r="AB36" i="8"/>
  <c r="AC36" i="8"/>
  <c r="AA37" i="8"/>
  <c r="AB37" i="8"/>
  <c r="AC37" i="8"/>
  <c r="AA38" i="8"/>
  <c r="AB38" i="8"/>
  <c r="AC38" i="8"/>
  <c r="AA39" i="8"/>
  <c r="AB39" i="8"/>
  <c r="AC39" i="8"/>
  <c r="AA40" i="8"/>
  <c r="AB40" i="8"/>
  <c r="AC40" i="8"/>
  <c r="AA41" i="8"/>
  <c r="AB41" i="8"/>
  <c r="AC41" i="8"/>
  <c r="AA42" i="8"/>
  <c r="AB42" i="8"/>
  <c r="AC42" i="8"/>
  <c r="AA43" i="8"/>
  <c r="AB43" i="8"/>
  <c r="AC43" i="8"/>
  <c r="AA44" i="8"/>
  <c r="AB44" i="8"/>
  <c r="AC44" i="8"/>
  <c r="AA45" i="8"/>
  <c r="AB45" i="8"/>
  <c r="AC45" i="8"/>
  <c r="AA46" i="8"/>
  <c r="AB46" i="8"/>
  <c r="AC46" i="8"/>
  <c r="AA47" i="8"/>
  <c r="AB47" i="8"/>
  <c r="AC47" i="8"/>
  <c r="AA48" i="8"/>
  <c r="AB48" i="8"/>
  <c r="AC48" i="8"/>
  <c r="B49" i="8"/>
  <c r="B51" i="8" s="1"/>
  <c r="AA49" i="8"/>
  <c r="AB49" i="8"/>
  <c r="AC49" i="8"/>
  <c r="B50" i="8"/>
  <c r="AA50" i="8"/>
  <c r="AB50" i="8"/>
  <c r="AC50" i="8"/>
  <c r="AA51" i="8"/>
  <c r="AB51" i="8"/>
  <c r="AC51" i="8"/>
  <c r="B52" i="8"/>
  <c r="B54" i="8" s="1"/>
  <c r="AA52" i="8"/>
  <c r="AB52" i="8"/>
  <c r="AC52" i="8"/>
  <c r="AA53" i="8"/>
  <c r="AB53" i="8"/>
  <c r="AC53" i="8"/>
  <c r="AA54" i="8"/>
  <c r="AB54" i="8"/>
  <c r="AC54" i="8"/>
  <c r="AA55" i="8"/>
  <c r="AB55" i="8"/>
  <c r="AC55" i="8"/>
  <c r="AA56" i="8"/>
  <c r="AB56" i="8"/>
  <c r="AC56" i="8"/>
  <c r="AA57" i="8"/>
  <c r="AB57" i="8"/>
  <c r="AC57" i="8"/>
  <c r="AA58" i="8"/>
  <c r="AB58" i="8"/>
  <c r="AC58" i="8"/>
  <c r="AA59" i="8"/>
  <c r="AB59" i="8"/>
  <c r="AC59" i="8"/>
  <c r="AA60" i="8"/>
  <c r="AB60" i="8"/>
  <c r="AC60" i="8"/>
  <c r="AA61" i="8"/>
  <c r="AB61" i="8"/>
  <c r="AC61" i="8"/>
  <c r="AA62" i="8"/>
  <c r="AB62" i="8"/>
  <c r="AC62" i="8"/>
  <c r="AA63" i="8"/>
  <c r="AB63" i="8"/>
  <c r="AC63" i="8"/>
  <c r="AA64" i="8"/>
  <c r="AB64" i="8"/>
  <c r="AC64" i="8"/>
  <c r="AA65" i="8"/>
  <c r="AB65" i="8"/>
  <c r="AC65" i="8"/>
  <c r="AA66" i="8"/>
  <c r="AB66" i="8"/>
  <c r="AC66" i="8"/>
  <c r="AA67" i="8"/>
  <c r="AB67" i="8"/>
  <c r="AC67" i="8"/>
  <c r="AA68" i="8"/>
  <c r="AB68" i="8"/>
  <c r="AC68" i="8"/>
  <c r="AA69" i="8"/>
  <c r="AB69" i="8"/>
  <c r="AC69" i="8"/>
  <c r="AA70" i="8"/>
  <c r="AB70" i="8"/>
  <c r="AC70" i="8"/>
  <c r="AA71" i="8"/>
  <c r="AB71" i="8"/>
  <c r="AC71" i="8"/>
  <c r="AA72" i="8"/>
  <c r="AB72" i="8"/>
  <c r="AC72" i="8"/>
  <c r="AA73" i="8"/>
  <c r="AB73" i="8"/>
  <c r="AC73" i="8"/>
  <c r="AA74" i="8"/>
  <c r="AB74" i="8"/>
  <c r="AC74" i="8"/>
  <c r="AA75" i="8"/>
  <c r="AB75" i="8"/>
  <c r="AC75" i="8"/>
  <c r="AA76" i="8"/>
  <c r="AB76" i="8"/>
  <c r="AC76" i="8"/>
  <c r="AA77" i="8"/>
  <c r="AB77" i="8"/>
  <c r="AC77" i="8"/>
  <c r="AA78" i="8"/>
  <c r="AB78" i="8"/>
  <c r="AC78" i="8"/>
  <c r="AA79" i="8"/>
  <c r="AB79" i="8"/>
  <c r="AC79" i="8"/>
  <c r="AA80" i="8"/>
  <c r="AB80" i="8"/>
  <c r="AC80" i="8"/>
  <c r="AA9" i="7"/>
  <c r="AB9" i="7"/>
  <c r="AC9" i="7"/>
  <c r="AA10" i="7"/>
  <c r="AB10" i="7"/>
  <c r="AC10" i="7"/>
  <c r="B11" i="7"/>
  <c r="B13" i="7" s="1"/>
  <c r="AA11" i="7"/>
  <c r="AB11" i="7"/>
  <c r="AC11" i="7"/>
  <c r="B12" i="7"/>
  <c r="AA12" i="7"/>
  <c r="AB12" i="7"/>
  <c r="AC12" i="7"/>
  <c r="AA13" i="7"/>
  <c r="AB13" i="7"/>
  <c r="AC13" i="7"/>
  <c r="AA14" i="7"/>
  <c r="AB14" i="7"/>
  <c r="AC14" i="7"/>
  <c r="AA15" i="7"/>
  <c r="AB15" i="7"/>
  <c r="AC15" i="7"/>
  <c r="AA16" i="7"/>
  <c r="AB16" i="7"/>
  <c r="AC16" i="7"/>
  <c r="AA17" i="7"/>
  <c r="AB17" i="7"/>
  <c r="AC17" i="7"/>
  <c r="AA18" i="7"/>
  <c r="AB18" i="7"/>
  <c r="AC18" i="7"/>
  <c r="AA19" i="7"/>
  <c r="AB19" i="7"/>
  <c r="AC19" i="7"/>
  <c r="AA20" i="7"/>
  <c r="AB20" i="7"/>
  <c r="AC20" i="7"/>
  <c r="AA21" i="7"/>
  <c r="AB21" i="7"/>
  <c r="AC21" i="7"/>
  <c r="AA22" i="7"/>
  <c r="AB22" i="7"/>
  <c r="AC22" i="7"/>
  <c r="AA23" i="7"/>
  <c r="AB23" i="7"/>
  <c r="AC23" i="7"/>
  <c r="AA24" i="7"/>
  <c r="AB24" i="7"/>
  <c r="AC24" i="7"/>
  <c r="AA25" i="7"/>
  <c r="AB25" i="7"/>
  <c r="AC25" i="7"/>
  <c r="AA26" i="7"/>
  <c r="AB26" i="7"/>
  <c r="AC26" i="7"/>
  <c r="AA27" i="7"/>
  <c r="AB27" i="7"/>
  <c r="AC27" i="7"/>
  <c r="AA28" i="7"/>
  <c r="AB28" i="7"/>
  <c r="AC28" i="7"/>
  <c r="AA29" i="7"/>
  <c r="AB29" i="7"/>
  <c r="AC29" i="7"/>
  <c r="AA30" i="7"/>
  <c r="AB30" i="7"/>
  <c r="AC30" i="7"/>
  <c r="AA31" i="7"/>
  <c r="AB31" i="7"/>
  <c r="AC31" i="7"/>
  <c r="AA32" i="7"/>
  <c r="AB32" i="7"/>
  <c r="AC32" i="7"/>
  <c r="AA33" i="7"/>
  <c r="AB33" i="7"/>
  <c r="AC33" i="7"/>
  <c r="AA34" i="7"/>
  <c r="AB34" i="7"/>
  <c r="AC34" i="7"/>
  <c r="AA35" i="7"/>
  <c r="AB35" i="7"/>
  <c r="AC35" i="7"/>
  <c r="AA36" i="7"/>
  <c r="AB36" i="7"/>
  <c r="AC36" i="7"/>
  <c r="AA37" i="7"/>
  <c r="AB37" i="7"/>
  <c r="AC37" i="7"/>
  <c r="AA38" i="7"/>
  <c r="AB38" i="7"/>
  <c r="AC38" i="7"/>
  <c r="AA39" i="7"/>
  <c r="AB39" i="7"/>
  <c r="AC39" i="7"/>
  <c r="AA40" i="7"/>
  <c r="AB40" i="7"/>
  <c r="AC40" i="7"/>
  <c r="AA41" i="7"/>
  <c r="AB41" i="7"/>
  <c r="AC41" i="7"/>
  <c r="AA42" i="7"/>
  <c r="AB42" i="7"/>
  <c r="AC42" i="7"/>
  <c r="AA43" i="7"/>
  <c r="AB43" i="7"/>
  <c r="AC43" i="7"/>
  <c r="AA44" i="7"/>
  <c r="AB44" i="7"/>
  <c r="AC44" i="7"/>
  <c r="AA45" i="7"/>
  <c r="AB45" i="7"/>
  <c r="AC45" i="7"/>
  <c r="AA46" i="7"/>
  <c r="AB46" i="7"/>
  <c r="AC46" i="7"/>
  <c r="AA47" i="7"/>
  <c r="AB47" i="7"/>
  <c r="AC47" i="7"/>
  <c r="AA48" i="7"/>
  <c r="AB48" i="7"/>
  <c r="AC48" i="7"/>
  <c r="B49" i="7"/>
  <c r="AA49" i="7"/>
  <c r="AB49" i="7"/>
  <c r="AC49" i="7"/>
  <c r="B50" i="7"/>
  <c r="AA50" i="7"/>
  <c r="AB50" i="7"/>
  <c r="AC50" i="7"/>
  <c r="AA51" i="7"/>
  <c r="AB51" i="7"/>
  <c r="AC51" i="7"/>
  <c r="B52" i="7"/>
  <c r="B54" i="7" s="1"/>
  <c r="AA52" i="7"/>
  <c r="AB52" i="7"/>
  <c r="AC52" i="7"/>
  <c r="AA53" i="7"/>
  <c r="AB53" i="7"/>
  <c r="AC53" i="7"/>
  <c r="AA54" i="7"/>
  <c r="AB54" i="7"/>
  <c r="AC54" i="7"/>
  <c r="AA55" i="7"/>
  <c r="AB55" i="7"/>
  <c r="AC55" i="7"/>
  <c r="AA56" i="7"/>
  <c r="AB56" i="7"/>
  <c r="AC56" i="7"/>
  <c r="AA57" i="7"/>
  <c r="AB57" i="7"/>
  <c r="AC57" i="7"/>
  <c r="AA58" i="7"/>
  <c r="AB58" i="7"/>
  <c r="AC58" i="7"/>
  <c r="AA59" i="7"/>
  <c r="AB59" i="7"/>
  <c r="AC59" i="7"/>
  <c r="AA60" i="7"/>
  <c r="AB60" i="7"/>
  <c r="AC60" i="7"/>
  <c r="AA61" i="7"/>
  <c r="AB61" i="7"/>
  <c r="AC61" i="7"/>
  <c r="AA62" i="7"/>
  <c r="AB62" i="7"/>
  <c r="AC62" i="7"/>
  <c r="AA63" i="7"/>
  <c r="AB63" i="7"/>
  <c r="AC63" i="7"/>
  <c r="AA64" i="7"/>
  <c r="AB64" i="7"/>
  <c r="AC64" i="7"/>
  <c r="AA65" i="7"/>
  <c r="AB65" i="7"/>
  <c r="AC65" i="7"/>
  <c r="AA66" i="7"/>
  <c r="AB66" i="7"/>
  <c r="AC66" i="7"/>
  <c r="AA67" i="7"/>
  <c r="AB67" i="7"/>
  <c r="AC67" i="7"/>
  <c r="AA68" i="7"/>
  <c r="AB68" i="7"/>
  <c r="AC68" i="7"/>
  <c r="AA69" i="7"/>
  <c r="AB69" i="7"/>
  <c r="AC69" i="7"/>
  <c r="AA70" i="7"/>
  <c r="AB70" i="7"/>
  <c r="AC70" i="7"/>
  <c r="AA71" i="7"/>
  <c r="AB71" i="7"/>
  <c r="AC71" i="7"/>
  <c r="AA72" i="7"/>
  <c r="AB72" i="7"/>
  <c r="AC72" i="7"/>
  <c r="AA73" i="7"/>
  <c r="AB73" i="7"/>
  <c r="AC73" i="7"/>
  <c r="AA74" i="7"/>
  <c r="AB74" i="7"/>
  <c r="AC74" i="7"/>
  <c r="AA75" i="7"/>
  <c r="AB75" i="7"/>
  <c r="AC75" i="7"/>
  <c r="AA76" i="7"/>
  <c r="AB76" i="7"/>
  <c r="AC76" i="7"/>
  <c r="AA77" i="7"/>
  <c r="AB77" i="7"/>
  <c r="AC77" i="7"/>
  <c r="AA78" i="7"/>
  <c r="AB78" i="7"/>
  <c r="AC78" i="7"/>
  <c r="AA79" i="7"/>
  <c r="AB79" i="7"/>
  <c r="AC79" i="7"/>
  <c r="AA80" i="7"/>
  <c r="AB80" i="7"/>
  <c r="AC80" i="7"/>
  <c r="AA9" i="6"/>
  <c r="AB9" i="6"/>
  <c r="AC9" i="6"/>
  <c r="AA10" i="6"/>
  <c r="AB10" i="6"/>
  <c r="AC10" i="6"/>
  <c r="B11" i="6"/>
  <c r="B13" i="6" s="1"/>
  <c r="AA11" i="6"/>
  <c r="AB11" i="6"/>
  <c r="AC11" i="6"/>
  <c r="B12" i="6"/>
  <c r="AA12" i="6"/>
  <c r="AB12" i="6"/>
  <c r="AC12" i="6"/>
  <c r="AA13" i="6"/>
  <c r="AB13" i="6"/>
  <c r="AC13" i="6"/>
  <c r="AA14" i="6"/>
  <c r="AB14" i="6"/>
  <c r="AC14" i="6"/>
  <c r="AA15" i="6"/>
  <c r="AB15" i="6"/>
  <c r="AC15" i="6"/>
  <c r="AA16" i="6"/>
  <c r="AB16" i="6"/>
  <c r="AC16" i="6"/>
  <c r="AA17" i="6"/>
  <c r="AB17" i="6"/>
  <c r="AC17" i="6"/>
  <c r="AA18" i="6"/>
  <c r="AB18" i="6"/>
  <c r="AC18" i="6"/>
  <c r="AA19" i="6"/>
  <c r="AB19" i="6"/>
  <c r="AC19" i="6"/>
  <c r="AA20" i="6"/>
  <c r="AB20" i="6"/>
  <c r="AC20" i="6"/>
  <c r="AA21" i="6"/>
  <c r="AB21" i="6"/>
  <c r="AC21" i="6"/>
  <c r="AA22" i="6"/>
  <c r="AB22" i="6"/>
  <c r="AC22" i="6"/>
  <c r="AA23" i="6"/>
  <c r="AB23" i="6"/>
  <c r="AC23" i="6"/>
  <c r="AA24" i="6"/>
  <c r="AB24" i="6"/>
  <c r="AC24" i="6"/>
  <c r="AA25" i="6"/>
  <c r="AB25" i="6"/>
  <c r="AC25" i="6"/>
  <c r="AA26" i="6"/>
  <c r="AB26" i="6"/>
  <c r="AC26" i="6"/>
  <c r="AA27" i="6"/>
  <c r="AB27" i="6"/>
  <c r="AC27" i="6"/>
  <c r="AA28" i="6"/>
  <c r="AB28" i="6"/>
  <c r="AC28" i="6"/>
  <c r="AA29" i="6"/>
  <c r="AB29" i="6"/>
  <c r="AC29" i="6"/>
  <c r="AA30" i="6"/>
  <c r="AB30" i="6"/>
  <c r="AC30" i="6"/>
  <c r="AA31" i="6"/>
  <c r="AB31" i="6"/>
  <c r="AC31" i="6"/>
  <c r="AA32" i="6"/>
  <c r="AB32" i="6"/>
  <c r="AC32" i="6"/>
  <c r="AA33" i="6"/>
  <c r="AB33" i="6"/>
  <c r="AC33" i="6"/>
  <c r="AA34" i="6"/>
  <c r="AB34" i="6"/>
  <c r="AC34" i="6"/>
  <c r="AA35" i="6"/>
  <c r="AB35" i="6"/>
  <c r="AC35" i="6"/>
  <c r="AA36" i="6"/>
  <c r="AB36" i="6"/>
  <c r="AC36" i="6"/>
  <c r="AA37" i="6"/>
  <c r="AB37" i="6"/>
  <c r="AC37" i="6"/>
  <c r="AA38" i="6"/>
  <c r="AB38" i="6"/>
  <c r="AC38" i="6"/>
  <c r="AA39" i="6"/>
  <c r="AB39" i="6"/>
  <c r="AC39" i="6"/>
  <c r="AA40" i="6"/>
  <c r="AB40" i="6"/>
  <c r="AC40" i="6"/>
  <c r="AA41" i="6"/>
  <c r="AB41" i="6"/>
  <c r="AC41" i="6"/>
  <c r="AA42" i="6"/>
  <c r="AB42" i="6"/>
  <c r="AC42" i="6"/>
  <c r="AA43" i="6"/>
  <c r="AB43" i="6"/>
  <c r="AC43" i="6"/>
  <c r="AA44" i="6"/>
  <c r="AB44" i="6"/>
  <c r="AC44" i="6"/>
  <c r="AA45" i="6"/>
  <c r="AB45" i="6"/>
  <c r="AC45" i="6"/>
  <c r="AA46" i="6"/>
  <c r="AB46" i="6"/>
  <c r="AC46" i="6"/>
  <c r="AA47" i="6"/>
  <c r="AB47" i="6"/>
  <c r="AC47" i="6"/>
  <c r="AA48" i="6"/>
  <c r="AB48" i="6"/>
  <c r="AC48" i="6"/>
  <c r="B49" i="6"/>
  <c r="B51" i="6" s="1"/>
  <c r="AA49" i="6"/>
  <c r="AB49" i="6"/>
  <c r="AC49" i="6"/>
  <c r="B50" i="6"/>
  <c r="AA50" i="6"/>
  <c r="AB50" i="6"/>
  <c r="AC50" i="6"/>
  <c r="AA51" i="6"/>
  <c r="AB51" i="6"/>
  <c r="AC51" i="6"/>
  <c r="B52" i="6"/>
  <c r="AA52" i="6"/>
  <c r="AB52" i="6"/>
  <c r="AC52" i="6"/>
  <c r="B53" i="6"/>
  <c r="AA53" i="6"/>
  <c r="AB53" i="6"/>
  <c r="AC53" i="6"/>
  <c r="AA54" i="6"/>
  <c r="AB54" i="6"/>
  <c r="AC54" i="6"/>
  <c r="B55" i="6"/>
  <c r="B57" i="6" s="1"/>
  <c r="AA55" i="6"/>
  <c r="AB55" i="6"/>
  <c r="AC55" i="6"/>
  <c r="AA56" i="6"/>
  <c r="AB56" i="6"/>
  <c r="AC56" i="6"/>
  <c r="AA57" i="6"/>
  <c r="AB57" i="6"/>
  <c r="AC57" i="6"/>
  <c r="AA58" i="6"/>
  <c r="AB58" i="6"/>
  <c r="AC58" i="6"/>
  <c r="B59" i="6"/>
  <c r="AA59" i="6"/>
  <c r="AB59" i="6"/>
  <c r="AC59" i="6"/>
  <c r="AA60" i="6"/>
  <c r="AB60" i="6"/>
  <c r="AC60" i="6"/>
  <c r="AA61" i="6"/>
  <c r="AB61" i="6"/>
  <c r="AC61" i="6"/>
  <c r="AA62" i="6"/>
  <c r="AB62" i="6"/>
  <c r="AC62" i="6"/>
  <c r="AA63" i="6"/>
  <c r="AB63" i="6"/>
  <c r="AC63" i="6"/>
  <c r="AA64" i="6"/>
  <c r="AB64" i="6"/>
  <c r="AC64" i="6"/>
  <c r="AA65" i="6"/>
  <c r="AB65" i="6"/>
  <c r="AC65" i="6"/>
  <c r="AA66" i="6"/>
  <c r="AB66" i="6"/>
  <c r="AC66" i="6"/>
  <c r="AA67" i="6"/>
  <c r="AB67" i="6"/>
  <c r="AC67" i="6"/>
  <c r="AA68" i="6"/>
  <c r="AB68" i="6"/>
  <c r="AC68" i="6"/>
  <c r="AA69" i="6"/>
  <c r="AB69" i="6"/>
  <c r="AC69" i="6"/>
  <c r="AA70" i="6"/>
  <c r="AB70" i="6"/>
  <c r="AC70" i="6"/>
  <c r="AA71" i="6"/>
  <c r="AB71" i="6"/>
  <c r="AC71" i="6"/>
  <c r="AA72" i="6"/>
  <c r="AB72" i="6"/>
  <c r="AC72" i="6"/>
  <c r="AA73" i="6"/>
  <c r="AB73" i="6"/>
  <c r="AC73" i="6"/>
  <c r="AA74" i="6"/>
  <c r="AB74" i="6"/>
  <c r="AC74" i="6"/>
  <c r="AA75" i="6"/>
  <c r="AB75" i="6"/>
  <c r="AC75" i="6"/>
  <c r="AA76" i="6"/>
  <c r="AB76" i="6"/>
  <c r="AC76" i="6"/>
  <c r="AA77" i="6"/>
  <c r="AB77" i="6"/>
  <c r="AC77" i="6"/>
  <c r="AA78" i="6"/>
  <c r="AB78" i="6"/>
  <c r="AC78" i="6"/>
  <c r="AA79" i="6"/>
  <c r="AB79" i="6"/>
  <c r="AC79" i="6"/>
  <c r="AA80" i="6"/>
  <c r="AB80" i="6"/>
  <c r="AC80" i="6"/>
  <c r="AA9" i="5"/>
  <c r="AB9" i="5"/>
  <c r="AC9" i="5"/>
  <c r="AA10" i="5"/>
  <c r="AB10" i="5"/>
  <c r="AC10" i="5"/>
  <c r="B11" i="5"/>
  <c r="AA11" i="5"/>
  <c r="AB11" i="5"/>
  <c r="AC11" i="5"/>
  <c r="B12" i="5"/>
  <c r="AA12" i="5"/>
  <c r="AB12" i="5"/>
  <c r="AC12" i="5"/>
  <c r="B13" i="5"/>
  <c r="B15" i="5" s="1"/>
  <c r="AA13" i="5"/>
  <c r="AB13" i="5"/>
  <c r="AC13" i="5"/>
  <c r="AA14" i="5"/>
  <c r="AB14" i="5"/>
  <c r="AC14" i="5"/>
  <c r="AA15" i="5"/>
  <c r="AB15" i="5"/>
  <c r="AC15" i="5"/>
  <c r="AA16" i="5"/>
  <c r="AB16" i="5"/>
  <c r="AC16" i="5"/>
  <c r="AA17" i="5"/>
  <c r="AB17" i="5"/>
  <c r="AC17" i="5"/>
  <c r="AA18" i="5"/>
  <c r="AB18" i="5"/>
  <c r="AC18" i="5"/>
  <c r="AA19" i="5"/>
  <c r="AB19" i="5"/>
  <c r="AC19" i="5"/>
  <c r="AA20" i="5"/>
  <c r="AB20" i="5"/>
  <c r="AC20" i="5"/>
  <c r="AA21" i="5"/>
  <c r="AB21" i="5"/>
  <c r="AC21" i="5"/>
  <c r="AA22" i="5"/>
  <c r="AB22" i="5"/>
  <c r="AC22" i="5"/>
  <c r="AA23" i="5"/>
  <c r="AB23" i="5"/>
  <c r="AC23" i="5"/>
  <c r="AA24" i="5"/>
  <c r="AB24" i="5"/>
  <c r="AC24" i="5"/>
  <c r="AA25" i="5"/>
  <c r="AB25" i="5"/>
  <c r="AC25" i="5"/>
  <c r="AA26" i="5"/>
  <c r="AB26" i="5"/>
  <c r="AC26" i="5"/>
  <c r="AA27" i="5"/>
  <c r="AB27" i="5"/>
  <c r="AC27" i="5"/>
  <c r="AA28" i="5"/>
  <c r="AB28" i="5"/>
  <c r="AC28" i="5"/>
  <c r="AA29" i="5"/>
  <c r="AB29" i="5"/>
  <c r="AC29" i="5"/>
  <c r="AA30" i="5"/>
  <c r="AB30" i="5"/>
  <c r="AC30" i="5"/>
  <c r="AA31" i="5"/>
  <c r="AB31" i="5"/>
  <c r="AC31" i="5"/>
  <c r="AA32" i="5"/>
  <c r="AB32" i="5"/>
  <c r="AC32" i="5"/>
  <c r="AA33" i="5"/>
  <c r="AB33" i="5"/>
  <c r="AC33" i="5"/>
  <c r="AA34" i="5"/>
  <c r="AB34" i="5"/>
  <c r="AC34" i="5"/>
  <c r="AA35" i="5"/>
  <c r="AB35" i="5"/>
  <c r="AC35" i="5"/>
  <c r="AA36" i="5"/>
  <c r="AB36" i="5"/>
  <c r="AC36" i="5"/>
  <c r="AA37" i="5"/>
  <c r="AB37" i="5"/>
  <c r="AC37" i="5"/>
  <c r="AA38" i="5"/>
  <c r="AB38" i="5"/>
  <c r="AC38" i="5"/>
  <c r="AA39" i="5"/>
  <c r="AB39" i="5"/>
  <c r="AC39" i="5"/>
  <c r="AA40" i="5"/>
  <c r="AB40" i="5"/>
  <c r="AC40" i="5"/>
  <c r="AA41" i="5"/>
  <c r="AB41" i="5"/>
  <c r="AC41" i="5"/>
  <c r="AA42" i="5"/>
  <c r="AB42" i="5"/>
  <c r="AC42" i="5"/>
  <c r="AA43" i="5"/>
  <c r="AB43" i="5"/>
  <c r="AC43" i="5"/>
  <c r="AA44" i="5"/>
  <c r="AB44" i="5"/>
  <c r="AC44" i="5"/>
  <c r="AA45" i="5"/>
  <c r="AB45" i="5"/>
  <c r="AC45" i="5"/>
  <c r="AA46" i="5"/>
  <c r="AB46" i="5"/>
  <c r="AC46" i="5"/>
  <c r="AA47" i="5"/>
  <c r="AB47" i="5"/>
  <c r="AC47" i="5"/>
  <c r="AA48" i="5"/>
  <c r="AB48" i="5"/>
  <c r="AC48" i="5"/>
  <c r="B49" i="5"/>
  <c r="B51" i="5" s="1"/>
  <c r="AA49" i="5"/>
  <c r="AB49" i="5"/>
  <c r="AC49" i="5"/>
  <c r="B50" i="5"/>
  <c r="AA50" i="5"/>
  <c r="AB50" i="5"/>
  <c r="AC50" i="5"/>
  <c r="AA51" i="5"/>
  <c r="AB51" i="5"/>
  <c r="AC51" i="5"/>
  <c r="AA52" i="5"/>
  <c r="AB52" i="5"/>
  <c r="AC52" i="5"/>
  <c r="B53" i="5"/>
  <c r="AA53" i="5"/>
  <c r="AB53" i="5"/>
  <c r="AC53" i="5"/>
  <c r="AA54" i="5"/>
  <c r="AB54" i="5"/>
  <c r="AC54" i="5"/>
  <c r="B55" i="5"/>
  <c r="AA55" i="5"/>
  <c r="AB55" i="5"/>
  <c r="AC55" i="5"/>
  <c r="AA56" i="5"/>
  <c r="AB56" i="5"/>
  <c r="AC56" i="5"/>
  <c r="AA57" i="5"/>
  <c r="AB57" i="5"/>
  <c r="AC57" i="5"/>
  <c r="AA58" i="5"/>
  <c r="AB58" i="5"/>
  <c r="AC58" i="5"/>
  <c r="AA59" i="5"/>
  <c r="AB59" i="5"/>
  <c r="AC59" i="5"/>
  <c r="AA60" i="5"/>
  <c r="AB60" i="5"/>
  <c r="AC60" i="5"/>
  <c r="AA61" i="5"/>
  <c r="AB61" i="5"/>
  <c r="AC61" i="5"/>
  <c r="AA62" i="5"/>
  <c r="AB62" i="5"/>
  <c r="AC62" i="5"/>
  <c r="AA63" i="5"/>
  <c r="AB63" i="5"/>
  <c r="AC63" i="5"/>
  <c r="AA64" i="5"/>
  <c r="AB64" i="5"/>
  <c r="AC64" i="5"/>
  <c r="AA65" i="5"/>
  <c r="AB65" i="5"/>
  <c r="AC65" i="5"/>
  <c r="AA66" i="5"/>
  <c r="AB66" i="5"/>
  <c r="AC66" i="5"/>
  <c r="AA67" i="5"/>
  <c r="AB67" i="5"/>
  <c r="AC67" i="5"/>
  <c r="AA68" i="5"/>
  <c r="AB68" i="5"/>
  <c r="AC68" i="5"/>
  <c r="AA69" i="5"/>
  <c r="AB69" i="5"/>
  <c r="AC69" i="5"/>
  <c r="AA70" i="5"/>
  <c r="AB70" i="5"/>
  <c r="AC70" i="5"/>
  <c r="AA71" i="5"/>
  <c r="AB71" i="5"/>
  <c r="AC71" i="5"/>
  <c r="AA72" i="5"/>
  <c r="AB72" i="5"/>
  <c r="AC72" i="5"/>
  <c r="AA73" i="5"/>
  <c r="AB73" i="5"/>
  <c r="AC73" i="5"/>
  <c r="AA74" i="5"/>
  <c r="AB74" i="5"/>
  <c r="AC74" i="5"/>
  <c r="AA75" i="5"/>
  <c r="AB75" i="5"/>
  <c r="AC75" i="5"/>
  <c r="AA76" i="5"/>
  <c r="AB76" i="5"/>
  <c r="AC76" i="5"/>
  <c r="AA77" i="5"/>
  <c r="AB77" i="5"/>
  <c r="AC77" i="5"/>
  <c r="AA78" i="5"/>
  <c r="AB78" i="5"/>
  <c r="AC78" i="5"/>
  <c r="AA79" i="5"/>
  <c r="AB79" i="5"/>
  <c r="AC79" i="5"/>
  <c r="AA80" i="5"/>
  <c r="AB80" i="5"/>
  <c r="AC80" i="5"/>
  <c r="AA9" i="2"/>
  <c r="AB9" i="2"/>
  <c r="AC9" i="2"/>
  <c r="AA10" i="2"/>
  <c r="AB10" i="2"/>
  <c r="AC10" i="2"/>
  <c r="B11" i="2"/>
  <c r="B13" i="2" s="1"/>
  <c r="AA11" i="2"/>
  <c r="AB11" i="2"/>
  <c r="AC11" i="2"/>
  <c r="B12" i="2"/>
  <c r="AA12" i="2"/>
  <c r="AB12" i="2"/>
  <c r="AC12" i="2"/>
  <c r="AA13" i="2"/>
  <c r="AB13" i="2"/>
  <c r="AC13" i="2"/>
  <c r="AA14" i="2"/>
  <c r="AB14" i="2"/>
  <c r="AC14" i="2"/>
  <c r="AA15" i="2"/>
  <c r="AB15" i="2"/>
  <c r="AC15" i="2"/>
  <c r="AA16" i="2"/>
  <c r="AB16" i="2"/>
  <c r="AC16" i="2"/>
  <c r="AA17" i="2"/>
  <c r="AB17" i="2"/>
  <c r="AC17" i="2"/>
  <c r="AA18" i="2"/>
  <c r="AB18" i="2"/>
  <c r="AC18" i="2"/>
  <c r="AA19" i="2"/>
  <c r="AB19" i="2"/>
  <c r="AC19" i="2"/>
  <c r="AA20" i="2"/>
  <c r="AB20" i="2"/>
  <c r="AC20" i="2"/>
  <c r="AA21" i="2"/>
  <c r="AB21" i="2"/>
  <c r="AC21" i="2"/>
  <c r="AA22" i="2"/>
  <c r="AB22" i="2"/>
  <c r="AC22" i="2"/>
  <c r="AA23" i="2"/>
  <c r="AB23" i="2"/>
  <c r="AC23" i="2"/>
  <c r="AA24" i="2"/>
  <c r="AB24" i="2"/>
  <c r="AC24" i="2"/>
  <c r="AA25" i="2"/>
  <c r="AB25" i="2"/>
  <c r="AC25" i="2"/>
  <c r="AA26" i="2"/>
  <c r="AB26" i="2"/>
  <c r="AC26" i="2"/>
  <c r="AA27" i="2"/>
  <c r="AB27" i="2"/>
  <c r="AC27" i="2"/>
  <c r="AA28" i="2"/>
  <c r="AB28" i="2"/>
  <c r="AC28" i="2"/>
  <c r="AA29" i="2"/>
  <c r="AB29" i="2"/>
  <c r="AC29" i="2"/>
  <c r="AA30" i="2"/>
  <c r="AB30" i="2"/>
  <c r="AC30" i="2"/>
  <c r="AA31" i="2"/>
  <c r="AB31" i="2"/>
  <c r="AC31" i="2"/>
  <c r="AA32" i="2"/>
  <c r="AB32" i="2"/>
  <c r="AC32" i="2"/>
  <c r="AA33" i="2"/>
  <c r="AB33" i="2"/>
  <c r="AC33" i="2"/>
  <c r="AA34" i="2"/>
  <c r="AB34" i="2"/>
  <c r="AC34" i="2"/>
  <c r="AA35" i="2"/>
  <c r="AB35" i="2"/>
  <c r="AC35" i="2"/>
  <c r="AA36" i="2"/>
  <c r="AB36" i="2"/>
  <c r="AC36" i="2"/>
  <c r="AA37" i="2"/>
  <c r="AB37" i="2"/>
  <c r="AC37" i="2"/>
  <c r="AA38" i="2"/>
  <c r="AB38" i="2"/>
  <c r="AC38" i="2"/>
  <c r="AA39" i="2"/>
  <c r="AB39" i="2"/>
  <c r="AC39" i="2"/>
  <c r="AA40" i="2"/>
  <c r="AB40" i="2"/>
  <c r="AC40" i="2"/>
  <c r="AA41" i="2"/>
  <c r="AB41" i="2"/>
  <c r="AC41" i="2"/>
  <c r="AA42" i="2"/>
  <c r="AB42" i="2"/>
  <c r="AC42" i="2"/>
  <c r="AA43" i="2"/>
  <c r="AB43" i="2"/>
  <c r="AC43" i="2"/>
  <c r="AA44" i="2"/>
  <c r="AB44" i="2"/>
  <c r="AC44" i="2"/>
  <c r="AA45" i="2"/>
  <c r="AB45" i="2"/>
  <c r="AC45" i="2"/>
  <c r="AA46" i="2"/>
  <c r="AB46" i="2"/>
  <c r="AC46" i="2"/>
  <c r="AA47" i="2"/>
  <c r="AB47" i="2"/>
  <c r="AC47" i="2"/>
  <c r="AA48" i="2"/>
  <c r="AB48" i="2"/>
  <c r="AC48" i="2"/>
  <c r="B49" i="2"/>
  <c r="B51" i="2" s="1"/>
  <c r="AA49" i="2"/>
  <c r="AB49" i="2"/>
  <c r="AC49" i="2"/>
  <c r="B50" i="2"/>
  <c r="AA50" i="2"/>
  <c r="AB50" i="2"/>
  <c r="AC50" i="2"/>
  <c r="AA51" i="2"/>
  <c r="AB51" i="2"/>
  <c r="AC51" i="2"/>
  <c r="AA52" i="2"/>
  <c r="AB52" i="2"/>
  <c r="AC52" i="2"/>
  <c r="B53" i="2"/>
  <c r="AA53" i="2"/>
  <c r="AB53" i="2"/>
  <c r="AC53" i="2"/>
  <c r="AA54" i="2"/>
  <c r="AB54" i="2"/>
  <c r="AC54" i="2"/>
  <c r="AA55" i="2"/>
  <c r="AB55" i="2"/>
  <c r="AC55" i="2"/>
  <c r="AA56" i="2"/>
  <c r="AB56" i="2"/>
  <c r="AC56" i="2"/>
  <c r="AA57" i="2"/>
  <c r="AB57" i="2"/>
  <c r="AC57" i="2"/>
  <c r="AA58" i="2"/>
  <c r="AB58" i="2"/>
  <c r="AC58" i="2"/>
  <c r="AA59" i="2"/>
  <c r="AB59" i="2"/>
  <c r="AC59" i="2"/>
  <c r="AA60" i="2"/>
  <c r="AB60" i="2"/>
  <c r="AC60" i="2"/>
  <c r="AA61" i="2"/>
  <c r="AB61" i="2"/>
  <c r="AC61" i="2"/>
  <c r="AA62" i="2"/>
  <c r="AB62" i="2"/>
  <c r="AC62" i="2"/>
  <c r="AA63" i="2"/>
  <c r="AB63" i="2"/>
  <c r="AC63" i="2"/>
  <c r="AA64" i="2"/>
  <c r="AB64" i="2"/>
  <c r="AC64" i="2"/>
  <c r="AA65" i="2"/>
  <c r="AB65" i="2"/>
  <c r="AC65" i="2"/>
  <c r="AA66" i="2"/>
  <c r="AB66" i="2"/>
  <c r="AC66" i="2"/>
  <c r="AA67" i="2"/>
  <c r="AB67" i="2"/>
  <c r="AC67" i="2"/>
  <c r="AA68" i="2"/>
  <c r="AB68" i="2"/>
  <c r="AC68" i="2"/>
  <c r="AA69" i="2"/>
  <c r="AB69" i="2"/>
  <c r="AC69" i="2"/>
  <c r="AA70" i="2"/>
  <c r="AB70" i="2"/>
  <c r="AC70" i="2"/>
  <c r="AA71" i="2"/>
  <c r="AB71" i="2"/>
  <c r="AC71" i="2"/>
  <c r="AA72" i="2"/>
  <c r="AB72" i="2"/>
  <c r="AC72" i="2"/>
  <c r="AA73" i="2"/>
  <c r="AB73" i="2"/>
  <c r="AC73" i="2"/>
  <c r="AA74" i="2"/>
  <c r="AB74" i="2"/>
  <c r="AC74" i="2"/>
  <c r="AA75" i="2"/>
  <c r="AB75" i="2"/>
  <c r="AC75" i="2"/>
  <c r="AA76" i="2"/>
  <c r="AB76" i="2"/>
  <c r="AC76" i="2"/>
  <c r="AA77" i="2"/>
  <c r="AB77" i="2"/>
  <c r="AC77" i="2"/>
  <c r="AA78" i="2"/>
  <c r="AB78" i="2"/>
  <c r="AC78" i="2"/>
  <c r="AA79" i="2"/>
  <c r="AB79" i="2"/>
  <c r="AC79" i="2"/>
  <c r="AA80" i="2"/>
  <c r="AB80" i="2"/>
  <c r="AC80" i="2"/>
  <c r="B54" i="11" l="1"/>
  <c r="B17" i="11"/>
  <c r="B14" i="11"/>
  <c r="B51" i="11"/>
  <c r="B14" i="10"/>
  <c r="B15" i="10"/>
  <c r="B56" i="10"/>
  <c r="B51" i="10"/>
  <c r="B53" i="9"/>
  <c r="B52" i="9"/>
  <c r="B14" i="9"/>
  <c r="B15" i="9"/>
  <c r="B56" i="8"/>
  <c r="B19" i="8"/>
  <c r="B53" i="8"/>
  <c r="B14" i="8"/>
  <c r="B14" i="7"/>
  <c r="B15" i="7"/>
  <c r="B56" i="7"/>
  <c r="B51" i="7"/>
  <c r="B14" i="6"/>
  <c r="B54" i="6"/>
  <c r="B61" i="6"/>
  <c r="B15" i="6"/>
  <c r="B14" i="5"/>
  <c r="B17" i="5"/>
  <c r="B52" i="5"/>
  <c r="B57" i="5"/>
  <c r="B52" i="2"/>
  <c r="B15" i="2"/>
  <c r="B14" i="2"/>
  <c r="B55" i="2"/>
  <c r="B53" i="11" l="1"/>
  <c r="B16" i="11"/>
  <c r="B19" i="11"/>
  <c r="B56" i="11"/>
  <c r="B53" i="10"/>
  <c r="B17" i="10"/>
  <c r="B16" i="10"/>
  <c r="B58" i="10"/>
  <c r="B54" i="9"/>
  <c r="B17" i="9"/>
  <c r="B16" i="9"/>
  <c r="B55" i="9"/>
  <c r="B55" i="8"/>
  <c r="B21" i="8"/>
  <c r="B58" i="8"/>
  <c r="B16" i="8"/>
  <c r="B53" i="7"/>
  <c r="B58" i="7"/>
  <c r="B17" i="7"/>
  <c r="B16" i="7"/>
  <c r="B63" i="6"/>
  <c r="B56" i="6"/>
  <c r="B17" i="6"/>
  <c r="B16" i="6"/>
  <c r="B19" i="5"/>
  <c r="B59" i="5"/>
  <c r="B54" i="5"/>
  <c r="B16" i="5"/>
  <c r="B57" i="2"/>
  <c r="B16" i="2"/>
  <c r="B17" i="2"/>
  <c r="B54" i="2"/>
  <c r="B21" i="11" l="1"/>
  <c r="B18" i="11"/>
  <c r="B55" i="11"/>
  <c r="B58" i="11"/>
  <c r="B60" i="10"/>
  <c r="B18" i="10"/>
  <c r="B19" i="10"/>
  <c r="B55" i="10"/>
  <c r="B57" i="9"/>
  <c r="B18" i="9"/>
  <c r="B19" i="9"/>
  <c r="B56" i="9"/>
  <c r="B18" i="8"/>
  <c r="B60" i="8"/>
  <c r="B23" i="8"/>
  <c r="B57" i="8"/>
  <c r="B18" i="7"/>
  <c r="B19" i="7"/>
  <c r="B60" i="7"/>
  <c r="B55" i="7"/>
  <c r="B18" i="6"/>
  <c r="B19" i="6"/>
  <c r="B58" i="6"/>
  <c r="B65" i="6"/>
  <c r="B61" i="5"/>
  <c r="B18" i="5"/>
  <c r="B56" i="5"/>
  <c r="B21" i="5"/>
  <c r="B56" i="2"/>
  <c r="B19" i="2"/>
  <c r="B18" i="2"/>
  <c r="B59" i="2"/>
  <c r="B60" i="11" l="1"/>
  <c r="B20" i="11"/>
  <c r="B57" i="11"/>
  <c r="B23" i="11"/>
  <c r="B57" i="10"/>
  <c r="B21" i="10"/>
  <c r="B20" i="10"/>
  <c r="B62" i="10"/>
  <c r="B58" i="9"/>
  <c r="B20" i="9"/>
  <c r="B59" i="9"/>
  <c r="B21" i="9"/>
  <c r="B59" i="8"/>
  <c r="B20" i="8"/>
  <c r="B25" i="8"/>
  <c r="B62" i="8"/>
  <c r="B20" i="7"/>
  <c r="B57" i="7"/>
  <c r="B62" i="7"/>
  <c r="B21" i="7"/>
  <c r="B67" i="6"/>
  <c r="B60" i="6"/>
  <c r="B21" i="6"/>
  <c r="B20" i="6"/>
  <c r="B58" i="5"/>
  <c r="B20" i="5"/>
  <c r="B63" i="5"/>
  <c r="B23" i="5"/>
  <c r="B61" i="2"/>
  <c r="B20" i="2"/>
  <c r="B21" i="2"/>
  <c r="B58" i="2"/>
  <c r="B25" i="11" l="1"/>
  <c r="B22" i="11"/>
  <c r="B59" i="11"/>
  <c r="B62" i="11"/>
  <c r="B64" i="10"/>
  <c r="B22" i="10"/>
  <c r="B23" i="10"/>
  <c r="B59" i="10"/>
  <c r="B23" i="9"/>
  <c r="B22" i="9"/>
  <c r="B61" i="9"/>
  <c r="B60" i="9"/>
  <c r="B27" i="8"/>
  <c r="B22" i="8"/>
  <c r="B64" i="8"/>
  <c r="B61" i="8"/>
  <c r="B23" i="7"/>
  <c r="B64" i="7"/>
  <c r="B59" i="7"/>
  <c r="B22" i="7"/>
  <c r="B22" i="6"/>
  <c r="B23" i="6"/>
  <c r="B62" i="6"/>
  <c r="B69" i="6"/>
  <c r="B25" i="5"/>
  <c r="B65" i="5"/>
  <c r="B22" i="5"/>
  <c r="B60" i="5"/>
  <c r="B60" i="2"/>
  <c r="B23" i="2"/>
  <c r="B22" i="2"/>
  <c r="B63" i="2"/>
  <c r="B27" i="11" l="1"/>
  <c r="B64" i="11"/>
  <c r="B61" i="11"/>
  <c r="B24" i="11"/>
  <c r="B61" i="10"/>
  <c r="B25" i="10"/>
  <c r="B24" i="10"/>
  <c r="B66" i="10"/>
  <c r="B62" i="9"/>
  <c r="B63" i="9"/>
  <c r="B24" i="9"/>
  <c r="B25" i="9"/>
  <c r="B66" i="8"/>
  <c r="B63" i="8"/>
  <c r="B24" i="8"/>
  <c r="B29" i="8"/>
  <c r="B24" i="7"/>
  <c r="B61" i="7"/>
  <c r="B66" i="7"/>
  <c r="B25" i="7"/>
  <c r="B71" i="6"/>
  <c r="B64" i="6"/>
  <c r="B25" i="6"/>
  <c r="B24" i="6"/>
  <c r="B24" i="5"/>
  <c r="B62" i="5"/>
  <c r="B67" i="5"/>
  <c r="B27" i="5"/>
  <c r="B65" i="2"/>
  <c r="B24" i="2"/>
  <c r="B25" i="2"/>
  <c r="B62" i="2"/>
  <c r="B26" i="11" l="1"/>
  <c r="B63" i="11"/>
  <c r="B66" i="11"/>
  <c r="B29" i="11"/>
  <c r="B68" i="10"/>
  <c r="B26" i="10"/>
  <c r="B27" i="10"/>
  <c r="B63" i="10"/>
  <c r="B27" i="9"/>
  <c r="B26" i="9"/>
  <c r="B65" i="9"/>
  <c r="B64" i="9"/>
  <c r="B31" i="8"/>
  <c r="B26" i="8"/>
  <c r="B65" i="8"/>
  <c r="B68" i="8"/>
  <c r="B26" i="7"/>
  <c r="B27" i="7"/>
  <c r="B68" i="7"/>
  <c r="B63" i="7"/>
  <c r="B73" i="6"/>
  <c r="B26" i="6"/>
  <c r="B27" i="6"/>
  <c r="B66" i="6"/>
  <c r="B29" i="5"/>
  <c r="B69" i="5"/>
  <c r="B64" i="5"/>
  <c r="B26" i="5"/>
  <c r="B64" i="2"/>
  <c r="B27" i="2"/>
  <c r="B26" i="2"/>
  <c r="B67" i="2"/>
  <c r="B31" i="11" l="1"/>
  <c r="B68" i="11"/>
  <c r="B65" i="11"/>
  <c r="B28" i="11"/>
  <c r="B65" i="10"/>
  <c r="B29" i="10"/>
  <c r="B28" i="10"/>
  <c r="B70" i="10"/>
  <c r="B29" i="9"/>
  <c r="B67" i="9"/>
  <c r="B66" i="9"/>
  <c r="B28" i="9"/>
  <c r="B70" i="8"/>
  <c r="B67" i="8"/>
  <c r="B28" i="8"/>
  <c r="B33" i="8"/>
  <c r="B65" i="7"/>
  <c r="B70" i="7"/>
  <c r="B29" i="7"/>
  <c r="B28" i="7"/>
  <c r="B68" i="6"/>
  <c r="B29" i="6"/>
  <c r="B28" i="6"/>
  <c r="B75" i="6"/>
  <c r="B66" i="5"/>
  <c r="B28" i="5"/>
  <c r="B71" i="5"/>
  <c r="B31" i="5"/>
  <c r="B69" i="2"/>
  <c r="B28" i="2"/>
  <c r="B29" i="2"/>
  <c r="B66" i="2"/>
  <c r="B30" i="11" l="1"/>
  <c r="B67" i="11"/>
  <c r="B70" i="11"/>
  <c r="B33" i="11"/>
  <c r="B31" i="10"/>
  <c r="B72" i="10"/>
  <c r="B30" i="10"/>
  <c r="B67" i="10"/>
  <c r="B30" i="9"/>
  <c r="B68" i="9"/>
  <c r="B69" i="9"/>
  <c r="B31" i="9"/>
  <c r="B35" i="8"/>
  <c r="B30" i="8"/>
  <c r="B69" i="8"/>
  <c r="B72" i="8"/>
  <c r="B67" i="7"/>
  <c r="B30" i="7"/>
  <c r="B31" i="7"/>
  <c r="B72" i="7"/>
  <c r="B70" i="6"/>
  <c r="B77" i="6"/>
  <c r="B30" i="6"/>
  <c r="B31" i="6"/>
  <c r="B33" i="5"/>
  <c r="B73" i="5"/>
  <c r="B30" i="5"/>
  <c r="B68" i="5"/>
  <c r="B68" i="2"/>
  <c r="B30" i="2"/>
  <c r="B31" i="2"/>
  <c r="B71" i="2"/>
  <c r="B32" i="11" l="1"/>
  <c r="B35" i="11"/>
  <c r="B72" i="11"/>
  <c r="B69" i="11"/>
  <c r="B69" i="10"/>
  <c r="B32" i="10"/>
  <c r="B74" i="10"/>
  <c r="B33" i="10"/>
  <c r="B33" i="9"/>
  <c r="B71" i="9"/>
  <c r="B70" i="9"/>
  <c r="B32" i="9"/>
  <c r="B74" i="8"/>
  <c r="B71" i="8"/>
  <c r="B32" i="8"/>
  <c r="B37" i="8"/>
  <c r="B74" i="7"/>
  <c r="B33" i="7"/>
  <c r="B32" i="7"/>
  <c r="B69" i="7"/>
  <c r="B33" i="6"/>
  <c r="B32" i="6"/>
  <c r="B79" i="6"/>
  <c r="B72" i="6"/>
  <c r="B32" i="5"/>
  <c r="B70" i="5"/>
  <c r="B75" i="5"/>
  <c r="B35" i="5"/>
  <c r="B70" i="2"/>
  <c r="B73" i="2"/>
  <c r="B33" i="2"/>
  <c r="B32" i="2"/>
  <c r="B71" i="11" l="1"/>
  <c r="B74" i="11"/>
  <c r="B37" i="11"/>
  <c r="B34" i="11"/>
  <c r="B76" i="10"/>
  <c r="B35" i="10"/>
  <c r="B34" i="10"/>
  <c r="B71" i="10"/>
  <c r="B34" i="9"/>
  <c r="B72" i="9"/>
  <c r="B73" i="9"/>
  <c r="B35" i="9"/>
  <c r="B76" i="8"/>
  <c r="B34" i="8"/>
  <c r="B39" i="8"/>
  <c r="B73" i="8"/>
  <c r="B76" i="7"/>
  <c r="B71" i="7"/>
  <c r="B34" i="7"/>
  <c r="B35" i="7"/>
  <c r="B35" i="6"/>
  <c r="B74" i="6"/>
  <c r="B34" i="6"/>
  <c r="B37" i="5"/>
  <c r="B72" i="5"/>
  <c r="B34" i="5"/>
  <c r="B77" i="5"/>
  <c r="B34" i="2"/>
  <c r="B35" i="2"/>
  <c r="B75" i="2"/>
  <c r="B72" i="2"/>
  <c r="B73" i="11" l="1"/>
  <c r="B36" i="11"/>
  <c r="B39" i="11"/>
  <c r="B76" i="11"/>
  <c r="B73" i="10"/>
  <c r="B36" i="10"/>
  <c r="B37" i="10"/>
  <c r="B78" i="10"/>
  <c r="B37" i="9"/>
  <c r="B75" i="9"/>
  <c r="B74" i="9"/>
  <c r="B36" i="9"/>
  <c r="B75" i="8"/>
  <c r="B36" i="8"/>
  <c r="B41" i="8"/>
  <c r="B78" i="8"/>
  <c r="B37" i="7"/>
  <c r="B36" i="7"/>
  <c r="B73" i="7"/>
  <c r="B78" i="7"/>
  <c r="B36" i="6"/>
  <c r="B37" i="6"/>
  <c r="B76" i="6"/>
  <c r="B79" i="5"/>
  <c r="B74" i="5"/>
  <c r="B36" i="5"/>
  <c r="B39" i="5"/>
  <c r="B74" i="2"/>
  <c r="B77" i="2"/>
  <c r="B37" i="2"/>
  <c r="B36" i="2"/>
  <c r="B78" i="11" l="1"/>
  <c r="B41" i="11"/>
  <c r="B38" i="11"/>
  <c r="B75" i="11"/>
  <c r="B80" i="10"/>
  <c r="B39" i="10"/>
  <c r="B38" i="10"/>
  <c r="B75" i="10"/>
  <c r="B38" i="9"/>
  <c r="B76" i="9"/>
  <c r="B77" i="9"/>
  <c r="B39" i="9"/>
  <c r="B77" i="8"/>
  <c r="B38" i="8"/>
  <c r="B80" i="8"/>
  <c r="B80" i="7"/>
  <c r="B75" i="7"/>
  <c r="B38" i="7"/>
  <c r="B39" i="7"/>
  <c r="B38" i="6"/>
  <c r="B78" i="6"/>
  <c r="B39" i="6"/>
  <c r="B76" i="5"/>
  <c r="B41" i="5"/>
  <c r="B38" i="5"/>
  <c r="B76" i="2"/>
  <c r="B38" i="2"/>
  <c r="B39" i="2"/>
  <c r="B79" i="2"/>
  <c r="B77" i="11" l="1"/>
  <c r="B40" i="11"/>
  <c r="B80" i="11"/>
  <c r="B77" i="10"/>
  <c r="B40" i="10"/>
  <c r="B41" i="10"/>
  <c r="B41" i="9"/>
  <c r="B79" i="9"/>
  <c r="B78" i="9"/>
  <c r="B40" i="9"/>
  <c r="B40" i="8"/>
  <c r="B79" i="8"/>
  <c r="B41" i="7"/>
  <c r="B40" i="7"/>
  <c r="B77" i="7"/>
  <c r="B41" i="6"/>
  <c r="B80" i="6"/>
  <c r="B40" i="6"/>
  <c r="B40" i="5"/>
  <c r="B78" i="5"/>
  <c r="B41" i="2"/>
  <c r="B40" i="2"/>
  <c r="B78" i="2"/>
  <c r="B42" i="11" l="1"/>
  <c r="B79" i="11"/>
  <c r="B42" i="10"/>
  <c r="B79" i="10"/>
  <c r="B42" i="9"/>
  <c r="B80" i="9"/>
  <c r="B42" i="8"/>
  <c r="B79" i="7"/>
  <c r="B42" i="7"/>
  <c r="B42" i="6"/>
  <c r="B80" i="5"/>
  <c r="B42" i="5"/>
  <c r="B80" i="2"/>
  <c r="B4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0BB4BF65-66F9-46C4-AA41-E5741DEF4A8D}">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F7747BE2-8CFC-4B44-9233-6B2B031B97A5}">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E4854E86-E939-42B2-992F-EA04521E3E83}">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03E87ECA-8F66-4086-9F79-02EF2B5EDECA}">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A1C1A867-B7CA-4034-B38E-F8514F30B00F}">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C10450FE-7356-40E1-A97A-86BE88E08D77}">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176FED27-0CEC-4C07-AD40-C8492338D581}">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55E909A3-61FD-421A-AFB5-DB8A60CF968D}">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5C4EB70E-1725-4BD1-B9F4-573C45517027}">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S9" authorId="0" shapeId="0" xr:uid="{315B3BB9-DEBE-4BD5-9DEC-8EB81F1FEF8E}">
      <text>
        <r>
          <rPr>
            <b/>
            <sz val="8"/>
            <color indexed="81"/>
            <rFont val="Tahoma"/>
            <family val="2"/>
          </rPr>
          <t>Pinter:</t>
        </r>
        <r>
          <rPr>
            <sz val="8"/>
            <color indexed="81"/>
            <rFont val="Tahoma"/>
            <family val="2"/>
          </rPr>
          <t xml:space="preserve">
This is the mean divided by 2 for the dense planted stand.  Did this to look at data on East to West column position</t>
        </r>
      </text>
    </comment>
  </commentList>
</comments>
</file>

<file path=xl/sharedStrings.xml><?xml version="1.0" encoding="utf-8"?>
<sst xmlns="http://schemas.openxmlformats.org/spreadsheetml/2006/main" count="4805" uniqueCount="554">
  <si>
    <t>Height</t>
  </si>
  <si>
    <t>wet</t>
  </si>
  <si>
    <t>Cover</t>
  </si>
  <si>
    <t>High</t>
  </si>
  <si>
    <t>Low</t>
  </si>
  <si>
    <t>kg N/ha</t>
  </si>
  <si>
    <t>Descript</t>
  </si>
  <si>
    <t>Code</t>
  </si>
  <si>
    <t>Nitrogen</t>
  </si>
  <si>
    <t>Double</t>
  </si>
  <si>
    <t>Single</t>
  </si>
  <si>
    <t>na</t>
  </si>
  <si>
    <t>lines/bed</t>
  </si>
  <si>
    <t>no./meter</t>
  </si>
  <si>
    <t>Population</t>
  </si>
  <si>
    <t>often</t>
  </si>
  <si>
    <t>Wet Soil</t>
  </si>
  <si>
    <t>never</t>
  </si>
  <si>
    <t>Dry Soil</t>
  </si>
  <si>
    <t>ad hoc</t>
  </si>
  <si>
    <t>None&gt;15Jul</t>
  </si>
  <si>
    <t>None&gt;1Jun</t>
  </si>
  <si>
    <t>NDVI</t>
  </si>
  <si>
    <t>FAO</t>
  </si>
  <si>
    <t>PlotSE</t>
  </si>
  <si>
    <t>PlotMean</t>
  </si>
  <si>
    <t>PicRowMean</t>
  </si>
  <si>
    <t>8.75</t>
  </si>
  <si>
    <t>8.25</t>
  </si>
  <si>
    <t>7.75</t>
  </si>
  <si>
    <t>7.25</t>
  </si>
  <si>
    <t>6.75</t>
  </si>
  <si>
    <t>6.25</t>
  </si>
  <si>
    <t>5.100</t>
  </si>
  <si>
    <t>5.75</t>
  </si>
  <si>
    <t>5.50</t>
  </si>
  <si>
    <t>5.25</t>
  </si>
  <si>
    <t>5.00</t>
  </si>
  <si>
    <t>4.75</t>
  </si>
  <si>
    <t>4.25</t>
  </si>
  <si>
    <t>3.75</t>
  </si>
  <si>
    <t>3.25</t>
  </si>
  <si>
    <t>Meas</t>
  </si>
  <si>
    <t>Time</t>
  </si>
  <si>
    <t>ExotechCode</t>
  </si>
  <si>
    <t>Block</t>
  </si>
  <si>
    <t>Nit</t>
  </si>
  <si>
    <t>Pop</t>
  </si>
  <si>
    <t>Irr</t>
  </si>
  <si>
    <t>Trt</t>
  </si>
  <si>
    <t>Acron</t>
  </si>
  <si>
    <t>Plot</t>
  </si>
  <si>
    <t>notes</t>
  </si>
  <si>
    <t>Schedule</t>
  </si>
  <si>
    <t>75 cm</t>
  </si>
  <si>
    <t>25 cm</t>
  </si>
  <si>
    <t>100 cm</t>
  </si>
  <si>
    <t>50 cm</t>
  </si>
  <si>
    <t>0 cm</t>
  </si>
  <si>
    <t>Position ⇒</t>
  </si>
  <si>
    <t>Irrigation</t>
  </si>
  <si>
    <t>Plot SE</t>
  </si>
  <si>
    <t>Plot Mean</t>
  </si>
  <si>
    <t>PictureRow Mean</t>
  </si>
  <si>
    <t>Row 8</t>
  </si>
  <si>
    <t>Row 7</t>
  </si>
  <si>
    <t>Row 6</t>
  </si>
  <si>
    <t>Row 5 (Picture Row)</t>
  </si>
  <si>
    <t>Row 4</t>
  </si>
  <si>
    <t>Row 3</t>
  </si>
  <si>
    <t>Meas.</t>
  </si>
  <si>
    <t>Exotech Code</t>
  </si>
  <si>
    <t>N</t>
  </si>
  <si>
    <t>Pop.</t>
  </si>
  <si>
    <t>Irrig.</t>
  </si>
  <si>
    <t>Trt.</t>
  </si>
  <si>
    <t>Legend</t>
  </si>
  <si>
    <t>sr,cob,sm</t>
  </si>
  <si>
    <t>By:</t>
  </si>
  <si>
    <t>stacy measured,carrie wrote,suzette carried stick</t>
  </si>
  <si>
    <t>Comments:</t>
  </si>
  <si>
    <t>Date:</t>
  </si>
  <si>
    <t>FISE2003 Plant Cover and Heights</t>
  </si>
  <si>
    <t>DOY168</t>
  </si>
  <si>
    <t>plots that have 3 measurements for row 5 did not have standing water in them, but they were too damp to walk in -50 cm was all I could reach from the board walk.</t>
  </si>
  <si>
    <t>all NDVI plots were full of water .only one position in row 5 was collected because of the instability of the boards in the water.</t>
  </si>
  <si>
    <t>DOY176</t>
  </si>
  <si>
    <t>SR , COB</t>
  </si>
  <si>
    <t>some muddy plots</t>
  </si>
  <si>
    <t>Extremely hot and stifeling</t>
  </si>
  <si>
    <t>DOY 189</t>
  </si>
  <si>
    <t>DOY189</t>
  </si>
  <si>
    <t>looked through data sheets, did not see 900's and told him no.  OOPS, I see them now!</t>
  </si>
  <si>
    <t>Suzette &amp; Ryan (recording)</t>
  </si>
  <si>
    <t xml:space="preserve">NOTE:  Did not measure 900's.  Before start, as we were discussing what was to be done, Ryan asked me if 900's were to be measured also, I </t>
  </si>
  <si>
    <t>Cloudy.  Moderate haze.  Lots of plots irrigated Friday and Saturday.</t>
  </si>
  <si>
    <t>DOY209</t>
  </si>
  <si>
    <t>SR and COB</t>
  </si>
  <si>
    <t>DOY217</t>
  </si>
  <si>
    <t>SR, CO'B</t>
  </si>
  <si>
    <t>unfilled cells indicate wet soil and no measurements</t>
  </si>
  <si>
    <t>Hot,and sticky. It looks like the plants haven't grown much since the last time we measured.</t>
  </si>
  <si>
    <t>DOY233</t>
  </si>
  <si>
    <t>SR, CO'B,RT</t>
  </si>
  <si>
    <t>Also to minimize plant damage because of intertwining branches we only measured the zero cm and 25 cm location in row 5</t>
  </si>
  <si>
    <t>Since some of the plants were starting to lodge there was "hole" in the centain of some rows.To account for the gap we measured the width of the hole and substracted it from 100 cm.Therefore, we have the actual cover left.</t>
  </si>
  <si>
    <t>DOY259</t>
  </si>
  <si>
    <t>SER</t>
  </si>
  <si>
    <t>The canopy width was measured across the row of mostly bare stems.Major holes in the canopy where measured and substracted from the overall with to indicate actual cover.</t>
  </si>
  <si>
    <t>Last overflight.Final Harvest is tomorrow.There are still a lot of leaves on the plants even after defoliation.</t>
  </si>
  <si>
    <t>DOY287</t>
  </si>
  <si>
    <t>FTH</t>
  </si>
  <si>
    <t>122.2</t>
  </si>
  <si>
    <t>NTL</t>
  </si>
  <si>
    <t>221.2</t>
  </si>
  <si>
    <t>NTH</t>
  </si>
  <si>
    <t>222.2</t>
  </si>
  <si>
    <t>NDL</t>
  </si>
  <si>
    <t>231.2</t>
  </si>
  <si>
    <t>221.1</t>
  </si>
  <si>
    <t>FDH</t>
  </si>
  <si>
    <t>132.1</t>
  </si>
  <si>
    <t>FTL</t>
  </si>
  <si>
    <t>121.1</t>
  </si>
  <si>
    <t>FSH</t>
  </si>
  <si>
    <t>112.1</t>
  </si>
  <si>
    <t>231.1</t>
  </si>
  <si>
    <t>222.1</t>
  </si>
  <si>
    <t>122.1</t>
  </si>
  <si>
    <t>NDH</t>
  </si>
  <si>
    <t>232.1</t>
  </si>
  <si>
    <t>112.2</t>
  </si>
  <si>
    <t>NSL</t>
  </si>
  <si>
    <t>211.2</t>
  </si>
  <si>
    <t>121.2</t>
  </si>
  <si>
    <t>FSL</t>
  </si>
  <si>
    <t>111.2</t>
  </si>
  <si>
    <t>Early</t>
  </si>
  <si>
    <t>322.2</t>
  </si>
  <si>
    <t>Late</t>
  </si>
  <si>
    <t>422.2</t>
  </si>
  <si>
    <t>322.1</t>
  </si>
  <si>
    <t>422.1</t>
  </si>
  <si>
    <t>221.3</t>
  </si>
  <si>
    <t>121.3</t>
  </si>
  <si>
    <t>211.3</t>
  </si>
  <si>
    <t>111.3</t>
  </si>
  <si>
    <t>232.4</t>
  </si>
  <si>
    <t>121.4</t>
  </si>
  <si>
    <t>222.4</t>
  </si>
  <si>
    <t>132.4</t>
  </si>
  <si>
    <t>221.4</t>
  </si>
  <si>
    <t>NSH</t>
  </si>
  <si>
    <t>212.4</t>
  </si>
  <si>
    <t>122.4</t>
  </si>
  <si>
    <t>FDL</t>
  </si>
  <si>
    <t>131.4</t>
  </si>
  <si>
    <t>122.3</t>
  </si>
  <si>
    <t>131.3</t>
  </si>
  <si>
    <t>222.3</t>
  </si>
  <si>
    <t>212.3</t>
  </si>
  <si>
    <t>PLPD</t>
  </si>
  <si>
    <t>EDATE</t>
  </si>
  <si>
    <t>PLYRE</t>
  </si>
  <si>
    <t>PLDOE</t>
  </si>
  <si>
    <t>Dense</t>
  </si>
  <si>
    <t>Typical</t>
  </si>
  <si>
    <t>Sparse</t>
  </si>
  <si>
    <t>DOY &gt;&gt;&gt;</t>
  </si>
  <si>
    <t>50%DOY</t>
  </si>
  <si>
    <t>Number of plants per linear meter of bed based on average of 6, 2m segments of beds south of boardwalk in the final harvest area</t>
  </si>
  <si>
    <t>Summary data from Daily worksheets</t>
  </si>
  <si>
    <t>p101-1</t>
  </si>
  <si>
    <t>p101-2</t>
  </si>
  <si>
    <t>p101-3</t>
  </si>
  <si>
    <t>p101-4</t>
  </si>
  <si>
    <t>p101-5</t>
  </si>
  <si>
    <t>p101-6</t>
  </si>
  <si>
    <t>p102-1</t>
  </si>
  <si>
    <t>p102-2</t>
  </si>
  <si>
    <t>p102-3</t>
  </si>
  <si>
    <t>p102-4</t>
  </si>
  <si>
    <t>p102-5</t>
  </si>
  <si>
    <t>p102-6</t>
  </si>
  <si>
    <t>p103-1</t>
  </si>
  <si>
    <t>p103-2</t>
  </si>
  <si>
    <t>p103-3</t>
  </si>
  <si>
    <t>p103-4</t>
  </si>
  <si>
    <t>p103-5</t>
  </si>
  <si>
    <t>p103-6</t>
  </si>
  <si>
    <t>p104-1</t>
  </si>
  <si>
    <t>p104-2</t>
  </si>
  <si>
    <t>p104-3</t>
  </si>
  <si>
    <t>p104-4</t>
  </si>
  <si>
    <t>p104-5</t>
  </si>
  <si>
    <t>p104-6</t>
  </si>
  <si>
    <t>p105-1</t>
  </si>
  <si>
    <t>p105-2</t>
  </si>
  <si>
    <t>p105-3</t>
  </si>
  <si>
    <t>p105-4</t>
  </si>
  <si>
    <t>p105-5</t>
  </si>
  <si>
    <t>p105-6</t>
  </si>
  <si>
    <t>p106-1</t>
  </si>
  <si>
    <t>p106-2</t>
  </si>
  <si>
    <t>p106-3</t>
  </si>
  <si>
    <t>p106-4</t>
  </si>
  <si>
    <t>p106-5</t>
  </si>
  <si>
    <t>p106-6</t>
  </si>
  <si>
    <t>p107-1</t>
  </si>
  <si>
    <t>p107-2</t>
  </si>
  <si>
    <t>p107-3</t>
  </si>
  <si>
    <t>p107-4</t>
  </si>
  <si>
    <t>p107-5</t>
  </si>
  <si>
    <t>p107-6</t>
  </si>
  <si>
    <t>p108-1</t>
  </si>
  <si>
    <t>p108-2</t>
  </si>
  <si>
    <t>p108-3</t>
  </si>
  <si>
    <t>p108-4</t>
  </si>
  <si>
    <t>p108-5</t>
  </si>
  <si>
    <t>p108-6</t>
  </si>
  <si>
    <t>p201-1</t>
  </si>
  <si>
    <t>p201-2</t>
  </si>
  <si>
    <t>p201-3</t>
  </si>
  <si>
    <t>p201-4</t>
  </si>
  <si>
    <t>p201-5</t>
  </si>
  <si>
    <t>p201-6</t>
  </si>
  <si>
    <t>p202-1</t>
  </si>
  <si>
    <t>p202-2</t>
  </si>
  <si>
    <t>p202-3</t>
  </si>
  <si>
    <t>p202-4</t>
  </si>
  <si>
    <t>p202-5</t>
  </si>
  <si>
    <t>p202-6</t>
  </si>
  <si>
    <t>p203-1</t>
  </si>
  <si>
    <t>p203-2</t>
  </si>
  <si>
    <t>p203-3</t>
  </si>
  <si>
    <t>p203-4</t>
  </si>
  <si>
    <t>p203-5</t>
  </si>
  <si>
    <t>p203-6</t>
  </si>
  <si>
    <t>p204-1</t>
  </si>
  <si>
    <t>p204-2</t>
  </si>
  <si>
    <t>p204-3</t>
  </si>
  <si>
    <t>p204-4</t>
  </si>
  <si>
    <t>p204-5</t>
  </si>
  <si>
    <t>p204-6</t>
  </si>
  <si>
    <t>p205-1</t>
  </si>
  <si>
    <t>p205-2</t>
  </si>
  <si>
    <t>p205-3</t>
  </si>
  <si>
    <t>p205-4</t>
  </si>
  <si>
    <t>p205-5</t>
  </si>
  <si>
    <t>p205-6</t>
  </si>
  <si>
    <t>p206-1</t>
  </si>
  <si>
    <t>p206-2</t>
  </si>
  <si>
    <t>p206-3</t>
  </si>
  <si>
    <t>p206-4</t>
  </si>
  <si>
    <t>p206-5</t>
  </si>
  <si>
    <t>p206-6</t>
  </si>
  <si>
    <t>p207-1</t>
  </si>
  <si>
    <t>p207-2</t>
  </si>
  <si>
    <t>p207-3</t>
  </si>
  <si>
    <t>p207-4</t>
  </si>
  <si>
    <t>p207-5</t>
  </si>
  <si>
    <t>p207-6</t>
  </si>
  <si>
    <t>p208-1</t>
  </si>
  <si>
    <t>p208-2</t>
  </si>
  <si>
    <t>p208-3</t>
  </si>
  <si>
    <t>p208-4</t>
  </si>
  <si>
    <t>p208-5</t>
  </si>
  <si>
    <t>p208-6</t>
  </si>
  <si>
    <t>p301-1</t>
  </si>
  <si>
    <t>p301-2</t>
  </si>
  <si>
    <t>p301-3</t>
  </si>
  <si>
    <t>p301-4</t>
  </si>
  <si>
    <t>p301-5</t>
  </si>
  <si>
    <t>p301-6</t>
  </si>
  <si>
    <t>p302-1</t>
  </si>
  <si>
    <t>p302-2</t>
  </si>
  <si>
    <t>p302-3</t>
  </si>
  <si>
    <t>p302-4</t>
  </si>
  <si>
    <t>p302-5</t>
  </si>
  <si>
    <t>p302-6</t>
  </si>
  <si>
    <t>p303-1</t>
  </si>
  <si>
    <t>p303-2</t>
  </si>
  <si>
    <t>p303-3</t>
  </si>
  <si>
    <t>p303-4</t>
  </si>
  <si>
    <t>p303-5</t>
  </si>
  <si>
    <t>p303-6</t>
  </si>
  <si>
    <t>p304-1</t>
  </si>
  <si>
    <t>p304-2</t>
  </si>
  <si>
    <t>p304-3</t>
  </si>
  <si>
    <t>p304-4</t>
  </si>
  <si>
    <t>p304-5</t>
  </si>
  <si>
    <t>p304-6</t>
  </si>
  <si>
    <t>p305-1</t>
  </si>
  <si>
    <t>p305-2</t>
  </si>
  <si>
    <t>p305-3</t>
  </si>
  <si>
    <t>p305-4</t>
  </si>
  <si>
    <t>p305-5</t>
  </si>
  <si>
    <t>p305-6</t>
  </si>
  <si>
    <t>p306-1</t>
  </si>
  <si>
    <t>p306-2</t>
  </si>
  <si>
    <t>p306-3</t>
  </si>
  <si>
    <t>p306-4</t>
  </si>
  <si>
    <t>p306-5</t>
  </si>
  <si>
    <t>p306-6</t>
  </si>
  <si>
    <t>p307-1</t>
  </si>
  <si>
    <t>p307-2</t>
  </si>
  <si>
    <t>p307-3</t>
  </si>
  <si>
    <t>p307-4</t>
  </si>
  <si>
    <t>p307-5</t>
  </si>
  <si>
    <t>p307-6</t>
  </si>
  <si>
    <t>p308-1</t>
  </si>
  <si>
    <t>p308-2</t>
  </si>
  <si>
    <t>p308-3</t>
  </si>
  <si>
    <t>p308-4</t>
  </si>
  <si>
    <t>p308-5</t>
  </si>
  <si>
    <t>p308-6</t>
  </si>
  <si>
    <t>p401-1</t>
  </si>
  <si>
    <t>p401-2</t>
  </si>
  <si>
    <t>p401-3</t>
  </si>
  <si>
    <t>p401-4</t>
  </si>
  <si>
    <t>p401-5</t>
  </si>
  <si>
    <t>p401-6</t>
  </si>
  <si>
    <t>p402-1</t>
  </si>
  <si>
    <t>p402-2</t>
  </si>
  <si>
    <t>p402-3</t>
  </si>
  <si>
    <t>p402-4</t>
  </si>
  <si>
    <t>p402-5</t>
  </si>
  <si>
    <t>p402-6</t>
  </si>
  <si>
    <t>p403-1</t>
  </si>
  <si>
    <t>p403-2</t>
  </si>
  <si>
    <t>p403-3</t>
  </si>
  <si>
    <t>p403-4</t>
  </si>
  <si>
    <t>p403-5</t>
  </si>
  <si>
    <t>p403-6</t>
  </si>
  <si>
    <t>p404-1</t>
  </si>
  <si>
    <t>p404-2</t>
  </si>
  <si>
    <t>p404-3</t>
  </si>
  <si>
    <t>p404-4</t>
  </si>
  <si>
    <t>p404-5</t>
  </si>
  <si>
    <t>p404-6</t>
  </si>
  <si>
    <t>p405-1</t>
  </si>
  <si>
    <t>p405-2</t>
  </si>
  <si>
    <t>p405-3</t>
  </si>
  <si>
    <t>p405-4</t>
  </si>
  <si>
    <t>p405-5</t>
  </si>
  <si>
    <t>p405-6</t>
  </si>
  <si>
    <t>p406-1</t>
  </si>
  <si>
    <t>p406-2</t>
  </si>
  <si>
    <t>p406-3</t>
  </si>
  <si>
    <t>p406-4</t>
  </si>
  <si>
    <t>p406-5</t>
  </si>
  <si>
    <t>p406-6</t>
  </si>
  <si>
    <t>p407-1</t>
  </si>
  <si>
    <t>p407-2</t>
  </si>
  <si>
    <t>p407-3</t>
  </si>
  <si>
    <t>p407-4</t>
  </si>
  <si>
    <t>p407-5</t>
  </si>
  <si>
    <t>p407-6</t>
  </si>
  <si>
    <t>p408-1</t>
  </si>
  <si>
    <t>p408-2</t>
  </si>
  <si>
    <t>p408-3</t>
  </si>
  <si>
    <t>p408-4</t>
  </si>
  <si>
    <t>p408-5</t>
  </si>
  <si>
    <t>p408-6</t>
  </si>
  <si>
    <t>p902-1</t>
  </si>
  <si>
    <t>p902-2</t>
  </si>
  <si>
    <t>p902-3</t>
  </si>
  <si>
    <t>p902-4</t>
  </si>
  <si>
    <t>p902-5</t>
  </si>
  <si>
    <t>p902-6</t>
  </si>
  <si>
    <t>p904-1</t>
  </si>
  <si>
    <t>p904-2</t>
  </si>
  <si>
    <t>p904-3</t>
  </si>
  <si>
    <t>p904-4</t>
  </si>
  <si>
    <t>p904-5</t>
  </si>
  <si>
    <t>p904-6</t>
  </si>
  <si>
    <t>p906-1</t>
  </si>
  <si>
    <t>p906-2</t>
  </si>
  <si>
    <t>p906-3</t>
  </si>
  <si>
    <t>p906-4</t>
  </si>
  <si>
    <t>p906-5</t>
  </si>
  <si>
    <t>p906-6</t>
  </si>
  <si>
    <t>p908-1</t>
  </si>
  <si>
    <t>p908-2</t>
  </si>
  <si>
    <t>p908-3</t>
  </si>
  <si>
    <t>p908-4</t>
  </si>
  <si>
    <t>p908-5</t>
  </si>
  <si>
    <t>p908-6</t>
  </si>
  <si>
    <t>CCID</t>
  </si>
  <si>
    <t>DENSE POPULATION Mean</t>
  </si>
  <si>
    <t>NDVI mean</t>
  </si>
  <si>
    <t>HighN mean</t>
  </si>
  <si>
    <t>HighN</t>
  </si>
  <si>
    <t>LowN mean</t>
  </si>
  <si>
    <t>LowN</t>
  </si>
  <si>
    <t>FAO mean</t>
  </si>
  <si>
    <t>DENSE POPULATION</t>
  </si>
  <si>
    <t>TYPICAL POPULATION Mean</t>
  </si>
  <si>
    <t>TYPICAL POPULATION</t>
  </si>
  <si>
    <t>SPARSE POPULATION Mean</t>
  </si>
  <si>
    <t>1Jun</t>
  </si>
  <si>
    <t>DS</t>
  </si>
  <si>
    <t>Plant Density Data (plants/m)</t>
  </si>
  <si>
    <t>15Jul</t>
  </si>
  <si>
    <t>WS</t>
  </si>
  <si>
    <t>SPARSE POPULATION</t>
  </si>
  <si>
    <t>Total</t>
  </si>
  <si>
    <t>Average of Mean per meter</t>
  </si>
  <si>
    <t>Grand Total</t>
  </si>
  <si>
    <t>Col.</t>
  </si>
  <si>
    <t>Average of Nrml. mean per meter</t>
  </si>
  <si>
    <t>Row</t>
  </si>
  <si>
    <t>Comments/Time</t>
  </si>
  <si>
    <t>Nrml. mean per meter</t>
  </si>
  <si>
    <t>std err</t>
  </si>
  <si>
    <t>Mean per meter</t>
  </si>
  <si>
    <t>Bed8</t>
  </si>
  <si>
    <t>Bed7</t>
  </si>
  <si>
    <t>Bed6</t>
  </si>
  <si>
    <t>Bed5</t>
  </si>
  <si>
    <t>Bed4</t>
  </si>
  <si>
    <t>Bed3</t>
  </si>
  <si>
    <t xml:space="preserve">  Data shown for typical and dense plots are average of past three days measurement</t>
  </si>
  <si>
    <t>Breezy, very Hazy, but bright sun.  Just counted Sparse plots - data shown for sparse plots is average of counts by Stacy, Amy, Carrie, Suzette.</t>
  </si>
  <si>
    <t>End:</t>
  </si>
  <si>
    <t>Start:</t>
  </si>
  <si>
    <t>DOY:</t>
  </si>
  <si>
    <t>After Thinning of Sparse Treatment on 20 May 2003</t>
  </si>
  <si>
    <t>FISE 2003 Plant Emergence Counts</t>
  </si>
  <si>
    <t>8 Total</t>
  </si>
  <si>
    <t>7 Total</t>
  </si>
  <si>
    <t>6 Total</t>
  </si>
  <si>
    <t>5 Total</t>
  </si>
  <si>
    <t>4 Total</t>
  </si>
  <si>
    <t>3 Total</t>
  </si>
  <si>
    <t>2 Total</t>
  </si>
  <si>
    <t>1 Total</t>
  </si>
  <si>
    <t>Weather good.Clear skies, some high clouds.</t>
  </si>
  <si>
    <t>soil looks pretty good , no visible crusting.Lots of seeds starting to erupt but have not shown themsleves yet.</t>
  </si>
  <si>
    <t>Stacy and Amy counting.Stacy did 100,200,900.Amy did 300 and 400s.</t>
  </si>
  <si>
    <t>Stacy and Amy counting-Stacy did 300 ,400,900s . Amy did the 100 and 200s</t>
  </si>
  <si>
    <t>struggling to get to the surface.Don is going to help them out by breaking up the crust.</t>
  </si>
  <si>
    <t xml:space="preserve">weather clear.sunny.Lots of crust.Plot 402 , bed 7 has been investigated because of zero plant count Plants are ther but deeply planted and </t>
  </si>
  <si>
    <t>1.77 Average</t>
  </si>
  <si>
    <t>1.56 Average</t>
  </si>
  <si>
    <t>1.53 Average</t>
  </si>
  <si>
    <t>1.52 Average</t>
  </si>
  <si>
    <t>1.49 Average</t>
  </si>
  <si>
    <t>1.44 Average</t>
  </si>
  <si>
    <t>1.42 Average</t>
  </si>
  <si>
    <t>1.22 Average</t>
  </si>
  <si>
    <t>1.04 Average</t>
  </si>
  <si>
    <t>0.92 Average</t>
  </si>
  <si>
    <t>0.91 Average</t>
  </si>
  <si>
    <t>0.87 Average</t>
  </si>
  <si>
    <t>0.86 Average</t>
  </si>
  <si>
    <t>0.83 Average</t>
  </si>
  <si>
    <t>0.77 Average</t>
  </si>
  <si>
    <t>0.75 Average</t>
  </si>
  <si>
    <t>0.69 Average</t>
  </si>
  <si>
    <t>0.67 Average</t>
  </si>
  <si>
    <t>0.66 Average</t>
  </si>
  <si>
    <t>0.60 Average</t>
  </si>
  <si>
    <t>0.59 Average</t>
  </si>
  <si>
    <t>0.58 Average</t>
  </si>
  <si>
    <t>0.54 Average</t>
  </si>
  <si>
    <t>0.53 Average</t>
  </si>
  <si>
    <t>0.44 Average</t>
  </si>
  <si>
    <t>0.40 Average</t>
  </si>
  <si>
    <t>0.36 Average</t>
  </si>
  <si>
    <t>0.35 Average</t>
  </si>
  <si>
    <t>NTL Total</t>
  </si>
  <si>
    <t>NTH Total</t>
  </si>
  <si>
    <t>NSL Total</t>
  </si>
  <si>
    <t>NSH Total</t>
  </si>
  <si>
    <t>NDL Total</t>
  </si>
  <si>
    <t>NDH Total</t>
  </si>
  <si>
    <t>FTL Total</t>
  </si>
  <si>
    <t>FTH Total</t>
  </si>
  <si>
    <t>FSL Total</t>
  </si>
  <si>
    <t>FSH Total</t>
  </si>
  <si>
    <t>FDL Total</t>
  </si>
  <si>
    <t>FDH Total</t>
  </si>
  <si>
    <t>Amy counted the 300 and 400s.Stacy did the 100,200,900s</t>
  </si>
  <si>
    <t>Amy and stacy loosened a fair amount of crusting after counts.Out look is very good. New plants are trying to make it up even in heavy crust so with the helping hand they should be up by tomorrow (hpoefully)</t>
  </si>
  <si>
    <t>NDVI Total</t>
  </si>
  <si>
    <t>High N Total</t>
  </si>
  <si>
    <t>High N</t>
  </si>
  <si>
    <t>Low N Total</t>
  </si>
  <si>
    <t>Low N</t>
  </si>
  <si>
    <t>FAO Total</t>
  </si>
  <si>
    <t>As of 29 April 03</t>
  </si>
  <si>
    <t>great emergence in bed 7. thanks Don!</t>
  </si>
  <si>
    <t>bed 8- only 11 on one side but many more coming up</t>
  </si>
  <si>
    <t>Amy counted 100 and 200s.Stacy did the 300,400,900s.</t>
  </si>
  <si>
    <t>great emergence! Loosening the crust really is helping.Hazy skies but sunny.</t>
  </si>
  <si>
    <t>As of 30 April 03</t>
  </si>
  <si>
    <t>Some plant die off noticed. Looks like some plants that were stuck in the crust that came up were pretty stressed and secumbed tosunburn or salt burn.Also some bird or bug damage (stems but no cotyledons). Also possible flea beetle damage.Overall the field looks great.Sunny with slight hazy skies.</t>
  </si>
  <si>
    <t>Amy did 300 and 400s.Stacy counted 100,200,900s.</t>
  </si>
  <si>
    <t>Suzette.</t>
  </si>
  <si>
    <t xml:space="preserve">Suzette.  Good emergence, crust already broken. </t>
  </si>
  <si>
    <t>Suzette.  Broke a little crust - not in FH area.</t>
  </si>
  <si>
    <t>Suzette.  E/W</t>
  </si>
  <si>
    <t>Carrie.</t>
  </si>
  <si>
    <t>Amy.  10:06 end.</t>
  </si>
  <si>
    <t>Amy.  10:01 begin.</t>
  </si>
  <si>
    <t>Amy.  9:10 begin.</t>
  </si>
  <si>
    <t>Amy.</t>
  </si>
  <si>
    <t>Amy.  Major crusting.</t>
  </si>
  <si>
    <t>Amy.  End 10:00.</t>
  </si>
  <si>
    <t>Stacy counted 300,400,900s.Carrie counted 100 and 200s.It is sunny but very hazy.High clouds ring the area although right at the moment the sun is unobstructed.In all plots most of the plants have their first set of true leaves.Still some die off but some gains as well.In general all looks great!Weeded south of the linear wire.</t>
  </si>
  <si>
    <t>8;41</t>
  </si>
  <si>
    <t>Bright sunny day-no clouds.Very warm already.Some plants have 2nd true leaves.Some insect damage (flea beetles?) and some webbiness (small spiders).all in all things look good.</t>
  </si>
  <si>
    <t>Stacy counted 100,200s.Carrie counted 300,400s and Suzette 900s.</t>
  </si>
  <si>
    <t>Sunny but very hazy.Plants are growing but slowly.Carrie counted 100,200s. Stacy counted 300,400,900.</t>
  </si>
  <si>
    <t>50% DOY</t>
  </si>
  <si>
    <t>DOY190</t>
  </si>
  <si>
    <t>DOY241</t>
  </si>
  <si>
    <t>p101</t>
  </si>
  <si>
    <t>p102</t>
  </si>
  <si>
    <t>p103</t>
  </si>
  <si>
    <t>p104</t>
  </si>
  <si>
    <t>p105</t>
  </si>
  <si>
    <t>p106</t>
  </si>
  <si>
    <t>p107</t>
  </si>
  <si>
    <t>p108</t>
  </si>
  <si>
    <t>p201</t>
  </si>
  <si>
    <t>p202</t>
  </si>
  <si>
    <t>p203</t>
  </si>
  <si>
    <t>p204</t>
  </si>
  <si>
    <t>p205</t>
  </si>
  <si>
    <t>p206</t>
  </si>
  <si>
    <t>p207</t>
  </si>
  <si>
    <t>p208</t>
  </si>
  <si>
    <t>p301</t>
  </si>
  <si>
    <t>p302</t>
  </si>
  <si>
    <t>p303</t>
  </si>
  <si>
    <t>p304</t>
  </si>
  <si>
    <t>p305</t>
  </si>
  <si>
    <t>p306</t>
  </si>
  <si>
    <t>p307</t>
  </si>
  <si>
    <t>p308</t>
  </si>
  <si>
    <t>p401</t>
  </si>
  <si>
    <t>p402</t>
  </si>
  <si>
    <t>p403</t>
  </si>
  <si>
    <t>p404</t>
  </si>
  <si>
    <t>p405</t>
  </si>
  <si>
    <t>p406</t>
  </si>
  <si>
    <t>p407</t>
  </si>
  <si>
    <t>p408</t>
  </si>
  <si>
    <t>p902</t>
  </si>
  <si>
    <t>p904</t>
  </si>
  <si>
    <t>p906</t>
  </si>
  <si>
    <t>p908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</si>
</sst>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mm/dd/yyyy"/>
  </numFmts>
  <fonts count="12" x14ac:knownFonts="1">
    <font>
      <sz val="11"/>
      <color theme="1"/>
      <name val="Aptos Narrow"/>
      <family val="2"/>
      <scheme val="minor"/>
    </font>
    <font>
      <sz val="10"/>
      <name val="Arial"/>
      <family val="2"/>
    </font>
    <font>
      <b/>
      <sz val="10"/>
      <name val="Arial"/>
      <family val="2"/>
    </font>
    <font>
      <sz val="8"/>
      <name val="Arial"/>
      <family val="2"/>
    </font>
    <font>
      <b/>
      <sz val="8"/>
      <name val="Arial"/>
      <family val="2"/>
    </font>
    <font>
      <b/>
      <sz val="14"/>
      <name val="Arial"/>
      <family val="2"/>
    </font>
    <font>
      <u/>
      <sz val="10"/>
      <color indexed="12"/>
      <name val="Arial"/>
      <family val="2"/>
    </font>
    <font>
      <sz val="10"/>
      <color indexed="8"/>
      <name val="Arial"/>
      <family val="2"/>
    </font>
    <font>
      <b/>
      <sz val="14"/>
      <color indexed="12"/>
      <name val="Arial"/>
      <family val="2"/>
    </font>
    <font>
      <b/>
      <sz val="12"/>
      <name val="Arial"/>
      <family val="2"/>
    </font>
    <font>
      <b/>
      <sz val="8"/>
      <color indexed="81"/>
      <name val="Tahoma"/>
      <family val="2"/>
    </font>
    <font>
      <sz val="8"/>
      <color indexed="81"/>
      <name val="Tahoma"/>
      <family val="2"/>
    </font>
  </fonts>
  <fills count="7">
    <fill>
      <patternFill patternType="none"/>
    </fill>
    <fill>
      <patternFill patternType="gray125"/>
    </fill>
    <fill>
      <patternFill patternType="solid">
        <fgColor indexed="55"/>
        <bgColor indexed="64"/>
      </patternFill>
    </fill>
    <fill>
      <patternFill patternType="solid">
        <fgColor indexed="42"/>
        <bgColor indexed="64"/>
      </patternFill>
    </fill>
    <fill>
      <patternFill patternType="solid">
        <fgColor indexed="22"/>
        <bgColor indexed="64"/>
      </patternFill>
    </fill>
    <fill>
      <patternFill patternType="solid">
        <fgColor indexed="43"/>
        <bgColor indexed="64"/>
      </patternFill>
    </fill>
    <fill>
      <patternFill patternType="solid">
        <fgColor rgb="FFFFFF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65"/>
      </left>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65"/>
      </left>
      <right/>
      <top style="thin">
        <color indexed="8"/>
      </top>
      <bottom/>
      <diagonal/>
    </border>
    <border>
      <left style="thin">
        <color indexed="8"/>
      </left>
      <right/>
      <top style="thin">
        <color indexed="8"/>
      </top>
      <bottom/>
      <diagonal/>
    </border>
    <border>
      <left style="thin">
        <color indexed="8"/>
      </left>
      <right/>
      <top style="thin">
        <color indexed="65"/>
      </top>
      <bottom/>
      <diagonal/>
    </border>
    <border>
      <left style="thin">
        <color indexed="8"/>
      </left>
      <right style="thin">
        <color indexed="8"/>
      </right>
      <top/>
      <bottom/>
      <diagonal/>
    </border>
    <border>
      <left style="thin">
        <color indexed="8"/>
      </left>
      <right/>
      <top/>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8"/>
      </left>
      <right/>
      <top style="thin">
        <color indexed="65"/>
      </top>
      <bottom style="thin">
        <color indexed="8"/>
      </bottom>
      <diagonal/>
    </border>
  </borders>
  <cellStyleXfs count="3">
    <xf numFmtId="0" fontId="0" fillId="0" borderId="0"/>
    <xf numFmtId="0" fontId="1" fillId="0" borderId="0"/>
    <xf numFmtId="0" fontId="6" fillId="0" borderId="0" applyNumberFormat="0" applyFill="0" applyBorder="0" applyAlignment="0" applyProtection="0">
      <alignment vertical="top"/>
      <protection locked="0"/>
    </xf>
  </cellStyleXfs>
  <cellXfs count="148">
    <xf numFmtId="0" fontId="0" fillId="0" borderId="0" xfId="0"/>
    <xf numFmtId="0" fontId="1" fillId="0" borderId="0" xfId="1"/>
    <xf numFmtId="0" fontId="2" fillId="0" borderId="0" xfId="1" applyFont="1" applyAlignment="1">
      <alignment horizontal="center"/>
    </xf>
    <xf numFmtId="0" fontId="1" fillId="0" borderId="0" xfId="1" applyAlignment="1">
      <alignment horizontal="center"/>
    </xf>
    <xf numFmtId="164" fontId="2" fillId="0" borderId="1" xfId="1" applyNumberFormat="1" applyFont="1" applyBorder="1"/>
    <xf numFmtId="0" fontId="2" fillId="0" borderId="1" xfId="1" applyFont="1" applyBorder="1" applyAlignment="1">
      <alignment horizontal="center"/>
    </xf>
    <xf numFmtId="0" fontId="2" fillId="0" borderId="1" xfId="1" applyFont="1" applyBorder="1"/>
    <xf numFmtId="0" fontId="2" fillId="0" borderId="1" xfId="1" applyFont="1" applyBorder="1" applyAlignment="1">
      <alignment horizontal="center" vertical="center"/>
    </xf>
    <xf numFmtId="20" fontId="2" fillId="0" borderId="1" xfId="1" applyNumberFormat="1" applyFont="1" applyBorder="1" applyAlignment="1">
      <alignment horizontal="center" vertical="center"/>
    </xf>
    <xf numFmtId="0" fontId="2" fillId="2" borderId="1" xfId="1" applyFont="1" applyFill="1" applyBorder="1" applyAlignment="1">
      <alignment horizontal="center" vertical="center"/>
    </xf>
    <xf numFmtId="0" fontId="1" fillId="0" borderId="0" xfId="1" applyAlignment="1">
      <alignment horizontal="right"/>
    </xf>
    <xf numFmtId="0" fontId="3" fillId="0" borderId="0" xfId="1" applyFont="1"/>
    <xf numFmtId="0" fontId="4" fillId="0" borderId="0" xfId="1" applyFont="1" applyAlignment="1">
      <alignment horizontal="center"/>
    </xf>
    <xf numFmtId="0" fontId="2" fillId="0" borderId="2" xfId="1" applyFont="1" applyBorder="1" applyAlignment="1">
      <alignment horizontal="center"/>
    </xf>
    <xf numFmtId="0" fontId="2" fillId="0" borderId="2" xfId="1" applyFont="1" applyBorder="1"/>
    <xf numFmtId="0" fontId="2" fillId="0" borderId="2" xfId="1" applyFont="1" applyBorder="1" applyAlignment="1">
      <alignment horizontal="center" vertical="center"/>
    </xf>
    <xf numFmtId="0" fontId="2" fillId="2" borderId="2" xfId="1" applyFont="1" applyFill="1" applyBorder="1" applyAlignment="1">
      <alignment horizontal="center" vertical="center"/>
    </xf>
    <xf numFmtId="20" fontId="2" fillId="0" borderId="2" xfId="1" applyNumberFormat="1" applyFont="1" applyBorder="1" applyAlignment="1">
      <alignment horizontal="center"/>
    </xf>
    <xf numFmtId="0" fontId="2" fillId="0" borderId="1" xfId="1" applyFont="1" applyBorder="1" applyAlignment="1">
      <alignment horizontal="center" vertical="center" wrapText="1"/>
    </xf>
    <xf numFmtId="0" fontId="2" fillId="0" borderId="1" xfId="1" applyFont="1" applyBorder="1" applyAlignment="1">
      <alignment horizontal="right" vertical="center" wrapText="1"/>
    </xf>
    <xf numFmtId="0" fontId="2" fillId="0" borderId="0" xfId="1" applyFont="1" applyAlignment="1">
      <alignment horizontal="right"/>
    </xf>
    <xf numFmtId="49" fontId="1" fillId="0" borderId="0" xfId="1" applyNumberFormat="1" applyAlignment="1">
      <alignment horizontal="center"/>
    </xf>
    <xf numFmtId="0" fontId="1" fillId="0" borderId="0" xfId="1" quotePrefix="1" applyAlignment="1">
      <alignment horizontal="center"/>
    </xf>
    <xf numFmtId="0" fontId="2" fillId="0" borderId="3" xfId="1" applyFont="1" applyBorder="1" applyAlignment="1">
      <alignment horizontal="center"/>
    </xf>
    <xf numFmtId="0" fontId="2" fillId="0" borderId="3" xfId="1" applyFont="1" applyBorder="1"/>
    <xf numFmtId="0" fontId="2" fillId="0" borderId="3" xfId="1" applyFont="1" applyBorder="1" applyAlignment="1">
      <alignment horizontal="center" vertical="center"/>
    </xf>
    <xf numFmtId="0" fontId="2" fillId="2" borderId="3" xfId="1" applyFont="1" applyFill="1" applyBorder="1" applyAlignment="1">
      <alignment horizontal="center" vertical="center"/>
    </xf>
    <xf numFmtId="49" fontId="2" fillId="0" borderId="1" xfId="1" applyNumberFormat="1" applyFont="1" applyBorder="1" applyAlignment="1">
      <alignment horizontal="center"/>
    </xf>
    <xf numFmtId="49" fontId="4" fillId="0" borderId="1" xfId="1" applyNumberFormat="1" applyFont="1" applyBorder="1" applyAlignment="1">
      <alignment horizontal="center" vertical="center" wrapText="1"/>
    </xf>
    <xf numFmtId="49" fontId="2" fillId="0" borderId="1" xfId="1" applyNumberFormat="1" applyFont="1" applyBorder="1" applyAlignment="1">
      <alignment horizontal="center" vertical="center"/>
    </xf>
    <xf numFmtId="49" fontId="4" fillId="0" borderId="1" xfId="1" applyNumberFormat="1" applyFont="1" applyBorder="1" applyAlignment="1">
      <alignment horizontal="center" vertical="center"/>
    </xf>
    <xf numFmtId="0" fontId="2" fillId="0" borderId="5" xfId="1" applyFont="1" applyBorder="1" applyAlignment="1">
      <alignment horizontal="center" vertical="center"/>
    </xf>
    <xf numFmtId="0" fontId="2" fillId="0" borderId="4" xfId="1" applyFont="1" applyBorder="1" applyAlignment="1">
      <alignment horizontal="center" vertical="center"/>
    </xf>
    <xf numFmtId="0" fontId="4" fillId="0" borderId="5" xfId="1" applyFont="1" applyBorder="1" applyAlignment="1">
      <alignment horizontal="center" vertical="center" wrapText="1"/>
    </xf>
    <xf numFmtId="0" fontId="2" fillId="0" borderId="0" xfId="1" applyFont="1" applyAlignment="1">
      <alignment horizontal="center" vertical="center" wrapText="1"/>
    </xf>
    <xf numFmtId="0" fontId="4" fillId="0" borderId="11" xfId="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center" vertical="center"/>
    </xf>
    <xf numFmtId="0" fontId="1" fillId="0" borderId="0" xfId="1" applyAlignment="1">
      <alignment horizontal="center" vertical="center"/>
    </xf>
    <xf numFmtId="0" fontId="2" fillId="0" borderId="13" xfId="1" applyFont="1" applyBorder="1"/>
    <xf numFmtId="0" fontId="1" fillId="0" borderId="14" xfId="1" applyBorder="1"/>
    <xf numFmtId="0" fontId="1" fillId="0" borderId="13" xfId="1" applyBorder="1"/>
    <xf numFmtId="14" fontId="2" fillId="0" borderId="13" xfId="1" applyNumberFormat="1" applyFont="1" applyBorder="1"/>
    <xf numFmtId="0" fontId="6" fillId="0" borderId="0" xfId="2" applyAlignment="1" applyProtection="1"/>
    <xf numFmtId="0" fontId="5" fillId="0" borderId="0" xfId="1" applyFont="1"/>
    <xf numFmtId="0" fontId="2" fillId="0" borderId="1" xfId="1" applyFont="1" applyBorder="1" applyAlignment="1">
      <alignment horizontal="right"/>
    </xf>
    <xf numFmtId="0" fontId="2" fillId="0" borderId="2" xfId="1" applyFont="1" applyBorder="1" applyAlignment="1">
      <alignment horizontal="right"/>
    </xf>
    <xf numFmtId="0" fontId="2" fillId="0" borderId="3" xfId="1" applyFont="1" applyBorder="1" applyAlignment="1">
      <alignment horizontal="right"/>
    </xf>
    <xf numFmtId="15" fontId="2" fillId="0" borderId="13" xfId="1" applyNumberFormat="1" applyFont="1" applyBorder="1"/>
    <xf numFmtId="0" fontId="2" fillId="0" borderId="4" xfId="1" applyFont="1" applyBorder="1"/>
    <xf numFmtId="0" fontId="1" fillId="0" borderId="1" xfId="1" applyBorder="1"/>
    <xf numFmtId="0" fontId="1" fillId="0" borderId="1" xfId="1" applyBorder="1" applyAlignment="1">
      <alignment horizontal="center" vertical="center" wrapText="1"/>
    </xf>
    <xf numFmtId="0" fontId="1" fillId="0" borderId="2" xfId="1" applyBorder="1"/>
    <xf numFmtId="0" fontId="1" fillId="0" borderId="3" xfId="1" applyBorder="1"/>
    <xf numFmtId="0" fontId="2" fillId="0" borderId="14" xfId="1" applyFont="1" applyBorder="1"/>
    <xf numFmtId="1" fontId="0" fillId="0" borderId="0" xfId="0" applyNumberFormat="1"/>
    <xf numFmtId="165" fontId="0" fillId="0" borderId="0" xfId="0" applyNumberFormat="1"/>
    <xf numFmtId="0" fontId="1" fillId="0" borderId="0" xfId="0" applyFont="1"/>
    <xf numFmtId="2" fontId="1" fillId="0" borderId="0" xfId="1" applyNumberFormat="1"/>
    <xf numFmtId="1" fontId="1" fillId="0" borderId="0" xfId="1" applyNumberFormat="1"/>
    <xf numFmtId="9" fontId="1" fillId="0" borderId="0" xfId="1" applyNumberFormat="1"/>
    <xf numFmtId="0" fontId="1" fillId="0" borderId="0" xfId="1" quotePrefix="1"/>
    <xf numFmtId="2" fontId="1" fillId="0" borderId="15" xfId="1" applyNumberFormat="1" applyBorder="1"/>
    <xf numFmtId="0" fontId="1" fillId="0" borderId="16" xfId="1" applyBorder="1"/>
    <xf numFmtId="0" fontId="1" fillId="0" borderId="17" xfId="1" applyBorder="1"/>
    <xf numFmtId="2" fontId="1" fillId="0" borderId="18" xfId="1" applyNumberFormat="1" applyBorder="1"/>
    <xf numFmtId="0" fontId="1" fillId="0" borderId="19" xfId="1" applyBorder="1"/>
    <xf numFmtId="0" fontId="1" fillId="0" borderId="20" xfId="1" applyBorder="1"/>
    <xf numFmtId="0" fontId="1" fillId="0" borderId="21" xfId="1" applyBorder="1"/>
    <xf numFmtId="2" fontId="1" fillId="0" borderId="22" xfId="1" applyNumberFormat="1" applyBorder="1"/>
    <xf numFmtId="0" fontId="1" fillId="0" borderId="23" xfId="1" applyBorder="1"/>
    <xf numFmtId="0" fontId="1" fillId="0" borderId="0" xfId="1" applyAlignment="1">
      <alignment horizontal="left"/>
    </xf>
    <xf numFmtId="2" fontId="1" fillId="0" borderId="0" xfId="1" applyNumberFormat="1" applyAlignment="1">
      <alignment horizontal="right"/>
    </xf>
    <xf numFmtId="2" fontId="1" fillId="0" borderId="2" xfId="1" applyNumberFormat="1" applyBorder="1" applyAlignment="1">
      <alignment horizontal="right"/>
    </xf>
    <xf numFmtId="0" fontId="1" fillId="0" borderId="2" xfId="1" applyBorder="1" applyAlignment="1">
      <alignment horizontal="right"/>
    </xf>
    <xf numFmtId="0" fontId="2" fillId="0" borderId="2" xfId="1" applyFont="1" applyBorder="1" applyAlignment="1">
      <alignment horizontal="center" vertical="center" wrapText="1"/>
    </xf>
    <xf numFmtId="16" fontId="2" fillId="0" borderId="2" xfId="1" quotePrefix="1" applyNumberFormat="1" applyFont="1" applyBorder="1" applyAlignment="1">
      <alignment horizontal="center"/>
    </xf>
    <xf numFmtId="2" fontId="1" fillId="0" borderId="1" xfId="1" applyNumberFormat="1" applyBorder="1" applyAlignment="1">
      <alignment horizontal="right"/>
    </xf>
    <xf numFmtId="2" fontId="1" fillId="0" borderId="3" xfId="1" applyNumberFormat="1" applyBorder="1" applyAlignment="1">
      <alignment horizontal="right"/>
    </xf>
    <xf numFmtId="0" fontId="2" fillId="0" borderId="0" xfId="1" applyFont="1"/>
    <xf numFmtId="16" fontId="2" fillId="0" borderId="1" xfId="1" quotePrefix="1" applyNumberFormat="1" applyFont="1" applyBorder="1" applyAlignment="1">
      <alignment horizontal="center"/>
    </xf>
    <xf numFmtId="0" fontId="2" fillId="0" borderId="3" xfId="1" applyFont="1" applyBorder="1" applyAlignment="1">
      <alignment horizontal="center" vertical="center" wrapText="1"/>
    </xf>
    <xf numFmtId="0" fontId="1" fillId="0" borderId="18" xfId="1" applyBorder="1"/>
    <xf numFmtId="0" fontId="1" fillId="0" borderId="20" xfId="1" pivotButton="1" applyBorder="1"/>
    <xf numFmtId="2" fontId="1" fillId="3" borderId="3" xfId="1" applyNumberFormat="1" applyFill="1" applyBorder="1" applyAlignment="1">
      <alignment horizontal="right"/>
    </xf>
    <xf numFmtId="2" fontId="1" fillId="3" borderId="3" xfId="1" applyNumberFormat="1" applyFill="1" applyBorder="1" applyAlignment="1">
      <alignment horizontal="right" vertical="center" wrapText="1"/>
    </xf>
    <xf numFmtId="2" fontId="1" fillId="4" borderId="1" xfId="1" applyNumberFormat="1" applyFill="1" applyBorder="1" applyAlignment="1">
      <alignment horizontal="right"/>
    </xf>
    <xf numFmtId="2" fontId="1" fillId="4" borderId="3" xfId="1" applyNumberFormat="1" applyFill="1" applyBorder="1" applyAlignment="1">
      <alignment horizontal="right"/>
    </xf>
    <xf numFmtId="0" fontId="2" fillId="4" borderId="1" xfId="1" applyFont="1" applyFill="1" applyBorder="1" applyAlignment="1">
      <alignment horizontal="center"/>
    </xf>
    <xf numFmtId="0" fontId="2" fillId="4" borderId="1" xfId="1" applyFont="1" applyFill="1" applyBorder="1" applyAlignment="1">
      <alignment horizontal="center" vertical="center" wrapText="1"/>
    </xf>
    <xf numFmtId="2" fontId="1" fillId="4" borderId="2" xfId="1" applyNumberFormat="1" applyFill="1" applyBorder="1" applyAlignment="1">
      <alignment horizontal="right"/>
    </xf>
    <xf numFmtId="0" fontId="1" fillId="4" borderId="2" xfId="1" applyFill="1" applyBorder="1" applyAlignment="1">
      <alignment horizontal="right"/>
    </xf>
    <xf numFmtId="0" fontId="2" fillId="4" borderId="2" xfId="1" applyFont="1" applyFill="1" applyBorder="1" applyAlignment="1">
      <alignment horizontal="center"/>
    </xf>
    <xf numFmtId="0" fontId="2" fillId="4" borderId="2" xfId="1" applyFont="1" applyFill="1" applyBorder="1" applyAlignment="1">
      <alignment horizontal="center" vertical="center" wrapText="1"/>
    </xf>
    <xf numFmtId="2" fontId="1" fillId="0" borderId="1" xfId="1" applyNumberFormat="1" applyBorder="1" applyAlignment="1">
      <alignment horizontal="right" vertical="center"/>
    </xf>
    <xf numFmtId="2" fontId="7" fillId="0" borderId="1" xfId="1" applyNumberFormat="1" applyFont="1" applyBorder="1" applyAlignment="1">
      <alignment horizontal="right" vertical="center" wrapText="1"/>
    </xf>
    <xf numFmtId="0" fontId="2" fillId="4" borderId="3" xfId="1" applyFont="1" applyFill="1" applyBorder="1" applyAlignment="1">
      <alignment horizontal="center"/>
    </xf>
    <xf numFmtId="0" fontId="2" fillId="4" borderId="3" xfId="1" applyFont="1" applyFill="1" applyBorder="1" applyAlignment="1">
      <alignment horizontal="center" vertical="center" wrapText="1"/>
    </xf>
    <xf numFmtId="0" fontId="1" fillId="0" borderId="0" xfId="1" quotePrefix="1" applyAlignment="1">
      <alignment horizontal="left"/>
    </xf>
    <xf numFmtId="0" fontId="2" fillId="0" borderId="4" xfId="1" applyFont="1" applyBorder="1" applyAlignment="1">
      <alignment horizontal="center" vertical="center" wrapText="1"/>
    </xf>
    <xf numFmtId="0" fontId="2" fillId="0" borderId="24" xfId="1" applyFont="1" applyBorder="1" applyAlignment="1">
      <alignment horizontal="center" vertical="center"/>
    </xf>
    <xf numFmtId="0" fontId="2" fillId="0" borderId="24" xfId="1" applyFont="1" applyBorder="1" applyAlignment="1">
      <alignment horizontal="center" vertical="center" wrapText="1"/>
    </xf>
    <xf numFmtId="0" fontId="4" fillId="0" borderId="24" xfId="1" applyFont="1" applyBorder="1" applyAlignment="1">
      <alignment horizontal="center" vertical="center" wrapText="1"/>
    </xf>
    <xf numFmtId="0" fontId="4" fillId="0" borderId="24" xfId="1" applyFont="1" applyBorder="1" applyAlignment="1">
      <alignment horizontal="center" vertical="center"/>
    </xf>
    <xf numFmtId="0" fontId="1" fillId="0" borderId="25" xfId="1" applyBorder="1"/>
    <xf numFmtId="20" fontId="1" fillId="0" borderId="13" xfId="1" applyNumberFormat="1" applyBorder="1"/>
    <xf numFmtId="0" fontId="8" fillId="0" borderId="0" xfId="1" applyFont="1"/>
    <xf numFmtId="0" fontId="9" fillId="0" borderId="0" xfId="1" applyFont="1"/>
    <xf numFmtId="20" fontId="1" fillId="0" borderId="0" xfId="1" applyNumberFormat="1" applyAlignment="1">
      <alignment horizontal="left"/>
    </xf>
    <xf numFmtId="0" fontId="1" fillId="0" borderId="1" xfId="1" applyBorder="1" applyAlignment="1">
      <alignment horizontal="right"/>
    </xf>
    <xf numFmtId="0" fontId="1" fillId="0" borderId="3" xfId="1" applyBorder="1" applyAlignment="1">
      <alignment horizontal="right"/>
    </xf>
    <xf numFmtId="0" fontId="1" fillId="4" borderId="1" xfId="1" applyFill="1" applyBorder="1" applyAlignment="1">
      <alignment horizontal="right"/>
    </xf>
    <xf numFmtId="0" fontId="1" fillId="0" borderId="1" xfId="1" applyBorder="1" applyAlignment="1">
      <alignment horizontal="right" vertical="center"/>
    </xf>
    <xf numFmtId="0" fontId="7" fillId="0" borderId="1" xfId="1" applyFont="1" applyBorder="1" applyAlignment="1">
      <alignment horizontal="right" vertical="center" wrapText="1"/>
    </xf>
    <xf numFmtId="0" fontId="1" fillId="4" borderId="3" xfId="1" applyFill="1" applyBorder="1" applyAlignment="1">
      <alignment horizontal="right"/>
    </xf>
    <xf numFmtId="20" fontId="1" fillId="0" borderId="0" xfId="1" quotePrefix="1" applyNumberFormat="1" applyAlignment="1">
      <alignment horizontal="left"/>
    </xf>
    <xf numFmtId="0" fontId="1" fillId="0" borderId="3" xfId="1" applyBorder="1" applyAlignment="1">
      <alignment horizontal="right" vertical="center" wrapText="1"/>
    </xf>
    <xf numFmtId="0" fontId="1" fillId="0" borderId="1" xfId="1" applyBorder="1" applyAlignment="1">
      <alignment horizontal="right" vertical="center" wrapText="1"/>
    </xf>
    <xf numFmtId="2" fontId="1" fillId="0" borderId="26" xfId="1" applyNumberFormat="1" applyBorder="1"/>
    <xf numFmtId="2" fontId="1" fillId="0" borderId="27" xfId="1" applyNumberFormat="1" applyBorder="1"/>
    <xf numFmtId="0" fontId="1" fillId="0" borderId="28" xfId="1" applyBorder="1"/>
    <xf numFmtId="2" fontId="1" fillId="0" borderId="23" xfId="1" applyNumberFormat="1" applyBorder="1"/>
    <xf numFmtId="2" fontId="1" fillId="0" borderId="20" xfId="1" applyNumberFormat="1" applyBorder="1"/>
    <xf numFmtId="0" fontId="1" fillId="0" borderId="27" xfId="1" applyBorder="1"/>
    <xf numFmtId="0" fontId="1" fillId="0" borderId="4" xfId="1" applyBorder="1" applyAlignment="1">
      <alignment horizontal="right"/>
    </xf>
    <xf numFmtId="2" fontId="1" fillId="5" borderId="0" xfId="1" applyNumberFormat="1" applyFill="1" applyAlignment="1">
      <alignment horizontal="right"/>
    </xf>
    <xf numFmtId="2" fontId="1" fillId="5" borderId="1" xfId="1" applyNumberFormat="1" applyFill="1" applyBorder="1" applyAlignment="1">
      <alignment horizontal="right"/>
    </xf>
    <xf numFmtId="2" fontId="1" fillId="5" borderId="3" xfId="1" applyNumberFormat="1" applyFill="1" applyBorder="1" applyAlignment="1">
      <alignment horizontal="right"/>
    </xf>
    <xf numFmtId="0" fontId="1" fillId="5" borderId="1" xfId="1" applyFill="1" applyBorder="1" applyAlignment="1">
      <alignment horizontal="right"/>
    </xf>
    <xf numFmtId="0" fontId="2" fillId="5" borderId="1" xfId="1" applyFont="1" applyFill="1" applyBorder="1" applyAlignment="1">
      <alignment horizontal="center"/>
    </xf>
    <xf numFmtId="0" fontId="2" fillId="5" borderId="1" xfId="1" applyFont="1" applyFill="1" applyBorder="1" applyAlignment="1">
      <alignment horizontal="center" vertical="center" wrapText="1"/>
    </xf>
    <xf numFmtId="9" fontId="0" fillId="0" borderId="0" xfId="0" applyNumberFormat="1"/>
    <xf numFmtId="2" fontId="0" fillId="6" borderId="0" xfId="0" applyNumberFormat="1" applyFill="1"/>
    <xf numFmtId="166" fontId="0" fillId="0" borderId="0" xfId="0" applyNumberFormat="1"/>
    <xf numFmtId="0" fontId="5" fillId="0" borderId="0" xfId="1" applyFont="1" applyAlignment="1">
      <alignment horizontal="center" vertical="center"/>
    </xf>
    <xf numFmtId="0" fontId="2" fillId="0" borderId="6" xfId="1" applyFont="1" applyBorder="1" applyAlignment="1">
      <alignment horizontal="center"/>
    </xf>
    <xf numFmtId="0" fontId="2" fillId="0" borderId="5" xfId="1" applyFont="1" applyBorder="1" applyAlignment="1">
      <alignment horizontal="center"/>
    </xf>
    <xf numFmtId="0" fontId="2" fillId="0" borderId="8" xfId="1" applyFont="1" applyBorder="1" applyAlignment="1">
      <alignment horizontal="center"/>
    </xf>
    <xf numFmtId="0" fontId="2" fillId="0" borderId="7" xfId="1" applyFont="1" applyBorder="1" applyAlignment="1">
      <alignment horizontal="center"/>
    </xf>
    <xf numFmtId="0" fontId="4" fillId="0" borderId="9" xfId="1" applyFont="1" applyBorder="1" applyAlignment="1">
      <alignment horizontal="center" vertical="center" wrapText="1"/>
    </xf>
    <xf numFmtId="0" fontId="4" fillId="0" borderId="4" xfId="1" applyFont="1" applyBorder="1" applyAlignment="1">
      <alignment horizontal="center" vertical="center" wrapText="1"/>
    </xf>
    <xf numFmtId="0" fontId="2" fillId="0" borderId="9" xfId="1" applyFont="1" applyBorder="1" applyAlignment="1">
      <alignment horizontal="center"/>
    </xf>
    <xf numFmtId="0" fontId="2" fillId="0" borderId="4" xfId="1" applyFont="1" applyBorder="1" applyAlignment="1">
      <alignment horizontal="center"/>
    </xf>
    <xf numFmtId="0" fontId="2" fillId="0" borderId="11" xfId="1" applyFont="1" applyBorder="1" applyAlignment="1">
      <alignment horizontal="center" vertical="center"/>
    </xf>
    <xf numFmtId="0" fontId="2" fillId="0" borderId="10" xfId="1" applyFont="1" applyBorder="1" applyAlignment="1">
      <alignment horizontal="center" vertical="center"/>
    </xf>
    <xf numFmtId="0" fontId="2" fillId="0" borderId="12" xfId="1" applyFont="1" applyBorder="1" applyAlignment="1">
      <alignment horizontal="center" vertical="center"/>
    </xf>
    <xf numFmtId="0" fontId="1" fillId="0" borderId="12" xfId="1" applyBorder="1" applyAlignment="1">
      <alignment vertical="center" wrapText="1"/>
    </xf>
    <xf numFmtId="14" fontId="0" fillId="0" borderId="0" xfId="0" applyNumberFormat="1"/>
  </cellXfs>
  <cellStyles count="3">
    <cellStyle name="Hyperlink" xfId="2" builtinId="8"/>
    <cellStyle name="Normal" xfId="0" builtinId="0"/>
    <cellStyle name="Normal 2" xfId="1" xr:uid="{CD68FEB1-224C-40CE-AF74-0FE8619881A4}"/>
  </cellStyles>
  <dxfs count="1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2.xml"/><Relationship Id="rId21" Type="http://schemas.openxmlformats.org/officeDocument/2006/relationships/worksheet" Target="worksheets/sheet21.xml"/><Relationship Id="rId34" Type="http://schemas.openxmlformats.org/officeDocument/2006/relationships/pivotCacheDefinition" Target="pivotCache/pivotCacheDefinition7.xml"/><Relationship Id="rId42" Type="http://schemas.openxmlformats.org/officeDocument/2006/relationships/pivotCacheDefinition" Target="pivotCache/pivotCacheDefinition15.xml"/><Relationship Id="rId47" Type="http://schemas.openxmlformats.org/officeDocument/2006/relationships/pivotCacheDefinition" Target="pivotCache/pivotCacheDefinition20.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5.xml"/><Relationship Id="rId37" Type="http://schemas.openxmlformats.org/officeDocument/2006/relationships/pivotCacheDefinition" Target="pivotCache/pivotCacheDefinition10.xml"/><Relationship Id="rId40" Type="http://schemas.openxmlformats.org/officeDocument/2006/relationships/pivotCacheDefinition" Target="pivotCache/pivotCacheDefinition13.xml"/><Relationship Id="rId45" Type="http://schemas.openxmlformats.org/officeDocument/2006/relationships/pivotCacheDefinition" Target="pivotCache/pivotCacheDefinition1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4" Type="http://schemas.openxmlformats.org/officeDocument/2006/relationships/pivotCacheDefinition" Target="pivotCache/pivotCacheDefinition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43" Type="http://schemas.openxmlformats.org/officeDocument/2006/relationships/pivotCacheDefinition" Target="pivotCache/pivotCacheDefinition16.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6.xml"/><Relationship Id="rId38" Type="http://schemas.openxmlformats.org/officeDocument/2006/relationships/pivotCacheDefinition" Target="pivotCache/pivotCacheDefinition11.xml"/><Relationship Id="rId46" Type="http://schemas.openxmlformats.org/officeDocument/2006/relationships/pivotCacheDefinition" Target="pivotCache/pivotCacheDefinition19.xml"/><Relationship Id="rId20" Type="http://schemas.openxmlformats.org/officeDocument/2006/relationships/worksheet" Target="worksheets/sheet20.xml"/><Relationship Id="rId41" Type="http://schemas.openxmlformats.org/officeDocument/2006/relationships/pivotCacheDefinition" Target="pivotCache/pivotCacheDefinition14.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72962226640159"/>
          <c:y val="0.10526336598432356"/>
          <c:w val="0.66202783300198809"/>
          <c:h val="0.71255201589388262"/>
        </c:manualLayout>
      </c:layout>
      <c:scatterChart>
        <c:scatterStyle val="smoothMarker"/>
        <c:varyColors val="0"/>
        <c:ser>
          <c:idx val="0"/>
          <c:order val="0"/>
          <c:tx>
            <c:strRef>
              <c:f>EmgSummary1!$C$56</c:f>
              <c:strCache>
                <c:ptCount val="1"/>
                <c:pt idx="0">
                  <c:v>Sparse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EmgSummary1!$D$55:$M$55</c:f>
              <c:numCache>
                <c:formatCode>General</c:formatCode>
                <c:ptCount val="10"/>
                <c:pt idx="0">
                  <c:v>114</c:v>
                </c:pt>
                <c:pt idx="1">
                  <c:v>115</c:v>
                </c:pt>
                <c:pt idx="2">
                  <c:v>118</c:v>
                </c:pt>
                <c:pt idx="3">
                  <c:v>119</c:v>
                </c:pt>
                <c:pt idx="4">
                  <c:v>120</c:v>
                </c:pt>
                <c:pt idx="5">
                  <c:v>122</c:v>
                </c:pt>
                <c:pt idx="6">
                  <c:v>126</c:v>
                </c:pt>
                <c:pt idx="7">
                  <c:v>132</c:v>
                </c:pt>
                <c:pt idx="8">
                  <c:v>136</c:v>
                </c:pt>
                <c:pt idx="9">
                  <c:v>140</c:v>
                </c:pt>
              </c:numCache>
            </c:numRef>
          </c:xVal>
          <c:yVal>
            <c:numRef>
              <c:f>EmgSummary1!$D$56:$M$56</c:f>
              <c:numCache>
                <c:formatCode>0.00</c:formatCode>
                <c:ptCount val="10"/>
                <c:pt idx="0">
                  <c:v>5.2187500000000009</c:v>
                </c:pt>
                <c:pt idx="1">
                  <c:v>7.385416666666667</c:v>
                </c:pt>
                <c:pt idx="2">
                  <c:v>10.927083333333336</c:v>
                </c:pt>
                <c:pt idx="3">
                  <c:v>11.479166666666668</c:v>
                </c:pt>
                <c:pt idx="4">
                  <c:v>11.520833333333332</c:v>
                </c:pt>
                <c:pt idx="5">
                  <c:v>11.364583333333332</c:v>
                </c:pt>
                <c:pt idx="6">
                  <c:v>11.697916666666668</c:v>
                </c:pt>
                <c:pt idx="7">
                  <c:v>11.885416666666666</c:v>
                </c:pt>
                <c:pt idx="8">
                  <c:v>11.760416666666668</c:v>
                </c:pt>
                <c:pt idx="9">
                  <c:v>5.125</c:v>
                </c:pt>
              </c:numCache>
            </c:numRef>
          </c:yVal>
          <c:smooth val="1"/>
          <c:extLst>
            <c:ext xmlns:c16="http://schemas.microsoft.com/office/drawing/2014/chart" uri="{C3380CC4-5D6E-409C-BE32-E72D297353CC}">
              <c16:uniqueId val="{00000000-DA4D-4EA0-9B5D-3298A6319D77}"/>
            </c:ext>
          </c:extLst>
        </c:ser>
        <c:ser>
          <c:idx val="1"/>
          <c:order val="1"/>
          <c:tx>
            <c:strRef>
              <c:f>EmgSummary1!$C$57</c:f>
              <c:strCache>
                <c:ptCount val="1"/>
                <c:pt idx="0">
                  <c:v>Typical</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xVal>
            <c:numRef>
              <c:f>EmgSummary1!$D$55:$M$55</c:f>
              <c:numCache>
                <c:formatCode>General</c:formatCode>
                <c:ptCount val="10"/>
                <c:pt idx="0">
                  <c:v>114</c:v>
                </c:pt>
                <c:pt idx="1">
                  <c:v>115</c:v>
                </c:pt>
                <c:pt idx="2">
                  <c:v>118</c:v>
                </c:pt>
                <c:pt idx="3">
                  <c:v>119</c:v>
                </c:pt>
                <c:pt idx="4">
                  <c:v>120</c:v>
                </c:pt>
                <c:pt idx="5">
                  <c:v>122</c:v>
                </c:pt>
                <c:pt idx="6">
                  <c:v>126</c:v>
                </c:pt>
                <c:pt idx="7">
                  <c:v>132</c:v>
                </c:pt>
                <c:pt idx="8">
                  <c:v>136</c:v>
                </c:pt>
                <c:pt idx="9">
                  <c:v>140</c:v>
                </c:pt>
              </c:numCache>
            </c:numRef>
          </c:xVal>
          <c:yVal>
            <c:numRef>
              <c:f>EmgSummary1!$D$57:$M$57</c:f>
              <c:numCache>
                <c:formatCode>0.00</c:formatCode>
                <c:ptCount val="10"/>
                <c:pt idx="0">
                  <c:v>5.1979166666666661</c:v>
                </c:pt>
                <c:pt idx="1">
                  <c:v>7.140625</c:v>
                </c:pt>
                <c:pt idx="2">
                  <c:v>10.682291666666666</c:v>
                </c:pt>
                <c:pt idx="3">
                  <c:v>11.166666666666666</c:v>
                </c:pt>
                <c:pt idx="4">
                  <c:v>11.203125</c:v>
                </c:pt>
                <c:pt idx="5">
                  <c:v>11.28125</c:v>
                </c:pt>
                <c:pt idx="6">
                  <c:v>11.515625</c:v>
                </c:pt>
                <c:pt idx="7">
                  <c:v>11.822916666666666</c:v>
                </c:pt>
                <c:pt idx="8">
                  <c:v>11.604166666666666</c:v>
                </c:pt>
                <c:pt idx="9">
                  <c:v>11.647569444444446</c:v>
                </c:pt>
              </c:numCache>
            </c:numRef>
          </c:yVal>
          <c:smooth val="1"/>
          <c:extLst>
            <c:ext xmlns:c16="http://schemas.microsoft.com/office/drawing/2014/chart" uri="{C3380CC4-5D6E-409C-BE32-E72D297353CC}">
              <c16:uniqueId val="{00000001-DA4D-4EA0-9B5D-3298A6319D77}"/>
            </c:ext>
          </c:extLst>
        </c:ser>
        <c:ser>
          <c:idx val="2"/>
          <c:order val="2"/>
          <c:tx>
            <c:strRef>
              <c:f>EmgSummary1!$C$58</c:f>
              <c:strCache>
                <c:ptCount val="1"/>
                <c:pt idx="0">
                  <c:v>Dense</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xVal>
            <c:numRef>
              <c:f>EmgSummary1!$D$55:$M$55</c:f>
              <c:numCache>
                <c:formatCode>General</c:formatCode>
                <c:ptCount val="10"/>
                <c:pt idx="0">
                  <c:v>114</c:v>
                </c:pt>
                <c:pt idx="1">
                  <c:v>115</c:v>
                </c:pt>
                <c:pt idx="2">
                  <c:v>118</c:v>
                </c:pt>
                <c:pt idx="3">
                  <c:v>119</c:v>
                </c:pt>
                <c:pt idx="4">
                  <c:v>120</c:v>
                </c:pt>
                <c:pt idx="5">
                  <c:v>122</c:v>
                </c:pt>
                <c:pt idx="6">
                  <c:v>126</c:v>
                </c:pt>
                <c:pt idx="7">
                  <c:v>132</c:v>
                </c:pt>
                <c:pt idx="8">
                  <c:v>136</c:v>
                </c:pt>
                <c:pt idx="9">
                  <c:v>140</c:v>
                </c:pt>
              </c:numCache>
            </c:numRef>
          </c:xVal>
          <c:yVal>
            <c:numRef>
              <c:f>EmgSummary1!$D$58:$M$58</c:f>
              <c:numCache>
                <c:formatCode>0.00</c:formatCode>
                <c:ptCount val="10"/>
                <c:pt idx="0">
                  <c:v>13.864583333333334</c:v>
                </c:pt>
                <c:pt idx="1">
                  <c:v>17.552083333333332</c:v>
                </c:pt>
                <c:pt idx="2">
                  <c:v>21.875000000000004</c:v>
                </c:pt>
                <c:pt idx="3">
                  <c:v>22.385416666666668</c:v>
                </c:pt>
                <c:pt idx="4">
                  <c:v>22.322916666666668</c:v>
                </c:pt>
                <c:pt idx="5">
                  <c:v>22.927083333333336</c:v>
                </c:pt>
                <c:pt idx="6">
                  <c:v>23.135416666666671</c:v>
                </c:pt>
                <c:pt idx="7">
                  <c:v>23.895833333333332</c:v>
                </c:pt>
                <c:pt idx="8">
                  <c:v>23.312499999999996</c:v>
                </c:pt>
                <c:pt idx="9">
                  <c:v>23.447916666666671</c:v>
                </c:pt>
              </c:numCache>
            </c:numRef>
          </c:yVal>
          <c:smooth val="1"/>
          <c:extLst>
            <c:ext xmlns:c16="http://schemas.microsoft.com/office/drawing/2014/chart" uri="{C3380CC4-5D6E-409C-BE32-E72D297353CC}">
              <c16:uniqueId val="{00000002-DA4D-4EA0-9B5D-3298A6319D77}"/>
            </c:ext>
          </c:extLst>
        </c:ser>
        <c:ser>
          <c:idx val="4"/>
          <c:order val="3"/>
          <c:tx>
            <c:strRef>
              <c:f>EmgSummary1!$C$60</c:f>
              <c:strCache>
                <c:ptCount val="1"/>
                <c:pt idx="0">
                  <c:v>Early</c:v>
                </c:pt>
              </c:strCache>
            </c:strRef>
          </c:tx>
          <c:spPr>
            <a:ln w="12700">
              <a:solidFill>
                <a:srgbClr val="800080"/>
              </a:solidFill>
              <a:prstDash val="solid"/>
            </a:ln>
          </c:spPr>
          <c:marker>
            <c:symbol val="star"/>
            <c:size val="5"/>
            <c:spPr>
              <a:noFill/>
              <a:ln>
                <a:solidFill>
                  <a:srgbClr val="800080"/>
                </a:solidFill>
                <a:prstDash val="solid"/>
              </a:ln>
            </c:spPr>
          </c:marker>
          <c:xVal>
            <c:numRef>
              <c:f>EmgSummary1!$D$55:$M$55</c:f>
              <c:numCache>
                <c:formatCode>General</c:formatCode>
                <c:ptCount val="10"/>
                <c:pt idx="0">
                  <c:v>114</c:v>
                </c:pt>
                <c:pt idx="1">
                  <c:v>115</c:v>
                </c:pt>
                <c:pt idx="2">
                  <c:v>118</c:v>
                </c:pt>
                <c:pt idx="3">
                  <c:v>119</c:v>
                </c:pt>
                <c:pt idx="4">
                  <c:v>120</c:v>
                </c:pt>
                <c:pt idx="5">
                  <c:v>122</c:v>
                </c:pt>
                <c:pt idx="6">
                  <c:v>126</c:v>
                </c:pt>
                <c:pt idx="7">
                  <c:v>132</c:v>
                </c:pt>
                <c:pt idx="8">
                  <c:v>136</c:v>
                </c:pt>
                <c:pt idx="9">
                  <c:v>140</c:v>
                </c:pt>
              </c:numCache>
            </c:numRef>
          </c:xVal>
          <c:yVal>
            <c:numRef>
              <c:f>EmgSummary1!$D$60:$M$60</c:f>
              <c:numCache>
                <c:formatCode>0.00</c:formatCode>
                <c:ptCount val="10"/>
                <c:pt idx="0">
                  <c:v>2.125</c:v>
                </c:pt>
                <c:pt idx="1">
                  <c:v>4.75</c:v>
                </c:pt>
                <c:pt idx="2">
                  <c:v>10.5</c:v>
                </c:pt>
                <c:pt idx="3">
                  <c:v>11.333333333333332</c:v>
                </c:pt>
                <c:pt idx="4">
                  <c:v>11.125</c:v>
                </c:pt>
                <c:pt idx="5">
                  <c:v>10.5</c:v>
                </c:pt>
                <c:pt idx="6">
                  <c:v>12.541666666666668</c:v>
                </c:pt>
                <c:pt idx="7">
                  <c:v>11.708333333333332</c:v>
                </c:pt>
                <c:pt idx="8">
                  <c:v>12.166666666666668</c:v>
                </c:pt>
                <c:pt idx="9">
                  <c:v>12.138888888888889</c:v>
                </c:pt>
              </c:numCache>
            </c:numRef>
          </c:yVal>
          <c:smooth val="1"/>
          <c:extLst>
            <c:ext xmlns:c16="http://schemas.microsoft.com/office/drawing/2014/chart" uri="{C3380CC4-5D6E-409C-BE32-E72D297353CC}">
              <c16:uniqueId val="{00000003-DA4D-4EA0-9B5D-3298A6319D77}"/>
            </c:ext>
          </c:extLst>
        </c:ser>
        <c:ser>
          <c:idx val="5"/>
          <c:order val="4"/>
          <c:tx>
            <c:strRef>
              <c:f>EmgSummary1!$C$61</c:f>
              <c:strCache>
                <c:ptCount val="1"/>
                <c:pt idx="0">
                  <c:v>Late</c:v>
                </c:pt>
              </c:strCache>
            </c:strRef>
          </c:tx>
          <c:spPr>
            <a:ln w="12700">
              <a:solidFill>
                <a:srgbClr val="800000"/>
              </a:solidFill>
              <a:prstDash val="solid"/>
            </a:ln>
          </c:spPr>
          <c:marker>
            <c:symbol val="circle"/>
            <c:size val="5"/>
            <c:spPr>
              <a:solidFill>
                <a:srgbClr val="800000"/>
              </a:solidFill>
              <a:ln>
                <a:solidFill>
                  <a:srgbClr val="800000"/>
                </a:solidFill>
                <a:prstDash val="solid"/>
              </a:ln>
            </c:spPr>
          </c:marker>
          <c:xVal>
            <c:numRef>
              <c:f>EmgSummary1!$D$55:$M$55</c:f>
              <c:numCache>
                <c:formatCode>General</c:formatCode>
                <c:ptCount val="10"/>
                <c:pt idx="0">
                  <c:v>114</c:v>
                </c:pt>
                <c:pt idx="1">
                  <c:v>115</c:v>
                </c:pt>
                <c:pt idx="2">
                  <c:v>118</c:v>
                </c:pt>
                <c:pt idx="3">
                  <c:v>119</c:v>
                </c:pt>
                <c:pt idx="4">
                  <c:v>120</c:v>
                </c:pt>
                <c:pt idx="5">
                  <c:v>122</c:v>
                </c:pt>
                <c:pt idx="6">
                  <c:v>126</c:v>
                </c:pt>
                <c:pt idx="7">
                  <c:v>132</c:v>
                </c:pt>
                <c:pt idx="8">
                  <c:v>136</c:v>
                </c:pt>
                <c:pt idx="9">
                  <c:v>140</c:v>
                </c:pt>
              </c:numCache>
            </c:numRef>
          </c:xVal>
          <c:yVal>
            <c:numRef>
              <c:f>EmgSummary1!$D$61:$M$61</c:f>
              <c:numCache>
                <c:formatCode>0.00</c:formatCode>
                <c:ptCount val="10"/>
                <c:pt idx="0">
                  <c:v>1.4166666666666667</c:v>
                </c:pt>
                <c:pt idx="1">
                  <c:v>6.3333333333333339</c:v>
                </c:pt>
                <c:pt idx="2">
                  <c:v>9.1666666666666661</c:v>
                </c:pt>
                <c:pt idx="3">
                  <c:v>10.041666666666668</c:v>
                </c:pt>
                <c:pt idx="4">
                  <c:v>10.041666666666668</c:v>
                </c:pt>
                <c:pt idx="5">
                  <c:v>10</c:v>
                </c:pt>
                <c:pt idx="6">
                  <c:v>11.416666666666666</c:v>
                </c:pt>
                <c:pt idx="7">
                  <c:v>10.5</c:v>
                </c:pt>
                <c:pt idx="8">
                  <c:v>11.083333333333332</c:v>
                </c:pt>
                <c:pt idx="9">
                  <c:v>11</c:v>
                </c:pt>
              </c:numCache>
            </c:numRef>
          </c:yVal>
          <c:smooth val="1"/>
          <c:extLst>
            <c:ext xmlns:c16="http://schemas.microsoft.com/office/drawing/2014/chart" uri="{C3380CC4-5D6E-409C-BE32-E72D297353CC}">
              <c16:uniqueId val="{00000004-DA4D-4EA0-9B5D-3298A6319D77}"/>
            </c:ext>
          </c:extLst>
        </c:ser>
        <c:dLbls>
          <c:showLegendKey val="0"/>
          <c:showVal val="0"/>
          <c:showCatName val="0"/>
          <c:showSerName val="0"/>
          <c:showPercent val="0"/>
          <c:showBubbleSize val="0"/>
        </c:dLbls>
        <c:axId val="1932233632"/>
        <c:axId val="1"/>
      </c:scatterChart>
      <c:valAx>
        <c:axId val="1932233632"/>
        <c:scaling>
          <c:orientation val="minMax"/>
          <c:max val="150"/>
          <c:min val="11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 val="autoZero"/>
        <c:crossBetween val="midCat"/>
        <c:majorUnit val="10"/>
        <c:minorUnit val="1"/>
      </c:valAx>
      <c:valAx>
        <c:axId val="1"/>
        <c:scaling>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32233632"/>
        <c:crosses val="autoZero"/>
        <c:crossBetween val="midCat"/>
      </c:valAx>
      <c:spPr>
        <a:solidFill>
          <a:srgbClr val="C0C0C0"/>
        </a:solidFill>
        <a:ln w="12700">
          <a:solidFill>
            <a:srgbClr val="808080"/>
          </a:solidFill>
          <a:prstDash val="solid"/>
        </a:ln>
      </c:spPr>
    </c:plotArea>
    <c:legend>
      <c:legendPos val="r"/>
      <c:layout>
        <c:manualLayout>
          <c:xMode val="edge"/>
          <c:yMode val="edge"/>
          <c:x val="0.8250497017892644"/>
          <c:y val="0.24696405096322069"/>
          <c:w val="0.15904572564612326"/>
          <c:h val="0.42915064593608843"/>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FISE 2003 Emergence (24 Apr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8130860745210586"/>
          <c:y val="3.111111111111111E-2"/>
        </c:manualLayout>
      </c:layout>
      <c:overlay val="0"/>
      <c:spPr>
        <a:noFill/>
        <a:ln w="25400">
          <a:noFill/>
        </a:ln>
      </c:spPr>
    </c:title>
    <c:autoTitleDeleted val="0"/>
    <c:plotArea>
      <c:layout>
        <c:manualLayout>
          <c:layoutTarget val="inner"/>
          <c:xMode val="edge"/>
          <c:yMode val="edge"/>
          <c:x val="0.18878521902856585"/>
          <c:y val="0.27777838059544402"/>
          <c:w val="0.76261751845202841"/>
          <c:h val="0.54444562596707025"/>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EmgDOY114!$V$12:$V$19</c:f>
              <c:numCache>
                <c:formatCode>General</c:formatCode>
                <c:ptCount val="8"/>
                <c:pt idx="0">
                  <c:v>1</c:v>
                </c:pt>
                <c:pt idx="1">
                  <c:v>2</c:v>
                </c:pt>
                <c:pt idx="2">
                  <c:v>3</c:v>
                </c:pt>
                <c:pt idx="3">
                  <c:v>4</c:v>
                </c:pt>
                <c:pt idx="4">
                  <c:v>5</c:v>
                </c:pt>
                <c:pt idx="5">
                  <c:v>6</c:v>
                </c:pt>
                <c:pt idx="6">
                  <c:v>7</c:v>
                </c:pt>
                <c:pt idx="7">
                  <c:v>8</c:v>
                </c:pt>
              </c:numCache>
            </c:numRef>
          </c:xVal>
          <c:yVal>
            <c:numRef>
              <c:f>EmgDOY114!$W$12:$W$19</c:f>
              <c:numCache>
                <c:formatCode>0.00</c:formatCode>
                <c:ptCount val="8"/>
                <c:pt idx="0">
                  <c:v>2.4270833333333335</c:v>
                </c:pt>
                <c:pt idx="1">
                  <c:v>2.3333333333333335</c:v>
                </c:pt>
                <c:pt idx="2">
                  <c:v>5.833333333333333</c:v>
                </c:pt>
                <c:pt idx="3">
                  <c:v>6.34375</c:v>
                </c:pt>
                <c:pt idx="4">
                  <c:v>6.15625</c:v>
                </c:pt>
                <c:pt idx="5">
                  <c:v>7</c:v>
                </c:pt>
                <c:pt idx="6">
                  <c:v>8.1458333333333339</c:v>
                </c:pt>
                <c:pt idx="7">
                  <c:v>6.854166666666667</c:v>
                </c:pt>
              </c:numCache>
            </c:numRef>
          </c:yVal>
          <c:smooth val="1"/>
          <c:extLst>
            <c:ext xmlns:c16="http://schemas.microsoft.com/office/drawing/2014/chart" uri="{C3380CC4-5D6E-409C-BE32-E72D297353CC}">
              <c16:uniqueId val="{00000000-0F2E-4DE4-8BCA-800888C30DF6}"/>
            </c:ext>
          </c:extLst>
        </c:ser>
        <c:dLbls>
          <c:showLegendKey val="0"/>
          <c:showVal val="0"/>
          <c:showCatName val="0"/>
          <c:showSerName val="0"/>
          <c:showPercent val="0"/>
          <c:showBubbleSize val="0"/>
        </c:dLbls>
        <c:axId val="1532604927"/>
        <c:axId val="1"/>
      </c:scatterChart>
      <c:valAx>
        <c:axId val="153260492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271067284813693"/>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906542056074768E-2"/>
              <c:y val="0.4088898221055701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604927"/>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FISE 2003 Emergence (25 April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719628130595825"/>
          <c:y val="3.111111111111111E-2"/>
        </c:manualLayout>
      </c:layout>
      <c:overlay val="0"/>
      <c:spPr>
        <a:noFill/>
        <a:ln w="25400">
          <a:noFill/>
        </a:ln>
      </c:spPr>
    </c:title>
    <c:autoTitleDeleted val="0"/>
    <c:plotArea>
      <c:layout>
        <c:manualLayout>
          <c:layoutTarget val="inner"/>
          <c:xMode val="edge"/>
          <c:yMode val="edge"/>
          <c:x val="0.18878521902856585"/>
          <c:y val="0.27777838059544402"/>
          <c:w val="0.76261751845202841"/>
          <c:h val="0.54444562596707025"/>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EmgDOY115!$V$12:$V$19</c:f>
              <c:numCache>
                <c:formatCode>General</c:formatCode>
                <c:ptCount val="8"/>
                <c:pt idx="0">
                  <c:v>1</c:v>
                </c:pt>
                <c:pt idx="1">
                  <c:v>2</c:v>
                </c:pt>
                <c:pt idx="2">
                  <c:v>3</c:v>
                </c:pt>
                <c:pt idx="3">
                  <c:v>4</c:v>
                </c:pt>
                <c:pt idx="4">
                  <c:v>5</c:v>
                </c:pt>
                <c:pt idx="5">
                  <c:v>6</c:v>
                </c:pt>
                <c:pt idx="6">
                  <c:v>7</c:v>
                </c:pt>
                <c:pt idx="7">
                  <c:v>8</c:v>
                </c:pt>
              </c:numCache>
            </c:numRef>
          </c:xVal>
          <c:yVal>
            <c:numRef>
              <c:f>EmgDOY115!$W$12:$W$19</c:f>
              <c:numCache>
                <c:formatCode>0.00</c:formatCode>
                <c:ptCount val="8"/>
                <c:pt idx="0">
                  <c:v>4.833333333333333</c:v>
                </c:pt>
                <c:pt idx="1">
                  <c:v>4.604166666666667</c:v>
                </c:pt>
                <c:pt idx="2">
                  <c:v>7.729166666666667</c:v>
                </c:pt>
                <c:pt idx="3">
                  <c:v>7.645833333333333</c:v>
                </c:pt>
                <c:pt idx="4">
                  <c:v>8.84375</c:v>
                </c:pt>
                <c:pt idx="5">
                  <c:v>9.0416666666666661</c:v>
                </c:pt>
                <c:pt idx="6">
                  <c:v>9.6666666666666661</c:v>
                </c:pt>
                <c:pt idx="7">
                  <c:v>8.5208333333333321</c:v>
                </c:pt>
              </c:numCache>
            </c:numRef>
          </c:yVal>
          <c:smooth val="1"/>
          <c:extLst>
            <c:ext xmlns:c16="http://schemas.microsoft.com/office/drawing/2014/chart" uri="{C3380CC4-5D6E-409C-BE32-E72D297353CC}">
              <c16:uniqueId val="{00000000-0F5B-448E-8DB0-AC271F449CFD}"/>
            </c:ext>
          </c:extLst>
        </c:ser>
        <c:dLbls>
          <c:showLegendKey val="0"/>
          <c:showVal val="0"/>
          <c:showCatName val="0"/>
          <c:showSerName val="0"/>
          <c:showPercent val="0"/>
          <c:showBubbleSize val="0"/>
        </c:dLbls>
        <c:axId val="1532596767"/>
        <c:axId val="1"/>
      </c:scatterChart>
      <c:valAx>
        <c:axId val="153259676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271067284813693"/>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906542056074768E-2"/>
              <c:y val="0.4088898221055701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596767"/>
        <c:crosses val="autoZero"/>
        <c:crossBetween val="midCat"/>
        <c:majorUnit val="2"/>
        <c:minorUnit val="1"/>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FISE 2003 Emergence (28 Apr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8130860745210586"/>
          <c:y val="3.111111111111111E-2"/>
        </c:manualLayout>
      </c:layout>
      <c:overlay val="0"/>
      <c:spPr>
        <a:noFill/>
        <a:ln w="25400">
          <a:noFill/>
        </a:ln>
      </c:spPr>
    </c:title>
    <c:autoTitleDeleted val="0"/>
    <c:plotArea>
      <c:layout>
        <c:manualLayout>
          <c:layoutTarget val="inner"/>
          <c:xMode val="edge"/>
          <c:yMode val="edge"/>
          <c:x val="0.18878521902856585"/>
          <c:y val="0.27777838059544402"/>
          <c:w val="0.76261751845202841"/>
          <c:h val="0.54444562596707025"/>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EmgDOY118!$V$12:$V$19</c:f>
              <c:numCache>
                <c:formatCode>General</c:formatCode>
                <c:ptCount val="8"/>
                <c:pt idx="0">
                  <c:v>1</c:v>
                </c:pt>
                <c:pt idx="1">
                  <c:v>2</c:v>
                </c:pt>
                <c:pt idx="2">
                  <c:v>3</c:v>
                </c:pt>
                <c:pt idx="3">
                  <c:v>4</c:v>
                </c:pt>
                <c:pt idx="4">
                  <c:v>5</c:v>
                </c:pt>
                <c:pt idx="5">
                  <c:v>6</c:v>
                </c:pt>
                <c:pt idx="6">
                  <c:v>7</c:v>
                </c:pt>
                <c:pt idx="7">
                  <c:v>8</c:v>
                </c:pt>
              </c:numCache>
            </c:numRef>
          </c:xVal>
          <c:yVal>
            <c:numRef>
              <c:f>EmgDOY118!$W$12:$W$19</c:f>
              <c:numCache>
                <c:formatCode>0.00</c:formatCode>
                <c:ptCount val="8"/>
                <c:pt idx="0">
                  <c:v>9.5520833333333339</c:v>
                </c:pt>
                <c:pt idx="1">
                  <c:v>9.625</c:v>
                </c:pt>
                <c:pt idx="2">
                  <c:v>10.583333333333334</c:v>
                </c:pt>
                <c:pt idx="3">
                  <c:v>11.260416666666666</c:v>
                </c:pt>
                <c:pt idx="4">
                  <c:v>11.239583333333334</c:v>
                </c:pt>
                <c:pt idx="5">
                  <c:v>11.625</c:v>
                </c:pt>
                <c:pt idx="6">
                  <c:v>11.5</c:v>
                </c:pt>
                <c:pt idx="7">
                  <c:v>11.072916666666668</c:v>
                </c:pt>
              </c:numCache>
            </c:numRef>
          </c:yVal>
          <c:smooth val="1"/>
          <c:extLst>
            <c:ext xmlns:c16="http://schemas.microsoft.com/office/drawing/2014/chart" uri="{C3380CC4-5D6E-409C-BE32-E72D297353CC}">
              <c16:uniqueId val="{00000000-A2AD-4942-9113-86B08E2CB9F9}"/>
            </c:ext>
          </c:extLst>
        </c:ser>
        <c:dLbls>
          <c:showLegendKey val="0"/>
          <c:showVal val="0"/>
          <c:showCatName val="0"/>
          <c:showSerName val="0"/>
          <c:showPercent val="0"/>
          <c:showBubbleSize val="0"/>
        </c:dLbls>
        <c:axId val="1532595807"/>
        <c:axId val="1"/>
      </c:scatterChart>
      <c:valAx>
        <c:axId val="153259580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271067284813693"/>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906542056074768E-2"/>
              <c:y val="0.4088898221055701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595807"/>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FISE 2003 Emergence (29 Apr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8130860745210586"/>
          <c:y val="3.111111111111111E-2"/>
        </c:manualLayout>
      </c:layout>
      <c:overlay val="0"/>
      <c:spPr>
        <a:noFill/>
        <a:ln w="25400">
          <a:noFill/>
        </a:ln>
      </c:spPr>
    </c:title>
    <c:autoTitleDeleted val="0"/>
    <c:plotArea>
      <c:layout>
        <c:manualLayout>
          <c:layoutTarget val="inner"/>
          <c:xMode val="edge"/>
          <c:yMode val="edge"/>
          <c:x val="0.18878521902856585"/>
          <c:y val="0.27777838059544402"/>
          <c:w val="0.76261751845202841"/>
          <c:h val="0.54444562596707025"/>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EmgDOY119!$V$12:$V$19</c:f>
              <c:numCache>
                <c:formatCode>General</c:formatCode>
                <c:ptCount val="8"/>
                <c:pt idx="0">
                  <c:v>1</c:v>
                </c:pt>
                <c:pt idx="1">
                  <c:v>2</c:v>
                </c:pt>
                <c:pt idx="2">
                  <c:v>3</c:v>
                </c:pt>
                <c:pt idx="3">
                  <c:v>4</c:v>
                </c:pt>
                <c:pt idx="4">
                  <c:v>5</c:v>
                </c:pt>
                <c:pt idx="5">
                  <c:v>6</c:v>
                </c:pt>
                <c:pt idx="6">
                  <c:v>7</c:v>
                </c:pt>
                <c:pt idx="7">
                  <c:v>8</c:v>
                </c:pt>
              </c:numCache>
            </c:numRef>
          </c:xVal>
          <c:yVal>
            <c:numRef>
              <c:f>EmgDOY119!$W$12:$W$19</c:f>
              <c:numCache>
                <c:formatCode>0.00</c:formatCode>
                <c:ptCount val="8"/>
                <c:pt idx="0">
                  <c:v>10.614583333333334</c:v>
                </c:pt>
                <c:pt idx="1">
                  <c:v>10.958333333333332</c:v>
                </c:pt>
                <c:pt idx="2">
                  <c:v>10.71875</c:v>
                </c:pt>
                <c:pt idx="3">
                  <c:v>11.447916666666666</c:v>
                </c:pt>
                <c:pt idx="4">
                  <c:v>11.770833333333332</c:v>
                </c:pt>
                <c:pt idx="5">
                  <c:v>11.854166666666666</c:v>
                </c:pt>
                <c:pt idx="6">
                  <c:v>11.541666666666666</c:v>
                </c:pt>
                <c:pt idx="7">
                  <c:v>11.104166666666666</c:v>
                </c:pt>
              </c:numCache>
            </c:numRef>
          </c:yVal>
          <c:smooth val="1"/>
          <c:extLst>
            <c:ext xmlns:c16="http://schemas.microsoft.com/office/drawing/2014/chart" uri="{C3380CC4-5D6E-409C-BE32-E72D297353CC}">
              <c16:uniqueId val="{00000000-A0AC-474A-BCE9-2490495A4AD4}"/>
            </c:ext>
          </c:extLst>
        </c:ser>
        <c:dLbls>
          <c:showLegendKey val="0"/>
          <c:showVal val="0"/>
          <c:showCatName val="0"/>
          <c:showSerName val="0"/>
          <c:showPercent val="0"/>
          <c:showBubbleSize val="0"/>
        </c:dLbls>
        <c:axId val="1532589567"/>
        <c:axId val="1"/>
      </c:scatterChart>
      <c:valAx>
        <c:axId val="153258956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271067284813693"/>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906542056074768E-2"/>
              <c:y val="0.4088898221055701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589567"/>
        <c:crosses val="autoZero"/>
        <c:crossBetween val="midCat"/>
        <c:majorUnit val="2"/>
        <c:minorUnit val="1"/>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FISE 2003 Emergence (30 Apr 02)</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8130860745210586"/>
          <c:y val="3.111111111111111E-2"/>
        </c:manualLayout>
      </c:layout>
      <c:overlay val="0"/>
      <c:spPr>
        <a:noFill/>
        <a:ln w="25400">
          <a:noFill/>
        </a:ln>
      </c:spPr>
    </c:title>
    <c:autoTitleDeleted val="0"/>
    <c:plotArea>
      <c:layout>
        <c:manualLayout>
          <c:layoutTarget val="inner"/>
          <c:xMode val="edge"/>
          <c:yMode val="edge"/>
          <c:x val="0.18878521902856585"/>
          <c:y val="0.27777838059544402"/>
          <c:w val="0.76261751845202841"/>
          <c:h val="0.54444562596707025"/>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EmgDOY120!$V$12:$V$19</c:f>
              <c:numCache>
                <c:formatCode>General</c:formatCode>
                <c:ptCount val="8"/>
                <c:pt idx="0">
                  <c:v>1</c:v>
                </c:pt>
                <c:pt idx="1">
                  <c:v>2</c:v>
                </c:pt>
                <c:pt idx="2">
                  <c:v>3</c:v>
                </c:pt>
                <c:pt idx="3">
                  <c:v>4</c:v>
                </c:pt>
                <c:pt idx="4">
                  <c:v>5</c:v>
                </c:pt>
                <c:pt idx="5">
                  <c:v>6</c:v>
                </c:pt>
                <c:pt idx="6">
                  <c:v>7</c:v>
                </c:pt>
                <c:pt idx="7">
                  <c:v>8</c:v>
                </c:pt>
              </c:numCache>
            </c:numRef>
          </c:xVal>
          <c:yVal>
            <c:numRef>
              <c:f>EmgDOY120!$W$12:$W$19</c:f>
              <c:numCache>
                <c:formatCode>0.00</c:formatCode>
                <c:ptCount val="8"/>
                <c:pt idx="0">
                  <c:v>10.583333333333334</c:v>
                </c:pt>
                <c:pt idx="1">
                  <c:v>10.625</c:v>
                </c:pt>
                <c:pt idx="2">
                  <c:v>11.145833333333334</c:v>
                </c:pt>
                <c:pt idx="3">
                  <c:v>11.625</c:v>
                </c:pt>
                <c:pt idx="4">
                  <c:v>11.541666666666666</c:v>
                </c:pt>
                <c:pt idx="5">
                  <c:v>11.9375</c:v>
                </c:pt>
                <c:pt idx="6">
                  <c:v>11.4375</c:v>
                </c:pt>
                <c:pt idx="7">
                  <c:v>11.28125</c:v>
                </c:pt>
              </c:numCache>
            </c:numRef>
          </c:yVal>
          <c:smooth val="1"/>
          <c:extLst>
            <c:ext xmlns:c16="http://schemas.microsoft.com/office/drawing/2014/chart" uri="{C3380CC4-5D6E-409C-BE32-E72D297353CC}">
              <c16:uniqueId val="{00000000-26CB-4BE8-B978-58CF9B3275F5}"/>
            </c:ext>
          </c:extLst>
        </c:ser>
        <c:dLbls>
          <c:showLegendKey val="0"/>
          <c:showVal val="0"/>
          <c:showCatName val="0"/>
          <c:showSerName val="0"/>
          <c:showPercent val="0"/>
          <c:showBubbleSize val="0"/>
        </c:dLbls>
        <c:axId val="1532590527"/>
        <c:axId val="1"/>
      </c:scatterChart>
      <c:valAx>
        <c:axId val="153259052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271067284813693"/>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906542056074768E-2"/>
              <c:y val="0.4088898221055701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590527"/>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FISE 2003 Emergence (2 May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8878524296612456"/>
          <c:y val="3.111111111111111E-2"/>
        </c:manualLayout>
      </c:layout>
      <c:overlay val="0"/>
      <c:spPr>
        <a:noFill/>
        <a:ln w="25400">
          <a:noFill/>
        </a:ln>
      </c:spPr>
    </c:title>
    <c:autoTitleDeleted val="0"/>
    <c:plotArea>
      <c:layout>
        <c:manualLayout>
          <c:layoutTarget val="inner"/>
          <c:xMode val="edge"/>
          <c:yMode val="edge"/>
          <c:x val="0.18878521902856585"/>
          <c:y val="0.27777838059544402"/>
          <c:w val="0.76261751845202841"/>
          <c:h val="0.54444562596707025"/>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EmgDOY122!$V$12:$V$19</c:f>
              <c:numCache>
                <c:formatCode>General</c:formatCode>
                <c:ptCount val="8"/>
                <c:pt idx="0">
                  <c:v>1</c:v>
                </c:pt>
                <c:pt idx="1">
                  <c:v>2</c:v>
                </c:pt>
                <c:pt idx="2">
                  <c:v>3</c:v>
                </c:pt>
                <c:pt idx="3">
                  <c:v>4</c:v>
                </c:pt>
                <c:pt idx="4">
                  <c:v>5</c:v>
                </c:pt>
                <c:pt idx="5">
                  <c:v>6</c:v>
                </c:pt>
                <c:pt idx="6">
                  <c:v>7</c:v>
                </c:pt>
                <c:pt idx="7">
                  <c:v>8</c:v>
                </c:pt>
              </c:numCache>
            </c:numRef>
          </c:xVal>
          <c:yVal>
            <c:numRef>
              <c:f>EmgDOY122!$W$12:$W$19</c:f>
              <c:numCache>
                <c:formatCode>0.00</c:formatCode>
                <c:ptCount val="8"/>
                <c:pt idx="0">
                  <c:v>10.5</c:v>
                </c:pt>
                <c:pt idx="1">
                  <c:v>11.0625</c:v>
                </c:pt>
                <c:pt idx="2">
                  <c:v>10.802083333333332</c:v>
                </c:pt>
                <c:pt idx="3">
                  <c:v>11.3125</c:v>
                </c:pt>
                <c:pt idx="4">
                  <c:v>11.822916666666666</c:v>
                </c:pt>
                <c:pt idx="5">
                  <c:v>11.979166666666668</c:v>
                </c:pt>
                <c:pt idx="6">
                  <c:v>11.666666666666666</c:v>
                </c:pt>
                <c:pt idx="7">
                  <c:v>11.635416666666666</c:v>
                </c:pt>
              </c:numCache>
            </c:numRef>
          </c:yVal>
          <c:smooth val="1"/>
          <c:extLst>
            <c:ext xmlns:c16="http://schemas.microsoft.com/office/drawing/2014/chart" uri="{C3380CC4-5D6E-409C-BE32-E72D297353CC}">
              <c16:uniqueId val="{00000000-374A-4F07-8557-7A7F62AFEF68}"/>
            </c:ext>
          </c:extLst>
        </c:ser>
        <c:dLbls>
          <c:showLegendKey val="0"/>
          <c:showVal val="0"/>
          <c:showCatName val="0"/>
          <c:showSerName val="0"/>
          <c:showPercent val="0"/>
          <c:showBubbleSize val="0"/>
        </c:dLbls>
        <c:axId val="1532591967"/>
        <c:axId val="1"/>
      </c:scatterChart>
      <c:valAx>
        <c:axId val="153259196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271067284813693"/>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906542056074768E-2"/>
              <c:y val="0.4088898221055701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591967"/>
        <c:crosses val="autoZero"/>
        <c:crossBetween val="midCat"/>
        <c:majorUnit val="2"/>
        <c:minorUnit val="1"/>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25" b="1" i="0" u="none" strike="noStrike" baseline="0">
                <a:solidFill>
                  <a:srgbClr val="000000"/>
                </a:solidFill>
                <a:latin typeface="Arial"/>
                <a:cs typeface="Arial"/>
              </a:rPr>
              <a:t>FISE 2003 Emergence (6 May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8819188191881919"/>
          <c:y val="3.111111111111111E-2"/>
        </c:manualLayout>
      </c:layout>
      <c:overlay val="0"/>
      <c:spPr>
        <a:noFill/>
        <a:ln w="25400">
          <a:noFill/>
        </a:ln>
      </c:spPr>
    </c:title>
    <c:autoTitleDeleted val="0"/>
    <c:plotArea>
      <c:layout>
        <c:manualLayout>
          <c:layoutTarget val="inner"/>
          <c:xMode val="edge"/>
          <c:yMode val="edge"/>
          <c:x val="0.18634686346863469"/>
          <c:y val="0.28000060764020757"/>
          <c:w val="0.76568265682656822"/>
          <c:h val="0.54222339892230664"/>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strRef>
              <c:f>EmgDOY126!$V$12:$V$19</c:f>
              <c:strCache>
                <c:ptCount val="5"/>
                <c:pt idx="0">
                  <c:v>1</c:v>
                </c:pt>
                <c:pt idx="1">
                  <c:v>2</c:v>
                </c:pt>
                <c:pt idx="2">
                  <c:v>3</c:v>
                </c:pt>
                <c:pt idx="3">
                  <c:v>4</c:v>
                </c:pt>
                <c:pt idx="4">
                  <c:v>Grand Total</c:v>
                </c:pt>
              </c:strCache>
            </c:strRef>
          </c:xVal>
          <c:yVal>
            <c:numRef>
              <c:f>EmgDOY126!$W$12:$W$19</c:f>
              <c:numCache>
                <c:formatCode>0.00</c:formatCode>
                <c:ptCount val="8"/>
                <c:pt idx="0">
                  <c:v>10.390625</c:v>
                </c:pt>
                <c:pt idx="1">
                  <c:v>10.869791666666666</c:v>
                </c:pt>
                <c:pt idx="2">
                  <c:v>12.645833333333334</c:v>
                </c:pt>
                <c:pt idx="3">
                  <c:v>12.390625</c:v>
                </c:pt>
                <c:pt idx="4">
                  <c:v>11.57421875</c:v>
                </c:pt>
              </c:numCache>
            </c:numRef>
          </c:yVal>
          <c:smooth val="1"/>
          <c:extLst>
            <c:ext xmlns:c16="http://schemas.microsoft.com/office/drawing/2014/chart" uri="{C3380CC4-5D6E-409C-BE32-E72D297353CC}">
              <c16:uniqueId val="{00000000-BA21-4397-850D-88AFE40EFA50}"/>
            </c:ext>
          </c:extLst>
        </c:ser>
        <c:dLbls>
          <c:showLegendKey val="0"/>
          <c:showVal val="0"/>
          <c:showCatName val="0"/>
          <c:showSerName val="0"/>
          <c:showPercent val="0"/>
          <c:showBubbleSize val="0"/>
        </c:dLbls>
        <c:axId val="1532591487"/>
        <c:axId val="1"/>
      </c:scatterChart>
      <c:valAx>
        <c:axId val="153259148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394833948339481"/>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520295202952029E-2"/>
              <c:y val="0.4111120443277923"/>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591487"/>
        <c:crosses val="autoZero"/>
        <c:crossBetween val="midCat"/>
        <c:majorUnit val="2"/>
        <c:minorUnit val="1"/>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FISE 2003 Emergence (12 May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7757028969509653"/>
          <c:y val="3.111111111111111E-2"/>
        </c:manualLayout>
      </c:layout>
      <c:overlay val="0"/>
      <c:spPr>
        <a:noFill/>
        <a:ln w="25400">
          <a:noFill/>
        </a:ln>
      </c:spPr>
    </c:title>
    <c:autoTitleDeleted val="0"/>
    <c:plotArea>
      <c:layout>
        <c:manualLayout>
          <c:layoutTarget val="inner"/>
          <c:xMode val="edge"/>
          <c:yMode val="edge"/>
          <c:x val="0.18878521902856585"/>
          <c:y val="0.27777838059544402"/>
          <c:w val="0.76261751845202841"/>
          <c:h val="0.54444562596707025"/>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strRef>
              <c:f>EmgDOY132!$V$12:$V$19</c:f>
              <c:strCache>
                <c:ptCount val="5"/>
                <c:pt idx="0">
                  <c:v>1</c:v>
                </c:pt>
                <c:pt idx="1">
                  <c:v>2</c:v>
                </c:pt>
                <c:pt idx="2">
                  <c:v>3</c:v>
                </c:pt>
                <c:pt idx="3">
                  <c:v>4</c:v>
                </c:pt>
                <c:pt idx="4">
                  <c:v>Grand Total</c:v>
                </c:pt>
              </c:strCache>
            </c:strRef>
          </c:xVal>
          <c:yVal>
            <c:numRef>
              <c:f>EmgDOY132!$W$12:$W$19</c:f>
              <c:numCache>
                <c:formatCode>0.00</c:formatCode>
                <c:ptCount val="8"/>
                <c:pt idx="0">
                  <c:v>12.109375</c:v>
                </c:pt>
                <c:pt idx="1">
                  <c:v>12.598958333333332</c:v>
                </c:pt>
                <c:pt idx="2">
                  <c:v>11.583333333333332</c:v>
                </c:pt>
                <c:pt idx="3">
                  <c:v>11.1875</c:v>
                </c:pt>
                <c:pt idx="4">
                  <c:v>11.869791666666668</c:v>
                </c:pt>
              </c:numCache>
            </c:numRef>
          </c:yVal>
          <c:smooth val="1"/>
          <c:extLst>
            <c:ext xmlns:c16="http://schemas.microsoft.com/office/drawing/2014/chart" uri="{C3380CC4-5D6E-409C-BE32-E72D297353CC}">
              <c16:uniqueId val="{00000000-CC72-4819-993B-67EF93A4484B}"/>
            </c:ext>
          </c:extLst>
        </c:ser>
        <c:dLbls>
          <c:showLegendKey val="0"/>
          <c:showVal val="0"/>
          <c:showCatName val="0"/>
          <c:showSerName val="0"/>
          <c:showPercent val="0"/>
          <c:showBubbleSize val="0"/>
        </c:dLbls>
        <c:axId val="1532600127"/>
        <c:axId val="1"/>
      </c:scatterChart>
      <c:valAx>
        <c:axId val="153260012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271067284813693"/>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906542056074768E-2"/>
              <c:y val="0.40888982210557012"/>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600127"/>
        <c:crosses val="autoZero"/>
        <c:crossBetween val="midCat"/>
        <c:majorUnit val="2"/>
        <c:minorUnit val="1"/>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25" b="1" i="0" u="none" strike="noStrike" baseline="0">
                <a:solidFill>
                  <a:srgbClr val="000000"/>
                </a:solidFill>
                <a:latin typeface="Arial"/>
                <a:cs typeface="Arial"/>
              </a:rPr>
              <a:t>FISE 2003 Emergence (16 May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7712177121771217"/>
          <c:y val="3.111111111111111E-2"/>
        </c:manualLayout>
      </c:layout>
      <c:overlay val="0"/>
      <c:spPr>
        <a:noFill/>
        <a:ln w="25400">
          <a:noFill/>
        </a:ln>
      </c:spPr>
    </c:title>
    <c:autoTitleDeleted val="0"/>
    <c:plotArea>
      <c:layout>
        <c:manualLayout>
          <c:layoutTarget val="inner"/>
          <c:xMode val="edge"/>
          <c:yMode val="edge"/>
          <c:x val="0.18634686346863469"/>
          <c:y val="0.28000060764020757"/>
          <c:w val="0.76568265682656822"/>
          <c:h val="0.54222339892230664"/>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EmgDOY136!$V$12:$V$19</c:f>
              <c:numCache>
                <c:formatCode>General</c:formatCode>
                <c:ptCount val="8"/>
                <c:pt idx="0">
                  <c:v>1</c:v>
                </c:pt>
                <c:pt idx="1">
                  <c:v>2</c:v>
                </c:pt>
                <c:pt idx="2">
                  <c:v>3</c:v>
                </c:pt>
                <c:pt idx="3">
                  <c:v>4</c:v>
                </c:pt>
                <c:pt idx="4">
                  <c:v>5</c:v>
                </c:pt>
                <c:pt idx="5">
                  <c:v>6</c:v>
                </c:pt>
                <c:pt idx="6">
                  <c:v>7</c:v>
                </c:pt>
                <c:pt idx="7">
                  <c:v>8</c:v>
                </c:pt>
              </c:numCache>
            </c:numRef>
          </c:xVal>
          <c:yVal>
            <c:numRef>
              <c:f>EmgDOY136!$W$12:$W$19</c:f>
              <c:numCache>
                <c:formatCode>0.00</c:formatCode>
                <c:ptCount val="8"/>
                <c:pt idx="0">
                  <c:v>10.90625</c:v>
                </c:pt>
                <c:pt idx="1">
                  <c:v>11.291666666666666</c:v>
                </c:pt>
                <c:pt idx="2">
                  <c:v>11.208333333333334</c:v>
                </c:pt>
                <c:pt idx="3">
                  <c:v>11.9375</c:v>
                </c:pt>
                <c:pt idx="4">
                  <c:v>12.03125</c:v>
                </c:pt>
                <c:pt idx="5">
                  <c:v>12.25</c:v>
                </c:pt>
                <c:pt idx="6">
                  <c:v>11.958333333333334</c:v>
                </c:pt>
                <c:pt idx="7">
                  <c:v>11.666666666666668</c:v>
                </c:pt>
              </c:numCache>
            </c:numRef>
          </c:yVal>
          <c:smooth val="1"/>
          <c:extLst>
            <c:ext xmlns:c16="http://schemas.microsoft.com/office/drawing/2014/chart" uri="{C3380CC4-5D6E-409C-BE32-E72D297353CC}">
              <c16:uniqueId val="{00000000-70D8-465B-A6D6-1597F46098E0}"/>
            </c:ext>
          </c:extLst>
        </c:ser>
        <c:dLbls>
          <c:showLegendKey val="0"/>
          <c:showVal val="0"/>
          <c:showCatName val="0"/>
          <c:showSerName val="0"/>
          <c:showPercent val="0"/>
          <c:showBubbleSize val="0"/>
        </c:dLbls>
        <c:axId val="1532611167"/>
        <c:axId val="1"/>
      </c:scatterChart>
      <c:valAx>
        <c:axId val="153261116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394833948339481"/>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520295202952029E-2"/>
              <c:y val="0.4111120443277923"/>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611167"/>
        <c:crosses val="autoZero"/>
        <c:crossBetween val="midCat"/>
        <c:majorUnit val="2"/>
        <c:minorUnit val="1"/>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625" b="1" i="0" u="none" strike="noStrike" baseline="0">
                <a:solidFill>
                  <a:srgbClr val="000000"/>
                </a:solidFill>
                <a:latin typeface="Arial"/>
                <a:cs typeface="Arial"/>
              </a:rPr>
              <a:t>FISE 2003 Emergence (21 May 03)</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(data are normalized for sparse &amp; dense plots to</a:t>
            </a:r>
          </a:p>
          <a:p>
            <a:pPr>
              <a:defRPr sz="1200" b="0"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examine east/west position effects)</a:t>
            </a:r>
          </a:p>
        </c:rich>
      </c:tx>
      <c:layout>
        <c:manualLayout>
          <c:xMode val="edge"/>
          <c:yMode val="edge"/>
          <c:x val="0.15867158671586715"/>
          <c:y val="3.111111111111111E-2"/>
        </c:manualLayout>
      </c:layout>
      <c:overlay val="0"/>
      <c:spPr>
        <a:noFill/>
        <a:ln w="25400">
          <a:noFill/>
        </a:ln>
      </c:spPr>
    </c:title>
    <c:autoTitleDeleted val="0"/>
    <c:plotArea>
      <c:layout>
        <c:manualLayout>
          <c:layoutTarget val="inner"/>
          <c:xMode val="edge"/>
          <c:yMode val="edge"/>
          <c:x val="0.18634686346863469"/>
          <c:y val="0.28000060764020757"/>
          <c:w val="0.76568265682656822"/>
          <c:h val="0.54222339892230664"/>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DenDOY141!$V$12:$V$19</c:f>
              <c:numCache>
                <c:formatCode>General</c:formatCode>
                <c:ptCount val="8"/>
                <c:pt idx="0">
                  <c:v>1</c:v>
                </c:pt>
                <c:pt idx="1">
                  <c:v>2</c:v>
                </c:pt>
                <c:pt idx="2">
                  <c:v>3</c:v>
                </c:pt>
                <c:pt idx="3">
                  <c:v>4</c:v>
                </c:pt>
                <c:pt idx="4">
                  <c:v>5</c:v>
                </c:pt>
                <c:pt idx="5">
                  <c:v>6</c:v>
                </c:pt>
                <c:pt idx="6">
                  <c:v>7</c:v>
                </c:pt>
                <c:pt idx="7">
                  <c:v>8</c:v>
                </c:pt>
              </c:numCache>
            </c:numRef>
          </c:xVal>
          <c:yVal>
            <c:numRef>
              <c:f>DenDOY141!$W$12:$W$19</c:f>
              <c:numCache>
                <c:formatCode>0.00</c:formatCode>
                <c:ptCount val="8"/>
                <c:pt idx="0">
                  <c:v>10.621527777777779</c:v>
                </c:pt>
                <c:pt idx="1">
                  <c:v>11.333333333333334</c:v>
                </c:pt>
                <c:pt idx="2">
                  <c:v>10.996527777777779</c:v>
                </c:pt>
                <c:pt idx="3">
                  <c:v>11.364583333333336</c:v>
                </c:pt>
                <c:pt idx="4">
                  <c:v>11.663194444444446</c:v>
                </c:pt>
                <c:pt idx="5">
                  <c:v>11.795138888888889</c:v>
                </c:pt>
                <c:pt idx="6">
                  <c:v>11.322916666666666</c:v>
                </c:pt>
                <c:pt idx="7">
                  <c:v>11.440972222222223</c:v>
                </c:pt>
              </c:numCache>
            </c:numRef>
          </c:yVal>
          <c:smooth val="1"/>
          <c:extLst>
            <c:ext xmlns:c16="http://schemas.microsoft.com/office/drawing/2014/chart" uri="{C3380CC4-5D6E-409C-BE32-E72D297353CC}">
              <c16:uniqueId val="{00000000-F5C4-41FD-8932-ECE9A587DFE4}"/>
            </c:ext>
          </c:extLst>
        </c:ser>
        <c:dLbls>
          <c:showLegendKey val="0"/>
          <c:showVal val="0"/>
          <c:showCatName val="0"/>
          <c:showSerName val="0"/>
          <c:showPercent val="0"/>
          <c:showBubbleSize val="0"/>
        </c:dLbls>
        <c:axId val="1532614047"/>
        <c:axId val="1"/>
      </c:scatterChart>
      <c:valAx>
        <c:axId val="1532614047"/>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Column position (1=west,8=east)</a:t>
                </a:r>
              </a:p>
            </c:rich>
          </c:tx>
          <c:layout>
            <c:manualLayout>
              <c:xMode val="edge"/>
              <c:yMode val="edge"/>
              <c:x val="0.33394833948339481"/>
              <c:y val="0.9022240886555846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max val="15"/>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No plants/meter</a:t>
                </a:r>
              </a:p>
            </c:rich>
          </c:tx>
          <c:layout>
            <c:manualLayout>
              <c:xMode val="edge"/>
              <c:yMode val="edge"/>
              <c:x val="2.9520295202952029E-2"/>
              <c:y val="0.4111120443277923"/>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532614047"/>
        <c:crosses val="autoZero"/>
        <c:crossBetween val="midCat"/>
        <c:majorUnit val="2"/>
        <c:minorUnit val="1"/>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D773A7CF-B08F-4F8E-ADC7-B762079AC87A}"/>
            </a:ext>
          </a:extLst>
        </xdr:cNvPr>
        <xdr:cNvSpPr>
          <a:spLocks noChangeShapeType="1"/>
        </xdr:cNvSpPr>
      </xdr:nvSpPr>
      <xdr:spPr bwMode="auto">
        <a:xfrm flipV="1">
          <a:off x="0" y="0"/>
          <a:ext cx="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6270D8E1-4E5A-40EE-B7CE-51AE0433E01A}"/>
            </a:ext>
          </a:extLst>
        </xdr:cNvPr>
        <xdr:cNvSpPr>
          <a:spLocks noChangeShapeType="1"/>
        </xdr:cNvSpPr>
      </xdr:nvSpPr>
      <xdr:spPr bwMode="auto">
        <a:xfrm flipV="1">
          <a:off x="0" y="0"/>
          <a:ext cx="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9926FF28-8E68-4423-A029-CDDE732C7EE1}"/>
            </a:ext>
          </a:extLst>
        </xdr:cNvPr>
        <xdr:cNvSpPr>
          <a:spLocks noChangeShapeType="1"/>
        </xdr:cNvSpPr>
      </xdr:nvSpPr>
      <xdr:spPr bwMode="auto">
        <a:xfrm flipV="1">
          <a:off x="0" y="0"/>
          <a:ext cx="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3E89E9CA-B49D-45E6-BBE3-0F070E20354C}"/>
            </a:ext>
          </a:extLst>
        </xdr:cNvPr>
        <xdr:cNvSpPr>
          <a:spLocks noChangeShapeType="1"/>
        </xdr:cNvSpPr>
      </xdr:nvSpPr>
      <xdr:spPr bwMode="auto">
        <a:xfrm flipV="1">
          <a:off x="0" y="0"/>
          <a:ext cx="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BD95CF2C-0B38-4B9A-AC91-40170288FC5D}"/>
            </a:ext>
          </a:extLst>
        </xdr:cNvPr>
        <xdr:cNvSpPr>
          <a:spLocks noChangeShapeType="1"/>
        </xdr:cNvSpPr>
      </xdr:nvSpPr>
      <xdr:spPr bwMode="auto">
        <a:xfrm flipV="1">
          <a:off x="0" y="0"/>
          <a:ext cx="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A3729B0E-6B51-450B-B14B-87BD408E434B}"/>
            </a:ext>
          </a:extLst>
        </xdr:cNvPr>
        <xdr:cNvSpPr>
          <a:spLocks noChangeShapeType="1"/>
        </xdr:cNvSpPr>
      </xdr:nvSpPr>
      <xdr:spPr bwMode="auto">
        <a:xfrm flipV="1">
          <a:off x="0" y="0"/>
          <a:ext cx="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C8B6BA3B-F80A-4D95-B4F5-2D764D2DF2F7}"/>
            </a:ext>
          </a:extLst>
        </xdr:cNvPr>
        <xdr:cNvSpPr>
          <a:spLocks noChangeShapeType="1"/>
        </xdr:cNvSpPr>
      </xdr:nvSpPr>
      <xdr:spPr bwMode="auto">
        <a:xfrm flipV="1">
          <a:off x="0" y="0"/>
          <a:ext cx="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Line 1">
          <a:extLst>
            <a:ext uri="{FF2B5EF4-FFF2-40B4-BE49-F238E27FC236}">
              <a16:creationId xmlns:a16="http://schemas.microsoft.com/office/drawing/2014/main" id="{8BAC7DC4-97E4-47DD-AAC5-3981C2045742}"/>
            </a:ext>
          </a:extLst>
        </xdr:cNvPr>
        <xdr:cNvSpPr>
          <a:spLocks noChangeShapeType="1"/>
        </xdr:cNvSpPr>
      </xdr:nvSpPr>
      <xdr:spPr bwMode="auto">
        <a:xfrm flipV="1">
          <a:off x="0" y="0"/>
          <a:ext cx="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stealth" w="med" len="lg"/>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76200</xdr:colOff>
      <xdr:row>60</xdr:row>
      <xdr:rowOff>66675</xdr:rowOff>
    </xdr:from>
    <xdr:to>
      <xdr:col>11</xdr:col>
      <xdr:colOff>600075</xdr:colOff>
      <xdr:row>74</xdr:row>
      <xdr:rowOff>152400</xdr:rowOff>
    </xdr:to>
    <xdr:graphicFrame macro="">
      <xdr:nvGraphicFramePr>
        <xdr:cNvPr id="2" name="Chart 13">
          <a:extLst>
            <a:ext uri="{FF2B5EF4-FFF2-40B4-BE49-F238E27FC236}">
              <a16:creationId xmlns:a16="http://schemas.microsoft.com/office/drawing/2014/main" id="{D45AD93E-D31C-492F-9B19-5C2EFA645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F98939B2-0B35-44BC-BFAB-499C134CA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306977E6-CD8F-46D8-98DB-7F060AC52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373CA1BB-9231-45B8-A754-C5CA48C0B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693C36BD-508B-4461-88CF-9FAB72A33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C53E29F1-A90C-4999-9A5D-9EEF80FDD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8EA38A23-ADC7-42AE-806F-0CCE0DCB3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0830A0EF-6A57-4760-AF38-C9DCECB96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D8708C67-D96D-4ACB-AF28-4DDA81B53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09B49400-350C-47A2-9942-E1E1DAC6F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25</xdr:col>
      <xdr:colOff>47625</xdr:colOff>
      <xdr:row>8</xdr:row>
      <xdr:rowOff>400050</xdr:rowOff>
    </xdr:from>
    <xdr:to>
      <xdr:col>33</xdr:col>
      <xdr:colOff>476250</xdr:colOff>
      <xdr:row>33</xdr:row>
      <xdr:rowOff>114300</xdr:rowOff>
    </xdr:to>
    <xdr:graphicFrame macro="">
      <xdr:nvGraphicFramePr>
        <xdr:cNvPr id="2" name="Chart 1">
          <a:extLst>
            <a:ext uri="{FF2B5EF4-FFF2-40B4-BE49-F238E27FC236}">
              <a16:creationId xmlns:a16="http://schemas.microsoft.com/office/drawing/2014/main" id="{2F04FE6F-AC38-4455-ABB1-49A7C114B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2" Type="http://schemas.microsoft.com/office/2006/relationships/xlExternalLinkPath/xlPathMissing" Target="2003_F105_CO_FISE_CropCanopy.xlsx" TargetMode="External"/><Relationship Id="rId1" Type="http://schemas.openxmlformats.org/officeDocument/2006/relationships/pivotCacheRecords" Target="pivotCacheRecords2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0.37356388889" createdVersion="1" refreshedVersion="1" recordCount="32" xr:uid="{28993436-4C1C-4052-86F7-E9C876C7F17C}">
  <cacheSource type="worksheet">
    <worksheetSource ref="B9:T41" sheet="DOY114" r:id="rId2"/>
  </cacheSource>
  <cacheFields count="19">
    <cacheField name="Plot" numFmtId="0">
      <sharedItems containsSemiMixedTypes="0" containsString="0" containsNumber="1" containsInteger="1" minValue="101" maxValue="408" count="32">
        <n v="101"/>
        <n v="102"/>
        <n v="103"/>
        <n v="104"/>
        <n v="105"/>
        <n v="106"/>
        <n v="107"/>
        <n v="108"/>
        <n v="201"/>
        <n v="202"/>
        <n v="203"/>
        <n v="204"/>
        <n v="205"/>
        <n v="206"/>
        <n v="207"/>
        <n v="208"/>
        <n v="301"/>
        <n v="302"/>
        <n v="303"/>
        <n v="304"/>
        <n v="305"/>
        <n v="306"/>
        <n v="307"/>
        <n v="308"/>
        <n v="401"/>
        <n v="402"/>
        <n v="403"/>
        <n v="404"/>
        <n v="405"/>
        <n v="406"/>
        <n v="407"/>
        <n v="408"/>
      </sharedItems>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0" maxValue="40" count="21">
        <n v="6"/>
        <n v="8"/>
        <n v="29"/>
        <n v="28"/>
        <n v="18"/>
        <n v="15"/>
        <n v="17"/>
        <n v="21"/>
        <n v="9"/>
        <n v="33"/>
        <n v="4"/>
        <n v="14"/>
        <n v="16"/>
        <n v="0"/>
        <n v="10"/>
        <n v="25"/>
        <n v="40"/>
        <n v="3"/>
        <n v="35"/>
        <n v="13"/>
        <n v="20"/>
      </sharedItems>
    </cacheField>
    <cacheField name="Bed4" numFmtId="0">
      <sharedItems containsSemiMixedTypes="0" containsString="0" containsNumber="1" containsInteger="1" minValue="0" maxValue="41" count="22">
        <n v="6"/>
        <n v="1"/>
        <n v="30"/>
        <n v="14"/>
        <n v="10"/>
        <n v="15"/>
        <n v="13"/>
        <n v="26"/>
        <n v="2"/>
        <n v="19"/>
        <n v="36"/>
        <n v="8"/>
        <n v="0"/>
        <n v="5"/>
        <n v="16"/>
        <n v="31"/>
        <n v="12"/>
        <n v="41"/>
        <n v="4"/>
        <n v="27"/>
        <n v="25"/>
        <n v="20"/>
      </sharedItems>
    </cacheField>
    <cacheField name="Bed5" numFmtId="0">
      <sharedItems containsSemiMixedTypes="0" containsString="0" containsNumber="1" containsInteger="1" minValue="2" maxValue="36" count="18">
        <n v="4"/>
        <n v="3"/>
        <n v="29"/>
        <n v="6"/>
        <n v="24"/>
        <n v="12"/>
        <n v="15"/>
        <n v="10"/>
        <n v="21"/>
        <n v="36"/>
        <n v="20"/>
        <n v="17"/>
        <n v="7"/>
        <n v="2"/>
        <n v="11"/>
        <n v="30"/>
        <n v="25"/>
        <n v="16"/>
      </sharedItems>
    </cacheField>
    <cacheField name="Bed6" numFmtId="0">
      <sharedItems containsSemiMixedTypes="0" containsString="0" containsNumber="1" containsInteger="1" minValue="0" maxValue="33" count="22">
        <n v="3"/>
        <n v="0"/>
        <n v="29"/>
        <n v="2"/>
        <n v="20"/>
        <n v="10"/>
        <n v="14"/>
        <n v="17"/>
        <n v="7"/>
        <n v="33"/>
        <n v="15"/>
        <n v="1"/>
        <n v="4"/>
        <n v="8"/>
        <n v="30"/>
        <n v="24"/>
        <n v="32"/>
        <n v="9"/>
        <n v="16"/>
        <n v="11"/>
        <n v="18"/>
        <n v="5"/>
      </sharedItems>
    </cacheField>
    <cacheField name="Bed7" numFmtId="0">
      <sharedItems containsSemiMixedTypes="0" containsString="0" containsNumber="1" containsInteger="1" minValue="0" maxValue="42" count="21">
        <n v="1"/>
        <n v="31"/>
        <n v="9"/>
        <n v="25"/>
        <n v="15"/>
        <n v="16"/>
        <n v="11"/>
        <n v="4"/>
        <n v="14"/>
        <n v="42"/>
        <n v="7"/>
        <n v="21"/>
        <n v="20"/>
        <n v="13"/>
        <n v="0"/>
        <n v="30"/>
        <n v="18"/>
        <n v="32"/>
        <n v="22"/>
        <n v="23"/>
        <n v="19"/>
      </sharedItems>
    </cacheField>
    <cacheField name="Bed8" numFmtId="0">
      <sharedItems containsSemiMixedTypes="0" containsString="0" containsNumber="1" containsInteger="1" minValue="1" maxValue="42" count="20">
        <n v="6"/>
        <n v="16"/>
        <n v="42"/>
        <n v="13"/>
        <n v="39"/>
        <n v="14"/>
        <n v="19"/>
        <n v="10"/>
        <n v="31"/>
        <n v="11"/>
        <n v="20"/>
        <n v="8"/>
        <n v="1"/>
        <n v="18"/>
        <n v="35"/>
        <n v="17"/>
        <n v="2"/>
        <n v="21"/>
        <n v="12"/>
        <n v="15"/>
      </sharedItems>
    </cacheField>
    <cacheField name="Mean per meter" numFmtId="0">
      <sharedItems containsSemiMixedTypes="0" containsString="0" containsNumber="1" minValue="1" maxValue="17.583333333333332" count="28">
        <n v="2.1666666666666665"/>
        <n v="2.4166666666666665"/>
        <n v="15.833333333333334"/>
        <n v="4.166666666666667"/>
        <n v="12.166666666666666"/>
        <n v="6.5"/>
        <n v="7.416666666666667"/>
        <n v="6.666666666666667"/>
        <n v="9.0833333333333339"/>
        <n v="3.3333333333333335"/>
        <n v="6.166666666666667"/>
        <n v="17.583333333333332"/>
        <n v="4.5"/>
        <n v="8.8333333333333339"/>
        <n v="6.75"/>
        <n v="1"/>
        <n v="2.0833333333333335"/>
        <n v="3.1666666666666665"/>
        <n v="5.25"/>
        <n v="14.333333333333334"/>
        <n v="6.333333333333333"/>
        <n v="8.6666666666666661"/>
        <n v="16"/>
        <n v="2"/>
        <n v="1.5"/>
        <n v="7.166666666666667"/>
        <n v="13.75"/>
        <n v="6"/>
      </sharedItems>
    </cacheField>
    <cacheField name="std err" numFmtId="0">
      <sharedItems containsSemiMixedTypes="0" containsString="0" containsNumber="1" minValue="0.15365907428821277" maxValue="1.9436506316151008"/>
    </cacheField>
    <cacheField name="Nrml. mean per meter" numFmtId="0">
      <sharedItems containsSemiMixedTypes="0" containsString="0" containsNumber="1" minValue="1" maxValue="9.0833333333333339" count="28">
        <n v="2.1666666666666665"/>
        <n v="2.4166666666666665"/>
        <n v="7.916666666666667"/>
        <n v="4.166666666666667"/>
        <n v="6.083333333333333"/>
        <n v="6.5"/>
        <n v="7.416666666666667"/>
        <n v="6.666666666666667"/>
        <n v="4.541666666666667"/>
        <n v="3.3333333333333335"/>
        <n v="6.166666666666667"/>
        <n v="8.7916666666666661"/>
        <n v="4.5"/>
        <n v="8.8333333333333339"/>
        <n v="6.75"/>
        <n v="1"/>
        <n v="2.0833333333333335"/>
        <n v="3.1666666666666665"/>
        <n v="5.25"/>
        <n v="7.166666666666667"/>
        <n v="6.333333333333333"/>
        <n v="8.6666666666666661"/>
        <n v="8"/>
        <n v="2"/>
        <n v="1.5"/>
        <n v="6.875"/>
        <n v="9.0833333333333339"/>
        <n v="6"/>
      </sharedItems>
    </cacheField>
    <cacheField name="Comments/Time" numFmtId="0">
      <sharedItems containsDate="1" containsString="0" containsBlank="1" minDate="1899-12-30T07:03:00" maxDate="1899-12-30T07:46:00" count="8">
        <d v="1899-12-30T07:22:00"/>
        <m/>
        <d v="1899-12-30T07:39:00"/>
        <d v="1899-12-30T07:03:00"/>
        <d v="1899-12-30T07:25:00"/>
        <d v="1899-12-30T07:05:00"/>
        <d v="1899-12-30T07:30:00"/>
        <d v="1899-12-30T07:46: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0.374130902776" createdVersion="1" refreshedVersion="1" recordCount="32" xr:uid="{B0205817-D117-41F7-B267-AEAC4F32614D}">
  <cacheSource type="worksheet">
    <worksheetSource ref="B9:T41" sheet="DOY114"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0" maxValue="40" count="21">
        <n v="6"/>
        <n v="8"/>
        <n v="29"/>
        <n v="28"/>
        <n v="18"/>
        <n v="15"/>
        <n v="17"/>
        <n v="21"/>
        <n v="9"/>
        <n v="33"/>
        <n v="4"/>
        <n v="14"/>
        <n v="16"/>
        <n v="0"/>
        <n v="10"/>
        <n v="25"/>
        <n v="40"/>
        <n v="3"/>
        <n v="35"/>
        <n v="13"/>
        <n v="20"/>
      </sharedItems>
    </cacheField>
    <cacheField name="Bed4" numFmtId="0">
      <sharedItems containsSemiMixedTypes="0" containsString="0" containsNumber="1" containsInteger="1" minValue="0" maxValue="41" count="22">
        <n v="6"/>
        <n v="1"/>
        <n v="30"/>
        <n v="14"/>
        <n v="10"/>
        <n v="15"/>
        <n v="13"/>
        <n v="26"/>
        <n v="2"/>
        <n v="19"/>
        <n v="36"/>
        <n v="8"/>
        <n v="0"/>
        <n v="5"/>
        <n v="16"/>
        <n v="31"/>
        <n v="12"/>
        <n v="41"/>
        <n v="4"/>
        <n v="27"/>
        <n v="25"/>
        <n v="20"/>
      </sharedItems>
    </cacheField>
    <cacheField name="Bed5" numFmtId="0">
      <sharedItems containsSemiMixedTypes="0" containsString="0" containsNumber="1" containsInteger="1" minValue="2" maxValue="36" count="18">
        <n v="4"/>
        <n v="3"/>
        <n v="29"/>
        <n v="6"/>
        <n v="24"/>
        <n v="12"/>
        <n v="15"/>
        <n v="10"/>
        <n v="21"/>
        <n v="36"/>
        <n v="20"/>
        <n v="17"/>
        <n v="7"/>
        <n v="2"/>
        <n v="11"/>
        <n v="30"/>
        <n v="25"/>
        <n v="16"/>
      </sharedItems>
    </cacheField>
    <cacheField name="Bed6" numFmtId="0">
      <sharedItems containsSemiMixedTypes="0" containsString="0" containsNumber="1" containsInteger="1" minValue="0" maxValue="33" count="22">
        <n v="3"/>
        <n v="0"/>
        <n v="29"/>
        <n v="2"/>
        <n v="20"/>
        <n v="10"/>
        <n v="14"/>
        <n v="17"/>
        <n v="7"/>
        <n v="33"/>
        <n v="15"/>
        <n v="1"/>
        <n v="4"/>
        <n v="8"/>
        <n v="30"/>
        <n v="24"/>
        <n v="32"/>
        <n v="9"/>
        <n v="16"/>
        <n v="11"/>
        <n v="18"/>
        <n v="5"/>
      </sharedItems>
    </cacheField>
    <cacheField name="Bed7" numFmtId="0">
      <sharedItems containsSemiMixedTypes="0" containsString="0" containsNumber="1" containsInteger="1" minValue="0" maxValue="42" count="21">
        <n v="1"/>
        <n v="31"/>
        <n v="9"/>
        <n v="25"/>
        <n v="15"/>
        <n v="16"/>
        <n v="11"/>
        <n v="4"/>
        <n v="14"/>
        <n v="42"/>
        <n v="7"/>
        <n v="21"/>
        <n v="20"/>
        <n v="13"/>
        <n v="0"/>
        <n v="30"/>
        <n v="18"/>
        <n v="32"/>
        <n v="22"/>
        <n v="23"/>
        <n v="19"/>
      </sharedItems>
    </cacheField>
    <cacheField name="Bed8" numFmtId="0">
      <sharedItems containsSemiMixedTypes="0" containsString="0" containsNumber="1" containsInteger="1" minValue="1" maxValue="42" count="20">
        <n v="6"/>
        <n v="16"/>
        <n v="42"/>
        <n v="13"/>
        <n v="39"/>
        <n v="14"/>
        <n v="19"/>
        <n v="10"/>
        <n v="31"/>
        <n v="11"/>
        <n v="20"/>
        <n v="8"/>
        <n v="1"/>
        <n v="18"/>
        <n v="35"/>
        <n v="17"/>
        <n v="2"/>
        <n v="21"/>
        <n v="12"/>
        <n v="15"/>
      </sharedItems>
    </cacheField>
    <cacheField name="Mean per meter" numFmtId="0">
      <sharedItems containsSemiMixedTypes="0" containsString="0" containsNumber="1" minValue="1" maxValue="17.583333333333332" count="28">
        <n v="2.1666666666666665"/>
        <n v="2.4166666666666665"/>
        <n v="15.833333333333334"/>
        <n v="4.166666666666667"/>
        <n v="12.166666666666666"/>
        <n v="6.5"/>
        <n v="7.416666666666667"/>
        <n v="6.666666666666667"/>
        <n v="9.0833333333333339"/>
        <n v="3.3333333333333335"/>
        <n v="6.166666666666667"/>
        <n v="17.583333333333332"/>
        <n v="4.5"/>
        <n v="8.8333333333333339"/>
        <n v="6.75"/>
        <n v="1"/>
        <n v="2.0833333333333335"/>
        <n v="3.1666666666666665"/>
        <n v="5.25"/>
        <n v="14.333333333333334"/>
        <n v="6.333333333333333"/>
        <n v="8.6666666666666661"/>
        <n v="16"/>
        <n v="2"/>
        <n v="1.5"/>
        <n v="7.166666666666667"/>
        <n v="13.75"/>
        <n v="6"/>
      </sharedItems>
    </cacheField>
    <cacheField name="std err" numFmtId="0">
      <sharedItems containsSemiMixedTypes="0" containsString="0" containsNumber="1" minValue="0.15365907428821277" maxValue="1.9436506316151008"/>
    </cacheField>
    <cacheField name="Nrml. mean per meter" numFmtId="0">
      <sharedItems containsSemiMixedTypes="0" containsString="0" containsNumber="1" minValue="1" maxValue="9.0833333333333339" count="28">
        <n v="2.1666666666666665"/>
        <n v="2.4166666666666665"/>
        <n v="7.916666666666667"/>
        <n v="4.166666666666667"/>
        <n v="6.083333333333333"/>
        <n v="6.5"/>
        <n v="7.416666666666667"/>
        <n v="6.666666666666667"/>
        <n v="4.541666666666667"/>
        <n v="3.3333333333333335"/>
        <n v="6.166666666666667"/>
        <n v="8.7916666666666661"/>
        <n v="4.5"/>
        <n v="8.8333333333333339"/>
        <n v="6.75"/>
        <n v="1"/>
        <n v="2.0833333333333335"/>
        <n v="3.1666666666666665"/>
        <n v="5.25"/>
        <n v="7.166666666666667"/>
        <n v="6.333333333333333"/>
        <n v="8.6666666666666661"/>
        <n v="8"/>
        <n v="2"/>
        <n v="1.5"/>
        <n v="6.875"/>
        <n v="9.0833333333333339"/>
        <n v="6"/>
      </sharedItems>
    </cacheField>
    <cacheField name="Comments/Time" numFmtId="0">
      <sharedItems containsDate="1" containsString="0" containsBlank="1" minDate="1899-12-30T07:03:00" maxDate="1899-12-30T07:46:00" count="8">
        <d v="1899-12-30T07:22:00"/>
        <m/>
        <d v="1899-12-30T07:39:00"/>
        <d v="1899-12-30T07:03:00"/>
        <d v="1899-12-30T07:25:00"/>
        <d v="1899-12-30T07:05:00"/>
        <d v="1899-12-30T07:30:00"/>
        <d v="1899-12-30T07:46: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36.521060763887" createdVersion="1" refreshedVersion="1" recordCount="32" xr:uid="{8563BCF3-953D-489C-A79B-89C737ECCBFE}">
  <cacheSource type="worksheet">
    <worksheetSource ref="B9:T41" sheet="DOY115" r:id="rId2"/>
  </cacheSource>
  <cacheFields count="19">
    <cacheField name="Plot" numFmtId="0">
      <sharedItems containsSemiMixedTypes="0" containsString="0" containsNumber="1" containsInteger="1" minValue="101" maxValue="408" count="32">
        <n v="101"/>
        <n v="102"/>
        <n v="103"/>
        <n v="104"/>
        <n v="105"/>
        <n v="106"/>
        <n v="107"/>
        <n v="108"/>
        <n v="201"/>
        <n v="202"/>
        <n v="203"/>
        <n v="204"/>
        <n v="205"/>
        <n v="206"/>
        <n v="207"/>
        <n v="208"/>
        <n v="301"/>
        <n v="302"/>
        <n v="303"/>
        <n v="304"/>
        <n v="305"/>
        <n v="306"/>
        <n v="307"/>
        <n v="308"/>
        <n v="401"/>
        <n v="402"/>
        <n v="403"/>
        <n v="404"/>
        <n v="405"/>
        <n v="406"/>
        <n v="407"/>
        <n v="408"/>
      </sharedItems>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 maxValue="46" count="20">
        <n v="15"/>
        <n v="17"/>
        <n v="35"/>
        <n v="12"/>
        <n v="40"/>
        <n v="20"/>
        <n v="19"/>
        <n v="28"/>
        <n v="22"/>
        <n v="41"/>
        <n v="14"/>
        <n v="21"/>
        <n v="1"/>
        <n v="8"/>
        <n v="46"/>
        <n v="5"/>
        <n v="11"/>
        <n v="16"/>
        <n v="39"/>
        <n v="23"/>
      </sharedItems>
    </cacheField>
    <cacheField name="Bed4" numFmtId="0">
      <sharedItems containsSemiMixedTypes="0" containsString="0" containsNumber="1" containsInteger="1" minValue="1" maxValue="47" count="22">
        <n v="13"/>
        <n v="2"/>
        <n v="35"/>
        <n v="24"/>
        <n v="20"/>
        <n v="21"/>
        <n v="16"/>
        <n v="33"/>
        <n v="3"/>
        <n v="17"/>
        <n v="43"/>
        <n v="25"/>
        <n v="10"/>
        <n v="1"/>
        <n v="11"/>
        <n v="37"/>
        <n v="14"/>
        <n v="47"/>
        <n v="5"/>
        <n v="12"/>
        <n v="36"/>
        <n v="15"/>
      </sharedItems>
    </cacheField>
    <cacheField name="Bed5" numFmtId="0">
      <sharedItems containsSemiMixedTypes="0" containsString="0" containsNumber="1" containsInteger="1" minValue="3" maxValue="40" count="25">
        <n v="7"/>
        <n v="3"/>
        <n v="34"/>
        <n v="12"/>
        <n v="31"/>
        <n v="19"/>
        <n v="18"/>
        <n v="15"/>
        <n v="37"/>
        <n v="13"/>
        <n v="29"/>
        <n v="23"/>
        <n v="20"/>
        <n v="10"/>
        <n v="11"/>
        <n v="4"/>
        <n v="6"/>
        <n v="8"/>
        <n v="35"/>
        <n v="14"/>
        <n v="36"/>
        <n v="9"/>
        <n v="33"/>
        <n v="40"/>
        <n v="17"/>
      </sharedItems>
    </cacheField>
    <cacheField name="Bed6" numFmtId="0">
      <sharedItems containsSemiMixedTypes="0" containsString="0" containsNumber="1" containsInteger="1" minValue="2" maxValue="40" count="22">
        <n v="4"/>
        <n v="3"/>
        <n v="37"/>
        <n v="6"/>
        <n v="29"/>
        <n v="22"/>
        <n v="17"/>
        <n v="18"/>
        <n v="32"/>
        <n v="2"/>
        <n v="16"/>
        <n v="35"/>
        <n v="13"/>
        <n v="24"/>
        <n v="20"/>
        <n v="5"/>
        <n v="8"/>
        <n v="40"/>
        <n v="14"/>
        <n v="11"/>
        <n v="25"/>
        <n v="28"/>
      </sharedItems>
    </cacheField>
    <cacheField name="Bed7" numFmtId="0">
      <sharedItems containsSemiMixedTypes="0" containsString="0" containsNumber="1" containsInteger="1" minValue="0" maxValue="44" count="22">
        <n v="3"/>
        <n v="33"/>
        <n v="14"/>
        <n v="19"/>
        <n v="25"/>
        <n v="20"/>
        <n v="23"/>
        <n v="10"/>
        <n v="9"/>
        <n v="42"/>
        <n v="15"/>
        <n v="24"/>
        <n v="13"/>
        <n v="7"/>
        <n v="8"/>
        <n v="17"/>
        <n v="44"/>
        <n v="22"/>
        <n v="37"/>
        <n v="0"/>
        <n v="18"/>
        <n v="31"/>
      </sharedItems>
    </cacheField>
    <cacheField name="Bed8" numFmtId="0">
      <sharedItems containsSemiMixedTypes="0" containsString="0" containsNumber="1" containsInteger="1" minValue="6" maxValue="49" count="19">
        <n v="15"/>
        <n v="22"/>
        <n v="42"/>
        <n v="49"/>
        <n v="17"/>
        <n v="20"/>
        <n v="16"/>
        <n v="23"/>
        <n v="25"/>
        <n v="40"/>
        <n v="19"/>
        <n v="6"/>
        <n v="21"/>
        <n v="14"/>
        <n v="7"/>
        <n v="11"/>
        <n v="28"/>
        <n v="13"/>
        <n v="41"/>
      </sharedItems>
    </cacheField>
    <cacheField name="Mean per meter" numFmtId="0">
      <sharedItems containsSemiMixedTypes="0" containsString="0" containsNumber="1" minValue="3.3333333333333335" maxValue="19.833333333333332" count="29">
        <n v="4.75"/>
        <n v="4.166666666666667"/>
        <n v="18"/>
        <n v="5.083333333333333"/>
        <n v="17.166666666666668"/>
        <n v="9.75"/>
        <n v="9.6666666666666661"/>
        <n v="8.6666666666666661"/>
        <n v="14.666666666666666"/>
        <n v="6.25"/>
        <n v="8.75"/>
        <n v="19.833333333333332"/>
        <n v="8.25"/>
        <n v="10.916666666666666"/>
        <n v="8.5833333333333339"/>
        <n v="3.3333333333333335"/>
        <n v="3.75"/>
        <n v="5.75"/>
        <n v="7.333333333333333"/>
        <n v="19.25"/>
        <n v="8"/>
        <n v="18.833333333333332"/>
        <n v="3.9166666666666665"/>
        <n v="4.25"/>
        <n v="14.833333333333334"/>
        <n v="17.833333333333332"/>
        <n v="7.5"/>
        <n v="9.5833333333333339"/>
        <n v="7.416666666666667"/>
      </sharedItems>
    </cacheField>
    <cacheField name="std err" numFmtId="0">
      <sharedItems containsSemiMixedTypes="0" containsString="0" containsNumber="1" minValue="0.33541019662496852" maxValue="1.9440078875011455"/>
    </cacheField>
    <cacheField name="Nrml. mean per meter" numFmtId="0">
      <sharedItems containsSemiMixedTypes="0" containsString="0" containsNumber="1" minValue="3.3333333333333335" maxValue="10.916666666666666" count="26">
        <n v="4.75"/>
        <n v="4.166666666666667"/>
        <n v="9"/>
        <n v="5.083333333333333"/>
        <n v="8.5833333333333339"/>
        <n v="9.75"/>
        <n v="9.6666666666666661"/>
        <n v="8.6666666666666661"/>
        <n v="7.333333333333333"/>
        <n v="6.25"/>
        <n v="8.75"/>
        <n v="9.9166666666666661"/>
        <n v="8.25"/>
        <n v="10.916666666666666"/>
        <n v="3.3333333333333335"/>
        <n v="3.75"/>
        <n v="5.75"/>
        <n v="9.625"/>
        <n v="8"/>
        <n v="9.4166666666666661"/>
        <n v="3.9166666666666665"/>
        <n v="4.25"/>
        <n v="7.416666666666667"/>
        <n v="8.9166666666666661"/>
        <n v="7.5"/>
        <n v="9.5833333333333339"/>
      </sharedItems>
    </cacheField>
    <cacheField name="Comments/Time"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36.520884490739" createdVersion="1" refreshedVersion="1" recordCount="32" xr:uid="{922CF25B-5B95-4FC9-9B8D-42D413031FC2}">
  <cacheSource type="worksheet">
    <worksheetSource ref="B9:T41" sheet="DOY115"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 maxValue="46" count="20">
        <n v="15"/>
        <n v="17"/>
        <n v="35"/>
        <n v="12"/>
        <n v="40"/>
        <n v="20"/>
        <n v="19"/>
        <n v="28"/>
        <n v="22"/>
        <n v="41"/>
        <n v="14"/>
        <n v="21"/>
        <n v="1"/>
        <n v="8"/>
        <n v="46"/>
        <n v="5"/>
        <n v="11"/>
        <n v="16"/>
        <n v="39"/>
        <n v="23"/>
      </sharedItems>
    </cacheField>
    <cacheField name="Bed4" numFmtId="0">
      <sharedItems containsSemiMixedTypes="0" containsString="0" containsNumber="1" containsInteger="1" minValue="1" maxValue="47" count="22">
        <n v="13"/>
        <n v="2"/>
        <n v="35"/>
        <n v="24"/>
        <n v="20"/>
        <n v="21"/>
        <n v="16"/>
        <n v="33"/>
        <n v="3"/>
        <n v="17"/>
        <n v="43"/>
        <n v="25"/>
        <n v="10"/>
        <n v="1"/>
        <n v="11"/>
        <n v="37"/>
        <n v="14"/>
        <n v="47"/>
        <n v="5"/>
        <n v="12"/>
        <n v="36"/>
        <n v="15"/>
      </sharedItems>
    </cacheField>
    <cacheField name="Bed5" numFmtId="0">
      <sharedItems containsSemiMixedTypes="0" containsString="0" containsNumber="1" containsInteger="1" minValue="3" maxValue="40" count="25">
        <n v="7"/>
        <n v="3"/>
        <n v="34"/>
        <n v="12"/>
        <n v="31"/>
        <n v="19"/>
        <n v="18"/>
        <n v="15"/>
        <n v="37"/>
        <n v="13"/>
        <n v="29"/>
        <n v="23"/>
        <n v="20"/>
        <n v="10"/>
        <n v="11"/>
        <n v="4"/>
        <n v="6"/>
        <n v="8"/>
        <n v="35"/>
        <n v="14"/>
        <n v="36"/>
        <n v="9"/>
        <n v="33"/>
        <n v="40"/>
        <n v="17"/>
      </sharedItems>
    </cacheField>
    <cacheField name="Bed6" numFmtId="0">
      <sharedItems containsSemiMixedTypes="0" containsString="0" containsNumber="1" containsInteger="1" minValue="2" maxValue="40" count="22">
        <n v="4"/>
        <n v="3"/>
        <n v="37"/>
        <n v="6"/>
        <n v="29"/>
        <n v="22"/>
        <n v="17"/>
        <n v="18"/>
        <n v="32"/>
        <n v="2"/>
        <n v="16"/>
        <n v="35"/>
        <n v="13"/>
        <n v="24"/>
        <n v="20"/>
        <n v="5"/>
        <n v="8"/>
        <n v="40"/>
        <n v="14"/>
        <n v="11"/>
        <n v="25"/>
        <n v="28"/>
      </sharedItems>
    </cacheField>
    <cacheField name="Bed7" numFmtId="0">
      <sharedItems containsSemiMixedTypes="0" containsString="0" containsNumber="1" containsInteger="1" minValue="0" maxValue="44" count="22">
        <n v="3"/>
        <n v="33"/>
        <n v="14"/>
        <n v="19"/>
        <n v="25"/>
        <n v="20"/>
        <n v="23"/>
        <n v="10"/>
        <n v="9"/>
        <n v="42"/>
        <n v="15"/>
        <n v="24"/>
        <n v="13"/>
        <n v="7"/>
        <n v="8"/>
        <n v="17"/>
        <n v="44"/>
        <n v="22"/>
        <n v="37"/>
        <n v="0"/>
        <n v="18"/>
        <n v="31"/>
      </sharedItems>
    </cacheField>
    <cacheField name="Bed8" numFmtId="0">
      <sharedItems containsSemiMixedTypes="0" containsString="0" containsNumber="1" containsInteger="1" minValue="6" maxValue="49" count="19">
        <n v="15"/>
        <n v="22"/>
        <n v="42"/>
        <n v="49"/>
        <n v="17"/>
        <n v="20"/>
        <n v="16"/>
        <n v="23"/>
        <n v="25"/>
        <n v="40"/>
        <n v="19"/>
        <n v="6"/>
        <n v="21"/>
        <n v="14"/>
        <n v="7"/>
        <n v="11"/>
        <n v="28"/>
        <n v="13"/>
        <n v="41"/>
      </sharedItems>
    </cacheField>
    <cacheField name="Mean per meter" numFmtId="0">
      <sharedItems containsSemiMixedTypes="0" containsString="0" containsNumber="1" minValue="3.3333333333333335" maxValue="19.833333333333332" count="29">
        <n v="4.75"/>
        <n v="4.166666666666667"/>
        <n v="18"/>
        <n v="5.083333333333333"/>
        <n v="17.166666666666668"/>
        <n v="9.75"/>
        <n v="9.6666666666666661"/>
        <n v="8.6666666666666661"/>
        <n v="14.666666666666666"/>
        <n v="6.25"/>
        <n v="8.75"/>
        <n v="19.833333333333332"/>
        <n v="8.25"/>
        <n v="10.916666666666666"/>
        <n v="8.5833333333333339"/>
        <n v="3.3333333333333335"/>
        <n v="3.75"/>
        <n v="5.75"/>
        <n v="7.333333333333333"/>
        <n v="19.25"/>
        <n v="8"/>
        <n v="18.833333333333332"/>
        <n v="3.9166666666666665"/>
        <n v="4.25"/>
        <n v="14.833333333333334"/>
        <n v="17.833333333333332"/>
        <n v="7.5"/>
        <n v="9.5833333333333339"/>
        <n v="7.416666666666667"/>
      </sharedItems>
    </cacheField>
    <cacheField name="std err" numFmtId="0">
      <sharedItems containsSemiMixedTypes="0" containsString="0" containsNumber="1" minValue="0.33541019662496852" maxValue="1.9440078875011455"/>
    </cacheField>
    <cacheField name="Nrml. mean per meter" numFmtId="0">
      <sharedItems containsSemiMixedTypes="0" containsString="0" containsNumber="1" minValue="3.3333333333333335" maxValue="10.916666666666666" count="26">
        <n v="4.75"/>
        <n v="4.166666666666667"/>
        <n v="9"/>
        <n v="5.083333333333333"/>
        <n v="8.5833333333333339"/>
        <n v="9.75"/>
        <n v="9.6666666666666661"/>
        <n v="8.6666666666666661"/>
        <n v="7.333333333333333"/>
        <n v="6.25"/>
        <n v="8.75"/>
        <n v="9.9166666666666661"/>
        <n v="8.25"/>
        <n v="10.916666666666666"/>
        <n v="3.3333333333333335"/>
        <n v="3.75"/>
        <n v="5.75"/>
        <n v="9.625"/>
        <n v="8"/>
        <n v="9.4166666666666661"/>
        <n v="3.9166666666666665"/>
        <n v="4.25"/>
        <n v="7.416666666666667"/>
        <n v="8.9166666666666661"/>
        <n v="7.5"/>
        <n v="9.5833333333333339"/>
      </sharedItems>
    </cacheField>
    <cacheField name="Comments/Time"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0.376645833334" createdVersion="1" refreshedVersion="1" recordCount="32" xr:uid="{8D7F5E67-B405-4301-BFEA-19351D5C1FD6}">
  <cacheSource type="worksheet">
    <worksheetSource ref="B9:T41" sheet="DOY118" r:id="rId2"/>
  </cacheSource>
  <cacheFields count="19">
    <cacheField name="Plot" numFmtId="0">
      <sharedItems containsSemiMixedTypes="0" containsString="0" containsNumber="1" containsInteger="1" minValue="101" maxValue="408" count="32">
        <n v="101"/>
        <n v="102"/>
        <n v="103"/>
        <n v="104"/>
        <n v="105"/>
        <n v="106"/>
        <n v="107"/>
        <n v="108"/>
        <n v="201"/>
        <n v="202"/>
        <n v="203"/>
        <n v="204"/>
        <n v="205"/>
        <n v="206"/>
        <n v="207"/>
        <n v="208"/>
        <n v="301"/>
        <n v="302"/>
        <n v="303"/>
        <n v="304"/>
        <n v="305"/>
        <n v="306"/>
        <n v="307"/>
        <n v="308"/>
        <n v="401"/>
        <n v="402"/>
        <n v="403"/>
        <n v="404"/>
        <n v="405"/>
        <n v="406"/>
        <n v="407"/>
        <n v="408"/>
      </sharedItems>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3" maxValue="52" count="20">
        <n v="16"/>
        <n v="23"/>
        <n v="43"/>
        <n v="45"/>
        <n v="26"/>
        <n v="15"/>
        <n v="22"/>
        <n v="42"/>
        <n v="27"/>
        <n v="20"/>
        <n v="48"/>
        <n v="13"/>
        <n v="19"/>
        <n v="25"/>
        <n v="14"/>
        <n v="24"/>
        <n v="18"/>
        <n v="21"/>
        <n v="52"/>
        <n v="50"/>
      </sharedItems>
    </cacheField>
    <cacheField name="Bed4" numFmtId="0">
      <sharedItems containsSemiMixedTypes="0" containsString="0" containsNumber="1" containsInteger="1" minValue="11" maxValue="53" count="17">
        <n v="18"/>
        <n v="11"/>
        <n v="43"/>
        <n v="26"/>
        <n v="29"/>
        <n v="27"/>
        <n v="23"/>
        <n v="20"/>
        <n v="50"/>
        <n v="47"/>
        <n v="25"/>
        <n v="19"/>
        <n v="52"/>
        <n v="22"/>
        <n v="17"/>
        <n v="46"/>
        <n v="53"/>
      </sharedItems>
    </cacheField>
    <cacheField name="Bed5" numFmtId="0">
      <sharedItems containsSemiMixedTypes="0" containsString="0" containsNumber="1" containsInteger="1" minValue="6" maxValue="46" count="17">
        <n v="18"/>
        <n v="6"/>
        <n v="40"/>
        <n v="17"/>
        <n v="38"/>
        <n v="22"/>
        <n v="19"/>
        <n v="23"/>
        <n v="25"/>
        <n v="20"/>
        <n v="45"/>
        <n v="26"/>
        <n v="24"/>
        <n v="21"/>
        <n v="44"/>
        <n v="42"/>
        <n v="46"/>
      </sharedItems>
    </cacheField>
    <cacheField name="Bed6" numFmtId="0">
      <sharedItems containsSemiMixedTypes="0" containsString="0" containsNumber="1" containsInteger="1" minValue="5" maxValue="50" count="22">
        <n v="7"/>
        <n v="5"/>
        <n v="40"/>
        <n v="18"/>
        <n v="41"/>
        <n v="25"/>
        <n v="21"/>
        <n v="34"/>
        <n v="10"/>
        <n v="14"/>
        <n v="47"/>
        <n v="24"/>
        <n v="28"/>
        <n v="26"/>
        <n v="23"/>
        <n v="17"/>
        <n v="50"/>
        <n v="22"/>
        <n v="27"/>
        <n v="42"/>
        <n v="20"/>
        <n v="43"/>
      </sharedItems>
    </cacheField>
    <cacheField name="Bed7" numFmtId="0">
      <sharedItems containsSemiMixedTypes="0" containsString="0" containsNumber="1" containsInteger="1" minValue="9" maxValue="49" count="21">
        <n v="9"/>
        <n v="39"/>
        <n v="19"/>
        <n v="40"/>
        <n v="20"/>
        <n v="26"/>
        <n v="30"/>
        <n v="29"/>
        <n v="21"/>
        <n v="46"/>
        <n v="18"/>
        <n v="24"/>
        <n v="28"/>
        <n v="15"/>
        <n v="22"/>
        <n v="49"/>
        <n v="25"/>
        <n v="47"/>
        <n v="23"/>
        <n v="12"/>
        <n v="41"/>
      </sharedItems>
    </cacheField>
    <cacheField name="Bed8" numFmtId="0">
      <sharedItems containsSemiMixedTypes="0" containsString="0" containsNumber="1" containsInteger="1" minValue="11" maxValue="51" count="18">
        <n v="28"/>
        <n v="25"/>
        <n v="46"/>
        <n v="20"/>
        <n v="50"/>
        <n v="21"/>
        <n v="23"/>
        <n v="37"/>
        <n v="27"/>
        <n v="18"/>
        <n v="24"/>
        <n v="26"/>
        <n v="22"/>
        <n v="51"/>
        <n v="30"/>
        <n v="40"/>
        <n v="49"/>
        <n v="11"/>
      </sharedItems>
    </cacheField>
    <cacheField name="Mean per meter" numFmtId="0">
      <sharedItems containsSemiMixedTypes="0" containsString="0" containsNumber="1" minValue="6.583333333333333" maxValue="24.5" count="26">
        <n v="8"/>
        <n v="6.583333333333333"/>
        <n v="20.916666666666668"/>
        <n v="10.25"/>
        <n v="20.25"/>
        <n v="11.75"/>
        <n v="10.75"/>
        <n v="11.083333333333334"/>
        <n v="19.416666666666668"/>
        <n v="11.333333333333334"/>
        <n v="10"/>
        <n v="23.583333333333332"/>
        <n v="10.833333333333334"/>
        <n v="11.833333333333334"/>
        <n v="11.583333333333334"/>
        <n v="10.083333333333334"/>
        <n v="10.5"/>
        <n v="11.666666666666666"/>
        <n v="24.5"/>
        <n v="11.25"/>
        <n v="11.416666666666666"/>
        <n v="21.75"/>
        <n v="10.416666666666666"/>
        <n v="21.083333333333332"/>
        <n v="23.5"/>
        <n v="12.25"/>
      </sharedItems>
    </cacheField>
    <cacheField name="std err" numFmtId="0">
      <sharedItems containsSemiMixedTypes="0" containsString="0" containsNumber="1" minValue="0.35158371849549036" maxValue="1.7720828924680068" count="31">
        <n v="1.5329709716755893"/>
        <n v="1.7720828924680068"/>
        <n v="0.53877432917482526"/>
        <n v="0.69221865524317294"/>
        <n v="1.4419315748906627"/>
        <n v="0.58807595881257835"/>
        <n v="0.83416625041614667"/>
        <n v="0.39616214413349204"/>
        <n v="1.4166666666666685"/>
        <n v="1.4869805348796981"/>
        <n v="0.8660254037844386"/>
        <n v="0.35158371849549036"/>
        <n v="1.0381607668264965"/>
        <n v="0.58689389538863479"/>
        <n v="0.74628710590793801"/>
        <n v="0.86039396660935452"/>
        <n v="0.90753022600413291"/>
        <n v="0.65828058860438343"/>
        <n v="0.66666666666666763"/>
        <n v="0.35746017649212208"/>
        <n v="0.57735026918962584"/>
        <n v="0.35939764421413045"/>
        <n v="0.76829537144107474"/>
        <n v="1.5585784121008051"/>
        <n v="0.43620841094341484"/>
        <n v="1.5188628787499054"/>
        <n v="0.60092521257733267"/>
        <n v="0.92195444572928875"/>
        <n v="0.44095855184409988"/>
        <n v="0.52836224947157862"/>
        <n v="1.2162099599438687"/>
      </sharedItems>
    </cacheField>
    <cacheField name="Nrml. mean per meter" numFmtId="0">
      <sharedItems containsSemiMixedTypes="0" containsString="0" containsNumber="1" minValue="6.583333333333333" maxValue="12.25" count="24">
        <n v="8"/>
        <n v="6.583333333333333"/>
        <n v="10.458333333333334"/>
        <n v="10.25"/>
        <n v="10.125"/>
        <n v="11.75"/>
        <n v="10.75"/>
        <n v="11.083333333333334"/>
        <n v="9.7083333333333339"/>
        <n v="11.333333333333334"/>
        <n v="10"/>
        <n v="11.791666666666666"/>
        <n v="10.833333333333334"/>
        <n v="11.833333333333334"/>
        <n v="11.583333333333334"/>
        <n v="10.083333333333334"/>
        <n v="10.5"/>
        <n v="11.666666666666666"/>
        <n v="12.25"/>
        <n v="11.25"/>
        <n v="11.416666666666666"/>
        <n v="10.875"/>
        <n v="10.416666666666666"/>
        <n v="10.541666666666666"/>
      </sharedItems>
    </cacheField>
    <cacheField name="Comments/Time" numFmtId="0">
      <sharedItems containsDate="1" containsString="0" containsBlank="1" minDate="1899-12-30T08:16:00" maxDate="1899-12-30T09:12:00" count="9">
        <d v="1899-12-30T08:16:00"/>
        <m/>
        <d v="1899-12-30T08:34:00"/>
        <d v="1899-12-30T08:58:00"/>
        <d v="1899-12-30T08:37:00"/>
        <d v="1899-12-30T09:12:00"/>
        <d v="1899-12-30T08:47:00"/>
        <d v="1899-12-30T08:26:00"/>
        <d v="1899-12-30T08:45:0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0.376300694443" createdVersion="1" refreshedVersion="1" recordCount="32" xr:uid="{516B4CF8-A5AA-490D-AC1D-4F91172470E7}">
  <cacheSource type="worksheet">
    <worksheetSource ref="B9:T41" sheet="DOY118"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3" maxValue="52" count="20">
        <n v="16"/>
        <n v="23"/>
        <n v="43"/>
        <n v="45"/>
        <n v="26"/>
        <n v="15"/>
        <n v="22"/>
        <n v="42"/>
        <n v="27"/>
        <n v="20"/>
        <n v="48"/>
        <n v="13"/>
        <n v="19"/>
        <n v="25"/>
        <n v="14"/>
        <n v="24"/>
        <n v="18"/>
        <n v="21"/>
        <n v="52"/>
        <n v="50"/>
      </sharedItems>
    </cacheField>
    <cacheField name="Bed4" numFmtId="0">
      <sharedItems containsSemiMixedTypes="0" containsString="0" containsNumber="1" containsInteger="1" minValue="11" maxValue="53" count="17">
        <n v="18"/>
        <n v="11"/>
        <n v="43"/>
        <n v="26"/>
        <n v="29"/>
        <n v="27"/>
        <n v="23"/>
        <n v="20"/>
        <n v="50"/>
        <n v="47"/>
        <n v="25"/>
        <n v="19"/>
        <n v="52"/>
        <n v="22"/>
        <n v="17"/>
        <n v="46"/>
        <n v="53"/>
      </sharedItems>
    </cacheField>
    <cacheField name="Bed5" numFmtId="0">
      <sharedItems containsSemiMixedTypes="0" containsString="0" containsNumber="1" containsInteger="1" minValue="6" maxValue="46" count="17">
        <n v="18"/>
        <n v="6"/>
        <n v="40"/>
        <n v="17"/>
        <n v="38"/>
        <n v="22"/>
        <n v="19"/>
        <n v="23"/>
        <n v="25"/>
        <n v="20"/>
        <n v="45"/>
        <n v="26"/>
        <n v="24"/>
        <n v="21"/>
        <n v="44"/>
        <n v="42"/>
        <n v="46"/>
      </sharedItems>
    </cacheField>
    <cacheField name="Bed6" numFmtId="0">
      <sharedItems containsSemiMixedTypes="0" containsString="0" containsNumber="1" containsInteger="1" minValue="5" maxValue="50" count="22">
        <n v="7"/>
        <n v="5"/>
        <n v="40"/>
        <n v="18"/>
        <n v="41"/>
        <n v="25"/>
        <n v="21"/>
        <n v="34"/>
        <n v="10"/>
        <n v="14"/>
        <n v="47"/>
        <n v="24"/>
        <n v="28"/>
        <n v="26"/>
        <n v="23"/>
        <n v="17"/>
        <n v="50"/>
        <n v="22"/>
        <n v="27"/>
        <n v="42"/>
        <n v="20"/>
        <n v="43"/>
      </sharedItems>
    </cacheField>
    <cacheField name="Bed7" numFmtId="0">
      <sharedItems containsSemiMixedTypes="0" containsString="0" containsNumber="1" containsInteger="1" minValue="9" maxValue="49" count="21">
        <n v="9"/>
        <n v="39"/>
        <n v="19"/>
        <n v="40"/>
        <n v="20"/>
        <n v="26"/>
        <n v="30"/>
        <n v="29"/>
        <n v="21"/>
        <n v="46"/>
        <n v="18"/>
        <n v="24"/>
        <n v="28"/>
        <n v="15"/>
        <n v="22"/>
        <n v="49"/>
        <n v="25"/>
        <n v="47"/>
        <n v="23"/>
        <n v="12"/>
        <n v="41"/>
      </sharedItems>
    </cacheField>
    <cacheField name="Bed8" numFmtId="0">
      <sharedItems containsSemiMixedTypes="0" containsString="0" containsNumber="1" containsInteger="1" minValue="11" maxValue="51" count="18">
        <n v="28"/>
        <n v="25"/>
        <n v="46"/>
        <n v="20"/>
        <n v="50"/>
        <n v="21"/>
        <n v="23"/>
        <n v="37"/>
        <n v="27"/>
        <n v="18"/>
        <n v="24"/>
        <n v="26"/>
        <n v="22"/>
        <n v="51"/>
        <n v="30"/>
        <n v="40"/>
        <n v="49"/>
        <n v="11"/>
      </sharedItems>
    </cacheField>
    <cacheField name="Mean per meter" numFmtId="0">
      <sharedItems containsSemiMixedTypes="0" containsString="0" containsNumber="1" minValue="6.583333333333333" maxValue="24.5" count="26">
        <n v="8"/>
        <n v="6.583333333333333"/>
        <n v="20.916666666666668"/>
        <n v="10.25"/>
        <n v="20.25"/>
        <n v="11.75"/>
        <n v="10.75"/>
        <n v="11.083333333333334"/>
        <n v="19.416666666666668"/>
        <n v="11.333333333333334"/>
        <n v="10"/>
        <n v="23.583333333333332"/>
        <n v="10.833333333333334"/>
        <n v="11.833333333333334"/>
        <n v="11.583333333333334"/>
        <n v="10.083333333333334"/>
        <n v="10.5"/>
        <n v="11.666666666666666"/>
        <n v="24.5"/>
        <n v="11.25"/>
        <n v="11.416666666666666"/>
        <n v="21.75"/>
        <n v="10.416666666666666"/>
        <n v="21.083333333333332"/>
        <n v="23.5"/>
        <n v="12.25"/>
      </sharedItems>
    </cacheField>
    <cacheField name="std err" numFmtId="0">
      <sharedItems containsSemiMixedTypes="0" containsString="0" containsNumber="1" minValue="0.35158371849549036" maxValue="1.7720828924680068"/>
    </cacheField>
    <cacheField name="Nrml. mean per meter" numFmtId="0">
      <sharedItems containsSemiMixedTypes="0" containsString="0" containsNumber="1" minValue="6.583333333333333" maxValue="12.25" count="24">
        <n v="8"/>
        <n v="6.583333333333333"/>
        <n v="10.458333333333334"/>
        <n v="10.25"/>
        <n v="10.125"/>
        <n v="11.75"/>
        <n v="10.75"/>
        <n v="11.083333333333334"/>
        <n v="9.7083333333333339"/>
        <n v="11.333333333333334"/>
        <n v="10"/>
        <n v="11.791666666666666"/>
        <n v="10.833333333333334"/>
        <n v="11.833333333333334"/>
        <n v="11.583333333333334"/>
        <n v="10.083333333333334"/>
        <n v="10.5"/>
        <n v="11.666666666666666"/>
        <n v="12.25"/>
        <n v="11.25"/>
        <n v="11.416666666666666"/>
        <n v="10.875"/>
        <n v="10.416666666666666"/>
        <n v="10.541666666666666"/>
      </sharedItems>
    </cacheField>
    <cacheField name="Comments/Time" numFmtId="0">
      <sharedItems containsDate="1" containsString="0" containsBlank="1" minDate="1899-12-30T08:16:00" maxDate="1899-12-30T09:12:00" count="9">
        <d v="1899-12-30T08:16:00"/>
        <m/>
        <d v="1899-12-30T08:34:00"/>
        <d v="1899-12-30T08:58:00"/>
        <d v="1899-12-30T08:37:00"/>
        <d v="1899-12-30T09:12:00"/>
        <d v="1899-12-30T08:47:00"/>
        <d v="1899-12-30T08:26:00"/>
        <d v="1899-12-30T08:45:00"/>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0.468404861109" createdVersion="1" refreshedVersion="1" recordCount="32" xr:uid="{9B3CD308-E4E9-4900-8466-E5A9119D8FAF}">
  <cacheSource type="worksheet">
    <worksheetSource ref="B9:T41" sheet="DOY119"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6" maxValue="50" count="14">
        <n v="22"/>
        <n v="23"/>
        <n v="46"/>
        <n v="24"/>
        <n v="50"/>
        <n v="26"/>
        <n v="16"/>
        <n v="44"/>
        <n v="21"/>
        <n v="47"/>
        <n v="18"/>
        <n v="28"/>
        <n v="25"/>
        <n v="45"/>
      </sharedItems>
    </cacheField>
    <cacheField name="Bed4" numFmtId="0">
      <sharedItems containsSemiMixedTypes="0" containsString="0" containsNumber="1" containsInteger="1" minValue="16" maxValue="54" count="18">
        <n v="16"/>
        <n v="18"/>
        <n v="49"/>
        <n v="27"/>
        <n v="54"/>
        <n v="28"/>
        <n v="25"/>
        <n v="23"/>
        <n v="51"/>
        <n v="22"/>
        <n v="48"/>
        <n v="21"/>
        <n v="26"/>
        <n v="17"/>
        <n v="52"/>
        <n v="24"/>
        <n v="53"/>
        <n v="42"/>
      </sharedItems>
    </cacheField>
    <cacheField name="Bed5" numFmtId="0">
      <sharedItems containsSemiMixedTypes="0" containsString="0" containsNumber="1" containsInteger="1" minValue="17" maxValue="50" count="19">
        <n v="21"/>
        <n v="18"/>
        <n v="43"/>
        <n v="20"/>
        <n v="39"/>
        <n v="26"/>
        <n v="44"/>
        <n v="27"/>
        <n v="50"/>
        <n v="25"/>
        <n v="22"/>
        <n v="17"/>
        <n v="24"/>
        <n v="41"/>
        <n v="45"/>
        <n v="19"/>
        <n v="42"/>
        <n v="46"/>
        <n v="23"/>
      </sharedItems>
    </cacheField>
    <cacheField name="Bed6" numFmtId="0">
      <sharedItems containsSemiMixedTypes="0" containsString="0" containsNumber="1" containsInteger="1" minValue="17" maxValue="53" count="19">
        <n v="25"/>
        <n v="20"/>
        <n v="42"/>
        <n v="22"/>
        <n v="45"/>
        <n v="21"/>
        <n v="26"/>
        <n v="36"/>
        <n v="23"/>
        <n v="17"/>
        <n v="53"/>
        <n v="28"/>
        <n v="18"/>
        <n v="24"/>
        <n v="49"/>
        <n v="41"/>
        <n v="19"/>
        <n v="39"/>
        <n v="27"/>
      </sharedItems>
    </cacheField>
    <cacheField name="Bed7" numFmtId="0">
      <sharedItems containsSemiMixedTypes="0" containsString="0" containsNumber="1" containsInteger="1" minValue="15" maxValue="48" count="20">
        <n v="25"/>
        <n v="22"/>
        <n v="40"/>
        <n v="20"/>
        <n v="44"/>
        <n v="19"/>
        <n v="37"/>
        <n v="27"/>
        <n v="21"/>
        <n v="46"/>
        <n v="24"/>
        <n v="15"/>
        <n v="18"/>
        <n v="23"/>
        <n v="48"/>
        <n v="30"/>
        <n v="32"/>
        <n v="39"/>
        <n v="28"/>
        <n v="26"/>
      </sharedItems>
    </cacheField>
    <cacheField name="Bed8" numFmtId="0">
      <sharedItems containsSemiMixedTypes="0" containsString="0" containsNumber="1" containsInteger="1" minValue="11" maxValue="54" count="18">
        <n v="27"/>
        <n v="24"/>
        <n v="48"/>
        <n v="54"/>
        <n v="21"/>
        <n v="26"/>
        <n v="23"/>
        <n v="39"/>
        <n v="18"/>
        <n v="51"/>
        <n v="25"/>
        <n v="22"/>
        <n v="53"/>
        <n v="28"/>
        <n v="38"/>
        <n v="17"/>
        <n v="47"/>
        <n v="11"/>
      </sharedItems>
    </cacheField>
    <cacheField name="Mean per meter" numFmtId="0">
      <sharedItems containsSemiMixedTypes="0" containsString="0" containsNumber="1" minValue="10.166666666666666" maxValue="24.583333333333332" count="25">
        <n v="11.333333333333334"/>
        <n v="10.416666666666666"/>
        <n v="22.333333333333332"/>
        <n v="11.416666666666666"/>
        <n v="23.833333333333332"/>
        <n v="11.666666666666666"/>
        <n v="11.083333333333334"/>
        <n v="11.833333333333334"/>
        <n v="20.916666666666668"/>
        <n v="12.666666666666666"/>
        <n v="10.5"/>
        <n v="24.583333333333332"/>
        <n v="11.75"/>
        <n v="12.583333333333334"/>
        <n v="11.166666666666666"/>
        <n v="10.25"/>
        <n v="10.583333333333334"/>
        <n v="11.583333333333334"/>
        <n v="24"/>
        <n v="20.333333333333332"/>
        <n v="10.166666666666666"/>
        <n v="20.25"/>
        <n v="22.833333333333332"/>
        <n v="11.916666666666666"/>
        <n v="11.25"/>
      </sharedItems>
    </cacheField>
    <cacheField name="std err" numFmtId="0">
      <sharedItems containsSemiMixedTypes="0" containsString="0" containsNumber="1" minValue="0.30046260628866789" maxValue="2.011080417199782" count="30">
        <n v="0.80277297191948727"/>
        <n v="0.52307849421584174"/>
        <n v="0.72648315725678247"/>
        <n v="0.55402567128648994"/>
        <n v="1.2292725943057203"/>
        <n v="0.7149203529842415"/>
        <n v="0.78969051603214313"/>
        <n v="0.38005847503304768"/>
        <n v="1.1504829903614899"/>
        <n v="0.45946829173634218"/>
        <n v="0.78528126595931658"/>
        <n v="0.53877432917482526"/>
        <n v="0.80363756341607961"/>
        <n v="0.53877432917482171"/>
        <n v="0.46097722286464438"/>
        <n v="0.88191710368819753"/>
        <n v="0.66770752080033768"/>
        <n v="0.68819409406875365"/>
        <n v="0.30046260628866789"/>
        <n v="0.91287092917527701"/>
        <n v="0.30956959368344517"/>
        <n v="0.67597665968910925"/>
        <n v="2.011080417199782"/>
        <n v="0.50689687752485291"/>
        <n v="0.67905162624877979"/>
        <n v="1.2093386622447826"/>
        <n v="0.5916079783099617"/>
        <n v="0.98036274465685214"/>
        <n v="0.45491146879854077"/>
        <n v="1.2162099599438687"/>
      </sharedItems>
    </cacheField>
    <cacheField name="Nrml. mean per meter" numFmtId="0">
      <sharedItems containsSemiMixedTypes="0" containsString="0" containsNumber="1" minValue="10.125" maxValue="12.666666666666666" count="21">
        <n v="11.333333333333334"/>
        <n v="10.416666666666666"/>
        <n v="11.166666666666666"/>
        <n v="11.416666666666666"/>
        <n v="11.916666666666666"/>
        <n v="11.666666666666666"/>
        <n v="11.083333333333334"/>
        <n v="11.833333333333334"/>
        <n v="10.458333333333334"/>
        <n v="12.666666666666666"/>
        <n v="10.5"/>
        <n v="12.291666666666666"/>
        <n v="11.75"/>
        <n v="12.583333333333334"/>
        <n v="10.25"/>
        <n v="10.583333333333334"/>
        <n v="11.583333333333334"/>
        <n v="12"/>
        <n v="10.166666666666666"/>
        <n v="10.125"/>
        <n v="11.25"/>
      </sharedItems>
    </cacheField>
    <cacheField name="Comments/Time" numFmtId="0">
      <sharedItems containsDate="1" containsBlank="1" containsMixedTypes="1" minDate="1899-12-30T07:40:00" maxDate="1899-12-30T08:50:00" count="10">
        <d v="1899-12-30T08:22:00"/>
        <m/>
        <d v="1899-12-30T08:50:00"/>
        <s v="bed 8- only 11 on one side but many more coming up"/>
        <d v="1899-12-30T07:40:00"/>
        <d v="1899-12-30T08:11:00"/>
        <d v="1899-12-30T07:47:00"/>
        <d v="1899-12-30T08:13:00"/>
        <s v="great emergence in bed 7. thanks Don!"/>
        <d v="1899-12-30T08:36:0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1.441652893518" createdVersion="1" refreshedVersion="1" recordCount="32" xr:uid="{549584D2-4E77-40A6-A371-E5D98FF15B7B}">
  <cacheSource type="worksheet">
    <worksheetSource ref="B9:T41" sheet="DOY119"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6" maxValue="50" count="14">
        <n v="22"/>
        <n v="23"/>
        <n v="46"/>
        <n v="24"/>
        <n v="50"/>
        <n v="26"/>
        <n v="16"/>
        <n v="44"/>
        <n v="21"/>
        <n v="47"/>
        <n v="18"/>
        <n v="28"/>
        <n v="25"/>
        <n v="45"/>
      </sharedItems>
    </cacheField>
    <cacheField name="Bed4" numFmtId="0">
      <sharedItems containsSemiMixedTypes="0" containsString="0" containsNumber="1" containsInteger="1" minValue="16" maxValue="54" count="18">
        <n v="16"/>
        <n v="18"/>
        <n v="49"/>
        <n v="27"/>
        <n v="54"/>
        <n v="28"/>
        <n v="25"/>
        <n v="23"/>
        <n v="51"/>
        <n v="22"/>
        <n v="48"/>
        <n v="21"/>
        <n v="26"/>
        <n v="17"/>
        <n v="52"/>
        <n v="24"/>
        <n v="53"/>
        <n v="42"/>
      </sharedItems>
    </cacheField>
    <cacheField name="Bed5" numFmtId="0">
      <sharedItems containsSemiMixedTypes="0" containsString="0" containsNumber="1" containsInteger="1" minValue="17" maxValue="50" count="19">
        <n v="21"/>
        <n v="18"/>
        <n v="43"/>
        <n v="20"/>
        <n v="39"/>
        <n v="26"/>
        <n v="44"/>
        <n v="27"/>
        <n v="50"/>
        <n v="25"/>
        <n v="22"/>
        <n v="17"/>
        <n v="24"/>
        <n v="41"/>
        <n v="45"/>
        <n v="19"/>
        <n v="42"/>
        <n v="46"/>
        <n v="23"/>
      </sharedItems>
    </cacheField>
    <cacheField name="Bed6" numFmtId="0">
      <sharedItems containsSemiMixedTypes="0" containsString="0" containsNumber="1" containsInteger="1" minValue="17" maxValue="53" count="19">
        <n v="25"/>
        <n v="20"/>
        <n v="42"/>
        <n v="22"/>
        <n v="45"/>
        <n v="21"/>
        <n v="26"/>
        <n v="36"/>
        <n v="23"/>
        <n v="17"/>
        <n v="53"/>
        <n v="28"/>
        <n v="18"/>
        <n v="24"/>
        <n v="49"/>
        <n v="41"/>
        <n v="19"/>
        <n v="39"/>
        <n v="27"/>
      </sharedItems>
    </cacheField>
    <cacheField name="Bed7" numFmtId="0">
      <sharedItems containsSemiMixedTypes="0" containsString="0" containsNumber="1" containsInteger="1" minValue="15" maxValue="48" count="20">
        <n v="25"/>
        <n v="22"/>
        <n v="40"/>
        <n v="20"/>
        <n v="44"/>
        <n v="19"/>
        <n v="37"/>
        <n v="27"/>
        <n v="21"/>
        <n v="46"/>
        <n v="24"/>
        <n v="15"/>
        <n v="18"/>
        <n v="23"/>
        <n v="48"/>
        <n v="30"/>
        <n v="32"/>
        <n v="39"/>
        <n v="28"/>
        <n v="26"/>
      </sharedItems>
    </cacheField>
    <cacheField name="Bed8" numFmtId="0">
      <sharedItems containsSemiMixedTypes="0" containsString="0" containsNumber="1" containsInteger="1" minValue="11" maxValue="54" count="18">
        <n v="27"/>
        <n v="24"/>
        <n v="48"/>
        <n v="54"/>
        <n v="21"/>
        <n v="26"/>
        <n v="23"/>
        <n v="39"/>
        <n v="18"/>
        <n v="51"/>
        <n v="25"/>
        <n v="22"/>
        <n v="53"/>
        <n v="28"/>
        <n v="38"/>
        <n v="17"/>
        <n v="47"/>
        <n v="11"/>
      </sharedItems>
    </cacheField>
    <cacheField name="Mean per meter" numFmtId="0">
      <sharedItems containsSemiMixedTypes="0" containsString="0" containsNumber="1" minValue="10.166666666666666" maxValue="24.583333333333332" count="25">
        <n v="11.333333333333334"/>
        <n v="10.416666666666666"/>
        <n v="22.333333333333332"/>
        <n v="11.416666666666666"/>
        <n v="23.833333333333332"/>
        <n v="11.666666666666666"/>
        <n v="11.083333333333334"/>
        <n v="11.833333333333334"/>
        <n v="20.916666666666668"/>
        <n v="12.666666666666666"/>
        <n v="10.5"/>
        <n v="24.583333333333332"/>
        <n v="11.75"/>
        <n v="12.583333333333334"/>
        <n v="11.166666666666666"/>
        <n v="10.25"/>
        <n v="10.583333333333334"/>
        <n v="11.583333333333334"/>
        <n v="24"/>
        <n v="20.333333333333332"/>
        <n v="10.166666666666666"/>
        <n v="20.25"/>
        <n v="22.833333333333332"/>
        <n v="11.916666666666666"/>
        <n v="11.25"/>
      </sharedItems>
    </cacheField>
    <cacheField name="std err" numFmtId="0">
      <sharedItems containsSemiMixedTypes="0" containsString="0" containsNumber="1" minValue="0.30046260628866789" maxValue="2.011080417199782" count="30">
        <n v="0.80277297191948727"/>
        <n v="0.52307849421584174"/>
        <n v="0.72648315725678247"/>
        <n v="0.55402567128648994"/>
        <n v="1.2292725943057203"/>
        <n v="0.7149203529842415"/>
        <n v="0.78969051603214313"/>
        <n v="0.38005847503304768"/>
        <n v="1.1504829903614899"/>
        <n v="0.45946829173634218"/>
        <n v="0.78528126595931658"/>
        <n v="0.53877432917482526"/>
        <n v="0.80363756341607961"/>
        <n v="0.53877432917482171"/>
        <n v="0.46097722286464438"/>
        <n v="0.88191710368819753"/>
        <n v="0.66770752080033768"/>
        <n v="0.68819409406875365"/>
        <n v="0.30046260628866789"/>
        <n v="0.91287092917527701"/>
        <n v="0.30956959368344517"/>
        <n v="0.67597665968910925"/>
        <n v="2.011080417199782"/>
        <n v="0.50689687752485291"/>
        <n v="0.67905162624877979"/>
        <n v="1.2093386622447826"/>
        <n v="0.5916079783099617"/>
        <n v="0.98036274465685214"/>
        <n v="0.45491146879854077"/>
        <n v="1.2162099599438687"/>
      </sharedItems>
    </cacheField>
    <cacheField name="Nrml. mean per meter" numFmtId="0">
      <sharedItems containsSemiMixedTypes="0" containsString="0" containsNumber="1" minValue="10.125" maxValue="12.666666666666666" count="21">
        <n v="11.333333333333334"/>
        <n v="10.416666666666666"/>
        <n v="11.166666666666666"/>
        <n v="11.416666666666666"/>
        <n v="11.916666666666666"/>
        <n v="11.666666666666666"/>
        <n v="11.083333333333334"/>
        <n v="11.833333333333334"/>
        <n v="10.458333333333334"/>
        <n v="12.666666666666666"/>
        <n v="10.5"/>
        <n v="12.291666666666666"/>
        <n v="11.75"/>
        <n v="12.583333333333334"/>
        <n v="10.25"/>
        <n v="10.583333333333334"/>
        <n v="11.583333333333334"/>
        <n v="12"/>
        <n v="10.166666666666666"/>
        <n v="10.125"/>
        <n v="11.25"/>
      </sharedItems>
    </cacheField>
    <cacheField name="Comments/Time" numFmtId="0">
      <sharedItems containsDate="1" containsBlank="1" containsMixedTypes="1" minDate="1899-12-30T07:40:00" maxDate="1899-12-30T08:50:00" count="10">
        <d v="1899-12-30T08:22:00"/>
        <m/>
        <d v="1899-12-30T08:50:00"/>
        <s v="bed 8- only 11 on one side but many more coming up"/>
        <d v="1899-12-30T07:40:00"/>
        <d v="1899-12-30T08:11:00"/>
        <d v="1899-12-30T07:47:00"/>
        <d v="1899-12-30T08:13:00"/>
        <s v="great emergence in bed 7. thanks Don!"/>
        <d v="1899-12-30T08:36:00"/>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1.441868865739" createdVersion="1" refreshedVersion="1" recordCount="32" xr:uid="{9CD72795-FC9D-4F80-9C1D-4571315FD746}">
  <cacheSource type="worksheet">
    <worksheetSource ref="B9:T41" sheet="DOY120"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4" maxValue="52" count="19">
        <n v="22"/>
        <n v="44"/>
        <n v="49"/>
        <n v="26"/>
        <n v="15"/>
        <n v="23"/>
        <n v="27"/>
        <n v="21"/>
        <n v="42"/>
        <n v="14"/>
        <n v="18"/>
        <n v="19"/>
        <n v="28"/>
        <n v="25"/>
        <n v="48"/>
        <n v="20"/>
        <n v="47"/>
        <n v="24"/>
        <n v="52"/>
      </sharedItems>
    </cacheField>
    <cacheField name="Bed4" numFmtId="0">
      <sharedItems containsSemiMixedTypes="0" containsString="0" containsNumber="1" containsInteger="1" minValue="14" maxValue="55" count="20">
        <n v="16"/>
        <n v="14"/>
        <n v="48"/>
        <n v="27"/>
        <n v="40"/>
        <n v="29"/>
        <n v="21"/>
        <n v="23"/>
        <n v="47"/>
        <n v="18"/>
        <n v="25"/>
        <n v="20"/>
        <n v="26"/>
        <n v="19"/>
        <n v="53"/>
        <n v="52"/>
        <n v="17"/>
        <n v="45"/>
        <n v="24"/>
        <n v="55"/>
      </sharedItems>
    </cacheField>
    <cacheField name="Bed5" numFmtId="0">
      <sharedItems containsSemiMixedTypes="0" containsString="0" containsNumber="1" containsInteger="1" minValue="10" maxValue="48" count="17">
        <n v="21"/>
        <n v="10"/>
        <n v="42"/>
        <n v="19"/>
        <n v="39"/>
        <n v="22"/>
        <n v="23"/>
        <n v="43"/>
        <n v="28"/>
        <n v="20"/>
        <n v="48"/>
        <n v="26"/>
        <n v="17"/>
        <n v="24"/>
        <n v="25"/>
        <n v="45"/>
        <n v="46"/>
      </sharedItems>
    </cacheField>
    <cacheField name="Bed6" numFmtId="0">
      <sharedItems containsSemiMixedTypes="0" containsString="0" containsNumber="1" containsInteger="1" minValue="13" maxValue="50" count="18">
        <n v="23"/>
        <n v="14"/>
        <n v="42"/>
        <n v="21"/>
        <n v="40"/>
        <n v="24"/>
        <n v="22"/>
        <n v="35"/>
        <n v="13"/>
        <n v="17"/>
        <n v="50"/>
        <n v="26"/>
        <n v="19"/>
        <n v="27"/>
        <n v="25"/>
        <n v="39"/>
        <n v="43"/>
        <n v="28"/>
      </sharedItems>
    </cacheField>
    <cacheField name="Bed7" numFmtId="0">
      <sharedItems containsSemiMixedTypes="0" containsString="0" containsNumber="1" containsInteger="1" minValue="14" maxValue="51" count="19">
        <n v="26"/>
        <n v="17"/>
        <n v="37"/>
        <n v="20"/>
        <n v="41"/>
        <n v="21"/>
        <n v="25"/>
        <n v="34"/>
        <n v="27"/>
        <n v="44"/>
        <n v="19"/>
        <n v="23"/>
        <n v="14"/>
        <n v="24"/>
        <n v="51"/>
        <n v="47"/>
        <n v="18"/>
        <n v="36"/>
        <n v="28"/>
      </sharedItems>
    </cacheField>
    <cacheField name="Bed8" numFmtId="0">
      <sharedItems containsSemiMixedTypes="0" containsString="0" containsNumber="1" containsInteger="1" minValue="18" maxValue="55" count="15">
        <n v="27"/>
        <n v="22"/>
        <n v="47"/>
        <n v="26"/>
        <n v="52"/>
        <n v="19"/>
        <n v="24"/>
        <n v="33"/>
        <n v="18"/>
        <n v="23"/>
        <n v="55"/>
        <n v="31"/>
        <n v="25"/>
        <n v="42"/>
        <n v="50"/>
      </sharedItems>
    </cacheField>
    <cacheField name="Mean per meter" numFmtId="0">
      <sharedItems containsSemiMixedTypes="0" containsString="0" containsNumber="1" minValue="8.25" maxValue="25" count="24">
        <n v="11.25"/>
        <n v="8.25"/>
        <n v="21.666666666666668"/>
        <n v="21.75"/>
        <n v="11.75"/>
        <n v="10.666666666666666"/>
        <n v="11.416666666666666"/>
        <n v="19.666666666666668"/>
        <n v="11.583333333333334"/>
        <n v="10.833333333333334"/>
        <n v="23.166666666666668"/>
        <n v="11"/>
        <n v="11.833333333333334"/>
        <n v="11.166666666666666"/>
        <n v="10.916666666666666"/>
        <n v="11.916666666666666"/>
        <n v="12.333333333333334"/>
        <n v="25"/>
        <n v="12.416666666666666"/>
        <n v="10.583333333333334"/>
        <n v="11.083333333333334"/>
        <n v="22"/>
        <n v="11.333333333333334"/>
        <n v="23.583333333333332"/>
      </sharedItems>
    </cacheField>
    <cacheField name="std err" numFmtId="0">
      <sharedItems containsSemiMixedTypes="0" containsString="0" containsNumber="1" minValue="0.30046260628866789" maxValue="1.5152007567755943"/>
    </cacheField>
    <cacheField name="Nrml. mean per meter" numFmtId="0">
      <sharedItems containsSemiMixedTypes="0" containsString="0" containsNumber="1" minValue="8.25" maxValue="12.5" count="21">
        <n v="11.25"/>
        <n v="8.25"/>
        <n v="10.833333333333334"/>
        <n v="10.875"/>
        <n v="11.75"/>
        <n v="10.666666666666666"/>
        <n v="11.416666666666666"/>
        <n v="9.8333333333333339"/>
        <n v="11.583333333333334"/>
        <n v="11"/>
        <n v="11.833333333333334"/>
        <n v="11.166666666666666"/>
        <n v="10.916666666666666"/>
        <n v="11.916666666666666"/>
        <n v="12.333333333333334"/>
        <n v="12.5"/>
        <n v="12.416666666666666"/>
        <n v="10.583333333333334"/>
        <n v="11.083333333333334"/>
        <n v="11.333333333333334"/>
        <n v="11.791666666666666"/>
      </sharedItems>
    </cacheField>
    <cacheField name="Comments/Time"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1.432351157404" createdVersion="1" refreshedVersion="1" recordCount="32" xr:uid="{2FD7796E-E021-4329-9DA5-1BB904DD84BC}">
  <cacheSource type="worksheet">
    <worksheetSource ref="B9:T41" sheet="DOY120"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4" maxValue="52" count="19">
        <n v="22"/>
        <n v="44"/>
        <n v="49"/>
        <n v="26"/>
        <n v="15"/>
        <n v="23"/>
        <n v="27"/>
        <n v="21"/>
        <n v="42"/>
        <n v="14"/>
        <n v="18"/>
        <n v="19"/>
        <n v="28"/>
        <n v="25"/>
        <n v="48"/>
        <n v="20"/>
        <n v="47"/>
        <n v="24"/>
        <n v="52"/>
      </sharedItems>
    </cacheField>
    <cacheField name="Bed4" numFmtId="0">
      <sharedItems containsSemiMixedTypes="0" containsString="0" containsNumber="1" containsInteger="1" minValue="14" maxValue="55" count="20">
        <n v="16"/>
        <n v="14"/>
        <n v="48"/>
        <n v="27"/>
        <n v="40"/>
        <n v="29"/>
        <n v="21"/>
        <n v="23"/>
        <n v="47"/>
        <n v="18"/>
        <n v="25"/>
        <n v="20"/>
        <n v="26"/>
        <n v="19"/>
        <n v="53"/>
        <n v="52"/>
        <n v="17"/>
        <n v="45"/>
        <n v="24"/>
        <n v="55"/>
      </sharedItems>
    </cacheField>
    <cacheField name="Bed5" numFmtId="0">
      <sharedItems containsSemiMixedTypes="0" containsString="0" containsNumber="1" containsInteger="1" minValue="10" maxValue="48" count="17">
        <n v="21"/>
        <n v="10"/>
        <n v="42"/>
        <n v="19"/>
        <n v="39"/>
        <n v="22"/>
        <n v="23"/>
        <n v="43"/>
        <n v="28"/>
        <n v="20"/>
        <n v="48"/>
        <n v="26"/>
        <n v="17"/>
        <n v="24"/>
        <n v="25"/>
        <n v="45"/>
        <n v="46"/>
      </sharedItems>
    </cacheField>
    <cacheField name="Bed6" numFmtId="0">
      <sharedItems containsSemiMixedTypes="0" containsString="0" containsNumber="1" containsInteger="1" minValue="13" maxValue="50" count="18">
        <n v="23"/>
        <n v="14"/>
        <n v="42"/>
        <n v="21"/>
        <n v="40"/>
        <n v="24"/>
        <n v="22"/>
        <n v="35"/>
        <n v="13"/>
        <n v="17"/>
        <n v="50"/>
        <n v="26"/>
        <n v="19"/>
        <n v="27"/>
        <n v="25"/>
        <n v="39"/>
        <n v="43"/>
        <n v="28"/>
      </sharedItems>
    </cacheField>
    <cacheField name="Bed7" numFmtId="0">
      <sharedItems containsSemiMixedTypes="0" containsString="0" containsNumber="1" containsInteger="1" minValue="14" maxValue="51" count="19">
        <n v="26"/>
        <n v="17"/>
        <n v="37"/>
        <n v="20"/>
        <n v="41"/>
        <n v="21"/>
        <n v="25"/>
        <n v="34"/>
        <n v="27"/>
        <n v="44"/>
        <n v="19"/>
        <n v="23"/>
        <n v="14"/>
        <n v="24"/>
        <n v="51"/>
        <n v="47"/>
        <n v="18"/>
        <n v="36"/>
        <n v="28"/>
      </sharedItems>
    </cacheField>
    <cacheField name="Bed8" numFmtId="0">
      <sharedItems containsSemiMixedTypes="0" containsString="0" containsNumber="1" containsInteger="1" minValue="18" maxValue="55" count="15">
        <n v="27"/>
        <n v="22"/>
        <n v="47"/>
        <n v="26"/>
        <n v="52"/>
        <n v="19"/>
        <n v="24"/>
        <n v="33"/>
        <n v="18"/>
        <n v="23"/>
        <n v="55"/>
        <n v="31"/>
        <n v="25"/>
        <n v="42"/>
        <n v="50"/>
      </sharedItems>
    </cacheField>
    <cacheField name="Mean per meter" numFmtId="0">
      <sharedItems containsSemiMixedTypes="0" containsString="0" containsNumber="1" minValue="8.25" maxValue="25" count="24">
        <n v="11.25"/>
        <n v="8.25"/>
        <n v="21.666666666666668"/>
        <n v="21.75"/>
        <n v="11.75"/>
        <n v="10.666666666666666"/>
        <n v="11.416666666666666"/>
        <n v="19.666666666666668"/>
        <n v="11.583333333333334"/>
        <n v="10.833333333333334"/>
        <n v="23.166666666666668"/>
        <n v="11"/>
        <n v="11.833333333333334"/>
        <n v="11.166666666666666"/>
        <n v="10.916666666666666"/>
        <n v="11.916666666666666"/>
        <n v="12.333333333333334"/>
        <n v="25"/>
        <n v="12.416666666666666"/>
        <n v="10.583333333333334"/>
        <n v="11.083333333333334"/>
        <n v="22"/>
        <n v="11.333333333333334"/>
        <n v="23.583333333333332"/>
      </sharedItems>
    </cacheField>
    <cacheField name="std err" numFmtId="0">
      <sharedItems containsSemiMixedTypes="0" containsString="0" containsNumber="1" minValue="0.30046260628866789" maxValue="1.5152007567755943"/>
    </cacheField>
    <cacheField name="Nrml. mean per meter" numFmtId="0">
      <sharedItems containsSemiMixedTypes="0" containsString="0" containsNumber="1" minValue="8.25" maxValue="12.5" count="21">
        <n v="11.25"/>
        <n v="8.25"/>
        <n v="10.833333333333334"/>
        <n v="10.875"/>
        <n v="11.75"/>
        <n v="10.666666666666666"/>
        <n v="11.416666666666666"/>
        <n v="9.8333333333333339"/>
        <n v="11.583333333333334"/>
        <n v="11"/>
        <n v="11.833333333333334"/>
        <n v="11.166666666666666"/>
        <n v="10.916666666666666"/>
        <n v="11.916666666666666"/>
        <n v="12.333333333333334"/>
        <n v="12.5"/>
        <n v="12.416666666666666"/>
        <n v="10.583333333333334"/>
        <n v="11.083333333333334"/>
        <n v="11.333333333333334"/>
        <n v="11.791666666666666"/>
      </sharedItems>
    </cacheField>
    <cacheField name="Comments/Time"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6.624935300926" createdVersion="1" refreshedVersion="1" recordCount="32" xr:uid="{EF165D26-03C8-4C73-BD58-F8A3DA58CF95}">
  <cacheSource type="worksheet">
    <worksheetSource ref="B9:T41" sheet="DOY122"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4" maxValue="53" count="19">
        <n v="21"/>
        <n v="25"/>
        <n v="46"/>
        <n v="51"/>
        <n v="26"/>
        <n v="17"/>
        <n v="27"/>
        <n v="18"/>
        <n v="44"/>
        <n v="14"/>
        <n v="28"/>
        <n v="52"/>
        <n v="20"/>
        <n v="50"/>
        <n v="16"/>
        <n v="23"/>
        <n v="53"/>
        <n v="22"/>
        <n v="24"/>
      </sharedItems>
    </cacheField>
    <cacheField name="Bed4" numFmtId="0">
      <sharedItems containsSemiMixedTypes="0" containsString="0" containsNumber="1" containsInteger="1" minValue="15" maxValue="53" count="19">
        <n v="18"/>
        <n v="15"/>
        <n v="51"/>
        <n v="28"/>
        <n v="50"/>
        <n v="30"/>
        <n v="23"/>
        <n v="25"/>
        <n v="49"/>
        <n v="47"/>
        <n v="26"/>
        <n v="20"/>
        <n v="24"/>
        <n v="27"/>
        <n v="52"/>
        <n v="22"/>
        <n v="16"/>
        <n v="43"/>
        <n v="53"/>
      </sharedItems>
    </cacheField>
    <cacheField name="Bed5" numFmtId="0">
      <sharedItems containsSemiMixedTypes="0" containsString="0" containsNumber="1" containsInteger="1" minValue="13" maxValue="46" count="15">
        <n v="23"/>
        <n v="13"/>
        <n v="42"/>
        <n v="21"/>
        <n v="46"/>
        <n v="24"/>
        <n v="20"/>
        <n v="26"/>
        <n v="45"/>
        <n v="28"/>
        <n v="22"/>
        <n v="18"/>
        <n v="44"/>
        <n v="19"/>
        <n v="43"/>
      </sharedItems>
    </cacheField>
    <cacheField name="Bed6" numFmtId="0">
      <sharedItems containsSemiMixedTypes="0" containsString="0" containsNumber="1" containsInteger="1" minValue="14" maxValue="49" count="18">
        <n v="15"/>
        <n v="14"/>
        <n v="44"/>
        <n v="23"/>
        <n v="25"/>
        <n v="22"/>
        <n v="38"/>
        <n v="45"/>
        <n v="26"/>
        <n v="20"/>
        <n v="19"/>
        <n v="49"/>
        <n v="24"/>
        <n v="42"/>
        <n v="21"/>
        <n v="43"/>
        <n v="17"/>
        <n v="28"/>
      </sharedItems>
    </cacheField>
    <cacheField name="Bed7" numFmtId="0">
      <sharedItems containsSemiMixedTypes="0" containsString="0" containsNumber="1" containsInteger="1" minValue="15" maxValue="49" count="20">
        <n v="20"/>
        <n v="22"/>
        <n v="39"/>
        <n v="21"/>
        <n v="44"/>
        <n v="26"/>
        <n v="29"/>
        <n v="45"/>
        <n v="19"/>
        <n v="23"/>
        <n v="27"/>
        <n v="15"/>
        <n v="24"/>
        <n v="17"/>
        <n v="49"/>
        <n v="48"/>
        <n v="25"/>
        <n v="16"/>
        <n v="34"/>
        <n v="40"/>
      </sharedItems>
    </cacheField>
    <cacheField name="Bed8" numFmtId="0">
      <sharedItems containsSemiMixedTypes="0" containsString="0" containsNumber="1" containsInteger="1" minValue="16" maxValue="54" count="16">
        <n v="27"/>
        <n v="25"/>
        <n v="49"/>
        <n v="54"/>
        <n v="22"/>
        <n v="26"/>
        <n v="23"/>
        <n v="28"/>
        <n v="17"/>
        <n v="45"/>
        <n v="21"/>
        <n v="24"/>
        <n v="32"/>
        <n v="41"/>
        <n v="18"/>
        <n v="16"/>
      </sharedItems>
    </cacheField>
    <cacheField name="Mean per meter" numFmtId="0">
      <sharedItems containsSemiMixedTypes="0" containsString="0" containsNumber="1" minValue="9.5" maxValue="25" count="28">
        <n v="10.333333333333334"/>
        <n v="9.5"/>
        <n v="22.583333333333332"/>
        <n v="11.916666666666666"/>
        <n v="24.083333333333332"/>
        <n v="12.333333333333334"/>
        <n v="11.166666666666666"/>
        <n v="12.083333333333334"/>
        <n v="22.166666666666668"/>
        <n v="12.5"/>
        <n v="9.6666666666666661"/>
        <n v="22.666666666666668"/>
        <n v="11.083333333333334"/>
        <n v="11.583333333333334"/>
        <n v="11.25"/>
        <n v="11.416666666666666"/>
        <n v="10.5"/>
        <n v="11.333333333333334"/>
        <n v="12"/>
        <n v="25"/>
        <n v="12.416666666666666"/>
        <n v="22.25"/>
        <n v="10.083333333333334"/>
        <n v="10.916666666666666"/>
        <n v="21.333333333333332"/>
        <n v="10"/>
        <n v="23.333333333333332"/>
        <n v="12.833333333333334"/>
      </sharedItems>
    </cacheField>
    <cacheField name="std err" numFmtId="0">
      <sharedItems containsSemiMixedTypes="0" containsString="0" containsNumber="1" minValue="0.21081851067790397" maxValue="1.4361406616345072" count="28">
        <n v="0.84327404271156869"/>
        <n v="1.1474609652039005"/>
        <n v="0.90753022600413491"/>
        <n v="0.55402567128648994"/>
        <n v="0.84079988370863235"/>
        <n v="0.65404722901162049"/>
        <n v="0.7149203529842415"/>
        <n v="0.37453675090407224"/>
        <n v="0.98036274465685214"/>
        <n v="1.0878112581387147"/>
        <n v="0.21081851067790397"/>
        <n v="0.96104688288923368"/>
        <n v="0.43620841094341484"/>
        <n v="0.66770752080033768"/>
        <n v="0.94354532364787813"/>
        <n v="0.63245553203367599"/>
        <n v="0.58689389538863479"/>
        <n v="0.78969051603214313"/>
        <n v="0.4281744192888377"/>
        <n v="0.7187952884282609"/>
        <n v="0.35158371849548492"/>
        <n v="0.65085413965888894"/>
        <n v="1.4361406616345072"/>
        <n v="0.72360977820308126"/>
        <n v="1.2427567921538187"/>
        <n v="0.98882646494609117"/>
        <n v="0.47726070210921312"/>
        <n v="0.86039396660935452"/>
      </sharedItems>
    </cacheField>
    <cacheField name="Nrml. mean per meter" numFmtId="0">
      <sharedItems containsSemiMixedTypes="0" containsString="0" containsNumber="1" minValue="9.5" maxValue="12.833333333333334" count="25">
        <n v="10.333333333333334"/>
        <n v="9.5"/>
        <n v="11.291666666666666"/>
        <n v="11.916666666666666"/>
        <n v="12.041666666666666"/>
        <n v="12.333333333333334"/>
        <n v="11.166666666666666"/>
        <n v="12.083333333333334"/>
        <n v="11.083333333333334"/>
        <n v="12.5"/>
        <n v="9.6666666666666661"/>
        <n v="11.333333333333334"/>
        <n v="11.583333333333334"/>
        <n v="11.25"/>
        <n v="11.416666666666666"/>
        <n v="10.5"/>
        <n v="12"/>
        <n v="12.416666666666666"/>
        <n v="11.125"/>
        <n v="10.083333333333334"/>
        <n v="10.916666666666666"/>
        <n v="10.666666666666666"/>
        <n v="10"/>
        <n v="11.666666666666666"/>
        <n v="12.833333333333334"/>
      </sharedItems>
    </cacheField>
    <cacheField name="Comments/Time" numFmtId="0">
      <sharedItems count="11">
        <s v="Amy.  End 10:00."/>
        <s v="Amy.  Major crusting."/>
        <s v="Amy."/>
        <s v="Amy.  9:10 begin."/>
        <s v="Amy.  10:01 begin."/>
        <s v="Amy.  10:06 end."/>
        <s v="Carrie."/>
        <s v="Suzette."/>
        <s v="Suzette.  E/W"/>
        <s v="Suzette.  Broke a little crust - not in FH area."/>
        <s v="Suzette.  Good emergence, crust already broken. "/>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6.625301157408" createdVersion="1" refreshedVersion="1" recordCount="32" xr:uid="{0EF1216F-76F4-4363-8C1E-55C347DAA0D9}">
  <cacheSource type="worksheet">
    <worksheetSource ref="B9:T41" sheet="DOY122" r:id="rId2"/>
  </cacheSource>
  <cacheFields count="19">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4" maxValue="53" count="19">
        <n v="21"/>
        <n v="25"/>
        <n v="46"/>
        <n v="51"/>
        <n v="26"/>
        <n v="17"/>
        <n v="27"/>
        <n v="18"/>
        <n v="44"/>
        <n v="14"/>
        <n v="28"/>
        <n v="52"/>
        <n v="20"/>
        <n v="50"/>
        <n v="16"/>
        <n v="23"/>
        <n v="53"/>
        <n v="22"/>
        <n v="24"/>
      </sharedItems>
    </cacheField>
    <cacheField name="Bed4" numFmtId="0">
      <sharedItems containsSemiMixedTypes="0" containsString="0" containsNumber="1" containsInteger="1" minValue="15" maxValue="53" count="19">
        <n v="18"/>
        <n v="15"/>
        <n v="51"/>
        <n v="28"/>
        <n v="50"/>
        <n v="30"/>
        <n v="23"/>
        <n v="25"/>
        <n v="49"/>
        <n v="47"/>
        <n v="26"/>
        <n v="20"/>
        <n v="24"/>
        <n v="27"/>
        <n v="52"/>
        <n v="22"/>
        <n v="16"/>
        <n v="43"/>
        <n v="53"/>
      </sharedItems>
    </cacheField>
    <cacheField name="Bed5" numFmtId="0">
      <sharedItems containsSemiMixedTypes="0" containsString="0" containsNumber="1" containsInteger="1" minValue="13" maxValue="46" count="15">
        <n v="23"/>
        <n v="13"/>
        <n v="42"/>
        <n v="21"/>
        <n v="46"/>
        <n v="24"/>
        <n v="20"/>
        <n v="26"/>
        <n v="45"/>
        <n v="28"/>
        <n v="22"/>
        <n v="18"/>
        <n v="44"/>
        <n v="19"/>
        <n v="43"/>
      </sharedItems>
    </cacheField>
    <cacheField name="Bed6" numFmtId="0">
      <sharedItems containsSemiMixedTypes="0" containsString="0" containsNumber="1" containsInteger="1" minValue="14" maxValue="49" count="18">
        <n v="15"/>
        <n v="14"/>
        <n v="44"/>
        <n v="23"/>
        <n v="25"/>
        <n v="22"/>
        <n v="38"/>
        <n v="45"/>
        <n v="26"/>
        <n v="20"/>
        <n v="19"/>
        <n v="49"/>
        <n v="24"/>
        <n v="42"/>
        <n v="21"/>
        <n v="43"/>
        <n v="17"/>
        <n v="28"/>
      </sharedItems>
    </cacheField>
    <cacheField name="Bed7" numFmtId="0">
      <sharedItems containsSemiMixedTypes="0" containsString="0" containsNumber="1" containsInteger="1" minValue="15" maxValue="49" count="20">
        <n v="20"/>
        <n v="22"/>
        <n v="39"/>
        <n v="21"/>
        <n v="44"/>
        <n v="26"/>
        <n v="29"/>
        <n v="45"/>
        <n v="19"/>
        <n v="23"/>
        <n v="27"/>
        <n v="15"/>
        <n v="24"/>
        <n v="17"/>
        <n v="49"/>
        <n v="48"/>
        <n v="25"/>
        <n v="16"/>
        <n v="34"/>
        <n v="40"/>
      </sharedItems>
    </cacheField>
    <cacheField name="Bed8" numFmtId="0">
      <sharedItems containsSemiMixedTypes="0" containsString="0" containsNumber="1" containsInteger="1" minValue="16" maxValue="54" count="16">
        <n v="27"/>
        <n v="25"/>
        <n v="49"/>
        <n v="54"/>
        <n v="22"/>
        <n v="26"/>
        <n v="23"/>
        <n v="28"/>
        <n v="17"/>
        <n v="45"/>
        <n v="21"/>
        <n v="24"/>
        <n v="32"/>
        <n v="41"/>
        <n v="18"/>
        <n v="16"/>
      </sharedItems>
    </cacheField>
    <cacheField name="Mean per meter" numFmtId="0">
      <sharedItems containsSemiMixedTypes="0" containsString="0" containsNumber="1" minValue="9.5" maxValue="25" count="28">
        <n v="10.333333333333334"/>
        <n v="9.5"/>
        <n v="22.583333333333332"/>
        <n v="11.916666666666666"/>
        <n v="24.083333333333332"/>
        <n v="12.333333333333334"/>
        <n v="11.166666666666666"/>
        <n v="12.083333333333334"/>
        <n v="22.166666666666668"/>
        <n v="12.5"/>
        <n v="9.6666666666666661"/>
        <n v="22.666666666666668"/>
        <n v="11.083333333333334"/>
        <n v="11.583333333333334"/>
        <n v="11.25"/>
        <n v="11.416666666666666"/>
        <n v="10.5"/>
        <n v="11.333333333333334"/>
        <n v="12"/>
        <n v="25"/>
        <n v="12.416666666666666"/>
        <n v="22.25"/>
        <n v="10.083333333333334"/>
        <n v="10.916666666666666"/>
        <n v="21.333333333333332"/>
        <n v="10"/>
        <n v="23.333333333333332"/>
        <n v="12.833333333333334"/>
      </sharedItems>
    </cacheField>
    <cacheField name="std err" numFmtId="0">
      <sharedItems containsSemiMixedTypes="0" containsString="0" containsNumber="1" minValue="0.21081851067790397" maxValue="1.4361406616345072" count="28">
        <n v="0.84327404271156869"/>
        <n v="1.1474609652039005"/>
        <n v="0.90753022600413491"/>
        <n v="0.55402567128648994"/>
        <n v="0.84079988370863235"/>
        <n v="0.65404722901162049"/>
        <n v="0.7149203529842415"/>
        <n v="0.37453675090407224"/>
        <n v="0.98036274465685214"/>
        <n v="1.0878112581387147"/>
        <n v="0.21081851067790397"/>
        <n v="0.96104688288923368"/>
        <n v="0.43620841094341484"/>
        <n v="0.66770752080033768"/>
        <n v="0.94354532364787813"/>
        <n v="0.63245553203367599"/>
        <n v="0.58689389538863479"/>
        <n v="0.78969051603214313"/>
        <n v="0.4281744192888377"/>
        <n v="0.7187952884282609"/>
        <n v="0.35158371849548492"/>
        <n v="0.65085413965888894"/>
        <n v="1.4361406616345072"/>
        <n v="0.72360977820308126"/>
        <n v="1.2427567921538187"/>
        <n v="0.98882646494609117"/>
        <n v="0.47726070210921312"/>
        <n v="0.86039396660935452"/>
      </sharedItems>
    </cacheField>
    <cacheField name="Nrml. mean per meter" numFmtId="0">
      <sharedItems containsSemiMixedTypes="0" containsString="0" containsNumber="1" minValue="9.5" maxValue="12.833333333333334" count="25">
        <n v="10.333333333333334"/>
        <n v="9.5"/>
        <n v="11.291666666666666"/>
        <n v="11.916666666666666"/>
        <n v="12.041666666666666"/>
        <n v="12.333333333333334"/>
        <n v="11.166666666666666"/>
        <n v="12.083333333333334"/>
        <n v="11.083333333333334"/>
        <n v="12.5"/>
        <n v="9.6666666666666661"/>
        <n v="11.333333333333334"/>
        <n v="11.583333333333334"/>
        <n v="11.25"/>
        <n v="11.416666666666666"/>
        <n v="10.5"/>
        <n v="12"/>
        <n v="12.416666666666666"/>
        <n v="11.125"/>
        <n v="10.083333333333334"/>
        <n v="10.916666666666666"/>
        <n v="10.666666666666666"/>
        <n v="10"/>
        <n v="11.666666666666666"/>
        <n v="12.833333333333334"/>
      </sharedItems>
    </cacheField>
    <cacheField name="Comments/Time" numFmtId="0">
      <sharedItems count="11">
        <s v="Amy.  End 10:00."/>
        <s v="Amy.  Major crusting."/>
        <s v="Amy."/>
        <s v="Amy.  9:10 begin."/>
        <s v="Amy.  10:01 begin."/>
        <s v="Amy.  10:06 end."/>
        <s v="Carrie."/>
        <s v="Suzette."/>
        <s v="Suzette.  E/W"/>
        <s v="Suzette.  Broke a little crust - not in FH area."/>
        <s v="Suzette.  Good emergence, crust already broken. "/>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47.514479050929" createdVersion="1" refreshedVersion="1" recordCount="32" xr:uid="{8CE2FA78-C8FD-460F-A44B-F0250BE96532}">
  <cacheSource type="worksheet">
    <worksheetSource ref="B9:T41" sheet="DOY126" r:id="rId2"/>
  </cacheSource>
  <cacheFields count="19">
    <cacheField name="Plot" numFmtId="0">
      <sharedItems containsSemiMixedTypes="0" containsString="0" containsNumber="1" containsInteger="1" minValue="101" maxValue="408" count="32">
        <n v="101"/>
        <n v="102"/>
        <n v="103"/>
        <n v="104"/>
        <n v="105"/>
        <n v="106"/>
        <n v="107"/>
        <n v="108"/>
        <n v="201"/>
        <n v="202"/>
        <n v="203"/>
        <n v="204"/>
        <n v="205"/>
        <n v="206"/>
        <n v="207"/>
        <n v="208"/>
        <n v="301"/>
        <n v="302"/>
        <n v="303"/>
        <n v="304"/>
        <n v="305"/>
        <n v="306"/>
        <n v="307"/>
        <n v="308"/>
        <n v="401"/>
        <n v="402"/>
        <n v="403"/>
        <n v="404"/>
        <n v="405"/>
        <n v="406"/>
        <n v="407"/>
        <n v="408"/>
      </sharedItems>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4" maxValue="55" count="20">
        <n v="15"/>
        <n v="25"/>
        <n v="42"/>
        <n v="22"/>
        <n v="48"/>
        <n v="24"/>
        <n v="18"/>
        <n v="23"/>
        <n v="41"/>
        <n v="27"/>
        <n v="19"/>
        <n v="44"/>
        <n v="14"/>
        <n v="21"/>
        <n v="29"/>
        <n v="53"/>
        <n v="28"/>
        <n v="26"/>
        <n v="55"/>
        <n v="51"/>
      </sharedItems>
    </cacheField>
    <cacheField name="Bed4" numFmtId="0">
      <sharedItems containsSemiMixedTypes="0" containsString="0" containsNumber="1" containsInteger="1" minValue="14" maxValue="57" count="16">
        <n v="20"/>
        <n v="14"/>
        <n v="43"/>
        <n v="27"/>
        <n v="40"/>
        <n v="28"/>
        <n v="22"/>
        <n v="23"/>
        <n v="46"/>
        <n v="45"/>
        <n v="26"/>
        <n v="29"/>
        <n v="57"/>
        <n v="55"/>
        <n v="24"/>
        <n v="50"/>
      </sharedItems>
    </cacheField>
    <cacheField name="Bed5" numFmtId="0">
      <sharedItems containsSemiMixedTypes="0" containsString="0" containsNumber="1" containsInteger="1" minValue="9" maxValue="50" count="18">
        <n v="22"/>
        <n v="9"/>
        <n v="42"/>
        <n v="20"/>
        <n v="40"/>
        <n v="23"/>
        <n v="44"/>
        <n v="28"/>
        <n v="49"/>
        <n v="26"/>
        <n v="21"/>
        <n v="19"/>
        <n v="27"/>
        <n v="25"/>
        <n v="48"/>
        <n v="24"/>
        <n v="50"/>
        <n v="30"/>
      </sharedItems>
    </cacheField>
    <cacheField name="Bed6" numFmtId="0">
      <sharedItems containsSemiMixedTypes="0" containsString="0" containsNumber="1" containsInteger="1" minValue="11" maxValue="55" count="21">
        <n v="11"/>
        <n v="15"/>
        <n v="41"/>
        <n v="21"/>
        <n v="43"/>
        <n v="24"/>
        <n v="23"/>
        <n v="38"/>
        <n v="13"/>
        <n v="45"/>
        <n v="22"/>
        <n v="27"/>
        <n v="25"/>
        <n v="29"/>
        <n v="53"/>
        <n v="26"/>
        <n v="28"/>
        <n v="46"/>
        <n v="44"/>
        <n v="55"/>
        <n v="20"/>
      </sharedItems>
    </cacheField>
    <cacheField name="Bed7" numFmtId="0">
      <sharedItems containsSemiMixedTypes="0" containsString="0" containsNumber="1" containsInteger="1" minValue="11" maxValue="53" count="20">
        <n v="11"/>
        <n v="17"/>
        <n v="36"/>
        <n v="20"/>
        <n v="40"/>
        <n v="21"/>
        <n v="31"/>
        <n v="27"/>
        <n v="18"/>
        <n v="42"/>
        <n v="23"/>
        <n v="24"/>
        <n v="15"/>
        <n v="26"/>
        <n v="53"/>
        <n v="28"/>
        <n v="25"/>
        <n v="50"/>
        <n v="43"/>
        <n v="32"/>
      </sharedItems>
    </cacheField>
    <cacheField name="Bed8" numFmtId="0">
      <sharedItems containsSemiMixedTypes="0" containsString="0" containsNumber="1" containsInteger="1" minValue="17" maxValue="58" count="20">
        <n v="25"/>
        <n v="22"/>
        <n v="47"/>
        <n v="24"/>
        <n v="21"/>
        <n v="27"/>
        <n v="23"/>
        <n v="40"/>
        <n v="26"/>
        <n v="17"/>
        <n v="44"/>
        <n v="20"/>
        <n v="30"/>
        <n v="58"/>
        <n v="29"/>
        <n v="35"/>
        <n v="45"/>
        <n v="19"/>
        <n v="51"/>
        <n v="31"/>
      </sharedItems>
    </cacheField>
    <cacheField name="Mean per meter" numFmtId="0">
      <sharedItems containsSemiMixedTypes="0" containsString="0" containsNumber="1" minValue="8.5" maxValue="26.833333333333332" count="28">
        <n v="8.6666666666666661"/>
        <n v="8.5"/>
        <n v="20.916666666666668"/>
        <n v="11.166666666666666"/>
        <n v="21.5"/>
        <n v="11.416666666666666"/>
        <n v="10.916666666666666"/>
        <n v="11.25"/>
        <n v="20"/>
        <n v="11.916666666666666"/>
        <n v="9.6666666666666661"/>
        <n v="22.416666666666668"/>
        <n v="10.833333333333334"/>
        <n v="11.75"/>
        <n v="11"/>
        <n v="10.583333333333334"/>
        <n v="12.5"/>
        <n v="12.916666666666666"/>
        <n v="26.833333333333332"/>
        <n v="13.25"/>
        <n v="12.416666666666666"/>
        <n v="24"/>
        <n v="12.166666666666666"/>
        <n v="23.833333333333332"/>
        <n v="11.5"/>
        <n v="25.583333333333332"/>
        <n v="13.75"/>
        <n v="12.583333333333334"/>
      </sharedItems>
    </cacheField>
    <cacheField name="std err" numFmtId="0">
      <sharedItems containsSemiMixedTypes="0" containsString="0" containsNumber="1" minValue="0.25" maxValue="1.4491376746189439" count="32">
        <n v="1.2018504251546629"/>
        <n v="1.1761519176251567"/>
        <n v="0.72360977820308392"/>
        <n v="0.55777335102271819"/>
        <n v="0.75277265270908111"/>
        <n v="0.74628710590793801"/>
        <n v="0.62472216046637807"/>
        <n v="0.25"/>
        <n v="1.0723805294763609"/>
        <n v="1.1648795836671042"/>
        <n v="0.84327404271156869"/>
        <n v="0.47287536530370894"/>
        <n v="1.0381607668264965"/>
        <n v="0.58807595881257835"/>
        <n v="0.44721359549995793"/>
        <n v="0.7120003121097952"/>
        <n v="0.71589105316381774"/>
        <n v="0.57735026918962584"/>
        <n v="0.65085413965888894"/>
        <n v="0.41666666666666829"/>
        <n v="0.72648315725677204"/>
        <n v="0.38188130791298669"/>
        <n v="0.6379219736334889"/>
        <n v="1.4491376746189439"/>
        <n v="0.38005847503304768"/>
        <n v="0.75737118450011853"/>
        <n v="0.98882646494609117"/>
        <n v="0.61913918736689033"/>
        <n v="0.98671734104104825"/>
        <n v="0.70710678118654757"/>
        <n v="0.66770752080033768"/>
        <n v="0.90753022600413291"/>
      </sharedItems>
    </cacheField>
    <cacheField name="Nrml. mean per meter" numFmtId="0">
      <sharedItems containsSemiMixedTypes="0" containsString="0" containsNumber="1" minValue="8.5" maxValue="13.75" count="27">
        <n v="8.6666666666666661"/>
        <n v="8.5"/>
        <n v="10.458333333333334"/>
        <n v="11.166666666666666"/>
        <n v="10.75"/>
        <n v="11.416666666666666"/>
        <n v="10.916666666666666"/>
        <n v="11.25"/>
        <n v="10"/>
        <n v="11.916666666666666"/>
        <n v="9.6666666666666661"/>
        <n v="11.208333333333334"/>
        <n v="10.833333333333334"/>
        <n v="11.75"/>
        <n v="11"/>
        <n v="10.583333333333334"/>
        <n v="12.5"/>
        <n v="12.916666666666666"/>
        <n v="13.416666666666666"/>
        <n v="13.25"/>
        <n v="12.416666666666666"/>
        <n v="12"/>
        <n v="12.166666666666666"/>
        <n v="11.5"/>
        <n v="12.791666666666666"/>
        <n v="13.75"/>
        <n v="12.583333333333334"/>
      </sharedItems>
    </cacheField>
    <cacheField name="Comments/Time"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57.465717592589" createdVersion="1" refreshedVersion="1" recordCount="32" xr:uid="{1FA0D893-93AE-440A-B434-EED733B5DA7D}">
  <cacheSource type="worksheet">
    <worksheetSource ref="B9:U41" sheet="DOY126" r:id="rId2"/>
  </cacheSource>
  <cacheFields count="20">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4" maxValue="55" count="20">
        <n v="15"/>
        <n v="25"/>
        <n v="42"/>
        <n v="22"/>
        <n v="48"/>
        <n v="24"/>
        <n v="18"/>
        <n v="23"/>
        <n v="41"/>
        <n v="27"/>
        <n v="19"/>
        <n v="44"/>
        <n v="14"/>
        <n v="21"/>
        <n v="29"/>
        <n v="53"/>
        <n v="28"/>
        <n v="26"/>
        <n v="55"/>
        <n v="51"/>
      </sharedItems>
    </cacheField>
    <cacheField name="Bed4" numFmtId="0">
      <sharedItems containsSemiMixedTypes="0" containsString="0" containsNumber="1" containsInteger="1" minValue="14" maxValue="57" count="16">
        <n v="20"/>
        <n v="14"/>
        <n v="43"/>
        <n v="27"/>
        <n v="40"/>
        <n v="28"/>
        <n v="22"/>
        <n v="23"/>
        <n v="46"/>
        <n v="45"/>
        <n v="26"/>
        <n v="29"/>
        <n v="57"/>
        <n v="55"/>
        <n v="24"/>
        <n v="50"/>
      </sharedItems>
    </cacheField>
    <cacheField name="Bed5" numFmtId="0">
      <sharedItems containsSemiMixedTypes="0" containsString="0" containsNumber="1" containsInteger="1" minValue="9" maxValue="50" count="18">
        <n v="22"/>
        <n v="9"/>
        <n v="42"/>
        <n v="20"/>
        <n v="40"/>
        <n v="23"/>
        <n v="44"/>
        <n v="28"/>
        <n v="49"/>
        <n v="26"/>
        <n v="21"/>
        <n v="19"/>
        <n v="27"/>
        <n v="25"/>
        <n v="48"/>
        <n v="24"/>
        <n v="50"/>
        <n v="30"/>
      </sharedItems>
    </cacheField>
    <cacheField name="Bed6" numFmtId="0">
      <sharedItems containsSemiMixedTypes="0" containsString="0" containsNumber="1" containsInteger="1" minValue="11" maxValue="55" count="21">
        <n v="11"/>
        <n v="15"/>
        <n v="41"/>
        <n v="21"/>
        <n v="43"/>
        <n v="24"/>
        <n v="23"/>
        <n v="38"/>
        <n v="13"/>
        <n v="45"/>
        <n v="22"/>
        <n v="27"/>
        <n v="25"/>
        <n v="29"/>
        <n v="53"/>
        <n v="26"/>
        <n v="28"/>
        <n v="46"/>
        <n v="44"/>
        <n v="55"/>
        <n v="20"/>
      </sharedItems>
    </cacheField>
    <cacheField name="Bed7" numFmtId="0">
      <sharedItems containsSemiMixedTypes="0" containsString="0" containsNumber="1" containsInteger="1" minValue="11" maxValue="53" count="20">
        <n v="11"/>
        <n v="17"/>
        <n v="36"/>
        <n v="20"/>
        <n v="40"/>
        <n v="21"/>
        <n v="31"/>
        <n v="27"/>
        <n v="18"/>
        <n v="42"/>
        <n v="23"/>
        <n v="24"/>
        <n v="15"/>
        <n v="26"/>
        <n v="53"/>
        <n v="28"/>
        <n v="25"/>
        <n v="50"/>
        <n v="43"/>
        <n v="32"/>
      </sharedItems>
    </cacheField>
    <cacheField name="Bed8" numFmtId="0">
      <sharedItems containsSemiMixedTypes="0" containsString="0" containsNumber="1" containsInteger="1" minValue="17" maxValue="58" count="20">
        <n v="25"/>
        <n v="22"/>
        <n v="47"/>
        <n v="24"/>
        <n v="21"/>
        <n v="27"/>
        <n v="23"/>
        <n v="40"/>
        <n v="26"/>
        <n v="17"/>
        <n v="44"/>
        <n v="20"/>
        <n v="30"/>
        <n v="58"/>
        <n v="29"/>
        <n v="35"/>
        <n v="45"/>
        <n v="19"/>
        <n v="51"/>
        <n v="31"/>
      </sharedItems>
    </cacheField>
    <cacheField name="Mean per meter" numFmtId="0">
      <sharedItems containsSemiMixedTypes="0" containsString="0" containsNumber="1" minValue="8.5" maxValue="26.833333333333332" count="28">
        <n v="8.6666666666666661"/>
        <n v="8.5"/>
        <n v="20.916666666666668"/>
        <n v="11.166666666666666"/>
        <n v="21.5"/>
        <n v="11.416666666666666"/>
        <n v="10.916666666666666"/>
        <n v="11.25"/>
        <n v="20"/>
        <n v="11.916666666666666"/>
        <n v="9.6666666666666661"/>
        <n v="22.416666666666668"/>
        <n v="10.833333333333334"/>
        <n v="11.75"/>
        <n v="11"/>
        <n v="10.583333333333334"/>
        <n v="12.5"/>
        <n v="12.916666666666666"/>
        <n v="26.833333333333332"/>
        <n v="13.25"/>
        <n v="12.416666666666666"/>
        <n v="24"/>
        <n v="12.166666666666666"/>
        <n v="23.833333333333332"/>
        <n v="11.5"/>
        <n v="25.583333333333332"/>
        <n v="13.75"/>
        <n v="12.583333333333334"/>
      </sharedItems>
    </cacheField>
    <cacheField name="std err" numFmtId="0">
      <sharedItems containsSemiMixedTypes="0" containsString="0" containsNumber="1" minValue="0.25" maxValue="1.4491376746189439"/>
    </cacheField>
    <cacheField name="Nrml. mean per meter" numFmtId="0">
      <sharedItems containsSemiMixedTypes="0" containsString="0" containsNumber="1" minValue="8.5" maxValue="13.75" count="27">
        <n v="8.6666666666666661"/>
        <n v="8.5"/>
        <n v="10.458333333333334"/>
        <n v="11.166666666666666"/>
        <n v="10.75"/>
        <n v="11.416666666666666"/>
        <n v="10.916666666666666"/>
        <n v="11.25"/>
        <n v="10"/>
        <n v="11.916666666666666"/>
        <n v="9.6666666666666661"/>
        <n v="11.208333333333334"/>
        <n v="10.833333333333334"/>
        <n v="11.75"/>
        <n v="11"/>
        <n v="10.583333333333334"/>
        <n v="12.5"/>
        <n v="12.916666666666666"/>
        <n v="13.416666666666666"/>
        <n v="13.25"/>
        <n v="12.416666666666666"/>
        <n v="12"/>
        <n v="12.166666666666666"/>
        <n v="11.5"/>
        <n v="12.791666666666666"/>
        <n v="13.75"/>
        <n v="12.583333333333334"/>
      </sharedItems>
    </cacheField>
    <cacheField name="Comments/Time" numFmtId="0">
      <sharedItems containsString="0" containsBlank="1" count="1">
        <m/>
      </sharedItems>
    </cacheField>
    <cacheField name="Row" numFmtId="0">
      <sharedItems containsSemiMixedTypes="0" containsString="0" containsNumber="1" containsInteger="1" minValue="1" maxValue="4" count="4">
        <n v="1"/>
        <n v="2"/>
        <n v="3"/>
        <n v="4"/>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53.643960763889" createdVersion="1" refreshedVersion="1" recordCount="32" xr:uid="{DCA44002-85FB-42C7-A001-F837ABE646D7}">
  <cacheSource type="worksheet">
    <worksheetSource ref="B9:T41" sheet="DOY132" r:id="rId2"/>
  </cacheSource>
  <cacheFields count="19">
    <cacheField name="Plot" numFmtId="0">
      <sharedItems containsSemiMixedTypes="0" containsString="0" containsNumber="1" containsInteger="1" minValue="101" maxValue="408" count="32">
        <n v="101"/>
        <n v="102"/>
        <n v="103"/>
        <n v="104"/>
        <n v="105"/>
        <n v="106"/>
        <n v="107"/>
        <n v="108"/>
        <n v="201"/>
        <n v="202"/>
        <n v="203"/>
        <n v="204"/>
        <n v="205"/>
        <n v="206"/>
        <n v="207"/>
        <n v="208"/>
        <n v="301"/>
        <n v="302"/>
        <n v="303"/>
        <n v="304"/>
        <n v="305"/>
        <n v="306"/>
        <n v="307"/>
        <n v="308"/>
        <n v="401"/>
        <n v="402"/>
        <n v="403"/>
        <n v="404"/>
        <n v="405"/>
        <n v="406"/>
        <n v="407"/>
        <n v="408"/>
      </sharedItems>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7" maxValue="52" count="16">
        <n v="22"/>
        <n v="26"/>
        <n v="48"/>
        <n v="27"/>
        <n v="52"/>
        <n v="29"/>
        <n v="21"/>
        <n v="46"/>
        <n v="28"/>
        <n v="23"/>
        <n v="50"/>
        <n v="18"/>
        <n v="20"/>
        <n v="17"/>
        <n v="25"/>
        <n v="49"/>
      </sharedItems>
    </cacheField>
    <cacheField name="Bed4" numFmtId="0">
      <sharedItems containsSemiMixedTypes="0" containsString="0" containsNumber="1" containsInteger="1" minValue="17" maxValue="61" count="21">
        <n v="20"/>
        <n v="18"/>
        <n v="53"/>
        <n v="31"/>
        <n v="52"/>
        <n v="25"/>
        <n v="26"/>
        <n v="56"/>
        <n v="24"/>
        <n v="29"/>
        <n v="50"/>
        <n v="28"/>
        <n v="23"/>
        <n v="27"/>
        <n v="17"/>
        <n v="22"/>
        <n v="61"/>
        <n v="19"/>
        <n v="44"/>
        <n v="51"/>
        <n v="21"/>
      </sharedItems>
    </cacheField>
    <cacheField name="Bed5" numFmtId="0">
      <sharedItems containsSemiMixedTypes="0" containsString="0" containsNumber="1" containsInteger="1" minValue="15" maxValue="54" count="18">
        <n v="25"/>
        <n v="15"/>
        <n v="49"/>
        <n v="24"/>
        <n v="22"/>
        <n v="26"/>
        <n v="53"/>
        <n v="30"/>
        <n v="54"/>
        <n v="28"/>
        <n v="19"/>
        <n v="21"/>
        <n v="43"/>
        <n v="20"/>
        <n v="18"/>
        <n v="44"/>
        <n v="45"/>
        <n v="47"/>
      </sharedItems>
    </cacheField>
    <cacheField name="Bed6" numFmtId="0">
      <sharedItems containsSemiMixedTypes="0" containsString="0" containsNumber="1" containsInteger="1" minValue="14" maxValue="55" count="19">
        <n v="14"/>
        <n v="18"/>
        <n v="48"/>
        <n v="24"/>
        <n v="47"/>
        <n v="27"/>
        <n v="38"/>
        <n v="17"/>
        <n v="21"/>
        <n v="55"/>
        <n v="30"/>
        <n v="28"/>
        <n v="26"/>
        <n v="20"/>
        <n v="22"/>
        <n v="23"/>
        <n v="49"/>
        <n v="42"/>
        <n v="44"/>
      </sharedItems>
    </cacheField>
    <cacheField name="Bed7" numFmtId="0">
      <sharedItems containsSemiMixedTypes="0" containsString="0" containsNumber="1" containsInteger="1" minValue="16" maxValue="48" count="19">
        <n v="19"/>
        <n v="22"/>
        <n v="41"/>
        <n v="23"/>
        <n v="45"/>
        <n v="25"/>
        <n v="40"/>
        <n v="31"/>
        <n v="24"/>
        <n v="48"/>
        <n v="21"/>
        <n v="26"/>
        <n v="29"/>
        <n v="16"/>
        <n v="47"/>
        <n v="17"/>
        <n v="35"/>
        <n v="39"/>
        <n v="28"/>
      </sharedItems>
    </cacheField>
    <cacheField name="Bed8" numFmtId="0">
      <sharedItems containsSemiMixedTypes="0" containsString="0" containsNumber="1" containsInteger="1" minValue="15" maxValue="56" count="15">
        <n v="29"/>
        <n v="25"/>
        <n v="53"/>
        <n v="28"/>
        <n v="56"/>
        <n v="22"/>
        <n v="50"/>
        <n v="21"/>
        <n v="27"/>
        <n v="24"/>
        <n v="32"/>
        <n v="45"/>
        <n v="17"/>
        <n v="23"/>
        <n v="15"/>
      </sharedItems>
    </cacheField>
    <cacheField name="Mean per meter" numFmtId="0">
      <sharedItems containsSemiMixedTypes="0" containsString="0" containsNumber="1" minValue="10.25" maxValue="25.833333333333332" count="27">
        <n v="10.75"/>
        <n v="10.333333333333334"/>
        <n v="24.333333333333332"/>
        <n v="13.083333333333334"/>
        <n v="25.083333333333332"/>
        <n v="12.166666666666666"/>
        <n v="12.75"/>
        <n v="23.583333333333332"/>
        <n v="13.25"/>
        <n v="11.833333333333334"/>
        <n v="25.833333333333332"/>
        <n v="12.5"/>
        <n v="13.416666666666666"/>
        <n v="12.333333333333334"/>
        <n v="10.916666666666666"/>
        <n v="11.25"/>
        <n v="11.916666666666666"/>
        <n v="11.75"/>
        <n v="24.5"/>
        <n v="11.333333333333334"/>
        <n v="22.833333333333332"/>
        <n v="10.666666666666666"/>
        <n v="11.166666666666666"/>
        <n v="21.666666666666668"/>
        <n v="10.25"/>
        <n v="23.333333333333332"/>
        <n v="11.416666666666666"/>
      </sharedItems>
    </cacheField>
    <cacheField name="std err" numFmtId="0">
      <sharedItems containsSemiMixedTypes="0" containsString="0" containsNumber="1" minValue="0.28136571693556889" maxValue="1.9522067285795108" count="30">
        <n v="1.0547511554864495"/>
        <n v="0.89131613047472991"/>
        <n v="0.90061707240708933"/>
        <n v="0.62472216046637508"/>
        <n v="0.8105210943858584"/>
        <n v="0.71200031210979253"/>
        <n v="0.57251880124392351"/>
        <n v="0.28136571693556889"/>
        <n v="1.4629688232418978"/>
        <n v="1.0704360482220943"/>
        <n v="0.60092521257733267"/>
        <n v="0.55777335102272152"/>
        <n v="0.89442719099991586"/>
        <n v="0.50689687752484913"/>
        <n v="0.52836224947157862"/>
        <n v="0.94575073060740789"/>
        <n v="0.72360977820308126"/>
        <n v="0.64226162893325656"/>
        <n v="0.65085413965888894"/>
        <n v="0.49581582602145058"/>
        <n v="0.74161984870956632"/>
        <n v="0.42163702135578546"/>
        <n v="0.70316743699096718"/>
        <n v="1.9522067285795108"/>
        <n v="0.62804812271389343"/>
        <n v="0.95452140421842624"/>
        <n v="0.91893658347268437"/>
        <n v="0.67597665968910925"/>
        <n v="0.75000000000000011"/>
        <n v="0.98952850725315988"/>
      </sharedItems>
    </cacheField>
    <cacheField name="Nrml. mean per meter" numFmtId="0">
      <sharedItems containsSemiMixedTypes="0" containsString="0" containsNumber="1" minValue="10.25" maxValue="13.416666666666666" count="25">
        <n v="10.75"/>
        <n v="10.333333333333334"/>
        <n v="12.166666666666666"/>
        <n v="13.083333333333334"/>
        <n v="12.541666666666666"/>
        <n v="12.75"/>
        <n v="11.791666666666666"/>
        <n v="13.25"/>
        <n v="11.833333333333334"/>
        <n v="12.916666666666666"/>
        <n v="12.5"/>
        <n v="13.416666666666666"/>
        <n v="12.333333333333334"/>
        <n v="10.916666666666666"/>
        <n v="11.25"/>
        <n v="11.916666666666666"/>
        <n v="11.75"/>
        <n v="12.25"/>
        <n v="11.333333333333334"/>
        <n v="11.416666666666666"/>
        <n v="10.666666666666666"/>
        <n v="11.166666666666666"/>
        <n v="10.833333333333334"/>
        <n v="10.25"/>
        <n v="11.666666666666666"/>
      </sharedItems>
    </cacheField>
    <cacheField name="Comments/Time" numFmtId="0">
      <sharedItems containsDate="1" containsBlank="1" containsMixedTypes="1" minDate="1899-12-30T08:20:00" maxDate="1899-12-30T09:12:00" count="8">
        <s v="8;41"/>
        <m/>
        <d v="1899-12-30T09:10:00"/>
        <d v="1899-12-30T08:40:00"/>
        <d v="1899-12-30T08:20:00"/>
        <d v="1899-12-30T08:46:00"/>
        <d v="1899-12-30T09:12:00"/>
        <d v="1899-12-30T08:45:00"/>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57.463732986114" createdVersion="1" refreshedVersion="1" recordCount="32" xr:uid="{7621BC30-71DA-4B91-9DE4-A94412E689CF}">
  <cacheSource type="worksheet">
    <worksheetSource ref="B9:U41" sheet="DOY132" r:id="rId2"/>
  </cacheSource>
  <cacheFields count="20">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7" maxValue="52" count="16">
        <n v="22"/>
        <n v="26"/>
        <n v="48"/>
        <n v="27"/>
        <n v="52"/>
        <n v="29"/>
        <n v="21"/>
        <n v="46"/>
        <n v="28"/>
        <n v="23"/>
        <n v="50"/>
        <n v="18"/>
        <n v="20"/>
        <n v="17"/>
        <n v="25"/>
        <n v="49"/>
      </sharedItems>
    </cacheField>
    <cacheField name="Bed4" numFmtId="0">
      <sharedItems containsSemiMixedTypes="0" containsString="0" containsNumber="1" containsInteger="1" minValue="17" maxValue="61" count="21">
        <n v="20"/>
        <n v="18"/>
        <n v="53"/>
        <n v="31"/>
        <n v="52"/>
        <n v="25"/>
        <n v="26"/>
        <n v="56"/>
        <n v="24"/>
        <n v="29"/>
        <n v="50"/>
        <n v="28"/>
        <n v="23"/>
        <n v="27"/>
        <n v="17"/>
        <n v="22"/>
        <n v="61"/>
        <n v="19"/>
        <n v="44"/>
        <n v="51"/>
        <n v="21"/>
      </sharedItems>
    </cacheField>
    <cacheField name="Bed5" numFmtId="0">
      <sharedItems containsSemiMixedTypes="0" containsString="0" containsNumber="1" containsInteger="1" minValue="15" maxValue="54" count="18">
        <n v="25"/>
        <n v="15"/>
        <n v="49"/>
        <n v="24"/>
        <n v="22"/>
        <n v="26"/>
        <n v="53"/>
        <n v="30"/>
        <n v="54"/>
        <n v="28"/>
        <n v="19"/>
        <n v="21"/>
        <n v="43"/>
        <n v="20"/>
        <n v="18"/>
        <n v="44"/>
        <n v="45"/>
        <n v="47"/>
      </sharedItems>
    </cacheField>
    <cacheField name="Bed6" numFmtId="0">
      <sharedItems containsSemiMixedTypes="0" containsString="0" containsNumber="1" containsInteger="1" minValue="14" maxValue="55" count="19">
        <n v="14"/>
        <n v="18"/>
        <n v="48"/>
        <n v="24"/>
        <n v="47"/>
        <n v="27"/>
        <n v="38"/>
        <n v="17"/>
        <n v="21"/>
        <n v="55"/>
        <n v="30"/>
        <n v="28"/>
        <n v="26"/>
        <n v="20"/>
        <n v="22"/>
        <n v="23"/>
        <n v="49"/>
        <n v="42"/>
        <n v="44"/>
      </sharedItems>
    </cacheField>
    <cacheField name="Bed7" numFmtId="0">
      <sharedItems containsSemiMixedTypes="0" containsString="0" containsNumber="1" containsInteger="1" minValue="16" maxValue="48" count="19">
        <n v="19"/>
        <n v="22"/>
        <n v="41"/>
        <n v="23"/>
        <n v="45"/>
        <n v="25"/>
        <n v="40"/>
        <n v="31"/>
        <n v="24"/>
        <n v="48"/>
        <n v="21"/>
        <n v="26"/>
        <n v="29"/>
        <n v="16"/>
        <n v="47"/>
        <n v="17"/>
        <n v="35"/>
        <n v="39"/>
        <n v="28"/>
      </sharedItems>
    </cacheField>
    <cacheField name="Bed8" numFmtId="0">
      <sharedItems containsSemiMixedTypes="0" containsString="0" containsNumber="1" containsInteger="1" minValue="15" maxValue="56" count="15">
        <n v="29"/>
        <n v="25"/>
        <n v="53"/>
        <n v="28"/>
        <n v="56"/>
        <n v="22"/>
        <n v="50"/>
        <n v="21"/>
        <n v="27"/>
        <n v="24"/>
        <n v="32"/>
        <n v="45"/>
        <n v="17"/>
        <n v="23"/>
        <n v="15"/>
      </sharedItems>
    </cacheField>
    <cacheField name="Mean per meter" numFmtId="0">
      <sharedItems containsSemiMixedTypes="0" containsString="0" containsNumber="1" minValue="10.25" maxValue="25.833333333333332" count="27">
        <n v="10.75"/>
        <n v="10.333333333333334"/>
        <n v="24.333333333333332"/>
        <n v="13.083333333333334"/>
        <n v="25.083333333333332"/>
        <n v="12.166666666666666"/>
        <n v="12.75"/>
        <n v="23.583333333333332"/>
        <n v="13.25"/>
        <n v="11.833333333333334"/>
        <n v="25.833333333333332"/>
        <n v="12.5"/>
        <n v="13.416666666666666"/>
        <n v="12.333333333333334"/>
        <n v="10.916666666666666"/>
        <n v="11.25"/>
        <n v="11.916666666666666"/>
        <n v="11.75"/>
        <n v="24.5"/>
        <n v="11.333333333333334"/>
        <n v="22.833333333333332"/>
        <n v="10.666666666666666"/>
        <n v="11.166666666666666"/>
        <n v="21.666666666666668"/>
        <n v="10.25"/>
        <n v="23.333333333333332"/>
        <n v="11.416666666666666"/>
      </sharedItems>
    </cacheField>
    <cacheField name="std err" numFmtId="0">
      <sharedItems containsSemiMixedTypes="0" containsString="0" containsNumber="1" minValue="0.28136571693556889" maxValue="1.9522067285795108" count="30">
        <n v="1.0547511554864495"/>
        <n v="0.89131613047472991"/>
        <n v="0.90061707240708933"/>
        <n v="0.62472216046637508"/>
        <n v="0.8105210943858584"/>
        <n v="0.71200031210979253"/>
        <n v="0.57251880124392351"/>
        <n v="0.28136571693556889"/>
        <n v="1.4629688232418978"/>
        <n v="1.0704360482220943"/>
        <n v="0.60092521257733267"/>
        <n v="0.55777335102272152"/>
        <n v="0.89442719099991586"/>
        <n v="0.50689687752484913"/>
        <n v="0.52836224947157862"/>
        <n v="0.94575073060740789"/>
        <n v="0.72360977820308126"/>
        <n v="0.64226162893325656"/>
        <n v="0.65085413965888894"/>
        <n v="0.49581582602145058"/>
        <n v="0.74161984870956632"/>
        <n v="0.42163702135578546"/>
        <n v="0.70316743699096718"/>
        <n v="1.9522067285795108"/>
        <n v="0.62804812271389343"/>
        <n v="0.95452140421842624"/>
        <n v="0.91893658347268437"/>
        <n v="0.67597665968910925"/>
        <n v="0.75000000000000011"/>
        <n v="0.98952850725315988"/>
      </sharedItems>
    </cacheField>
    <cacheField name="Nrml. mean per meter" numFmtId="0">
      <sharedItems containsSemiMixedTypes="0" containsString="0" containsNumber="1" minValue="10.25" maxValue="13.416666666666666" count="25">
        <n v="10.75"/>
        <n v="10.333333333333334"/>
        <n v="12.166666666666666"/>
        <n v="13.083333333333334"/>
        <n v="12.541666666666666"/>
        <n v="12.75"/>
        <n v="11.791666666666666"/>
        <n v="13.25"/>
        <n v="11.833333333333334"/>
        <n v="12.916666666666666"/>
        <n v="12.5"/>
        <n v="13.416666666666666"/>
        <n v="12.333333333333334"/>
        <n v="10.916666666666666"/>
        <n v="11.25"/>
        <n v="11.916666666666666"/>
        <n v="11.75"/>
        <n v="12.25"/>
        <n v="11.333333333333334"/>
        <n v="11.416666666666666"/>
        <n v="10.666666666666666"/>
        <n v="11.166666666666666"/>
        <n v="10.833333333333334"/>
        <n v="10.25"/>
        <n v="11.666666666666666"/>
      </sharedItems>
    </cacheField>
    <cacheField name="Comments/Time" numFmtId="0">
      <sharedItems containsDate="1" containsBlank="1" containsMixedTypes="1" minDate="1899-12-30T08:20:00" maxDate="1899-12-30T09:12:00" count="8">
        <s v="8;41"/>
        <m/>
        <d v="1899-12-30T09:10:00"/>
        <d v="1899-12-30T08:40:00"/>
        <d v="1899-12-30T08:20:00"/>
        <d v="1899-12-30T08:46:00"/>
        <d v="1899-12-30T09:12:00"/>
        <d v="1899-12-30T08:45:00"/>
      </sharedItems>
    </cacheField>
    <cacheField name="Row" numFmtId="0">
      <sharedItems containsSemiMixedTypes="0" containsString="0" containsNumber="1" containsInteger="1" minValue="1" maxValue="4" count="4">
        <n v="1"/>
        <n v="2"/>
        <n v="3"/>
        <n v="4"/>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57.457835185189" createdVersion="1" refreshedVersion="1" recordCount="32" xr:uid="{C6BF60E4-683B-4810-BFC8-B0B5F9D15CD3}">
  <cacheSource type="worksheet">
    <worksheetSource ref="B9:T41" sheet="DOY136" r:id="rId2"/>
  </cacheSource>
  <cacheFields count="19">
    <cacheField name="Plot" numFmtId="0">
      <sharedItems containsSemiMixedTypes="0" containsString="0" containsNumber="1" containsInteger="1" minValue="101" maxValue="408" count="32">
        <n v="101"/>
        <n v="102"/>
        <n v="103"/>
        <n v="104"/>
        <n v="105"/>
        <n v="106"/>
        <n v="107"/>
        <n v="108"/>
        <n v="201"/>
        <n v="202"/>
        <n v="203"/>
        <n v="204"/>
        <n v="205"/>
        <n v="206"/>
        <n v="207"/>
        <n v="208"/>
        <n v="301"/>
        <n v="302"/>
        <n v="303"/>
        <n v="304"/>
        <n v="305"/>
        <n v="306"/>
        <n v="307"/>
        <n v="308"/>
        <n v="401"/>
        <n v="402"/>
        <n v="403"/>
        <n v="404"/>
        <n v="405"/>
        <n v="406"/>
        <n v="407"/>
        <n v="408"/>
      </sharedItems>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6" maxValue="52" count="18">
        <n v="20"/>
        <n v="25"/>
        <n v="42"/>
        <n v="48"/>
        <n v="26"/>
        <n v="18"/>
        <n v="23"/>
        <n v="41"/>
        <n v="22"/>
        <n v="16"/>
        <n v="19"/>
        <n v="27"/>
        <n v="29"/>
        <n v="52"/>
        <n v="28"/>
        <n v="51"/>
        <n v="24"/>
        <n v="50"/>
      </sharedItems>
    </cacheField>
    <cacheField name="Bed4" numFmtId="0">
      <sharedItems containsSemiMixedTypes="0" containsString="0" containsNumber="1" containsInteger="1" minValue="14" maxValue="55" count="19">
        <n v="19"/>
        <n v="14"/>
        <n v="47"/>
        <n v="28"/>
        <n v="44"/>
        <n v="29"/>
        <n v="24"/>
        <n v="26"/>
        <n v="53"/>
        <n v="23"/>
        <n v="48"/>
        <n v="25"/>
        <n v="22"/>
        <n v="21"/>
        <n v="27"/>
        <n v="30"/>
        <n v="54"/>
        <n v="45"/>
        <n v="55"/>
      </sharedItems>
    </cacheField>
    <cacheField name="Bed5" numFmtId="0">
      <sharedItems containsSemiMixedTypes="0" containsString="0" containsNumber="1" containsInteger="1" minValue="13" maxValue="50" count="16">
        <n v="24"/>
        <n v="13"/>
        <n v="45"/>
        <n v="21"/>
        <n v="50"/>
        <n v="20"/>
        <n v="25"/>
        <n v="47"/>
        <n v="29"/>
        <n v="19"/>
        <n v="48"/>
        <n v="27"/>
        <n v="23"/>
        <n v="22"/>
        <n v="44"/>
        <n v="46"/>
      </sharedItems>
    </cacheField>
    <cacheField name="Bed6" numFmtId="0">
      <sharedItems containsSemiMixedTypes="0" containsString="0" containsNumber="1" containsInteger="1" minValue="13" maxValue="51" count="19">
        <n v="13"/>
        <n v="16"/>
        <n v="42"/>
        <n v="21"/>
        <n v="43"/>
        <n v="25"/>
        <n v="23"/>
        <n v="24"/>
        <n v="37"/>
        <n v="15"/>
        <n v="19"/>
        <n v="50"/>
        <n v="26"/>
        <n v="27"/>
        <n v="51"/>
        <n v="28"/>
        <n v="22"/>
        <n v="45"/>
        <n v="17"/>
      </sharedItems>
    </cacheField>
    <cacheField name="Bed7" numFmtId="0">
      <sharedItems containsSemiMixedTypes="0" containsString="0" containsNumber="1" containsInteger="1" minValue="16" maxValue="50" count="19">
        <n v="18"/>
        <n v="21"/>
        <n v="40"/>
        <n v="22"/>
        <n v="42"/>
        <n v="19"/>
        <n v="24"/>
        <n v="38"/>
        <n v="30"/>
        <n v="43"/>
        <n v="27"/>
        <n v="16"/>
        <n v="25"/>
        <n v="23"/>
        <n v="49"/>
        <n v="26"/>
        <n v="50"/>
        <n v="41"/>
        <n v="29"/>
      </sharedItems>
    </cacheField>
    <cacheField name="Bed8" numFmtId="0">
      <sharedItems containsSemiMixedTypes="0" containsString="0" containsNumber="1" containsInteger="1" minValue="16" maxValue="55" count="18">
        <n v="25"/>
        <n v="21"/>
        <n v="48"/>
        <n v="52"/>
        <n v="27"/>
        <n v="22"/>
        <n v="45"/>
        <n v="26"/>
        <n v="18"/>
        <n v="49"/>
        <n v="24"/>
        <n v="23"/>
        <n v="55"/>
        <n v="35"/>
        <n v="46"/>
        <n v="50"/>
        <n v="29"/>
        <n v="16"/>
      </sharedItems>
    </cacheField>
    <cacheField name="Mean per meter" numFmtId="0">
      <sharedItems containsSemiMixedTypes="0" containsString="0" containsNumber="1" minValue="9.1666666666666661" maxValue="25.666666666666668" count="26">
        <n v="9.9166666666666661"/>
        <n v="9.1666666666666661"/>
        <n v="22"/>
        <n v="11.833333333333334"/>
        <n v="23.25"/>
        <n v="12"/>
        <n v="11.333333333333334"/>
        <n v="11.75"/>
        <n v="21.75"/>
        <n v="12.416666666666666"/>
        <n v="10.5"/>
        <n v="23.833333333333332"/>
        <n v="11.583333333333334"/>
        <n v="12.333333333333334"/>
        <n v="11.5"/>
        <n v="11.25"/>
        <n v="11.916666666666666"/>
        <n v="12.5"/>
        <n v="25.666666666666668"/>
        <n v="13"/>
        <n v="12.083333333333334"/>
        <n v="23.166666666666668"/>
        <n v="11.666666666666666"/>
        <n v="22.666666666666668"/>
        <n v="24.166666666666668"/>
        <n v="12.916666666666666"/>
      </sharedItems>
    </cacheField>
    <cacheField name="std err" numFmtId="0">
      <sharedItems containsSemiMixedTypes="0" containsString="0" containsNumber="1" minValue="0.28867513459481292" maxValue="1.4414498873626453"/>
    </cacheField>
    <cacheField name="Nrml. mean per meter" numFmtId="0">
      <sharedItems containsSemiMixedTypes="0" containsString="0" containsNumber="1" minValue="9.1666666666666661" maxValue="13" count="22">
        <n v="9.9166666666666661"/>
        <n v="9.1666666666666661"/>
        <n v="11"/>
        <n v="11.833333333333334"/>
        <n v="11.625"/>
        <n v="12"/>
        <n v="11.333333333333334"/>
        <n v="11.75"/>
        <n v="10.875"/>
        <n v="12.416666666666666"/>
        <n v="10.5"/>
        <n v="11.916666666666666"/>
        <n v="11.583333333333334"/>
        <n v="12.333333333333334"/>
        <n v="11.5"/>
        <n v="11.25"/>
        <n v="12.5"/>
        <n v="12.833333333333334"/>
        <n v="13"/>
        <n v="12.083333333333334"/>
        <n v="11.666666666666666"/>
        <n v="12.916666666666666"/>
      </sharedItems>
    </cacheField>
    <cacheField name="Comments/Time"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62.51071516204" createdVersion="1" refreshedVersion="1" recordCount="32" xr:uid="{6EDBCBE5-164E-4360-A50E-E4202F4A5F57}">
  <cacheSource type="worksheet">
    <worksheetSource ref="B9:U41" sheet="DOY136" r:id="rId2"/>
  </cacheSource>
  <cacheFields count="20">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containsInteger="1" minValue="16" maxValue="52" count="18">
        <n v="20"/>
        <n v="25"/>
        <n v="42"/>
        <n v="48"/>
        <n v="26"/>
        <n v="18"/>
        <n v="23"/>
        <n v="41"/>
        <n v="22"/>
        <n v="16"/>
        <n v="19"/>
        <n v="27"/>
        <n v="29"/>
        <n v="52"/>
        <n v="28"/>
        <n v="51"/>
        <n v="24"/>
        <n v="50"/>
      </sharedItems>
    </cacheField>
    <cacheField name="Bed4" numFmtId="0">
      <sharedItems containsSemiMixedTypes="0" containsString="0" containsNumber="1" containsInteger="1" minValue="14" maxValue="55" count="19">
        <n v="19"/>
        <n v="14"/>
        <n v="47"/>
        <n v="28"/>
        <n v="44"/>
        <n v="29"/>
        <n v="24"/>
        <n v="26"/>
        <n v="53"/>
        <n v="23"/>
        <n v="48"/>
        <n v="25"/>
        <n v="22"/>
        <n v="21"/>
        <n v="27"/>
        <n v="30"/>
        <n v="54"/>
        <n v="45"/>
        <n v="55"/>
      </sharedItems>
    </cacheField>
    <cacheField name="Bed5" numFmtId="0">
      <sharedItems containsSemiMixedTypes="0" containsString="0" containsNumber="1" containsInteger="1" minValue="13" maxValue="50" count="16">
        <n v="24"/>
        <n v="13"/>
        <n v="45"/>
        <n v="21"/>
        <n v="50"/>
        <n v="20"/>
        <n v="25"/>
        <n v="47"/>
        <n v="29"/>
        <n v="19"/>
        <n v="48"/>
        <n v="27"/>
        <n v="23"/>
        <n v="22"/>
        <n v="44"/>
        <n v="46"/>
      </sharedItems>
    </cacheField>
    <cacheField name="Bed6" numFmtId="0">
      <sharedItems containsSemiMixedTypes="0" containsString="0" containsNumber="1" containsInteger="1" minValue="13" maxValue="51" count="19">
        <n v="13"/>
        <n v="16"/>
        <n v="42"/>
        <n v="21"/>
        <n v="43"/>
        <n v="25"/>
        <n v="23"/>
        <n v="24"/>
        <n v="37"/>
        <n v="15"/>
        <n v="19"/>
        <n v="50"/>
        <n v="26"/>
        <n v="27"/>
        <n v="51"/>
        <n v="28"/>
        <n v="22"/>
        <n v="45"/>
        <n v="17"/>
      </sharedItems>
    </cacheField>
    <cacheField name="Bed7" numFmtId="0">
      <sharedItems containsSemiMixedTypes="0" containsString="0" containsNumber="1" containsInteger="1" minValue="16" maxValue="50" count="19">
        <n v="18"/>
        <n v="21"/>
        <n v="40"/>
        <n v="22"/>
        <n v="42"/>
        <n v="19"/>
        <n v="24"/>
        <n v="38"/>
        <n v="30"/>
        <n v="43"/>
        <n v="27"/>
        <n v="16"/>
        <n v="25"/>
        <n v="23"/>
        <n v="49"/>
        <n v="26"/>
        <n v="50"/>
        <n v="41"/>
        <n v="29"/>
      </sharedItems>
    </cacheField>
    <cacheField name="Bed8" numFmtId="0">
      <sharedItems containsSemiMixedTypes="0" containsString="0" containsNumber="1" containsInteger="1" minValue="16" maxValue="55" count="18">
        <n v="25"/>
        <n v="21"/>
        <n v="48"/>
        <n v="52"/>
        <n v="27"/>
        <n v="22"/>
        <n v="45"/>
        <n v="26"/>
        <n v="18"/>
        <n v="49"/>
        <n v="24"/>
        <n v="23"/>
        <n v="55"/>
        <n v="35"/>
        <n v="46"/>
        <n v="50"/>
        <n v="29"/>
        <n v="16"/>
      </sharedItems>
    </cacheField>
    <cacheField name="Mean per meter" numFmtId="0">
      <sharedItems containsSemiMixedTypes="0" containsString="0" containsNumber="1" minValue="9.1666666666666661" maxValue="25.666666666666668" count="26">
        <n v="9.9166666666666661"/>
        <n v="9.1666666666666661"/>
        <n v="22"/>
        <n v="11.833333333333334"/>
        <n v="23.25"/>
        <n v="12"/>
        <n v="11.333333333333334"/>
        <n v="11.75"/>
        <n v="21.75"/>
        <n v="12.416666666666666"/>
        <n v="10.5"/>
        <n v="23.833333333333332"/>
        <n v="11.583333333333334"/>
        <n v="12.333333333333334"/>
        <n v="11.5"/>
        <n v="11.25"/>
        <n v="11.916666666666666"/>
        <n v="12.5"/>
        <n v="25.666666666666668"/>
        <n v="13"/>
        <n v="12.083333333333334"/>
        <n v="23.166666666666668"/>
        <n v="11.666666666666666"/>
        <n v="22.666666666666668"/>
        <n v="24.166666666666668"/>
        <n v="12.916666666666666"/>
      </sharedItems>
    </cacheField>
    <cacheField name="std err" numFmtId="0">
      <sharedItems containsSemiMixedTypes="0" containsString="0" containsNumber="1" minValue="0.28867513459481292" maxValue="1.4414498873626453"/>
    </cacheField>
    <cacheField name="Nrml. mean per meter" numFmtId="0">
      <sharedItems containsSemiMixedTypes="0" containsString="0" containsNumber="1" minValue="9.1666666666666661" maxValue="13" count="22">
        <n v="9.9166666666666661"/>
        <n v="9.1666666666666661"/>
        <n v="11"/>
        <n v="11.833333333333334"/>
        <n v="11.625"/>
        <n v="12"/>
        <n v="11.333333333333334"/>
        <n v="11.75"/>
        <n v="10.875"/>
        <n v="12.416666666666666"/>
        <n v="10.5"/>
        <n v="11.916666666666666"/>
        <n v="11.583333333333334"/>
        <n v="12.333333333333334"/>
        <n v="11.5"/>
        <n v="11.25"/>
        <n v="12.5"/>
        <n v="12.833333333333334"/>
        <n v="13"/>
        <n v="12.083333333333334"/>
        <n v="11.666666666666666"/>
        <n v="12.916666666666666"/>
      </sharedItems>
    </cacheField>
    <cacheField name="Comments/Time" numFmtId="0">
      <sharedItems containsString="0" containsBlank="1" count="1">
        <m/>
      </sharedItems>
    </cacheField>
    <cacheField name="Row" numFmtId="0">
      <sharedItems containsSemiMixedTypes="0" containsString="0" containsNumber="1" containsInteger="1" minValue="1" maxValue="4" count="4">
        <n v="1"/>
        <n v="2"/>
        <n v="3"/>
        <n v="4"/>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62.52148935185" createdVersion="1" refreshedVersion="1" recordCount="32" xr:uid="{6902A194-2CB7-4BE3-A28D-E6B4DA19F729}">
  <cacheSource type="worksheet">
    <worksheetSource ref="B9:U41" sheet="DOY141" r:id="rId2"/>
  </cacheSource>
  <cacheFields count="20">
    <cacheField name="Plot" numFmtId="0">
      <sharedItems containsSemiMixedTypes="0" containsString="0" containsNumber="1" containsInteger="1" minValue="101" maxValue="408"/>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minValue="7.5" maxValue="51.666666666666664" count="27">
        <n v="9.75"/>
        <n v="25.333333333333332"/>
        <n v="44"/>
        <n v="24.666666666666668"/>
        <n v="49.333333333333336"/>
        <n v="26.333333333333332"/>
        <n v="19"/>
        <n v="24"/>
        <n v="42.666666666666664"/>
        <n v="27"/>
        <n v="21.333333333333332"/>
        <n v="47.333333333333336"/>
        <n v="7.5"/>
        <n v="10.75"/>
        <n v="20"/>
        <n v="11"/>
        <n v="19.666666666666668"/>
        <n v="28"/>
        <n v="10"/>
        <n v="51.666666666666664"/>
        <n v="27.333333333333332"/>
        <n v="21.666666666666668"/>
        <n v="9"/>
        <n v="50"/>
        <n v="22.666666666666668"/>
        <n v="10.25"/>
        <n v="27.666666666666668"/>
      </sharedItems>
    </cacheField>
    <cacheField name="Bed4" numFmtId="0">
      <sharedItems containsSemiMixedTypes="0" containsString="0" containsNumber="1" minValue="9.75" maxValue="56.666666666666664" count="26">
        <n v="11"/>
        <n v="15.333333333333334"/>
        <n v="47.666666666666664"/>
        <n v="28.666666666666668"/>
        <n v="45.333333333333336"/>
        <n v="29.333333333333332"/>
        <n v="23.666666666666668"/>
        <n v="25"/>
        <n v="51.666666666666664"/>
        <n v="23"/>
        <n v="27.333333333333332"/>
        <n v="10.75"/>
        <n v="9.75"/>
        <n v="22.333333333333332"/>
        <n v="10.5"/>
        <n v="20"/>
        <n v="11.5"/>
        <n v="10"/>
        <n v="54.333333333333336"/>
        <n v="25.333333333333332"/>
        <n v="56.666666666666664"/>
        <n v="10.25"/>
        <n v="26.666666666666668"/>
        <n v="46.333333333333336"/>
        <n v="26.333333333333332"/>
        <n v="22.666666666666668"/>
      </sharedItems>
    </cacheField>
    <cacheField name="Bed5" numFmtId="0">
      <sharedItems containsSemiMixedTypes="0" containsString="0" containsNumber="1" minValue="9.25" maxValue="50.333333333333336" count="27">
        <n v="10.75"/>
        <n v="12.333333333333334"/>
        <n v="45.333333333333336"/>
        <n v="21.666666666666668"/>
        <n v="46.333333333333336"/>
        <n v="24"/>
        <n v="20.666666666666668"/>
        <n v="24.666666666666668"/>
        <n v="48"/>
        <n v="29"/>
        <n v="21"/>
        <n v="50.333333333333336"/>
        <n v="10"/>
        <n v="10.25"/>
        <n v="22.333333333333332"/>
        <n v="19"/>
        <n v="25.666666666666668"/>
        <n v="11"/>
        <n v="9.25"/>
        <n v="46"/>
        <n v="19.666666666666668"/>
        <n v="45.666666666666664"/>
        <n v="23"/>
        <n v="47"/>
        <n v="48.333333333333336"/>
        <n v="27.666666666666668"/>
        <n v="24.333333333333332"/>
      </sharedItems>
    </cacheField>
    <cacheField name="Bed6" numFmtId="0">
      <sharedItems containsSemiMixedTypes="0" containsString="0" containsNumber="1" minValue="10" maxValue="51" count="29">
        <n v="10"/>
        <n v="16.333333333333332"/>
        <n v="43.666666666666664"/>
        <n v="22"/>
        <n v="44.333333333333336"/>
        <n v="25.333333333333332"/>
        <n v="23.333333333333332"/>
        <n v="24.666666666666668"/>
        <n v="37.666666666666664"/>
        <n v="15"/>
        <n v="18.333333333333332"/>
        <n v="50"/>
        <n v="10.75"/>
        <n v="26.333333333333332"/>
        <n v="10.25"/>
        <n v="21"/>
        <n v="21.666666666666668"/>
        <n v="10.5"/>
        <n v="11.75"/>
        <n v="51"/>
        <n v="25"/>
        <n v="27.333333333333332"/>
        <n v="21.333333333333332"/>
        <n v="43"/>
        <n v="25.666666666666668"/>
        <n v="48"/>
        <n v="18"/>
        <n v="11.25"/>
        <n v="28"/>
      </sharedItems>
    </cacheField>
    <cacheField name="Bed7" numFmtId="0">
      <sharedItems containsSemiMixedTypes="0" containsString="0" containsNumber="1" minValue="8.75" maxValue="49.666666666666664" count="25">
        <n v="11.75"/>
        <n v="20"/>
        <n v="39"/>
        <n v="21.666666666666668"/>
        <n v="42.333333333333336"/>
        <n v="19.666666666666668"/>
        <n v="23.333333333333332"/>
        <n v="21.333333333333332"/>
        <n v="36.333333333333336"/>
        <n v="29.333333333333332"/>
        <n v="44.333333333333336"/>
        <n v="11"/>
        <n v="26.666666666666668"/>
        <n v="8.75"/>
        <n v="25.666666666666668"/>
        <n v="10"/>
        <n v="49.666666666666664"/>
        <n v="26.333333333333332"/>
        <n v="24.666666666666668"/>
        <n v="48.333333333333336"/>
        <n v="17.666666666666668"/>
        <n v="39.333333333333336"/>
        <n v="20.333333333333332"/>
        <n v="41.333333333333336"/>
        <n v="27"/>
      </sharedItems>
    </cacheField>
    <cacheField name="Bed8" numFmtId="0">
      <sharedItems containsSemiMixedTypes="0" containsString="0" containsNumber="1" minValue="9.25" maxValue="55.333333333333336" count="28">
        <n v="10"/>
        <n v="22.666666666666668"/>
        <n v="49.333333333333336"/>
        <n v="25.666666666666668"/>
        <n v="51.666666666666664"/>
        <n v="21.333333333333332"/>
        <n v="27.666666666666668"/>
        <n v="23.333333333333332"/>
        <n v="45"/>
        <n v="27"/>
        <n v="18.666666666666668"/>
        <n v="48.666666666666664"/>
        <n v="10.25"/>
        <n v="9.75"/>
        <n v="23"/>
        <n v="24"/>
        <n v="10.5"/>
        <n v="11"/>
        <n v="55.333333333333336"/>
        <n v="26"/>
        <n v="34"/>
        <n v="25"/>
        <n v="45.333333333333336"/>
        <n v="19"/>
        <n v="50.333333333333336"/>
        <n v="24.333333333333332"/>
        <n v="9.25"/>
        <n v="16"/>
      </sharedItems>
    </cacheField>
    <cacheField name="Mean per meter" numFmtId="0">
      <sharedItems containsSemiMixedTypes="0" containsString="0" containsNumber="1" minValue="4.875" maxValue="25.666666666666668"/>
    </cacheField>
    <cacheField name="std err" numFmtId="0">
      <sharedItems containsSemiMixedTypes="0" containsString="0" containsNumber="1" minValue="9.3634187726019336E-2" maxValue="1.5764470131232413"/>
    </cacheField>
    <cacheField name="Nrml. mean per meter" numFmtId="0">
      <sharedItems containsSemiMixedTypes="0" containsString="0" containsNumber="1" minValue="9.3333333333333339" maxValue="12.833333333333334"/>
    </cacheField>
    <cacheField name="Comments/Time" numFmtId="0">
      <sharedItems containsString="0" containsBlank="1" count="1">
        <m/>
      </sharedItems>
    </cacheField>
    <cacheField name="Row" numFmtId="0">
      <sharedItems containsSemiMixedTypes="0" containsString="0" containsNumber="1" containsInteger="1" minValue="1" maxValue="4" count="4">
        <n v="1"/>
        <n v="2"/>
        <n v="3"/>
        <n v="4"/>
      </sharedItems>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J. Pinter" refreshedDate="37762.520905902777" createdVersion="1" refreshedVersion="1" recordCount="32" xr:uid="{11BD0762-170A-45A8-8D0D-1DA01941F93B}">
  <cacheSource type="worksheet">
    <worksheetSource ref="B9:T41" sheet="DOY141" r:id="rId2"/>
  </cacheSource>
  <cacheFields count="19">
    <cacheField name="Plot" numFmtId="0">
      <sharedItems containsSemiMixedTypes="0" containsString="0" containsNumber="1" containsInteger="1" minValue="101" maxValue="408" count="32">
        <n v="101"/>
        <n v="102"/>
        <n v="103"/>
        <n v="104"/>
        <n v="105"/>
        <n v="106"/>
        <n v="107"/>
        <n v="108"/>
        <n v="201"/>
        <n v="202"/>
        <n v="203"/>
        <n v="204"/>
        <n v="205"/>
        <n v="206"/>
        <n v="207"/>
        <n v="208"/>
        <n v="301"/>
        <n v="302"/>
        <n v="303"/>
        <n v="304"/>
        <n v="305"/>
        <n v="306"/>
        <n v="307"/>
        <n v="308"/>
        <n v="401"/>
        <n v="402"/>
        <n v="403"/>
        <n v="404"/>
        <n v="405"/>
        <n v="406"/>
        <n v="407"/>
        <n v="408"/>
      </sharedItems>
    </cacheField>
    <cacheField name="Acron" numFmtId="0">
      <sharedItems count="12">
        <s v="FSH"/>
        <s v="FTL"/>
        <s v="FDH"/>
        <s v="NTL"/>
        <s v="NDL"/>
        <s v="NTH"/>
        <s v="FTH"/>
        <s v="NDH"/>
        <s v="NSL"/>
        <s v="FSL"/>
        <s v="NSH"/>
        <s v="FDL"/>
      </sharedItems>
    </cacheField>
    <cacheField name="Trt." numFmtId="0">
      <sharedItems containsSemiMixedTypes="0" containsString="0" containsNumber="1" containsInteger="1" minValue="1" maxValue="12" count="12">
        <n v="1"/>
        <n v="4"/>
        <n v="5"/>
        <n v="10"/>
        <n v="12"/>
        <n v="9"/>
        <n v="3"/>
        <n v="11"/>
        <n v="8"/>
        <n v="2"/>
        <n v="7"/>
        <n v="6"/>
      </sharedItems>
    </cacheField>
    <cacheField name="Irrig." numFmtId="0">
      <sharedItems containsSemiMixedTypes="0" containsString="0" containsNumber="1" containsInteger="1" minValue="1" maxValue="2" count="2">
        <n v="1"/>
        <n v="2"/>
      </sharedItems>
    </cacheField>
    <cacheField name="Pop." numFmtId="0">
      <sharedItems containsSemiMixedTypes="0" containsString="0" containsNumber="1" containsInteger="1" minValue="1" maxValue="3" count="3">
        <n v="1"/>
        <n v="2"/>
        <n v="3"/>
      </sharedItems>
    </cacheField>
    <cacheField name="N" numFmtId="0">
      <sharedItems containsSemiMixedTypes="0" containsString="0" containsNumber="1" containsInteger="1" minValue="1" maxValue="2" count="2">
        <n v="2"/>
        <n v="1"/>
      </sharedItems>
    </cacheField>
    <cacheField name="Block" numFmtId="0">
      <sharedItems containsSemiMixedTypes="0" containsString="0" containsNumber="1" containsInteger="1" minValue="1" maxValue="4" count="4">
        <n v="1"/>
        <n v="2"/>
        <n v="3"/>
        <n v="4"/>
      </sharedItems>
    </cacheField>
    <cacheField name="Col." numFmtId="0">
      <sharedItems containsSemiMixedTypes="0" containsString="0" containsNumber="1" containsInteger="1" minValue="1" maxValue="8" count="8">
        <n v="1"/>
        <n v="2"/>
        <n v="3"/>
        <n v="4"/>
        <n v="5"/>
        <n v="6"/>
        <n v="7"/>
        <n v="8"/>
      </sharedItems>
    </cacheField>
    <cacheField name="Exotech Code" numFmtId="0">
      <sharedItems/>
    </cacheField>
    <cacheField name="Bed3" numFmtId="0">
      <sharedItems containsSemiMixedTypes="0" containsString="0" containsNumber="1" minValue="7.5" maxValue="51.666666666666664" count="27">
        <n v="9.75"/>
        <n v="25.333333333333332"/>
        <n v="44"/>
        <n v="24.666666666666668"/>
        <n v="49.333333333333336"/>
        <n v="26.333333333333332"/>
        <n v="19"/>
        <n v="24"/>
        <n v="42.666666666666664"/>
        <n v="27"/>
        <n v="21.333333333333332"/>
        <n v="47.333333333333336"/>
        <n v="7.5"/>
        <n v="10.75"/>
        <n v="20"/>
        <n v="11"/>
        <n v="19.666666666666668"/>
        <n v="28"/>
        <n v="10"/>
        <n v="51.666666666666664"/>
        <n v="27.333333333333332"/>
        <n v="21.666666666666668"/>
        <n v="9"/>
        <n v="50"/>
        <n v="22.666666666666668"/>
        <n v="10.25"/>
        <n v="27.666666666666668"/>
      </sharedItems>
    </cacheField>
    <cacheField name="Bed4" numFmtId="0">
      <sharedItems containsSemiMixedTypes="0" containsString="0" containsNumber="1" minValue="9.75" maxValue="56.666666666666664" count="26">
        <n v="11"/>
        <n v="15.333333333333334"/>
        <n v="47.666666666666664"/>
        <n v="28.666666666666668"/>
        <n v="45.333333333333336"/>
        <n v="29.333333333333332"/>
        <n v="23.666666666666668"/>
        <n v="25"/>
        <n v="51.666666666666664"/>
        <n v="23"/>
        <n v="27.333333333333332"/>
        <n v="10.75"/>
        <n v="9.75"/>
        <n v="22.333333333333332"/>
        <n v="10.5"/>
        <n v="20"/>
        <n v="11.5"/>
        <n v="10"/>
        <n v="54.333333333333336"/>
        <n v="25.333333333333332"/>
        <n v="56.666666666666664"/>
        <n v="10.25"/>
        <n v="26.666666666666668"/>
        <n v="46.333333333333336"/>
        <n v="26.333333333333332"/>
        <n v="22.666666666666668"/>
      </sharedItems>
    </cacheField>
    <cacheField name="Bed5" numFmtId="0">
      <sharedItems containsSemiMixedTypes="0" containsString="0" containsNumber="1" minValue="9.25" maxValue="50.333333333333336" count="27">
        <n v="10.75"/>
        <n v="12.333333333333334"/>
        <n v="45.333333333333336"/>
        <n v="21.666666666666668"/>
        <n v="46.333333333333336"/>
        <n v="24"/>
        <n v="20.666666666666668"/>
        <n v="24.666666666666668"/>
        <n v="48"/>
        <n v="29"/>
        <n v="21"/>
        <n v="50.333333333333336"/>
        <n v="10"/>
        <n v="10.25"/>
        <n v="22.333333333333332"/>
        <n v="19"/>
        <n v="25.666666666666668"/>
        <n v="11"/>
        <n v="9.25"/>
        <n v="46"/>
        <n v="19.666666666666668"/>
        <n v="45.666666666666664"/>
        <n v="23"/>
        <n v="47"/>
        <n v="48.333333333333336"/>
        <n v="27.666666666666668"/>
        <n v="24.333333333333332"/>
      </sharedItems>
    </cacheField>
    <cacheField name="Bed6" numFmtId="0">
      <sharedItems containsSemiMixedTypes="0" containsString="0" containsNumber="1" minValue="10" maxValue="51" count="29">
        <n v="10"/>
        <n v="16.333333333333332"/>
        <n v="43.666666666666664"/>
        <n v="22"/>
        <n v="44.333333333333336"/>
        <n v="25.333333333333332"/>
        <n v="23.333333333333332"/>
        <n v="24.666666666666668"/>
        <n v="37.666666666666664"/>
        <n v="15"/>
        <n v="18.333333333333332"/>
        <n v="50"/>
        <n v="10.75"/>
        <n v="26.333333333333332"/>
        <n v="10.25"/>
        <n v="21"/>
        <n v="21.666666666666668"/>
        <n v="10.5"/>
        <n v="11.75"/>
        <n v="51"/>
        <n v="25"/>
        <n v="27.333333333333332"/>
        <n v="21.333333333333332"/>
        <n v="43"/>
        <n v="25.666666666666668"/>
        <n v="48"/>
        <n v="18"/>
        <n v="11.25"/>
        <n v="28"/>
      </sharedItems>
    </cacheField>
    <cacheField name="Bed7" numFmtId="0">
      <sharedItems containsSemiMixedTypes="0" containsString="0" containsNumber="1" minValue="8.75" maxValue="49.666666666666664" count="25">
        <n v="11.75"/>
        <n v="20"/>
        <n v="39"/>
        <n v="21.666666666666668"/>
        <n v="42.333333333333336"/>
        <n v="19.666666666666668"/>
        <n v="23.333333333333332"/>
        <n v="21.333333333333332"/>
        <n v="36.333333333333336"/>
        <n v="29.333333333333332"/>
        <n v="44.333333333333336"/>
        <n v="11"/>
        <n v="26.666666666666668"/>
        <n v="8.75"/>
        <n v="25.666666666666668"/>
        <n v="10"/>
        <n v="49.666666666666664"/>
        <n v="26.333333333333332"/>
        <n v="24.666666666666668"/>
        <n v="48.333333333333336"/>
        <n v="17.666666666666668"/>
        <n v="39.333333333333336"/>
        <n v="20.333333333333332"/>
        <n v="41.333333333333336"/>
        <n v="27"/>
      </sharedItems>
    </cacheField>
    <cacheField name="Bed8" numFmtId="0">
      <sharedItems containsSemiMixedTypes="0" containsString="0" containsNumber="1" minValue="9.25" maxValue="55.333333333333336" count="28">
        <n v="10"/>
        <n v="22.666666666666668"/>
        <n v="49.333333333333336"/>
        <n v="25.666666666666668"/>
        <n v="51.666666666666664"/>
        <n v="21.333333333333332"/>
        <n v="27.666666666666668"/>
        <n v="23.333333333333332"/>
        <n v="45"/>
        <n v="27"/>
        <n v="18.666666666666668"/>
        <n v="48.666666666666664"/>
        <n v="10.25"/>
        <n v="9.75"/>
        <n v="23"/>
        <n v="24"/>
        <n v="10.5"/>
        <n v="11"/>
        <n v="55.333333333333336"/>
        <n v="26"/>
        <n v="34"/>
        <n v="25"/>
        <n v="45.333333333333336"/>
        <n v="19"/>
        <n v="50.333333333333336"/>
        <n v="24.333333333333332"/>
        <n v="9.25"/>
        <n v="16"/>
      </sharedItems>
    </cacheField>
    <cacheField name="Mean per meter" numFmtId="0">
      <sharedItems containsSemiMixedTypes="0" containsString="0" containsNumber="1" minValue="4.875" maxValue="25.666666666666668"/>
    </cacheField>
    <cacheField name="std err" numFmtId="0">
      <sharedItems containsSemiMixedTypes="0" containsString="0" containsNumber="1" minValue="9.3634187726019336E-2" maxValue="1.5764470131232413"/>
    </cacheField>
    <cacheField name="Nrml. mean per meter" numFmtId="0">
      <sharedItems containsSemiMixedTypes="0" containsString="0" containsNumber="1" minValue="9.3333333333333339" maxValue="12.833333333333334"/>
    </cacheField>
    <cacheField name="Comments/Time"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x v="0"/>
    <x v="0"/>
    <x v="0"/>
    <s v="112.1"/>
    <x v="0"/>
    <x v="0"/>
    <x v="0"/>
    <x v="0"/>
    <x v="0"/>
    <x v="0"/>
    <x v="0"/>
    <n v="0.4216370213557839"/>
    <x v="0"/>
    <x v="0"/>
  </r>
  <r>
    <x v="1"/>
    <x v="1"/>
    <x v="1"/>
    <x v="0"/>
    <x v="1"/>
    <x v="1"/>
    <x v="0"/>
    <x v="1"/>
    <s v="121.1"/>
    <x v="1"/>
    <x v="1"/>
    <x v="1"/>
    <x v="1"/>
    <x v="0"/>
    <x v="1"/>
    <x v="1"/>
    <n v="1.2610621625351297"/>
    <x v="1"/>
    <x v="1"/>
  </r>
  <r>
    <x v="2"/>
    <x v="2"/>
    <x v="2"/>
    <x v="0"/>
    <x v="2"/>
    <x v="0"/>
    <x v="0"/>
    <x v="2"/>
    <s v="132.1"/>
    <x v="2"/>
    <x v="2"/>
    <x v="2"/>
    <x v="2"/>
    <x v="1"/>
    <x v="2"/>
    <x v="2"/>
    <n v="1.0461569884316799"/>
    <x v="2"/>
    <x v="1"/>
  </r>
  <r>
    <x v="3"/>
    <x v="3"/>
    <x v="3"/>
    <x v="1"/>
    <x v="1"/>
    <x v="1"/>
    <x v="0"/>
    <x v="3"/>
    <s v="221.1"/>
    <x v="0"/>
    <x v="3"/>
    <x v="3"/>
    <x v="3"/>
    <x v="2"/>
    <x v="3"/>
    <x v="3"/>
    <n v="0.9368979548370131"/>
    <x v="3"/>
    <x v="1"/>
  </r>
  <r>
    <x v="4"/>
    <x v="4"/>
    <x v="4"/>
    <x v="1"/>
    <x v="2"/>
    <x v="1"/>
    <x v="1"/>
    <x v="4"/>
    <s v="231.2"/>
    <x v="3"/>
    <x v="4"/>
    <x v="4"/>
    <x v="4"/>
    <x v="3"/>
    <x v="4"/>
    <x v="4"/>
    <n v="1.9436506316151008"/>
    <x v="4"/>
    <x v="1"/>
  </r>
  <r>
    <x v="5"/>
    <x v="5"/>
    <x v="5"/>
    <x v="1"/>
    <x v="1"/>
    <x v="0"/>
    <x v="1"/>
    <x v="5"/>
    <s v="222.2"/>
    <x v="4"/>
    <x v="4"/>
    <x v="5"/>
    <x v="5"/>
    <x v="4"/>
    <x v="3"/>
    <x v="5"/>
    <n v="0.63245553203367599"/>
    <x v="5"/>
    <x v="1"/>
  </r>
  <r>
    <x v="6"/>
    <x v="3"/>
    <x v="3"/>
    <x v="1"/>
    <x v="1"/>
    <x v="1"/>
    <x v="1"/>
    <x v="6"/>
    <s v="221.2"/>
    <x v="5"/>
    <x v="5"/>
    <x v="6"/>
    <x v="6"/>
    <x v="5"/>
    <x v="5"/>
    <x v="6"/>
    <n v="0.15365907428821277"/>
    <x v="6"/>
    <x v="1"/>
  </r>
  <r>
    <x v="7"/>
    <x v="6"/>
    <x v="6"/>
    <x v="0"/>
    <x v="1"/>
    <x v="0"/>
    <x v="1"/>
    <x v="7"/>
    <s v="122.2"/>
    <x v="6"/>
    <x v="6"/>
    <x v="7"/>
    <x v="5"/>
    <x v="5"/>
    <x v="5"/>
    <x v="7"/>
    <n v="0.60092521257733111"/>
    <x v="7"/>
    <x v="2"/>
  </r>
  <r>
    <x v="8"/>
    <x v="4"/>
    <x v="4"/>
    <x v="1"/>
    <x v="2"/>
    <x v="1"/>
    <x v="0"/>
    <x v="0"/>
    <s v="231.1"/>
    <x v="7"/>
    <x v="7"/>
    <x v="8"/>
    <x v="7"/>
    <x v="6"/>
    <x v="3"/>
    <x v="8"/>
    <n v="1.1432167093095009"/>
    <x v="8"/>
    <x v="1"/>
  </r>
  <r>
    <x v="9"/>
    <x v="5"/>
    <x v="5"/>
    <x v="1"/>
    <x v="1"/>
    <x v="0"/>
    <x v="0"/>
    <x v="1"/>
    <s v="222.1"/>
    <x v="8"/>
    <x v="8"/>
    <x v="3"/>
    <x v="1"/>
    <x v="7"/>
    <x v="6"/>
    <x v="9"/>
    <n v="1.3884443733105687"/>
    <x v="9"/>
    <x v="1"/>
  </r>
  <r>
    <x v="10"/>
    <x v="6"/>
    <x v="6"/>
    <x v="0"/>
    <x v="1"/>
    <x v="0"/>
    <x v="0"/>
    <x v="2"/>
    <s v="122.1"/>
    <x v="8"/>
    <x v="9"/>
    <x v="6"/>
    <x v="8"/>
    <x v="8"/>
    <x v="7"/>
    <x v="10"/>
    <n v="0.909822937597079"/>
    <x v="10"/>
    <x v="1"/>
  </r>
  <r>
    <x v="11"/>
    <x v="7"/>
    <x v="7"/>
    <x v="1"/>
    <x v="2"/>
    <x v="0"/>
    <x v="0"/>
    <x v="3"/>
    <s v="232.1"/>
    <x v="9"/>
    <x v="10"/>
    <x v="9"/>
    <x v="9"/>
    <x v="9"/>
    <x v="8"/>
    <x v="11"/>
    <n v="0.7896905160321408"/>
    <x v="11"/>
    <x v="1"/>
  </r>
  <r>
    <x v="12"/>
    <x v="0"/>
    <x v="0"/>
    <x v="0"/>
    <x v="0"/>
    <x v="0"/>
    <x v="1"/>
    <x v="4"/>
    <s v="112.2"/>
    <x v="10"/>
    <x v="5"/>
    <x v="7"/>
    <x v="8"/>
    <x v="10"/>
    <x v="9"/>
    <x v="12"/>
    <n v="0.78528126595931658"/>
    <x v="12"/>
    <x v="1"/>
  </r>
  <r>
    <x v="13"/>
    <x v="8"/>
    <x v="8"/>
    <x v="1"/>
    <x v="0"/>
    <x v="1"/>
    <x v="1"/>
    <x v="5"/>
    <s v="211.2"/>
    <x v="11"/>
    <x v="3"/>
    <x v="10"/>
    <x v="7"/>
    <x v="11"/>
    <x v="10"/>
    <x v="13"/>
    <n v="0.64117946872237774"/>
    <x v="13"/>
    <x v="1"/>
  </r>
  <r>
    <x v="14"/>
    <x v="1"/>
    <x v="1"/>
    <x v="0"/>
    <x v="1"/>
    <x v="1"/>
    <x v="1"/>
    <x v="6"/>
    <s v="121.2"/>
    <x v="12"/>
    <x v="3"/>
    <x v="11"/>
    <x v="6"/>
    <x v="12"/>
    <x v="11"/>
    <x v="6"/>
    <n v="0.82073815014967499"/>
    <x v="6"/>
    <x v="1"/>
  </r>
  <r>
    <x v="15"/>
    <x v="9"/>
    <x v="9"/>
    <x v="0"/>
    <x v="0"/>
    <x v="1"/>
    <x v="1"/>
    <x v="7"/>
    <s v="111.2"/>
    <x v="4"/>
    <x v="5"/>
    <x v="12"/>
    <x v="10"/>
    <x v="13"/>
    <x v="3"/>
    <x v="14"/>
    <n v="0.75000000000000011"/>
    <x v="14"/>
    <x v="3"/>
  </r>
  <r>
    <x v="16"/>
    <x v="3"/>
    <x v="3"/>
    <x v="1"/>
    <x v="1"/>
    <x v="1"/>
    <x v="2"/>
    <x v="0"/>
    <s v="221.3"/>
    <x v="13"/>
    <x v="11"/>
    <x v="13"/>
    <x v="11"/>
    <x v="14"/>
    <x v="12"/>
    <x v="15"/>
    <n v="0.61913918736689033"/>
    <x v="15"/>
    <x v="4"/>
  </r>
  <r>
    <x v="17"/>
    <x v="1"/>
    <x v="1"/>
    <x v="0"/>
    <x v="1"/>
    <x v="1"/>
    <x v="2"/>
    <x v="1"/>
    <s v="121.3"/>
    <x v="13"/>
    <x v="12"/>
    <x v="1"/>
    <x v="1"/>
    <x v="7"/>
    <x v="13"/>
    <x v="16"/>
    <n v="1.4283829240710553"/>
    <x v="16"/>
    <x v="1"/>
  </r>
  <r>
    <x v="18"/>
    <x v="8"/>
    <x v="8"/>
    <x v="1"/>
    <x v="0"/>
    <x v="1"/>
    <x v="2"/>
    <x v="2"/>
    <s v="211.3"/>
    <x v="0"/>
    <x v="13"/>
    <x v="0"/>
    <x v="12"/>
    <x v="2"/>
    <x v="7"/>
    <x v="17"/>
    <n v="0.52704627669473003"/>
    <x v="17"/>
    <x v="1"/>
  </r>
  <r>
    <x v="19"/>
    <x v="9"/>
    <x v="9"/>
    <x v="0"/>
    <x v="0"/>
    <x v="1"/>
    <x v="2"/>
    <x v="3"/>
    <s v="111.3"/>
    <x v="14"/>
    <x v="14"/>
    <x v="3"/>
    <x v="13"/>
    <x v="4"/>
    <x v="11"/>
    <x v="18"/>
    <n v="0.83416625041614667"/>
    <x v="18"/>
    <x v="1"/>
  </r>
  <r>
    <x v="20"/>
    <x v="7"/>
    <x v="7"/>
    <x v="1"/>
    <x v="2"/>
    <x v="0"/>
    <x v="3"/>
    <x v="4"/>
    <s v="232.4"/>
    <x v="15"/>
    <x v="15"/>
    <x v="8"/>
    <x v="14"/>
    <x v="15"/>
    <x v="14"/>
    <x v="19"/>
    <n v="1.0055402085998892"/>
    <x v="19"/>
    <x v="1"/>
  </r>
  <r>
    <x v="21"/>
    <x v="1"/>
    <x v="1"/>
    <x v="0"/>
    <x v="1"/>
    <x v="1"/>
    <x v="3"/>
    <x v="5"/>
    <s v="121.4"/>
    <x v="11"/>
    <x v="16"/>
    <x v="12"/>
    <x v="13"/>
    <x v="16"/>
    <x v="15"/>
    <x v="20"/>
    <n v="0.92796072713833722"/>
    <x v="20"/>
    <x v="1"/>
  </r>
  <r>
    <x v="22"/>
    <x v="5"/>
    <x v="5"/>
    <x v="1"/>
    <x v="1"/>
    <x v="0"/>
    <x v="3"/>
    <x v="6"/>
    <s v="222.4"/>
    <x v="6"/>
    <x v="5"/>
    <x v="14"/>
    <x v="15"/>
    <x v="11"/>
    <x v="1"/>
    <x v="21"/>
    <n v="0.93689795483701288"/>
    <x v="21"/>
    <x v="1"/>
  </r>
  <r>
    <x v="23"/>
    <x v="2"/>
    <x v="2"/>
    <x v="0"/>
    <x v="2"/>
    <x v="0"/>
    <x v="3"/>
    <x v="7"/>
    <s v="132.4"/>
    <x v="16"/>
    <x v="17"/>
    <x v="15"/>
    <x v="16"/>
    <x v="17"/>
    <x v="15"/>
    <x v="22"/>
    <n v="1.7654083569153816"/>
    <x v="22"/>
    <x v="5"/>
  </r>
  <r>
    <x v="24"/>
    <x v="10"/>
    <x v="10"/>
    <x v="1"/>
    <x v="0"/>
    <x v="0"/>
    <x v="2"/>
    <x v="0"/>
    <s v="212.3"/>
    <x v="10"/>
    <x v="1"/>
    <x v="12"/>
    <x v="17"/>
    <x v="0"/>
    <x v="16"/>
    <x v="23"/>
    <n v="0.68313005106397329"/>
    <x v="23"/>
    <x v="6"/>
  </r>
  <r>
    <x v="25"/>
    <x v="5"/>
    <x v="5"/>
    <x v="1"/>
    <x v="1"/>
    <x v="0"/>
    <x v="2"/>
    <x v="1"/>
    <s v="222.3"/>
    <x v="17"/>
    <x v="18"/>
    <x v="1"/>
    <x v="3"/>
    <x v="14"/>
    <x v="0"/>
    <x v="24"/>
    <n v="0.40824829046386307"/>
    <x v="24"/>
    <x v="1"/>
  </r>
  <r>
    <x v="26"/>
    <x v="11"/>
    <x v="11"/>
    <x v="0"/>
    <x v="2"/>
    <x v="1"/>
    <x v="2"/>
    <x v="2"/>
    <s v="131.3"/>
    <x v="18"/>
    <x v="19"/>
    <x v="16"/>
    <x v="18"/>
    <x v="18"/>
    <x v="17"/>
    <x v="4"/>
    <n v="1.3144496102086909"/>
    <x v="4"/>
    <x v="1"/>
  </r>
  <r>
    <x v="27"/>
    <x v="6"/>
    <x v="6"/>
    <x v="0"/>
    <x v="1"/>
    <x v="0"/>
    <x v="2"/>
    <x v="3"/>
    <s v="122.3"/>
    <x v="19"/>
    <x v="14"/>
    <x v="17"/>
    <x v="19"/>
    <x v="16"/>
    <x v="18"/>
    <x v="25"/>
    <n v="0.55777335102271652"/>
    <x v="19"/>
    <x v="1"/>
  </r>
  <r>
    <x v="28"/>
    <x v="11"/>
    <x v="11"/>
    <x v="0"/>
    <x v="2"/>
    <x v="1"/>
    <x v="3"/>
    <x v="4"/>
    <s v="131.4"/>
    <x v="2"/>
    <x v="20"/>
    <x v="2"/>
    <x v="20"/>
    <x v="3"/>
    <x v="4"/>
    <x v="26"/>
    <n v="1.4127396551853897"/>
    <x v="25"/>
    <x v="1"/>
  </r>
  <r>
    <x v="29"/>
    <x v="6"/>
    <x v="6"/>
    <x v="0"/>
    <x v="1"/>
    <x v="0"/>
    <x v="3"/>
    <x v="5"/>
    <s v="122.4"/>
    <x v="5"/>
    <x v="21"/>
    <x v="12"/>
    <x v="21"/>
    <x v="8"/>
    <x v="19"/>
    <x v="20"/>
    <n v="1.1450376024878448"/>
    <x v="20"/>
    <x v="1"/>
  </r>
  <r>
    <x v="30"/>
    <x v="10"/>
    <x v="10"/>
    <x v="1"/>
    <x v="0"/>
    <x v="0"/>
    <x v="3"/>
    <x v="6"/>
    <s v="212.4"/>
    <x v="20"/>
    <x v="9"/>
    <x v="6"/>
    <x v="7"/>
    <x v="19"/>
    <x v="19"/>
    <x v="8"/>
    <n v="0.63792197363348746"/>
    <x v="26"/>
    <x v="1"/>
  </r>
  <r>
    <x v="31"/>
    <x v="3"/>
    <x v="3"/>
    <x v="1"/>
    <x v="1"/>
    <x v="1"/>
    <x v="3"/>
    <x v="7"/>
    <s v="221.4"/>
    <x v="7"/>
    <x v="4"/>
    <x v="7"/>
    <x v="5"/>
    <x v="20"/>
    <x v="16"/>
    <x v="27"/>
    <n v="1.4200938936093863"/>
    <x v="27"/>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n v="0.4216370213557839"/>
    <x v="0"/>
    <x v="0"/>
  </r>
  <r>
    <n v="102"/>
    <x v="1"/>
    <x v="1"/>
    <x v="0"/>
    <x v="1"/>
    <x v="1"/>
    <x v="0"/>
    <x v="1"/>
    <s v="121.1"/>
    <x v="1"/>
    <x v="1"/>
    <x v="1"/>
    <x v="1"/>
    <x v="0"/>
    <x v="1"/>
    <x v="1"/>
    <n v="1.2610621625351297"/>
    <x v="1"/>
    <x v="1"/>
  </r>
  <r>
    <n v="103"/>
    <x v="2"/>
    <x v="2"/>
    <x v="0"/>
    <x v="2"/>
    <x v="0"/>
    <x v="0"/>
    <x v="2"/>
    <s v="132.1"/>
    <x v="2"/>
    <x v="2"/>
    <x v="2"/>
    <x v="2"/>
    <x v="1"/>
    <x v="2"/>
    <x v="2"/>
    <n v="1.0461569884316799"/>
    <x v="2"/>
    <x v="1"/>
  </r>
  <r>
    <n v="104"/>
    <x v="3"/>
    <x v="3"/>
    <x v="1"/>
    <x v="1"/>
    <x v="1"/>
    <x v="0"/>
    <x v="3"/>
    <s v="221.1"/>
    <x v="0"/>
    <x v="3"/>
    <x v="3"/>
    <x v="3"/>
    <x v="2"/>
    <x v="3"/>
    <x v="3"/>
    <n v="0.9368979548370131"/>
    <x v="3"/>
    <x v="1"/>
  </r>
  <r>
    <n v="105"/>
    <x v="4"/>
    <x v="4"/>
    <x v="1"/>
    <x v="2"/>
    <x v="1"/>
    <x v="1"/>
    <x v="4"/>
    <s v="231.2"/>
    <x v="3"/>
    <x v="4"/>
    <x v="4"/>
    <x v="4"/>
    <x v="3"/>
    <x v="4"/>
    <x v="4"/>
    <n v="1.9436506316151008"/>
    <x v="4"/>
    <x v="1"/>
  </r>
  <r>
    <n v="106"/>
    <x v="5"/>
    <x v="5"/>
    <x v="1"/>
    <x v="1"/>
    <x v="0"/>
    <x v="1"/>
    <x v="5"/>
    <s v="222.2"/>
    <x v="4"/>
    <x v="4"/>
    <x v="5"/>
    <x v="5"/>
    <x v="4"/>
    <x v="3"/>
    <x v="5"/>
    <n v="0.63245553203367599"/>
    <x v="5"/>
    <x v="1"/>
  </r>
  <r>
    <n v="107"/>
    <x v="3"/>
    <x v="3"/>
    <x v="1"/>
    <x v="1"/>
    <x v="1"/>
    <x v="1"/>
    <x v="6"/>
    <s v="221.2"/>
    <x v="5"/>
    <x v="5"/>
    <x v="6"/>
    <x v="6"/>
    <x v="5"/>
    <x v="5"/>
    <x v="6"/>
    <n v="0.15365907428821277"/>
    <x v="6"/>
    <x v="1"/>
  </r>
  <r>
    <n v="108"/>
    <x v="6"/>
    <x v="6"/>
    <x v="0"/>
    <x v="1"/>
    <x v="0"/>
    <x v="1"/>
    <x v="7"/>
    <s v="122.2"/>
    <x v="6"/>
    <x v="6"/>
    <x v="7"/>
    <x v="5"/>
    <x v="5"/>
    <x v="5"/>
    <x v="7"/>
    <n v="0.60092521257733111"/>
    <x v="7"/>
    <x v="2"/>
  </r>
  <r>
    <n v="201"/>
    <x v="4"/>
    <x v="4"/>
    <x v="1"/>
    <x v="2"/>
    <x v="1"/>
    <x v="0"/>
    <x v="0"/>
    <s v="231.1"/>
    <x v="7"/>
    <x v="7"/>
    <x v="8"/>
    <x v="7"/>
    <x v="6"/>
    <x v="3"/>
    <x v="8"/>
    <n v="1.1432167093095009"/>
    <x v="8"/>
    <x v="1"/>
  </r>
  <r>
    <n v="202"/>
    <x v="5"/>
    <x v="5"/>
    <x v="1"/>
    <x v="1"/>
    <x v="0"/>
    <x v="0"/>
    <x v="1"/>
    <s v="222.1"/>
    <x v="8"/>
    <x v="8"/>
    <x v="3"/>
    <x v="1"/>
    <x v="7"/>
    <x v="6"/>
    <x v="9"/>
    <n v="1.3884443733105687"/>
    <x v="9"/>
    <x v="1"/>
  </r>
  <r>
    <n v="203"/>
    <x v="6"/>
    <x v="6"/>
    <x v="0"/>
    <x v="1"/>
    <x v="0"/>
    <x v="0"/>
    <x v="2"/>
    <s v="122.1"/>
    <x v="8"/>
    <x v="9"/>
    <x v="6"/>
    <x v="8"/>
    <x v="8"/>
    <x v="7"/>
    <x v="10"/>
    <n v="0.909822937597079"/>
    <x v="10"/>
    <x v="1"/>
  </r>
  <r>
    <n v="204"/>
    <x v="7"/>
    <x v="7"/>
    <x v="1"/>
    <x v="2"/>
    <x v="0"/>
    <x v="0"/>
    <x v="3"/>
    <s v="232.1"/>
    <x v="9"/>
    <x v="10"/>
    <x v="9"/>
    <x v="9"/>
    <x v="9"/>
    <x v="8"/>
    <x v="11"/>
    <n v="0.7896905160321408"/>
    <x v="11"/>
    <x v="1"/>
  </r>
  <r>
    <n v="205"/>
    <x v="0"/>
    <x v="0"/>
    <x v="0"/>
    <x v="0"/>
    <x v="0"/>
    <x v="1"/>
    <x v="4"/>
    <s v="112.2"/>
    <x v="10"/>
    <x v="5"/>
    <x v="7"/>
    <x v="8"/>
    <x v="10"/>
    <x v="9"/>
    <x v="12"/>
    <n v="0.78528126595931658"/>
    <x v="12"/>
    <x v="1"/>
  </r>
  <r>
    <n v="206"/>
    <x v="8"/>
    <x v="8"/>
    <x v="1"/>
    <x v="0"/>
    <x v="1"/>
    <x v="1"/>
    <x v="5"/>
    <s v="211.2"/>
    <x v="11"/>
    <x v="3"/>
    <x v="10"/>
    <x v="7"/>
    <x v="11"/>
    <x v="10"/>
    <x v="13"/>
    <n v="0.64117946872237774"/>
    <x v="13"/>
    <x v="1"/>
  </r>
  <r>
    <n v="207"/>
    <x v="1"/>
    <x v="1"/>
    <x v="0"/>
    <x v="1"/>
    <x v="1"/>
    <x v="1"/>
    <x v="6"/>
    <s v="121.2"/>
    <x v="12"/>
    <x v="3"/>
    <x v="11"/>
    <x v="6"/>
    <x v="12"/>
    <x v="11"/>
    <x v="6"/>
    <n v="0.82073815014967499"/>
    <x v="6"/>
    <x v="1"/>
  </r>
  <r>
    <n v="208"/>
    <x v="9"/>
    <x v="9"/>
    <x v="0"/>
    <x v="0"/>
    <x v="1"/>
    <x v="1"/>
    <x v="7"/>
    <s v="111.2"/>
    <x v="4"/>
    <x v="5"/>
    <x v="12"/>
    <x v="10"/>
    <x v="13"/>
    <x v="3"/>
    <x v="14"/>
    <n v="0.75000000000000011"/>
    <x v="14"/>
    <x v="3"/>
  </r>
  <r>
    <n v="301"/>
    <x v="3"/>
    <x v="3"/>
    <x v="1"/>
    <x v="1"/>
    <x v="1"/>
    <x v="2"/>
    <x v="0"/>
    <s v="221.3"/>
    <x v="13"/>
    <x v="11"/>
    <x v="13"/>
    <x v="11"/>
    <x v="14"/>
    <x v="12"/>
    <x v="15"/>
    <n v="0.61913918736689033"/>
    <x v="15"/>
    <x v="4"/>
  </r>
  <r>
    <n v="302"/>
    <x v="1"/>
    <x v="1"/>
    <x v="0"/>
    <x v="1"/>
    <x v="1"/>
    <x v="2"/>
    <x v="1"/>
    <s v="121.3"/>
    <x v="13"/>
    <x v="12"/>
    <x v="1"/>
    <x v="1"/>
    <x v="7"/>
    <x v="13"/>
    <x v="16"/>
    <n v="1.4283829240710553"/>
    <x v="16"/>
    <x v="1"/>
  </r>
  <r>
    <n v="303"/>
    <x v="8"/>
    <x v="8"/>
    <x v="1"/>
    <x v="0"/>
    <x v="1"/>
    <x v="2"/>
    <x v="2"/>
    <s v="211.3"/>
    <x v="0"/>
    <x v="13"/>
    <x v="0"/>
    <x v="12"/>
    <x v="2"/>
    <x v="7"/>
    <x v="17"/>
    <n v="0.52704627669473003"/>
    <x v="17"/>
    <x v="1"/>
  </r>
  <r>
    <n v="304"/>
    <x v="9"/>
    <x v="9"/>
    <x v="0"/>
    <x v="0"/>
    <x v="1"/>
    <x v="2"/>
    <x v="3"/>
    <s v="111.3"/>
    <x v="14"/>
    <x v="14"/>
    <x v="3"/>
    <x v="13"/>
    <x v="4"/>
    <x v="11"/>
    <x v="18"/>
    <n v="0.83416625041614667"/>
    <x v="18"/>
    <x v="1"/>
  </r>
  <r>
    <n v="305"/>
    <x v="7"/>
    <x v="7"/>
    <x v="1"/>
    <x v="2"/>
    <x v="0"/>
    <x v="3"/>
    <x v="4"/>
    <s v="232.4"/>
    <x v="15"/>
    <x v="15"/>
    <x v="8"/>
    <x v="14"/>
    <x v="15"/>
    <x v="14"/>
    <x v="19"/>
    <n v="1.0055402085998892"/>
    <x v="19"/>
    <x v="1"/>
  </r>
  <r>
    <n v="306"/>
    <x v="1"/>
    <x v="1"/>
    <x v="0"/>
    <x v="1"/>
    <x v="1"/>
    <x v="3"/>
    <x v="5"/>
    <s v="121.4"/>
    <x v="11"/>
    <x v="16"/>
    <x v="12"/>
    <x v="13"/>
    <x v="16"/>
    <x v="15"/>
    <x v="20"/>
    <n v="0.92796072713833722"/>
    <x v="20"/>
    <x v="1"/>
  </r>
  <r>
    <n v="307"/>
    <x v="5"/>
    <x v="5"/>
    <x v="1"/>
    <x v="1"/>
    <x v="0"/>
    <x v="3"/>
    <x v="6"/>
    <s v="222.4"/>
    <x v="6"/>
    <x v="5"/>
    <x v="14"/>
    <x v="15"/>
    <x v="11"/>
    <x v="1"/>
    <x v="21"/>
    <n v="0.93689795483701288"/>
    <x v="21"/>
    <x v="1"/>
  </r>
  <r>
    <n v="308"/>
    <x v="2"/>
    <x v="2"/>
    <x v="0"/>
    <x v="2"/>
    <x v="0"/>
    <x v="3"/>
    <x v="7"/>
    <s v="132.4"/>
    <x v="16"/>
    <x v="17"/>
    <x v="15"/>
    <x v="16"/>
    <x v="17"/>
    <x v="15"/>
    <x v="22"/>
    <n v="1.7654083569153816"/>
    <x v="22"/>
    <x v="5"/>
  </r>
  <r>
    <n v="401"/>
    <x v="10"/>
    <x v="10"/>
    <x v="1"/>
    <x v="0"/>
    <x v="0"/>
    <x v="2"/>
    <x v="0"/>
    <s v="212.3"/>
    <x v="10"/>
    <x v="1"/>
    <x v="12"/>
    <x v="17"/>
    <x v="0"/>
    <x v="16"/>
    <x v="23"/>
    <n v="0.68313005106397329"/>
    <x v="23"/>
    <x v="6"/>
  </r>
  <r>
    <n v="402"/>
    <x v="5"/>
    <x v="5"/>
    <x v="1"/>
    <x v="1"/>
    <x v="0"/>
    <x v="2"/>
    <x v="1"/>
    <s v="222.3"/>
    <x v="17"/>
    <x v="18"/>
    <x v="1"/>
    <x v="3"/>
    <x v="14"/>
    <x v="0"/>
    <x v="24"/>
    <n v="0.40824829046386307"/>
    <x v="24"/>
    <x v="1"/>
  </r>
  <r>
    <n v="403"/>
    <x v="11"/>
    <x v="11"/>
    <x v="0"/>
    <x v="2"/>
    <x v="1"/>
    <x v="2"/>
    <x v="2"/>
    <s v="131.3"/>
    <x v="18"/>
    <x v="19"/>
    <x v="16"/>
    <x v="18"/>
    <x v="18"/>
    <x v="17"/>
    <x v="4"/>
    <n v="1.3144496102086909"/>
    <x v="4"/>
    <x v="1"/>
  </r>
  <r>
    <n v="404"/>
    <x v="6"/>
    <x v="6"/>
    <x v="0"/>
    <x v="1"/>
    <x v="0"/>
    <x v="2"/>
    <x v="3"/>
    <s v="122.3"/>
    <x v="19"/>
    <x v="14"/>
    <x v="17"/>
    <x v="19"/>
    <x v="16"/>
    <x v="18"/>
    <x v="25"/>
    <n v="0.55777335102271652"/>
    <x v="19"/>
    <x v="1"/>
  </r>
  <r>
    <n v="405"/>
    <x v="11"/>
    <x v="11"/>
    <x v="0"/>
    <x v="2"/>
    <x v="1"/>
    <x v="3"/>
    <x v="4"/>
    <s v="131.4"/>
    <x v="2"/>
    <x v="20"/>
    <x v="2"/>
    <x v="20"/>
    <x v="3"/>
    <x v="4"/>
    <x v="26"/>
    <n v="1.4127396551853897"/>
    <x v="25"/>
    <x v="1"/>
  </r>
  <r>
    <n v="406"/>
    <x v="6"/>
    <x v="6"/>
    <x v="0"/>
    <x v="1"/>
    <x v="0"/>
    <x v="3"/>
    <x v="5"/>
    <s v="122.4"/>
    <x v="5"/>
    <x v="21"/>
    <x v="12"/>
    <x v="21"/>
    <x v="8"/>
    <x v="19"/>
    <x v="20"/>
    <n v="1.1450376024878448"/>
    <x v="20"/>
    <x v="1"/>
  </r>
  <r>
    <n v="407"/>
    <x v="10"/>
    <x v="10"/>
    <x v="1"/>
    <x v="0"/>
    <x v="0"/>
    <x v="3"/>
    <x v="6"/>
    <s v="212.4"/>
    <x v="20"/>
    <x v="9"/>
    <x v="6"/>
    <x v="7"/>
    <x v="19"/>
    <x v="19"/>
    <x v="8"/>
    <n v="0.63792197363348746"/>
    <x v="26"/>
    <x v="1"/>
  </r>
  <r>
    <n v="408"/>
    <x v="3"/>
    <x v="3"/>
    <x v="1"/>
    <x v="1"/>
    <x v="1"/>
    <x v="3"/>
    <x v="7"/>
    <s v="221.4"/>
    <x v="7"/>
    <x v="4"/>
    <x v="7"/>
    <x v="5"/>
    <x v="20"/>
    <x v="16"/>
    <x v="27"/>
    <n v="1.4200938936093863"/>
    <x v="27"/>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x v="0"/>
    <x v="0"/>
    <x v="0"/>
    <s v="112.1"/>
    <x v="0"/>
    <x v="0"/>
    <x v="0"/>
    <x v="0"/>
    <x v="0"/>
    <x v="0"/>
    <x v="0"/>
    <n v="1.1236102527122118"/>
    <x v="0"/>
    <x v="0"/>
  </r>
  <r>
    <x v="1"/>
    <x v="1"/>
    <x v="1"/>
    <x v="0"/>
    <x v="1"/>
    <x v="1"/>
    <x v="0"/>
    <x v="1"/>
    <s v="121.1"/>
    <x v="1"/>
    <x v="1"/>
    <x v="1"/>
    <x v="1"/>
    <x v="0"/>
    <x v="1"/>
    <x v="1"/>
    <n v="1.7966017304282489"/>
    <x v="1"/>
    <x v="0"/>
  </r>
  <r>
    <x v="2"/>
    <x v="2"/>
    <x v="2"/>
    <x v="0"/>
    <x v="2"/>
    <x v="0"/>
    <x v="0"/>
    <x v="2"/>
    <s v="132.1"/>
    <x v="2"/>
    <x v="2"/>
    <x v="2"/>
    <x v="2"/>
    <x v="1"/>
    <x v="2"/>
    <x v="2"/>
    <n v="0.65828058860438343"/>
    <x v="2"/>
    <x v="0"/>
  </r>
  <r>
    <x v="3"/>
    <x v="3"/>
    <x v="3"/>
    <x v="1"/>
    <x v="1"/>
    <x v="1"/>
    <x v="0"/>
    <x v="3"/>
    <s v="221.1"/>
    <x v="3"/>
    <x v="1"/>
    <x v="3"/>
    <x v="3"/>
    <x v="2"/>
    <x v="0"/>
    <x v="3"/>
    <n v="1.0361520694913038"/>
    <x v="3"/>
    <x v="0"/>
  </r>
  <r>
    <x v="4"/>
    <x v="4"/>
    <x v="4"/>
    <x v="1"/>
    <x v="2"/>
    <x v="1"/>
    <x v="1"/>
    <x v="4"/>
    <s v="231.2"/>
    <x v="4"/>
    <x v="3"/>
    <x v="4"/>
    <x v="4"/>
    <x v="1"/>
    <x v="3"/>
    <x v="4"/>
    <n v="1.8150604520082636"/>
    <x v="4"/>
    <x v="0"/>
  </r>
  <r>
    <x v="5"/>
    <x v="5"/>
    <x v="5"/>
    <x v="1"/>
    <x v="1"/>
    <x v="0"/>
    <x v="1"/>
    <x v="5"/>
    <s v="222.2"/>
    <x v="5"/>
    <x v="4"/>
    <x v="5"/>
    <x v="5"/>
    <x v="3"/>
    <x v="4"/>
    <x v="5"/>
    <n v="0.33541019662496852"/>
    <x v="5"/>
    <x v="0"/>
  </r>
  <r>
    <x v="6"/>
    <x v="3"/>
    <x v="3"/>
    <x v="1"/>
    <x v="1"/>
    <x v="1"/>
    <x v="1"/>
    <x v="6"/>
    <s v="221.2"/>
    <x v="0"/>
    <x v="5"/>
    <x v="6"/>
    <x v="6"/>
    <x v="4"/>
    <x v="5"/>
    <x v="6"/>
    <n v="0.7149203529842415"/>
    <x v="6"/>
    <x v="0"/>
  </r>
  <r>
    <x v="7"/>
    <x v="6"/>
    <x v="6"/>
    <x v="0"/>
    <x v="1"/>
    <x v="0"/>
    <x v="1"/>
    <x v="7"/>
    <s v="122.2"/>
    <x v="6"/>
    <x v="6"/>
    <x v="7"/>
    <x v="7"/>
    <x v="5"/>
    <x v="6"/>
    <x v="7"/>
    <n v="0.40138648595974241"/>
    <x v="7"/>
    <x v="0"/>
  </r>
  <r>
    <x v="8"/>
    <x v="4"/>
    <x v="4"/>
    <x v="1"/>
    <x v="2"/>
    <x v="1"/>
    <x v="0"/>
    <x v="0"/>
    <s v="231.1"/>
    <x v="7"/>
    <x v="7"/>
    <x v="8"/>
    <x v="8"/>
    <x v="6"/>
    <x v="7"/>
    <x v="8"/>
    <n v="1.1595018087284048"/>
    <x v="8"/>
    <x v="0"/>
  </r>
  <r>
    <x v="9"/>
    <x v="5"/>
    <x v="5"/>
    <x v="1"/>
    <x v="1"/>
    <x v="0"/>
    <x v="0"/>
    <x v="1"/>
    <s v="222.1"/>
    <x v="8"/>
    <x v="8"/>
    <x v="9"/>
    <x v="9"/>
    <x v="7"/>
    <x v="8"/>
    <x v="9"/>
    <n v="1.9440078875011455"/>
    <x v="9"/>
    <x v="0"/>
  </r>
  <r>
    <x v="10"/>
    <x v="6"/>
    <x v="6"/>
    <x v="0"/>
    <x v="1"/>
    <x v="0"/>
    <x v="0"/>
    <x v="2"/>
    <s v="122.1"/>
    <x v="1"/>
    <x v="9"/>
    <x v="10"/>
    <x v="10"/>
    <x v="8"/>
    <x v="4"/>
    <x v="10"/>
    <n v="1.3149778198382918"/>
    <x v="10"/>
    <x v="0"/>
  </r>
  <r>
    <x v="11"/>
    <x v="7"/>
    <x v="7"/>
    <x v="1"/>
    <x v="2"/>
    <x v="0"/>
    <x v="0"/>
    <x v="3"/>
    <s v="232.1"/>
    <x v="9"/>
    <x v="10"/>
    <x v="8"/>
    <x v="11"/>
    <x v="9"/>
    <x v="9"/>
    <x v="11"/>
    <n v="0.62804812271389643"/>
    <x v="11"/>
    <x v="0"/>
  </r>
  <r>
    <x v="12"/>
    <x v="0"/>
    <x v="0"/>
    <x v="0"/>
    <x v="0"/>
    <x v="0"/>
    <x v="1"/>
    <x v="4"/>
    <s v="112.2"/>
    <x v="10"/>
    <x v="4"/>
    <x v="6"/>
    <x v="12"/>
    <x v="10"/>
    <x v="10"/>
    <x v="12"/>
    <n v="0.58807595881257835"/>
    <x v="12"/>
    <x v="0"/>
  </r>
  <r>
    <x v="13"/>
    <x v="8"/>
    <x v="8"/>
    <x v="1"/>
    <x v="0"/>
    <x v="1"/>
    <x v="1"/>
    <x v="5"/>
    <s v="211.2"/>
    <x v="11"/>
    <x v="6"/>
    <x v="11"/>
    <x v="13"/>
    <x v="11"/>
    <x v="7"/>
    <x v="13"/>
    <n v="0.62472216046637807"/>
    <x v="13"/>
    <x v="0"/>
  </r>
  <r>
    <x v="14"/>
    <x v="1"/>
    <x v="1"/>
    <x v="0"/>
    <x v="1"/>
    <x v="1"/>
    <x v="1"/>
    <x v="6"/>
    <s v="121.2"/>
    <x v="1"/>
    <x v="9"/>
    <x v="12"/>
    <x v="14"/>
    <x v="11"/>
    <x v="10"/>
    <x v="5"/>
    <n v="0.52836224947157862"/>
    <x v="5"/>
    <x v="0"/>
  </r>
  <r>
    <x v="15"/>
    <x v="9"/>
    <x v="9"/>
    <x v="0"/>
    <x v="0"/>
    <x v="1"/>
    <x v="1"/>
    <x v="7"/>
    <s v="111.2"/>
    <x v="5"/>
    <x v="11"/>
    <x v="13"/>
    <x v="7"/>
    <x v="12"/>
    <x v="4"/>
    <x v="14"/>
    <n v="1.0756135200175032"/>
    <x v="4"/>
    <x v="0"/>
  </r>
  <r>
    <x v="16"/>
    <x v="3"/>
    <x v="3"/>
    <x v="1"/>
    <x v="1"/>
    <x v="1"/>
    <x v="2"/>
    <x v="0"/>
    <s v="221.3"/>
    <x v="12"/>
    <x v="12"/>
    <x v="14"/>
    <x v="15"/>
    <x v="13"/>
    <x v="11"/>
    <x v="15"/>
    <n v="0.73786478737262173"/>
    <x v="14"/>
    <x v="0"/>
  </r>
  <r>
    <x v="17"/>
    <x v="1"/>
    <x v="1"/>
    <x v="0"/>
    <x v="1"/>
    <x v="1"/>
    <x v="2"/>
    <x v="1"/>
    <s v="121.3"/>
    <x v="13"/>
    <x v="13"/>
    <x v="15"/>
    <x v="1"/>
    <x v="14"/>
    <x v="12"/>
    <x v="16"/>
    <n v="1.4648663192705789"/>
    <x v="15"/>
    <x v="0"/>
  </r>
  <r>
    <x v="18"/>
    <x v="8"/>
    <x v="8"/>
    <x v="1"/>
    <x v="0"/>
    <x v="1"/>
    <x v="2"/>
    <x v="2"/>
    <s v="211.3"/>
    <x v="0"/>
    <x v="14"/>
    <x v="16"/>
    <x v="16"/>
    <x v="2"/>
    <x v="0"/>
    <x v="17"/>
    <n v="0.7826237921249265"/>
    <x v="16"/>
    <x v="0"/>
  </r>
  <r>
    <x v="19"/>
    <x v="9"/>
    <x v="9"/>
    <x v="0"/>
    <x v="0"/>
    <x v="1"/>
    <x v="2"/>
    <x v="3"/>
    <s v="111.3"/>
    <x v="3"/>
    <x v="4"/>
    <x v="17"/>
    <x v="6"/>
    <x v="15"/>
    <x v="13"/>
    <x v="18"/>
    <n v="0.87241682188682645"/>
    <x v="8"/>
    <x v="0"/>
  </r>
  <r>
    <x v="20"/>
    <x v="7"/>
    <x v="7"/>
    <x v="1"/>
    <x v="2"/>
    <x v="0"/>
    <x v="3"/>
    <x v="4"/>
    <s v="232.4"/>
    <x v="2"/>
    <x v="15"/>
    <x v="18"/>
    <x v="17"/>
    <x v="16"/>
    <x v="9"/>
    <x v="19"/>
    <n v="0.71589105316381774"/>
    <x v="17"/>
    <x v="0"/>
  </r>
  <r>
    <x v="21"/>
    <x v="1"/>
    <x v="1"/>
    <x v="0"/>
    <x v="1"/>
    <x v="1"/>
    <x v="3"/>
    <x v="5"/>
    <s v="121.4"/>
    <x v="5"/>
    <x v="16"/>
    <x v="7"/>
    <x v="18"/>
    <x v="15"/>
    <x v="6"/>
    <x v="20"/>
    <n v="0.46547466812563143"/>
    <x v="18"/>
    <x v="0"/>
  </r>
  <r>
    <x v="22"/>
    <x v="5"/>
    <x v="5"/>
    <x v="1"/>
    <x v="1"/>
    <x v="0"/>
    <x v="3"/>
    <x v="6"/>
    <s v="222.4"/>
    <x v="5"/>
    <x v="9"/>
    <x v="19"/>
    <x v="13"/>
    <x v="17"/>
    <x v="10"/>
    <x v="6"/>
    <n v="0.72648315725677981"/>
    <x v="6"/>
    <x v="0"/>
  </r>
  <r>
    <x v="23"/>
    <x v="2"/>
    <x v="2"/>
    <x v="0"/>
    <x v="2"/>
    <x v="0"/>
    <x v="3"/>
    <x v="7"/>
    <s v="132.4"/>
    <x v="14"/>
    <x v="17"/>
    <x v="20"/>
    <x v="11"/>
    <x v="18"/>
    <x v="8"/>
    <x v="21"/>
    <n v="1.651598552245001"/>
    <x v="19"/>
    <x v="0"/>
  </r>
  <r>
    <x v="24"/>
    <x v="10"/>
    <x v="10"/>
    <x v="1"/>
    <x v="0"/>
    <x v="0"/>
    <x v="2"/>
    <x v="0"/>
    <s v="212.3"/>
    <x v="15"/>
    <x v="18"/>
    <x v="14"/>
    <x v="19"/>
    <x v="14"/>
    <x v="14"/>
    <x v="22"/>
    <n v="0.55402567128648861"/>
    <x v="20"/>
    <x v="0"/>
  </r>
  <r>
    <x v="25"/>
    <x v="5"/>
    <x v="5"/>
    <x v="1"/>
    <x v="1"/>
    <x v="0"/>
    <x v="2"/>
    <x v="1"/>
    <s v="222.3"/>
    <x v="16"/>
    <x v="19"/>
    <x v="21"/>
    <x v="16"/>
    <x v="19"/>
    <x v="15"/>
    <x v="23"/>
    <n v="0.9013878188659975"/>
    <x v="21"/>
    <x v="0"/>
  </r>
  <r>
    <x v="26"/>
    <x v="11"/>
    <x v="11"/>
    <x v="0"/>
    <x v="2"/>
    <x v="1"/>
    <x v="2"/>
    <x v="2"/>
    <s v="131.3"/>
    <x v="9"/>
    <x v="20"/>
    <x v="22"/>
    <x v="20"/>
    <x v="10"/>
    <x v="16"/>
    <x v="24"/>
    <n v="1.8693433190413264"/>
    <x v="22"/>
    <x v="0"/>
  </r>
  <r>
    <x v="27"/>
    <x v="6"/>
    <x v="6"/>
    <x v="0"/>
    <x v="1"/>
    <x v="0"/>
    <x v="2"/>
    <x v="3"/>
    <s v="122.3"/>
    <x v="17"/>
    <x v="5"/>
    <x v="19"/>
    <x v="6"/>
    <x v="20"/>
    <x v="17"/>
    <x v="12"/>
    <n v="0.58807595881257835"/>
    <x v="12"/>
    <x v="0"/>
  </r>
  <r>
    <x v="28"/>
    <x v="11"/>
    <x v="11"/>
    <x v="0"/>
    <x v="2"/>
    <x v="1"/>
    <x v="3"/>
    <x v="4"/>
    <s v="131.4"/>
    <x v="18"/>
    <x v="2"/>
    <x v="23"/>
    <x v="21"/>
    <x v="21"/>
    <x v="18"/>
    <x v="25"/>
    <n v="1.0775486583496399"/>
    <x v="23"/>
    <x v="0"/>
  </r>
  <r>
    <x v="29"/>
    <x v="6"/>
    <x v="6"/>
    <x v="0"/>
    <x v="1"/>
    <x v="0"/>
    <x v="3"/>
    <x v="5"/>
    <s v="122.4"/>
    <x v="1"/>
    <x v="4"/>
    <x v="19"/>
    <x v="16"/>
    <x v="15"/>
    <x v="13"/>
    <x v="26"/>
    <n v="0.83666002653407567"/>
    <x v="24"/>
    <x v="0"/>
  </r>
  <r>
    <x v="30"/>
    <x v="10"/>
    <x v="10"/>
    <x v="1"/>
    <x v="0"/>
    <x v="0"/>
    <x v="3"/>
    <x v="6"/>
    <s v="212.4"/>
    <x v="6"/>
    <x v="9"/>
    <x v="24"/>
    <x v="6"/>
    <x v="4"/>
    <x v="5"/>
    <x v="27"/>
    <n v="0.6379219736334889"/>
    <x v="25"/>
    <x v="0"/>
  </r>
  <r>
    <x v="31"/>
    <x v="3"/>
    <x v="3"/>
    <x v="1"/>
    <x v="1"/>
    <x v="1"/>
    <x v="3"/>
    <x v="7"/>
    <s v="221.4"/>
    <x v="19"/>
    <x v="21"/>
    <x v="3"/>
    <x v="12"/>
    <x v="5"/>
    <x v="11"/>
    <x v="28"/>
    <n v="1.2343464307523682"/>
    <x v="22"/>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n v="1.1236102527122118"/>
    <x v="0"/>
    <x v="0"/>
  </r>
  <r>
    <n v="102"/>
    <x v="1"/>
    <x v="1"/>
    <x v="0"/>
    <x v="1"/>
    <x v="1"/>
    <x v="0"/>
    <x v="1"/>
    <s v="121.1"/>
    <x v="1"/>
    <x v="1"/>
    <x v="1"/>
    <x v="1"/>
    <x v="0"/>
    <x v="1"/>
    <x v="1"/>
    <n v="1.7966017304282489"/>
    <x v="1"/>
    <x v="0"/>
  </r>
  <r>
    <n v="103"/>
    <x v="2"/>
    <x v="2"/>
    <x v="0"/>
    <x v="2"/>
    <x v="0"/>
    <x v="0"/>
    <x v="2"/>
    <s v="132.1"/>
    <x v="2"/>
    <x v="2"/>
    <x v="2"/>
    <x v="2"/>
    <x v="1"/>
    <x v="2"/>
    <x v="2"/>
    <n v="0.65828058860438343"/>
    <x v="2"/>
    <x v="0"/>
  </r>
  <r>
    <n v="104"/>
    <x v="3"/>
    <x v="3"/>
    <x v="1"/>
    <x v="1"/>
    <x v="1"/>
    <x v="0"/>
    <x v="3"/>
    <s v="221.1"/>
    <x v="3"/>
    <x v="1"/>
    <x v="3"/>
    <x v="3"/>
    <x v="2"/>
    <x v="0"/>
    <x v="3"/>
    <n v="1.0361520694913038"/>
    <x v="3"/>
    <x v="0"/>
  </r>
  <r>
    <n v="105"/>
    <x v="4"/>
    <x v="4"/>
    <x v="1"/>
    <x v="2"/>
    <x v="1"/>
    <x v="1"/>
    <x v="4"/>
    <s v="231.2"/>
    <x v="4"/>
    <x v="3"/>
    <x v="4"/>
    <x v="4"/>
    <x v="1"/>
    <x v="3"/>
    <x v="4"/>
    <n v="1.8150604520082636"/>
    <x v="4"/>
    <x v="0"/>
  </r>
  <r>
    <n v="106"/>
    <x v="5"/>
    <x v="5"/>
    <x v="1"/>
    <x v="1"/>
    <x v="0"/>
    <x v="1"/>
    <x v="5"/>
    <s v="222.2"/>
    <x v="5"/>
    <x v="4"/>
    <x v="5"/>
    <x v="5"/>
    <x v="3"/>
    <x v="4"/>
    <x v="5"/>
    <n v="0.33541019662496852"/>
    <x v="5"/>
    <x v="0"/>
  </r>
  <r>
    <n v="107"/>
    <x v="3"/>
    <x v="3"/>
    <x v="1"/>
    <x v="1"/>
    <x v="1"/>
    <x v="1"/>
    <x v="6"/>
    <s v="221.2"/>
    <x v="0"/>
    <x v="5"/>
    <x v="6"/>
    <x v="6"/>
    <x v="4"/>
    <x v="5"/>
    <x v="6"/>
    <n v="0.7149203529842415"/>
    <x v="6"/>
    <x v="0"/>
  </r>
  <r>
    <n v="108"/>
    <x v="6"/>
    <x v="6"/>
    <x v="0"/>
    <x v="1"/>
    <x v="0"/>
    <x v="1"/>
    <x v="7"/>
    <s v="122.2"/>
    <x v="6"/>
    <x v="6"/>
    <x v="7"/>
    <x v="7"/>
    <x v="5"/>
    <x v="6"/>
    <x v="7"/>
    <n v="0.40138648595974241"/>
    <x v="7"/>
    <x v="0"/>
  </r>
  <r>
    <n v="201"/>
    <x v="4"/>
    <x v="4"/>
    <x v="1"/>
    <x v="2"/>
    <x v="1"/>
    <x v="0"/>
    <x v="0"/>
    <s v="231.1"/>
    <x v="7"/>
    <x v="7"/>
    <x v="8"/>
    <x v="8"/>
    <x v="6"/>
    <x v="7"/>
    <x v="8"/>
    <n v="1.1595018087284048"/>
    <x v="8"/>
    <x v="0"/>
  </r>
  <r>
    <n v="202"/>
    <x v="5"/>
    <x v="5"/>
    <x v="1"/>
    <x v="1"/>
    <x v="0"/>
    <x v="0"/>
    <x v="1"/>
    <s v="222.1"/>
    <x v="8"/>
    <x v="8"/>
    <x v="9"/>
    <x v="9"/>
    <x v="7"/>
    <x v="8"/>
    <x v="9"/>
    <n v="1.9440078875011455"/>
    <x v="9"/>
    <x v="0"/>
  </r>
  <r>
    <n v="203"/>
    <x v="6"/>
    <x v="6"/>
    <x v="0"/>
    <x v="1"/>
    <x v="0"/>
    <x v="0"/>
    <x v="2"/>
    <s v="122.1"/>
    <x v="1"/>
    <x v="9"/>
    <x v="10"/>
    <x v="10"/>
    <x v="8"/>
    <x v="4"/>
    <x v="10"/>
    <n v="1.3149778198382918"/>
    <x v="10"/>
    <x v="0"/>
  </r>
  <r>
    <n v="204"/>
    <x v="7"/>
    <x v="7"/>
    <x v="1"/>
    <x v="2"/>
    <x v="0"/>
    <x v="0"/>
    <x v="3"/>
    <s v="232.1"/>
    <x v="9"/>
    <x v="10"/>
    <x v="8"/>
    <x v="11"/>
    <x v="9"/>
    <x v="9"/>
    <x v="11"/>
    <n v="0.62804812271389643"/>
    <x v="11"/>
    <x v="0"/>
  </r>
  <r>
    <n v="205"/>
    <x v="0"/>
    <x v="0"/>
    <x v="0"/>
    <x v="0"/>
    <x v="0"/>
    <x v="1"/>
    <x v="4"/>
    <s v="112.2"/>
    <x v="10"/>
    <x v="4"/>
    <x v="6"/>
    <x v="12"/>
    <x v="10"/>
    <x v="10"/>
    <x v="12"/>
    <n v="0.58807595881257835"/>
    <x v="12"/>
    <x v="0"/>
  </r>
  <r>
    <n v="206"/>
    <x v="8"/>
    <x v="8"/>
    <x v="1"/>
    <x v="0"/>
    <x v="1"/>
    <x v="1"/>
    <x v="5"/>
    <s v="211.2"/>
    <x v="11"/>
    <x v="6"/>
    <x v="11"/>
    <x v="13"/>
    <x v="11"/>
    <x v="7"/>
    <x v="13"/>
    <n v="0.62472216046637807"/>
    <x v="13"/>
    <x v="0"/>
  </r>
  <r>
    <n v="207"/>
    <x v="1"/>
    <x v="1"/>
    <x v="0"/>
    <x v="1"/>
    <x v="1"/>
    <x v="1"/>
    <x v="6"/>
    <s v="121.2"/>
    <x v="1"/>
    <x v="9"/>
    <x v="12"/>
    <x v="14"/>
    <x v="11"/>
    <x v="10"/>
    <x v="5"/>
    <n v="0.52836224947157862"/>
    <x v="5"/>
    <x v="0"/>
  </r>
  <r>
    <n v="208"/>
    <x v="9"/>
    <x v="9"/>
    <x v="0"/>
    <x v="0"/>
    <x v="1"/>
    <x v="1"/>
    <x v="7"/>
    <s v="111.2"/>
    <x v="5"/>
    <x v="11"/>
    <x v="13"/>
    <x v="7"/>
    <x v="12"/>
    <x v="4"/>
    <x v="14"/>
    <n v="1.0756135200175032"/>
    <x v="4"/>
    <x v="0"/>
  </r>
  <r>
    <n v="301"/>
    <x v="3"/>
    <x v="3"/>
    <x v="1"/>
    <x v="1"/>
    <x v="1"/>
    <x v="2"/>
    <x v="0"/>
    <s v="221.3"/>
    <x v="12"/>
    <x v="12"/>
    <x v="14"/>
    <x v="15"/>
    <x v="13"/>
    <x v="11"/>
    <x v="15"/>
    <n v="0.73786478737262173"/>
    <x v="14"/>
    <x v="0"/>
  </r>
  <r>
    <n v="302"/>
    <x v="1"/>
    <x v="1"/>
    <x v="0"/>
    <x v="1"/>
    <x v="1"/>
    <x v="2"/>
    <x v="1"/>
    <s v="121.3"/>
    <x v="13"/>
    <x v="13"/>
    <x v="15"/>
    <x v="1"/>
    <x v="14"/>
    <x v="12"/>
    <x v="16"/>
    <n v="1.4648663192705789"/>
    <x v="15"/>
    <x v="0"/>
  </r>
  <r>
    <n v="303"/>
    <x v="8"/>
    <x v="8"/>
    <x v="1"/>
    <x v="0"/>
    <x v="1"/>
    <x v="2"/>
    <x v="2"/>
    <s v="211.3"/>
    <x v="0"/>
    <x v="14"/>
    <x v="16"/>
    <x v="16"/>
    <x v="2"/>
    <x v="0"/>
    <x v="17"/>
    <n v="0.7826237921249265"/>
    <x v="16"/>
    <x v="0"/>
  </r>
  <r>
    <n v="304"/>
    <x v="9"/>
    <x v="9"/>
    <x v="0"/>
    <x v="0"/>
    <x v="1"/>
    <x v="2"/>
    <x v="3"/>
    <s v="111.3"/>
    <x v="3"/>
    <x v="4"/>
    <x v="17"/>
    <x v="6"/>
    <x v="15"/>
    <x v="13"/>
    <x v="18"/>
    <n v="0.87241682188682645"/>
    <x v="8"/>
    <x v="0"/>
  </r>
  <r>
    <n v="305"/>
    <x v="7"/>
    <x v="7"/>
    <x v="1"/>
    <x v="2"/>
    <x v="0"/>
    <x v="3"/>
    <x v="4"/>
    <s v="232.4"/>
    <x v="2"/>
    <x v="15"/>
    <x v="18"/>
    <x v="17"/>
    <x v="16"/>
    <x v="9"/>
    <x v="19"/>
    <n v="0.71589105316381774"/>
    <x v="17"/>
    <x v="0"/>
  </r>
  <r>
    <n v="306"/>
    <x v="1"/>
    <x v="1"/>
    <x v="0"/>
    <x v="1"/>
    <x v="1"/>
    <x v="3"/>
    <x v="5"/>
    <s v="121.4"/>
    <x v="5"/>
    <x v="16"/>
    <x v="7"/>
    <x v="18"/>
    <x v="15"/>
    <x v="6"/>
    <x v="20"/>
    <n v="0.46547466812563143"/>
    <x v="18"/>
    <x v="0"/>
  </r>
  <r>
    <n v="307"/>
    <x v="5"/>
    <x v="5"/>
    <x v="1"/>
    <x v="1"/>
    <x v="0"/>
    <x v="3"/>
    <x v="6"/>
    <s v="222.4"/>
    <x v="5"/>
    <x v="9"/>
    <x v="19"/>
    <x v="13"/>
    <x v="17"/>
    <x v="10"/>
    <x v="6"/>
    <n v="0.72648315725677981"/>
    <x v="6"/>
    <x v="0"/>
  </r>
  <r>
    <n v="308"/>
    <x v="2"/>
    <x v="2"/>
    <x v="0"/>
    <x v="2"/>
    <x v="0"/>
    <x v="3"/>
    <x v="7"/>
    <s v="132.4"/>
    <x v="14"/>
    <x v="17"/>
    <x v="20"/>
    <x v="11"/>
    <x v="18"/>
    <x v="8"/>
    <x v="21"/>
    <n v="1.651598552245001"/>
    <x v="19"/>
    <x v="0"/>
  </r>
  <r>
    <n v="401"/>
    <x v="10"/>
    <x v="10"/>
    <x v="1"/>
    <x v="0"/>
    <x v="0"/>
    <x v="2"/>
    <x v="0"/>
    <s v="212.3"/>
    <x v="15"/>
    <x v="18"/>
    <x v="14"/>
    <x v="19"/>
    <x v="14"/>
    <x v="14"/>
    <x v="22"/>
    <n v="0.55402567128648861"/>
    <x v="20"/>
    <x v="0"/>
  </r>
  <r>
    <n v="402"/>
    <x v="5"/>
    <x v="5"/>
    <x v="1"/>
    <x v="1"/>
    <x v="0"/>
    <x v="2"/>
    <x v="1"/>
    <s v="222.3"/>
    <x v="16"/>
    <x v="19"/>
    <x v="21"/>
    <x v="16"/>
    <x v="19"/>
    <x v="15"/>
    <x v="23"/>
    <n v="0.9013878188659975"/>
    <x v="21"/>
    <x v="0"/>
  </r>
  <r>
    <n v="403"/>
    <x v="11"/>
    <x v="11"/>
    <x v="0"/>
    <x v="2"/>
    <x v="1"/>
    <x v="2"/>
    <x v="2"/>
    <s v="131.3"/>
    <x v="9"/>
    <x v="20"/>
    <x v="22"/>
    <x v="20"/>
    <x v="10"/>
    <x v="16"/>
    <x v="24"/>
    <n v="1.8693433190413264"/>
    <x v="22"/>
    <x v="0"/>
  </r>
  <r>
    <n v="404"/>
    <x v="6"/>
    <x v="6"/>
    <x v="0"/>
    <x v="1"/>
    <x v="0"/>
    <x v="2"/>
    <x v="3"/>
    <s v="122.3"/>
    <x v="17"/>
    <x v="5"/>
    <x v="19"/>
    <x v="6"/>
    <x v="20"/>
    <x v="17"/>
    <x v="12"/>
    <n v="0.58807595881257835"/>
    <x v="12"/>
    <x v="0"/>
  </r>
  <r>
    <n v="405"/>
    <x v="11"/>
    <x v="11"/>
    <x v="0"/>
    <x v="2"/>
    <x v="1"/>
    <x v="3"/>
    <x v="4"/>
    <s v="131.4"/>
    <x v="18"/>
    <x v="2"/>
    <x v="23"/>
    <x v="21"/>
    <x v="21"/>
    <x v="18"/>
    <x v="25"/>
    <n v="1.0775486583496399"/>
    <x v="23"/>
    <x v="0"/>
  </r>
  <r>
    <n v="406"/>
    <x v="6"/>
    <x v="6"/>
    <x v="0"/>
    <x v="1"/>
    <x v="0"/>
    <x v="3"/>
    <x v="5"/>
    <s v="122.4"/>
    <x v="1"/>
    <x v="4"/>
    <x v="19"/>
    <x v="16"/>
    <x v="15"/>
    <x v="13"/>
    <x v="26"/>
    <n v="0.83666002653407567"/>
    <x v="24"/>
    <x v="0"/>
  </r>
  <r>
    <n v="407"/>
    <x v="10"/>
    <x v="10"/>
    <x v="1"/>
    <x v="0"/>
    <x v="0"/>
    <x v="3"/>
    <x v="6"/>
    <s v="212.4"/>
    <x v="6"/>
    <x v="9"/>
    <x v="24"/>
    <x v="6"/>
    <x v="4"/>
    <x v="5"/>
    <x v="27"/>
    <n v="0.6379219736334889"/>
    <x v="25"/>
    <x v="0"/>
  </r>
  <r>
    <n v="408"/>
    <x v="3"/>
    <x v="3"/>
    <x v="1"/>
    <x v="1"/>
    <x v="1"/>
    <x v="3"/>
    <x v="7"/>
    <s v="221.4"/>
    <x v="19"/>
    <x v="21"/>
    <x v="3"/>
    <x v="12"/>
    <x v="5"/>
    <x v="11"/>
    <x v="28"/>
    <n v="1.2343464307523682"/>
    <x v="22"/>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x v="0"/>
    <x v="0"/>
    <x v="0"/>
    <s v="112.1"/>
    <x v="0"/>
    <x v="0"/>
    <x v="0"/>
    <x v="0"/>
    <x v="0"/>
    <x v="0"/>
    <x v="0"/>
    <x v="0"/>
    <x v="0"/>
    <x v="0"/>
  </r>
  <r>
    <x v="1"/>
    <x v="1"/>
    <x v="1"/>
    <x v="0"/>
    <x v="1"/>
    <x v="1"/>
    <x v="0"/>
    <x v="1"/>
    <s v="121.1"/>
    <x v="1"/>
    <x v="1"/>
    <x v="1"/>
    <x v="1"/>
    <x v="0"/>
    <x v="1"/>
    <x v="1"/>
    <x v="1"/>
    <x v="1"/>
    <x v="1"/>
  </r>
  <r>
    <x v="2"/>
    <x v="2"/>
    <x v="2"/>
    <x v="0"/>
    <x v="2"/>
    <x v="0"/>
    <x v="0"/>
    <x v="2"/>
    <s v="132.1"/>
    <x v="2"/>
    <x v="2"/>
    <x v="2"/>
    <x v="2"/>
    <x v="1"/>
    <x v="2"/>
    <x v="2"/>
    <x v="2"/>
    <x v="2"/>
    <x v="1"/>
  </r>
  <r>
    <x v="3"/>
    <x v="3"/>
    <x v="3"/>
    <x v="1"/>
    <x v="1"/>
    <x v="1"/>
    <x v="0"/>
    <x v="3"/>
    <s v="221.1"/>
    <x v="1"/>
    <x v="3"/>
    <x v="3"/>
    <x v="3"/>
    <x v="2"/>
    <x v="3"/>
    <x v="3"/>
    <x v="3"/>
    <x v="3"/>
    <x v="1"/>
  </r>
  <r>
    <x v="4"/>
    <x v="4"/>
    <x v="4"/>
    <x v="1"/>
    <x v="2"/>
    <x v="1"/>
    <x v="1"/>
    <x v="4"/>
    <s v="231.2"/>
    <x v="3"/>
    <x v="4"/>
    <x v="4"/>
    <x v="4"/>
    <x v="3"/>
    <x v="4"/>
    <x v="4"/>
    <x v="4"/>
    <x v="4"/>
    <x v="1"/>
  </r>
  <r>
    <x v="5"/>
    <x v="5"/>
    <x v="5"/>
    <x v="1"/>
    <x v="1"/>
    <x v="0"/>
    <x v="1"/>
    <x v="5"/>
    <s v="222.2"/>
    <x v="4"/>
    <x v="5"/>
    <x v="5"/>
    <x v="5"/>
    <x v="4"/>
    <x v="5"/>
    <x v="5"/>
    <x v="5"/>
    <x v="5"/>
    <x v="1"/>
  </r>
  <r>
    <x v="6"/>
    <x v="3"/>
    <x v="3"/>
    <x v="1"/>
    <x v="1"/>
    <x v="1"/>
    <x v="1"/>
    <x v="6"/>
    <s v="221.2"/>
    <x v="5"/>
    <x v="6"/>
    <x v="6"/>
    <x v="6"/>
    <x v="5"/>
    <x v="1"/>
    <x v="6"/>
    <x v="6"/>
    <x v="6"/>
    <x v="1"/>
  </r>
  <r>
    <x v="7"/>
    <x v="6"/>
    <x v="6"/>
    <x v="0"/>
    <x v="1"/>
    <x v="0"/>
    <x v="1"/>
    <x v="7"/>
    <s v="122.2"/>
    <x v="6"/>
    <x v="7"/>
    <x v="7"/>
    <x v="5"/>
    <x v="4"/>
    <x v="6"/>
    <x v="7"/>
    <x v="7"/>
    <x v="7"/>
    <x v="2"/>
  </r>
  <r>
    <x v="8"/>
    <x v="4"/>
    <x v="4"/>
    <x v="1"/>
    <x v="2"/>
    <x v="1"/>
    <x v="0"/>
    <x v="0"/>
    <s v="231.1"/>
    <x v="7"/>
    <x v="8"/>
    <x v="2"/>
    <x v="7"/>
    <x v="6"/>
    <x v="7"/>
    <x v="8"/>
    <x v="8"/>
    <x v="8"/>
    <x v="3"/>
  </r>
  <r>
    <x v="9"/>
    <x v="5"/>
    <x v="5"/>
    <x v="1"/>
    <x v="1"/>
    <x v="0"/>
    <x v="0"/>
    <x v="1"/>
    <s v="222.1"/>
    <x v="8"/>
    <x v="0"/>
    <x v="8"/>
    <x v="8"/>
    <x v="7"/>
    <x v="8"/>
    <x v="9"/>
    <x v="9"/>
    <x v="9"/>
    <x v="1"/>
  </r>
  <r>
    <x v="10"/>
    <x v="6"/>
    <x v="6"/>
    <x v="0"/>
    <x v="1"/>
    <x v="0"/>
    <x v="0"/>
    <x v="2"/>
    <s v="122.1"/>
    <x v="9"/>
    <x v="5"/>
    <x v="9"/>
    <x v="9"/>
    <x v="8"/>
    <x v="9"/>
    <x v="10"/>
    <x v="10"/>
    <x v="10"/>
    <x v="1"/>
  </r>
  <r>
    <x v="11"/>
    <x v="7"/>
    <x v="7"/>
    <x v="1"/>
    <x v="2"/>
    <x v="0"/>
    <x v="0"/>
    <x v="3"/>
    <s v="232.1"/>
    <x v="10"/>
    <x v="9"/>
    <x v="10"/>
    <x v="10"/>
    <x v="9"/>
    <x v="4"/>
    <x v="11"/>
    <x v="11"/>
    <x v="11"/>
    <x v="1"/>
  </r>
  <r>
    <x v="12"/>
    <x v="0"/>
    <x v="0"/>
    <x v="0"/>
    <x v="0"/>
    <x v="0"/>
    <x v="1"/>
    <x v="4"/>
    <s v="112.2"/>
    <x v="11"/>
    <x v="10"/>
    <x v="11"/>
    <x v="11"/>
    <x v="10"/>
    <x v="10"/>
    <x v="12"/>
    <x v="12"/>
    <x v="12"/>
    <x v="1"/>
  </r>
  <r>
    <x v="13"/>
    <x v="8"/>
    <x v="8"/>
    <x v="1"/>
    <x v="0"/>
    <x v="1"/>
    <x v="1"/>
    <x v="5"/>
    <s v="211.2"/>
    <x v="1"/>
    <x v="11"/>
    <x v="12"/>
    <x v="12"/>
    <x v="11"/>
    <x v="10"/>
    <x v="13"/>
    <x v="13"/>
    <x v="13"/>
    <x v="1"/>
  </r>
  <r>
    <x v="14"/>
    <x v="1"/>
    <x v="1"/>
    <x v="0"/>
    <x v="1"/>
    <x v="1"/>
    <x v="1"/>
    <x v="6"/>
    <s v="121.2"/>
    <x v="12"/>
    <x v="7"/>
    <x v="13"/>
    <x v="13"/>
    <x v="12"/>
    <x v="1"/>
    <x v="14"/>
    <x v="14"/>
    <x v="14"/>
    <x v="1"/>
  </r>
  <r>
    <x v="15"/>
    <x v="9"/>
    <x v="9"/>
    <x v="0"/>
    <x v="0"/>
    <x v="1"/>
    <x v="1"/>
    <x v="7"/>
    <s v="111.2"/>
    <x v="13"/>
    <x v="5"/>
    <x v="9"/>
    <x v="14"/>
    <x v="13"/>
    <x v="6"/>
    <x v="7"/>
    <x v="15"/>
    <x v="7"/>
    <x v="4"/>
  </r>
  <r>
    <x v="16"/>
    <x v="3"/>
    <x v="3"/>
    <x v="1"/>
    <x v="1"/>
    <x v="1"/>
    <x v="2"/>
    <x v="0"/>
    <s v="221.3"/>
    <x v="14"/>
    <x v="10"/>
    <x v="0"/>
    <x v="15"/>
    <x v="11"/>
    <x v="6"/>
    <x v="15"/>
    <x v="16"/>
    <x v="15"/>
    <x v="5"/>
  </r>
  <r>
    <x v="17"/>
    <x v="1"/>
    <x v="1"/>
    <x v="0"/>
    <x v="1"/>
    <x v="1"/>
    <x v="2"/>
    <x v="1"/>
    <s v="121.3"/>
    <x v="15"/>
    <x v="0"/>
    <x v="9"/>
    <x v="15"/>
    <x v="14"/>
    <x v="1"/>
    <x v="16"/>
    <x v="17"/>
    <x v="16"/>
    <x v="1"/>
  </r>
  <r>
    <x v="18"/>
    <x v="8"/>
    <x v="8"/>
    <x v="1"/>
    <x v="0"/>
    <x v="1"/>
    <x v="2"/>
    <x v="2"/>
    <s v="211.3"/>
    <x v="15"/>
    <x v="0"/>
    <x v="5"/>
    <x v="13"/>
    <x v="4"/>
    <x v="11"/>
    <x v="9"/>
    <x v="18"/>
    <x v="9"/>
    <x v="1"/>
  </r>
  <r>
    <x v="19"/>
    <x v="9"/>
    <x v="9"/>
    <x v="0"/>
    <x v="0"/>
    <x v="1"/>
    <x v="2"/>
    <x v="3"/>
    <s v="111.3"/>
    <x v="13"/>
    <x v="3"/>
    <x v="5"/>
    <x v="14"/>
    <x v="14"/>
    <x v="12"/>
    <x v="17"/>
    <x v="19"/>
    <x v="17"/>
    <x v="1"/>
  </r>
  <r>
    <x v="20"/>
    <x v="7"/>
    <x v="7"/>
    <x v="1"/>
    <x v="2"/>
    <x v="0"/>
    <x v="3"/>
    <x v="4"/>
    <s v="232.4"/>
    <x v="10"/>
    <x v="12"/>
    <x v="14"/>
    <x v="16"/>
    <x v="15"/>
    <x v="13"/>
    <x v="18"/>
    <x v="20"/>
    <x v="18"/>
    <x v="1"/>
  </r>
  <r>
    <x v="21"/>
    <x v="1"/>
    <x v="1"/>
    <x v="0"/>
    <x v="1"/>
    <x v="1"/>
    <x v="3"/>
    <x v="5"/>
    <s v="121.4"/>
    <x v="4"/>
    <x v="13"/>
    <x v="5"/>
    <x v="17"/>
    <x v="14"/>
    <x v="5"/>
    <x v="19"/>
    <x v="21"/>
    <x v="19"/>
    <x v="1"/>
  </r>
  <r>
    <x v="22"/>
    <x v="5"/>
    <x v="5"/>
    <x v="1"/>
    <x v="1"/>
    <x v="0"/>
    <x v="3"/>
    <x v="6"/>
    <s v="222.4"/>
    <x v="16"/>
    <x v="13"/>
    <x v="6"/>
    <x v="18"/>
    <x v="16"/>
    <x v="11"/>
    <x v="20"/>
    <x v="22"/>
    <x v="20"/>
    <x v="1"/>
  </r>
  <r>
    <x v="23"/>
    <x v="2"/>
    <x v="2"/>
    <x v="0"/>
    <x v="2"/>
    <x v="0"/>
    <x v="3"/>
    <x v="7"/>
    <s v="132.4"/>
    <x v="10"/>
    <x v="12"/>
    <x v="15"/>
    <x v="19"/>
    <x v="17"/>
    <x v="14"/>
    <x v="21"/>
    <x v="23"/>
    <x v="21"/>
    <x v="6"/>
  </r>
  <r>
    <x v="24"/>
    <x v="10"/>
    <x v="10"/>
    <x v="1"/>
    <x v="0"/>
    <x v="0"/>
    <x v="2"/>
    <x v="0"/>
    <s v="212.3"/>
    <x v="6"/>
    <x v="14"/>
    <x v="13"/>
    <x v="20"/>
    <x v="18"/>
    <x v="12"/>
    <x v="22"/>
    <x v="24"/>
    <x v="22"/>
    <x v="7"/>
  </r>
  <r>
    <x v="25"/>
    <x v="5"/>
    <x v="5"/>
    <x v="1"/>
    <x v="1"/>
    <x v="0"/>
    <x v="2"/>
    <x v="1"/>
    <s v="222.3"/>
    <x v="17"/>
    <x v="6"/>
    <x v="9"/>
    <x v="20"/>
    <x v="19"/>
    <x v="1"/>
    <x v="15"/>
    <x v="16"/>
    <x v="15"/>
    <x v="1"/>
  </r>
  <r>
    <x v="26"/>
    <x v="11"/>
    <x v="11"/>
    <x v="0"/>
    <x v="2"/>
    <x v="1"/>
    <x v="2"/>
    <x v="2"/>
    <s v="131.3"/>
    <x v="18"/>
    <x v="15"/>
    <x v="10"/>
    <x v="2"/>
    <x v="6"/>
    <x v="15"/>
    <x v="23"/>
    <x v="25"/>
    <x v="23"/>
    <x v="1"/>
  </r>
  <r>
    <x v="27"/>
    <x v="6"/>
    <x v="6"/>
    <x v="0"/>
    <x v="1"/>
    <x v="0"/>
    <x v="2"/>
    <x v="3"/>
    <s v="122.3"/>
    <x v="15"/>
    <x v="10"/>
    <x v="5"/>
    <x v="13"/>
    <x v="8"/>
    <x v="9"/>
    <x v="9"/>
    <x v="26"/>
    <x v="9"/>
    <x v="1"/>
  </r>
  <r>
    <x v="28"/>
    <x v="11"/>
    <x v="11"/>
    <x v="0"/>
    <x v="2"/>
    <x v="1"/>
    <x v="3"/>
    <x v="4"/>
    <s v="131.4"/>
    <x v="19"/>
    <x v="16"/>
    <x v="16"/>
    <x v="21"/>
    <x v="20"/>
    <x v="16"/>
    <x v="24"/>
    <x v="27"/>
    <x v="5"/>
    <x v="1"/>
  </r>
  <r>
    <x v="29"/>
    <x v="6"/>
    <x v="6"/>
    <x v="0"/>
    <x v="1"/>
    <x v="0"/>
    <x v="3"/>
    <x v="5"/>
    <s v="122.4"/>
    <x v="6"/>
    <x v="10"/>
    <x v="11"/>
    <x v="20"/>
    <x v="18"/>
    <x v="10"/>
    <x v="17"/>
    <x v="28"/>
    <x v="17"/>
    <x v="1"/>
  </r>
  <r>
    <x v="30"/>
    <x v="10"/>
    <x v="10"/>
    <x v="1"/>
    <x v="0"/>
    <x v="0"/>
    <x v="3"/>
    <x v="6"/>
    <s v="212.4"/>
    <x v="1"/>
    <x v="6"/>
    <x v="5"/>
    <x v="11"/>
    <x v="7"/>
    <x v="11"/>
    <x v="25"/>
    <x v="29"/>
    <x v="18"/>
    <x v="1"/>
  </r>
  <r>
    <x v="31"/>
    <x v="3"/>
    <x v="3"/>
    <x v="1"/>
    <x v="1"/>
    <x v="1"/>
    <x v="3"/>
    <x v="7"/>
    <s v="221.4"/>
    <x v="8"/>
    <x v="13"/>
    <x v="7"/>
    <x v="13"/>
    <x v="5"/>
    <x v="17"/>
    <x v="19"/>
    <x v="30"/>
    <x v="19"/>
    <x v="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n v="1.5329709716755893"/>
    <x v="0"/>
    <x v="0"/>
  </r>
  <r>
    <n v="102"/>
    <x v="1"/>
    <x v="1"/>
    <x v="0"/>
    <x v="1"/>
    <x v="1"/>
    <x v="0"/>
    <x v="1"/>
    <s v="121.1"/>
    <x v="1"/>
    <x v="1"/>
    <x v="1"/>
    <x v="1"/>
    <x v="0"/>
    <x v="1"/>
    <x v="1"/>
    <n v="1.7720828924680068"/>
    <x v="1"/>
    <x v="1"/>
  </r>
  <r>
    <n v="103"/>
    <x v="2"/>
    <x v="2"/>
    <x v="0"/>
    <x v="2"/>
    <x v="0"/>
    <x v="0"/>
    <x v="2"/>
    <s v="132.1"/>
    <x v="2"/>
    <x v="2"/>
    <x v="2"/>
    <x v="2"/>
    <x v="1"/>
    <x v="2"/>
    <x v="2"/>
    <n v="0.53877432917482526"/>
    <x v="2"/>
    <x v="1"/>
  </r>
  <r>
    <n v="104"/>
    <x v="3"/>
    <x v="3"/>
    <x v="1"/>
    <x v="1"/>
    <x v="1"/>
    <x v="0"/>
    <x v="3"/>
    <s v="221.1"/>
    <x v="1"/>
    <x v="3"/>
    <x v="3"/>
    <x v="3"/>
    <x v="2"/>
    <x v="3"/>
    <x v="3"/>
    <n v="0.69221865524317294"/>
    <x v="3"/>
    <x v="1"/>
  </r>
  <r>
    <n v="105"/>
    <x v="4"/>
    <x v="4"/>
    <x v="1"/>
    <x v="2"/>
    <x v="1"/>
    <x v="1"/>
    <x v="4"/>
    <s v="231.2"/>
    <x v="3"/>
    <x v="4"/>
    <x v="4"/>
    <x v="4"/>
    <x v="3"/>
    <x v="4"/>
    <x v="4"/>
    <n v="1.4419315748906627"/>
    <x v="4"/>
    <x v="1"/>
  </r>
  <r>
    <n v="106"/>
    <x v="5"/>
    <x v="5"/>
    <x v="1"/>
    <x v="1"/>
    <x v="0"/>
    <x v="1"/>
    <x v="5"/>
    <s v="222.2"/>
    <x v="4"/>
    <x v="5"/>
    <x v="5"/>
    <x v="5"/>
    <x v="4"/>
    <x v="5"/>
    <x v="5"/>
    <n v="0.58807595881257835"/>
    <x v="5"/>
    <x v="1"/>
  </r>
  <r>
    <n v="107"/>
    <x v="3"/>
    <x v="3"/>
    <x v="1"/>
    <x v="1"/>
    <x v="1"/>
    <x v="1"/>
    <x v="6"/>
    <s v="221.2"/>
    <x v="5"/>
    <x v="6"/>
    <x v="6"/>
    <x v="6"/>
    <x v="5"/>
    <x v="1"/>
    <x v="6"/>
    <n v="0.83416625041614667"/>
    <x v="6"/>
    <x v="1"/>
  </r>
  <r>
    <n v="108"/>
    <x v="6"/>
    <x v="6"/>
    <x v="0"/>
    <x v="1"/>
    <x v="0"/>
    <x v="1"/>
    <x v="7"/>
    <s v="122.2"/>
    <x v="6"/>
    <x v="7"/>
    <x v="7"/>
    <x v="5"/>
    <x v="4"/>
    <x v="6"/>
    <x v="7"/>
    <n v="0.39616214413349204"/>
    <x v="7"/>
    <x v="2"/>
  </r>
  <r>
    <n v="201"/>
    <x v="4"/>
    <x v="4"/>
    <x v="1"/>
    <x v="2"/>
    <x v="1"/>
    <x v="0"/>
    <x v="0"/>
    <s v="231.1"/>
    <x v="7"/>
    <x v="8"/>
    <x v="2"/>
    <x v="7"/>
    <x v="6"/>
    <x v="7"/>
    <x v="8"/>
    <n v="1.4166666666666685"/>
    <x v="8"/>
    <x v="3"/>
  </r>
  <r>
    <n v="202"/>
    <x v="5"/>
    <x v="5"/>
    <x v="1"/>
    <x v="1"/>
    <x v="0"/>
    <x v="0"/>
    <x v="1"/>
    <s v="222.1"/>
    <x v="8"/>
    <x v="0"/>
    <x v="8"/>
    <x v="8"/>
    <x v="7"/>
    <x v="8"/>
    <x v="9"/>
    <n v="1.4869805348796981"/>
    <x v="9"/>
    <x v="1"/>
  </r>
  <r>
    <n v="203"/>
    <x v="6"/>
    <x v="6"/>
    <x v="0"/>
    <x v="1"/>
    <x v="0"/>
    <x v="0"/>
    <x v="2"/>
    <s v="122.1"/>
    <x v="9"/>
    <x v="5"/>
    <x v="9"/>
    <x v="9"/>
    <x v="8"/>
    <x v="9"/>
    <x v="10"/>
    <n v="0.8660254037844386"/>
    <x v="10"/>
    <x v="1"/>
  </r>
  <r>
    <n v="204"/>
    <x v="7"/>
    <x v="7"/>
    <x v="1"/>
    <x v="2"/>
    <x v="0"/>
    <x v="0"/>
    <x v="3"/>
    <s v="232.1"/>
    <x v="10"/>
    <x v="9"/>
    <x v="10"/>
    <x v="10"/>
    <x v="9"/>
    <x v="4"/>
    <x v="11"/>
    <n v="0.35158371849549036"/>
    <x v="11"/>
    <x v="1"/>
  </r>
  <r>
    <n v="205"/>
    <x v="0"/>
    <x v="0"/>
    <x v="0"/>
    <x v="0"/>
    <x v="0"/>
    <x v="1"/>
    <x v="4"/>
    <s v="112.2"/>
    <x v="11"/>
    <x v="10"/>
    <x v="11"/>
    <x v="11"/>
    <x v="10"/>
    <x v="10"/>
    <x v="12"/>
    <n v="1.0381607668264965"/>
    <x v="12"/>
    <x v="1"/>
  </r>
  <r>
    <n v="206"/>
    <x v="8"/>
    <x v="8"/>
    <x v="1"/>
    <x v="0"/>
    <x v="1"/>
    <x v="1"/>
    <x v="5"/>
    <s v="211.2"/>
    <x v="1"/>
    <x v="11"/>
    <x v="12"/>
    <x v="12"/>
    <x v="11"/>
    <x v="10"/>
    <x v="13"/>
    <n v="0.58689389538863479"/>
    <x v="13"/>
    <x v="1"/>
  </r>
  <r>
    <n v="207"/>
    <x v="1"/>
    <x v="1"/>
    <x v="0"/>
    <x v="1"/>
    <x v="1"/>
    <x v="1"/>
    <x v="6"/>
    <s v="121.2"/>
    <x v="12"/>
    <x v="7"/>
    <x v="13"/>
    <x v="13"/>
    <x v="12"/>
    <x v="1"/>
    <x v="14"/>
    <n v="0.74628710590793801"/>
    <x v="14"/>
    <x v="1"/>
  </r>
  <r>
    <n v="208"/>
    <x v="9"/>
    <x v="9"/>
    <x v="0"/>
    <x v="0"/>
    <x v="1"/>
    <x v="1"/>
    <x v="7"/>
    <s v="111.2"/>
    <x v="13"/>
    <x v="5"/>
    <x v="9"/>
    <x v="14"/>
    <x v="13"/>
    <x v="6"/>
    <x v="7"/>
    <n v="0.86039396660935452"/>
    <x v="7"/>
    <x v="4"/>
  </r>
  <r>
    <n v="301"/>
    <x v="3"/>
    <x v="3"/>
    <x v="1"/>
    <x v="1"/>
    <x v="1"/>
    <x v="2"/>
    <x v="0"/>
    <s v="221.3"/>
    <x v="14"/>
    <x v="10"/>
    <x v="0"/>
    <x v="15"/>
    <x v="11"/>
    <x v="6"/>
    <x v="15"/>
    <n v="0.90753022600413291"/>
    <x v="15"/>
    <x v="5"/>
  </r>
  <r>
    <n v="302"/>
    <x v="1"/>
    <x v="1"/>
    <x v="0"/>
    <x v="1"/>
    <x v="1"/>
    <x v="2"/>
    <x v="1"/>
    <s v="121.3"/>
    <x v="15"/>
    <x v="0"/>
    <x v="9"/>
    <x v="15"/>
    <x v="14"/>
    <x v="1"/>
    <x v="16"/>
    <n v="0.65828058860438343"/>
    <x v="16"/>
    <x v="1"/>
  </r>
  <r>
    <n v="303"/>
    <x v="8"/>
    <x v="8"/>
    <x v="1"/>
    <x v="0"/>
    <x v="1"/>
    <x v="2"/>
    <x v="2"/>
    <s v="211.3"/>
    <x v="15"/>
    <x v="0"/>
    <x v="5"/>
    <x v="13"/>
    <x v="4"/>
    <x v="11"/>
    <x v="9"/>
    <n v="0.66666666666666763"/>
    <x v="9"/>
    <x v="1"/>
  </r>
  <r>
    <n v="304"/>
    <x v="9"/>
    <x v="9"/>
    <x v="0"/>
    <x v="0"/>
    <x v="1"/>
    <x v="2"/>
    <x v="3"/>
    <s v="111.3"/>
    <x v="13"/>
    <x v="3"/>
    <x v="5"/>
    <x v="14"/>
    <x v="14"/>
    <x v="12"/>
    <x v="17"/>
    <n v="0.35746017649212208"/>
    <x v="17"/>
    <x v="1"/>
  </r>
  <r>
    <n v="305"/>
    <x v="7"/>
    <x v="7"/>
    <x v="1"/>
    <x v="2"/>
    <x v="0"/>
    <x v="3"/>
    <x v="4"/>
    <s v="232.4"/>
    <x v="10"/>
    <x v="12"/>
    <x v="14"/>
    <x v="16"/>
    <x v="15"/>
    <x v="13"/>
    <x v="18"/>
    <n v="0.57735026918962584"/>
    <x v="18"/>
    <x v="1"/>
  </r>
  <r>
    <n v="306"/>
    <x v="1"/>
    <x v="1"/>
    <x v="0"/>
    <x v="1"/>
    <x v="1"/>
    <x v="3"/>
    <x v="5"/>
    <s v="121.4"/>
    <x v="4"/>
    <x v="13"/>
    <x v="5"/>
    <x v="17"/>
    <x v="14"/>
    <x v="5"/>
    <x v="19"/>
    <n v="0.35939764421413045"/>
    <x v="19"/>
    <x v="1"/>
  </r>
  <r>
    <n v="307"/>
    <x v="5"/>
    <x v="5"/>
    <x v="1"/>
    <x v="1"/>
    <x v="0"/>
    <x v="3"/>
    <x v="6"/>
    <s v="222.4"/>
    <x v="16"/>
    <x v="13"/>
    <x v="6"/>
    <x v="18"/>
    <x v="16"/>
    <x v="11"/>
    <x v="20"/>
    <n v="0.76829537144107474"/>
    <x v="20"/>
    <x v="1"/>
  </r>
  <r>
    <n v="308"/>
    <x v="2"/>
    <x v="2"/>
    <x v="0"/>
    <x v="2"/>
    <x v="0"/>
    <x v="3"/>
    <x v="7"/>
    <s v="132.4"/>
    <x v="10"/>
    <x v="12"/>
    <x v="15"/>
    <x v="19"/>
    <x v="17"/>
    <x v="14"/>
    <x v="21"/>
    <n v="1.5585784121008051"/>
    <x v="21"/>
    <x v="6"/>
  </r>
  <r>
    <n v="401"/>
    <x v="10"/>
    <x v="10"/>
    <x v="1"/>
    <x v="0"/>
    <x v="0"/>
    <x v="2"/>
    <x v="0"/>
    <s v="212.3"/>
    <x v="6"/>
    <x v="14"/>
    <x v="13"/>
    <x v="20"/>
    <x v="18"/>
    <x v="12"/>
    <x v="22"/>
    <n v="0.43620841094341484"/>
    <x v="22"/>
    <x v="7"/>
  </r>
  <r>
    <n v="402"/>
    <x v="5"/>
    <x v="5"/>
    <x v="1"/>
    <x v="1"/>
    <x v="0"/>
    <x v="2"/>
    <x v="1"/>
    <s v="222.3"/>
    <x v="17"/>
    <x v="6"/>
    <x v="9"/>
    <x v="20"/>
    <x v="19"/>
    <x v="1"/>
    <x v="15"/>
    <n v="0.90753022600413291"/>
    <x v="15"/>
    <x v="1"/>
  </r>
  <r>
    <n v="403"/>
    <x v="11"/>
    <x v="11"/>
    <x v="0"/>
    <x v="2"/>
    <x v="1"/>
    <x v="2"/>
    <x v="2"/>
    <s v="131.3"/>
    <x v="18"/>
    <x v="15"/>
    <x v="10"/>
    <x v="2"/>
    <x v="6"/>
    <x v="15"/>
    <x v="23"/>
    <n v="1.5188628787499054"/>
    <x v="23"/>
    <x v="1"/>
  </r>
  <r>
    <n v="404"/>
    <x v="6"/>
    <x v="6"/>
    <x v="0"/>
    <x v="1"/>
    <x v="0"/>
    <x v="2"/>
    <x v="3"/>
    <s v="122.3"/>
    <x v="15"/>
    <x v="10"/>
    <x v="5"/>
    <x v="13"/>
    <x v="8"/>
    <x v="9"/>
    <x v="9"/>
    <n v="0.60092521257733267"/>
    <x v="9"/>
    <x v="1"/>
  </r>
  <r>
    <n v="405"/>
    <x v="11"/>
    <x v="11"/>
    <x v="0"/>
    <x v="2"/>
    <x v="1"/>
    <x v="3"/>
    <x v="4"/>
    <s v="131.4"/>
    <x v="19"/>
    <x v="16"/>
    <x v="16"/>
    <x v="21"/>
    <x v="20"/>
    <x v="16"/>
    <x v="24"/>
    <n v="0.92195444572928875"/>
    <x v="5"/>
    <x v="1"/>
  </r>
  <r>
    <n v="406"/>
    <x v="6"/>
    <x v="6"/>
    <x v="0"/>
    <x v="1"/>
    <x v="0"/>
    <x v="3"/>
    <x v="5"/>
    <s v="122.4"/>
    <x v="6"/>
    <x v="10"/>
    <x v="11"/>
    <x v="20"/>
    <x v="18"/>
    <x v="10"/>
    <x v="17"/>
    <n v="0.44095855184409988"/>
    <x v="17"/>
    <x v="1"/>
  </r>
  <r>
    <n v="407"/>
    <x v="10"/>
    <x v="10"/>
    <x v="1"/>
    <x v="0"/>
    <x v="0"/>
    <x v="3"/>
    <x v="6"/>
    <s v="212.4"/>
    <x v="1"/>
    <x v="6"/>
    <x v="5"/>
    <x v="11"/>
    <x v="7"/>
    <x v="11"/>
    <x v="25"/>
    <n v="0.52836224947157862"/>
    <x v="18"/>
    <x v="1"/>
  </r>
  <r>
    <n v="408"/>
    <x v="3"/>
    <x v="3"/>
    <x v="1"/>
    <x v="1"/>
    <x v="1"/>
    <x v="3"/>
    <x v="7"/>
    <s v="221.4"/>
    <x v="8"/>
    <x v="13"/>
    <x v="7"/>
    <x v="13"/>
    <x v="5"/>
    <x v="17"/>
    <x v="19"/>
    <n v="1.2162099599438687"/>
    <x v="19"/>
    <x v="8"/>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x v="0"/>
    <x v="0"/>
    <x v="0"/>
  </r>
  <r>
    <n v="102"/>
    <x v="1"/>
    <x v="1"/>
    <x v="0"/>
    <x v="1"/>
    <x v="1"/>
    <x v="0"/>
    <x v="1"/>
    <s v="121.1"/>
    <x v="1"/>
    <x v="1"/>
    <x v="1"/>
    <x v="1"/>
    <x v="1"/>
    <x v="1"/>
    <x v="1"/>
    <x v="1"/>
    <x v="1"/>
    <x v="1"/>
  </r>
  <r>
    <n v="103"/>
    <x v="2"/>
    <x v="2"/>
    <x v="0"/>
    <x v="2"/>
    <x v="0"/>
    <x v="0"/>
    <x v="2"/>
    <s v="132.1"/>
    <x v="2"/>
    <x v="2"/>
    <x v="2"/>
    <x v="2"/>
    <x v="2"/>
    <x v="2"/>
    <x v="2"/>
    <x v="2"/>
    <x v="2"/>
    <x v="1"/>
  </r>
  <r>
    <n v="104"/>
    <x v="3"/>
    <x v="3"/>
    <x v="1"/>
    <x v="1"/>
    <x v="1"/>
    <x v="0"/>
    <x v="3"/>
    <s v="221.1"/>
    <x v="3"/>
    <x v="3"/>
    <x v="3"/>
    <x v="3"/>
    <x v="3"/>
    <x v="1"/>
    <x v="3"/>
    <x v="3"/>
    <x v="3"/>
    <x v="1"/>
  </r>
  <r>
    <n v="105"/>
    <x v="4"/>
    <x v="4"/>
    <x v="1"/>
    <x v="2"/>
    <x v="1"/>
    <x v="1"/>
    <x v="4"/>
    <s v="231.2"/>
    <x v="4"/>
    <x v="4"/>
    <x v="4"/>
    <x v="4"/>
    <x v="4"/>
    <x v="3"/>
    <x v="4"/>
    <x v="4"/>
    <x v="4"/>
    <x v="1"/>
  </r>
  <r>
    <n v="106"/>
    <x v="5"/>
    <x v="5"/>
    <x v="1"/>
    <x v="1"/>
    <x v="0"/>
    <x v="1"/>
    <x v="5"/>
    <s v="222.2"/>
    <x v="5"/>
    <x v="5"/>
    <x v="0"/>
    <x v="0"/>
    <x v="5"/>
    <x v="4"/>
    <x v="5"/>
    <x v="5"/>
    <x v="5"/>
    <x v="1"/>
  </r>
  <r>
    <n v="107"/>
    <x v="3"/>
    <x v="3"/>
    <x v="1"/>
    <x v="1"/>
    <x v="1"/>
    <x v="1"/>
    <x v="6"/>
    <s v="221.2"/>
    <x v="6"/>
    <x v="6"/>
    <x v="3"/>
    <x v="5"/>
    <x v="0"/>
    <x v="5"/>
    <x v="6"/>
    <x v="6"/>
    <x v="6"/>
    <x v="1"/>
  </r>
  <r>
    <n v="108"/>
    <x v="6"/>
    <x v="6"/>
    <x v="0"/>
    <x v="1"/>
    <x v="0"/>
    <x v="1"/>
    <x v="7"/>
    <s v="122.2"/>
    <x v="0"/>
    <x v="7"/>
    <x v="5"/>
    <x v="6"/>
    <x v="1"/>
    <x v="6"/>
    <x v="7"/>
    <x v="7"/>
    <x v="7"/>
    <x v="2"/>
  </r>
  <r>
    <n v="201"/>
    <x v="4"/>
    <x v="4"/>
    <x v="1"/>
    <x v="2"/>
    <x v="1"/>
    <x v="0"/>
    <x v="0"/>
    <s v="231.1"/>
    <x v="7"/>
    <x v="8"/>
    <x v="6"/>
    <x v="7"/>
    <x v="6"/>
    <x v="7"/>
    <x v="8"/>
    <x v="8"/>
    <x v="8"/>
    <x v="3"/>
  </r>
  <r>
    <n v="202"/>
    <x v="5"/>
    <x v="5"/>
    <x v="1"/>
    <x v="1"/>
    <x v="0"/>
    <x v="0"/>
    <x v="1"/>
    <s v="222.1"/>
    <x v="5"/>
    <x v="9"/>
    <x v="7"/>
    <x v="8"/>
    <x v="7"/>
    <x v="0"/>
    <x v="9"/>
    <x v="9"/>
    <x v="9"/>
    <x v="1"/>
  </r>
  <r>
    <n v="203"/>
    <x v="6"/>
    <x v="6"/>
    <x v="0"/>
    <x v="1"/>
    <x v="0"/>
    <x v="0"/>
    <x v="2"/>
    <s v="122.1"/>
    <x v="8"/>
    <x v="5"/>
    <x v="0"/>
    <x v="9"/>
    <x v="8"/>
    <x v="8"/>
    <x v="10"/>
    <x v="10"/>
    <x v="10"/>
    <x v="1"/>
  </r>
  <r>
    <n v="204"/>
    <x v="7"/>
    <x v="7"/>
    <x v="1"/>
    <x v="2"/>
    <x v="0"/>
    <x v="0"/>
    <x v="3"/>
    <s v="232.1"/>
    <x v="9"/>
    <x v="10"/>
    <x v="8"/>
    <x v="10"/>
    <x v="9"/>
    <x v="9"/>
    <x v="11"/>
    <x v="11"/>
    <x v="11"/>
    <x v="1"/>
  </r>
  <r>
    <n v="205"/>
    <x v="0"/>
    <x v="0"/>
    <x v="0"/>
    <x v="0"/>
    <x v="0"/>
    <x v="1"/>
    <x v="4"/>
    <s v="112.2"/>
    <x v="10"/>
    <x v="3"/>
    <x v="5"/>
    <x v="6"/>
    <x v="5"/>
    <x v="10"/>
    <x v="12"/>
    <x v="12"/>
    <x v="12"/>
    <x v="1"/>
  </r>
  <r>
    <n v="206"/>
    <x v="8"/>
    <x v="8"/>
    <x v="1"/>
    <x v="0"/>
    <x v="1"/>
    <x v="1"/>
    <x v="5"/>
    <s v="211.2"/>
    <x v="11"/>
    <x v="11"/>
    <x v="9"/>
    <x v="11"/>
    <x v="10"/>
    <x v="10"/>
    <x v="13"/>
    <x v="13"/>
    <x v="13"/>
    <x v="1"/>
  </r>
  <r>
    <n v="207"/>
    <x v="1"/>
    <x v="1"/>
    <x v="0"/>
    <x v="1"/>
    <x v="1"/>
    <x v="1"/>
    <x v="6"/>
    <s v="121.2"/>
    <x v="0"/>
    <x v="11"/>
    <x v="10"/>
    <x v="0"/>
    <x v="7"/>
    <x v="1"/>
    <x v="12"/>
    <x v="14"/>
    <x v="12"/>
    <x v="1"/>
  </r>
  <r>
    <n v="208"/>
    <x v="9"/>
    <x v="9"/>
    <x v="0"/>
    <x v="0"/>
    <x v="1"/>
    <x v="1"/>
    <x v="7"/>
    <s v="111.2"/>
    <x v="5"/>
    <x v="12"/>
    <x v="3"/>
    <x v="0"/>
    <x v="11"/>
    <x v="11"/>
    <x v="14"/>
    <x v="15"/>
    <x v="2"/>
    <x v="4"/>
  </r>
  <r>
    <n v="301"/>
    <x v="3"/>
    <x v="3"/>
    <x v="1"/>
    <x v="1"/>
    <x v="1"/>
    <x v="2"/>
    <x v="0"/>
    <s v="221.3"/>
    <x v="10"/>
    <x v="7"/>
    <x v="11"/>
    <x v="12"/>
    <x v="0"/>
    <x v="11"/>
    <x v="15"/>
    <x v="16"/>
    <x v="14"/>
    <x v="5"/>
  </r>
  <r>
    <n v="302"/>
    <x v="1"/>
    <x v="1"/>
    <x v="0"/>
    <x v="1"/>
    <x v="1"/>
    <x v="2"/>
    <x v="1"/>
    <s v="121.3"/>
    <x v="12"/>
    <x v="13"/>
    <x v="0"/>
    <x v="12"/>
    <x v="8"/>
    <x v="10"/>
    <x v="16"/>
    <x v="17"/>
    <x v="15"/>
    <x v="1"/>
  </r>
  <r>
    <n v="303"/>
    <x v="8"/>
    <x v="8"/>
    <x v="1"/>
    <x v="0"/>
    <x v="1"/>
    <x v="2"/>
    <x v="2"/>
    <s v="211.3"/>
    <x v="1"/>
    <x v="1"/>
    <x v="12"/>
    <x v="13"/>
    <x v="12"/>
    <x v="5"/>
    <x v="6"/>
    <x v="17"/>
    <x v="6"/>
    <x v="1"/>
  </r>
  <r>
    <n v="304"/>
    <x v="9"/>
    <x v="9"/>
    <x v="0"/>
    <x v="0"/>
    <x v="1"/>
    <x v="2"/>
    <x v="3"/>
    <s v="111.3"/>
    <x v="1"/>
    <x v="12"/>
    <x v="10"/>
    <x v="8"/>
    <x v="13"/>
    <x v="11"/>
    <x v="17"/>
    <x v="18"/>
    <x v="16"/>
    <x v="1"/>
  </r>
  <r>
    <n v="305"/>
    <x v="7"/>
    <x v="7"/>
    <x v="1"/>
    <x v="2"/>
    <x v="0"/>
    <x v="3"/>
    <x v="4"/>
    <s v="232.4"/>
    <x v="13"/>
    <x v="14"/>
    <x v="13"/>
    <x v="14"/>
    <x v="14"/>
    <x v="12"/>
    <x v="18"/>
    <x v="19"/>
    <x v="17"/>
    <x v="1"/>
  </r>
  <r>
    <n v="306"/>
    <x v="1"/>
    <x v="1"/>
    <x v="0"/>
    <x v="1"/>
    <x v="1"/>
    <x v="3"/>
    <x v="5"/>
    <s v="121.4"/>
    <x v="5"/>
    <x v="15"/>
    <x v="10"/>
    <x v="8"/>
    <x v="10"/>
    <x v="11"/>
    <x v="12"/>
    <x v="20"/>
    <x v="12"/>
    <x v="1"/>
  </r>
  <r>
    <n v="307"/>
    <x v="5"/>
    <x v="5"/>
    <x v="1"/>
    <x v="1"/>
    <x v="0"/>
    <x v="3"/>
    <x v="6"/>
    <s v="222.4"/>
    <x v="0"/>
    <x v="11"/>
    <x v="1"/>
    <x v="6"/>
    <x v="13"/>
    <x v="0"/>
    <x v="3"/>
    <x v="21"/>
    <x v="3"/>
    <x v="1"/>
  </r>
  <r>
    <n v="308"/>
    <x v="2"/>
    <x v="2"/>
    <x v="0"/>
    <x v="2"/>
    <x v="0"/>
    <x v="3"/>
    <x v="7"/>
    <s v="132.4"/>
    <x v="9"/>
    <x v="16"/>
    <x v="14"/>
    <x v="15"/>
    <x v="15"/>
    <x v="13"/>
    <x v="19"/>
    <x v="22"/>
    <x v="18"/>
    <x v="6"/>
  </r>
  <r>
    <n v="401"/>
    <x v="10"/>
    <x v="10"/>
    <x v="1"/>
    <x v="0"/>
    <x v="0"/>
    <x v="2"/>
    <x v="0"/>
    <s v="212.3"/>
    <x v="10"/>
    <x v="1"/>
    <x v="0"/>
    <x v="5"/>
    <x v="10"/>
    <x v="6"/>
    <x v="1"/>
    <x v="23"/>
    <x v="1"/>
    <x v="7"/>
  </r>
  <r>
    <n v="402"/>
    <x v="5"/>
    <x v="5"/>
    <x v="1"/>
    <x v="1"/>
    <x v="0"/>
    <x v="2"/>
    <x v="1"/>
    <s v="222.3"/>
    <x v="0"/>
    <x v="15"/>
    <x v="15"/>
    <x v="16"/>
    <x v="11"/>
    <x v="6"/>
    <x v="20"/>
    <x v="24"/>
    <x v="18"/>
    <x v="8"/>
  </r>
  <r>
    <n v="403"/>
    <x v="11"/>
    <x v="11"/>
    <x v="0"/>
    <x v="2"/>
    <x v="1"/>
    <x v="2"/>
    <x v="2"/>
    <s v="131.3"/>
    <x v="4"/>
    <x v="17"/>
    <x v="16"/>
    <x v="17"/>
    <x v="16"/>
    <x v="14"/>
    <x v="21"/>
    <x v="25"/>
    <x v="19"/>
    <x v="1"/>
  </r>
  <r>
    <n v="404"/>
    <x v="6"/>
    <x v="6"/>
    <x v="0"/>
    <x v="1"/>
    <x v="0"/>
    <x v="2"/>
    <x v="3"/>
    <s v="122.3"/>
    <x v="0"/>
    <x v="7"/>
    <x v="15"/>
    <x v="0"/>
    <x v="3"/>
    <x v="15"/>
    <x v="10"/>
    <x v="26"/>
    <x v="10"/>
    <x v="1"/>
  </r>
  <r>
    <n v="405"/>
    <x v="11"/>
    <x v="11"/>
    <x v="0"/>
    <x v="2"/>
    <x v="1"/>
    <x v="3"/>
    <x v="4"/>
    <s v="131.4"/>
    <x v="4"/>
    <x v="8"/>
    <x v="17"/>
    <x v="15"/>
    <x v="17"/>
    <x v="16"/>
    <x v="22"/>
    <x v="27"/>
    <x v="3"/>
    <x v="1"/>
  </r>
  <r>
    <n v="406"/>
    <x v="6"/>
    <x v="6"/>
    <x v="0"/>
    <x v="1"/>
    <x v="0"/>
    <x v="3"/>
    <x v="5"/>
    <s v="122.4"/>
    <x v="8"/>
    <x v="15"/>
    <x v="5"/>
    <x v="1"/>
    <x v="1"/>
    <x v="1"/>
    <x v="3"/>
    <x v="28"/>
    <x v="3"/>
    <x v="1"/>
  </r>
  <r>
    <n v="407"/>
    <x v="10"/>
    <x v="10"/>
    <x v="1"/>
    <x v="0"/>
    <x v="0"/>
    <x v="3"/>
    <x v="6"/>
    <s v="212.4"/>
    <x v="0"/>
    <x v="15"/>
    <x v="0"/>
    <x v="3"/>
    <x v="18"/>
    <x v="5"/>
    <x v="23"/>
    <x v="3"/>
    <x v="4"/>
    <x v="1"/>
  </r>
  <r>
    <n v="408"/>
    <x v="3"/>
    <x v="3"/>
    <x v="1"/>
    <x v="1"/>
    <x v="1"/>
    <x v="3"/>
    <x v="7"/>
    <s v="221.4"/>
    <x v="5"/>
    <x v="9"/>
    <x v="18"/>
    <x v="18"/>
    <x v="19"/>
    <x v="17"/>
    <x v="24"/>
    <x v="29"/>
    <x v="20"/>
    <x v="9"/>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x v="0"/>
    <x v="0"/>
    <x v="0"/>
  </r>
  <r>
    <n v="102"/>
    <x v="1"/>
    <x v="1"/>
    <x v="0"/>
    <x v="1"/>
    <x v="1"/>
    <x v="0"/>
    <x v="1"/>
    <s v="121.1"/>
    <x v="1"/>
    <x v="1"/>
    <x v="1"/>
    <x v="1"/>
    <x v="1"/>
    <x v="1"/>
    <x v="1"/>
    <x v="1"/>
    <x v="1"/>
    <x v="1"/>
  </r>
  <r>
    <n v="103"/>
    <x v="2"/>
    <x v="2"/>
    <x v="0"/>
    <x v="2"/>
    <x v="0"/>
    <x v="0"/>
    <x v="2"/>
    <s v="132.1"/>
    <x v="2"/>
    <x v="2"/>
    <x v="2"/>
    <x v="2"/>
    <x v="2"/>
    <x v="2"/>
    <x v="2"/>
    <x v="2"/>
    <x v="2"/>
    <x v="1"/>
  </r>
  <r>
    <n v="104"/>
    <x v="3"/>
    <x v="3"/>
    <x v="1"/>
    <x v="1"/>
    <x v="1"/>
    <x v="0"/>
    <x v="3"/>
    <s v="221.1"/>
    <x v="3"/>
    <x v="3"/>
    <x v="3"/>
    <x v="3"/>
    <x v="3"/>
    <x v="1"/>
    <x v="3"/>
    <x v="3"/>
    <x v="3"/>
    <x v="1"/>
  </r>
  <r>
    <n v="105"/>
    <x v="4"/>
    <x v="4"/>
    <x v="1"/>
    <x v="2"/>
    <x v="1"/>
    <x v="1"/>
    <x v="4"/>
    <s v="231.2"/>
    <x v="4"/>
    <x v="4"/>
    <x v="4"/>
    <x v="4"/>
    <x v="4"/>
    <x v="3"/>
    <x v="4"/>
    <x v="4"/>
    <x v="4"/>
    <x v="1"/>
  </r>
  <r>
    <n v="106"/>
    <x v="5"/>
    <x v="5"/>
    <x v="1"/>
    <x v="1"/>
    <x v="0"/>
    <x v="1"/>
    <x v="5"/>
    <s v="222.2"/>
    <x v="5"/>
    <x v="5"/>
    <x v="0"/>
    <x v="0"/>
    <x v="5"/>
    <x v="4"/>
    <x v="5"/>
    <x v="5"/>
    <x v="5"/>
    <x v="1"/>
  </r>
  <r>
    <n v="107"/>
    <x v="3"/>
    <x v="3"/>
    <x v="1"/>
    <x v="1"/>
    <x v="1"/>
    <x v="1"/>
    <x v="6"/>
    <s v="221.2"/>
    <x v="6"/>
    <x v="6"/>
    <x v="3"/>
    <x v="5"/>
    <x v="0"/>
    <x v="5"/>
    <x v="6"/>
    <x v="6"/>
    <x v="6"/>
    <x v="1"/>
  </r>
  <r>
    <n v="108"/>
    <x v="6"/>
    <x v="6"/>
    <x v="0"/>
    <x v="1"/>
    <x v="0"/>
    <x v="1"/>
    <x v="7"/>
    <s v="122.2"/>
    <x v="0"/>
    <x v="7"/>
    <x v="5"/>
    <x v="6"/>
    <x v="1"/>
    <x v="6"/>
    <x v="7"/>
    <x v="7"/>
    <x v="7"/>
    <x v="2"/>
  </r>
  <r>
    <n v="201"/>
    <x v="4"/>
    <x v="4"/>
    <x v="1"/>
    <x v="2"/>
    <x v="1"/>
    <x v="0"/>
    <x v="0"/>
    <s v="231.1"/>
    <x v="7"/>
    <x v="8"/>
    <x v="6"/>
    <x v="7"/>
    <x v="6"/>
    <x v="7"/>
    <x v="8"/>
    <x v="8"/>
    <x v="8"/>
    <x v="3"/>
  </r>
  <r>
    <n v="202"/>
    <x v="5"/>
    <x v="5"/>
    <x v="1"/>
    <x v="1"/>
    <x v="0"/>
    <x v="0"/>
    <x v="1"/>
    <s v="222.1"/>
    <x v="5"/>
    <x v="9"/>
    <x v="7"/>
    <x v="8"/>
    <x v="7"/>
    <x v="0"/>
    <x v="9"/>
    <x v="9"/>
    <x v="9"/>
    <x v="1"/>
  </r>
  <r>
    <n v="203"/>
    <x v="6"/>
    <x v="6"/>
    <x v="0"/>
    <x v="1"/>
    <x v="0"/>
    <x v="0"/>
    <x v="2"/>
    <s v="122.1"/>
    <x v="8"/>
    <x v="5"/>
    <x v="0"/>
    <x v="9"/>
    <x v="8"/>
    <x v="8"/>
    <x v="10"/>
    <x v="10"/>
    <x v="10"/>
    <x v="1"/>
  </r>
  <r>
    <n v="204"/>
    <x v="7"/>
    <x v="7"/>
    <x v="1"/>
    <x v="2"/>
    <x v="0"/>
    <x v="0"/>
    <x v="3"/>
    <s v="232.1"/>
    <x v="9"/>
    <x v="10"/>
    <x v="8"/>
    <x v="10"/>
    <x v="9"/>
    <x v="9"/>
    <x v="11"/>
    <x v="11"/>
    <x v="11"/>
    <x v="1"/>
  </r>
  <r>
    <n v="205"/>
    <x v="0"/>
    <x v="0"/>
    <x v="0"/>
    <x v="0"/>
    <x v="0"/>
    <x v="1"/>
    <x v="4"/>
    <s v="112.2"/>
    <x v="10"/>
    <x v="3"/>
    <x v="5"/>
    <x v="6"/>
    <x v="5"/>
    <x v="10"/>
    <x v="12"/>
    <x v="12"/>
    <x v="12"/>
    <x v="1"/>
  </r>
  <r>
    <n v="206"/>
    <x v="8"/>
    <x v="8"/>
    <x v="1"/>
    <x v="0"/>
    <x v="1"/>
    <x v="1"/>
    <x v="5"/>
    <s v="211.2"/>
    <x v="11"/>
    <x v="11"/>
    <x v="9"/>
    <x v="11"/>
    <x v="10"/>
    <x v="10"/>
    <x v="13"/>
    <x v="13"/>
    <x v="13"/>
    <x v="1"/>
  </r>
  <r>
    <n v="207"/>
    <x v="1"/>
    <x v="1"/>
    <x v="0"/>
    <x v="1"/>
    <x v="1"/>
    <x v="1"/>
    <x v="6"/>
    <s v="121.2"/>
    <x v="0"/>
    <x v="11"/>
    <x v="10"/>
    <x v="0"/>
    <x v="7"/>
    <x v="1"/>
    <x v="12"/>
    <x v="14"/>
    <x v="12"/>
    <x v="1"/>
  </r>
  <r>
    <n v="208"/>
    <x v="9"/>
    <x v="9"/>
    <x v="0"/>
    <x v="0"/>
    <x v="1"/>
    <x v="1"/>
    <x v="7"/>
    <s v="111.2"/>
    <x v="5"/>
    <x v="12"/>
    <x v="3"/>
    <x v="0"/>
    <x v="11"/>
    <x v="11"/>
    <x v="14"/>
    <x v="15"/>
    <x v="2"/>
    <x v="4"/>
  </r>
  <r>
    <n v="301"/>
    <x v="3"/>
    <x v="3"/>
    <x v="1"/>
    <x v="1"/>
    <x v="1"/>
    <x v="2"/>
    <x v="0"/>
    <s v="221.3"/>
    <x v="10"/>
    <x v="7"/>
    <x v="11"/>
    <x v="12"/>
    <x v="0"/>
    <x v="11"/>
    <x v="15"/>
    <x v="16"/>
    <x v="14"/>
    <x v="5"/>
  </r>
  <r>
    <n v="302"/>
    <x v="1"/>
    <x v="1"/>
    <x v="0"/>
    <x v="1"/>
    <x v="1"/>
    <x v="2"/>
    <x v="1"/>
    <s v="121.3"/>
    <x v="12"/>
    <x v="13"/>
    <x v="0"/>
    <x v="12"/>
    <x v="8"/>
    <x v="10"/>
    <x v="16"/>
    <x v="17"/>
    <x v="15"/>
    <x v="1"/>
  </r>
  <r>
    <n v="303"/>
    <x v="8"/>
    <x v="8"/>
    <x v="1"/>
    <x v="0"/>
    <x v="1"/>
    <x v="2"/>
    <x v="2"/>
    <s v="211.3"/>
    <x v="1"/>
    <x v="1"/>
    <x v="12"/>
    <x v="13"/>
    <x v="12"/>
    <x v="5"/>
    <x v="6"/>
    <x v="17"/>
    <x v="6"/>
    <x v="1"/>
  </r>
  <r>
    <n v="304"/>
    <x v="9"/>
    <x v="9"/>
    <x v="0"/>
    <x v="0"/>
    <x v="1"/>
    <x v="2"/>
    <x v="3"/>
    <s v="111.3"/>
    <x v="1"/>
    <x v="12"/>
    <x v="10"/>
    <x v="8"/>
    <x v="13"/>
    <x v="11"/>
    <x v="17"/>
    <x v="18"/>
    <x v="16"/>
    <x v="1"/>
  </r>
  <r>
    <n v="305"/>
    <x v="7"/>
    <x v="7"/>
    <x v="1"/>
    <x v="2"/>
    <x v="0"/>
    <x v="3"/>
    <x v="4"/>
    <s v="232.4"/>
    <x v="13"/>
    <x v="14"/>
    <x v="13"/>
    <x v="14"/>
    <x v="14"/>
    <x v="12"/>
    <x v="18"/>
    <x v="19"/>
    <x v="17"/>
    <x v="1"/>
  </r>
  <r>
    <n v="306"/>
    <x v="1"/>
    <x v="1"/>
    <x v="0"/>
    <x v="1"/>
    <x v="1"/>
    <x v="3"/>
    <x v="5"/>
    <s v="121.4"/>
    <x v="5"/>
    <x v="15"/>
    <x v="10"/>
    <x v="8"/>
    <x v="10"/>
    <x v="11"/>
    <x v="12"/>
    <x v="20"/>
    <x v="12"/>
    <x v="1"/>
  </r>
  <r>
    <n v="307"/>
    <x v="5"/>
    <x v="5"/>
    <x v="1"/>
    <x v="1"/>
    <x v="0"/>
    <x v="3"/>
    <x v="6"/>
    <s v="222.4"/>
    <x v="0"/>
    <x v="11"/>
    <x v="1"/>
    <x v="6"/>
    <x v="13"/>
    <x v="0"/>
    <x v="3"/>
    <x v="21"/>
    <x v="3"/>
    <x v="1"/>
  </r>
  <r>
    <n v="308"/>
    <x v="2"/>
    <x v="2"/>
    <x v="0"/>
    <x v="2"/>
    <x v="0"/>
    <x v="3"/>
    <x v="7"/>
    <s v="132.4"/>
    <x v="9"/>
    <x v="16"/>
    <x v="14"/>
    <x v="15"/>
    <x v="15"/>
    <x v="13"/>
    <x v="19"/>
    <x v="22"/>
    <x v="18"/>
    <x v="6"/>
  </r>
  <r>
    <n v="401"/>
    <x v="10"/>
    <x v="10"/>
    <x v="1"/>
    <x v="0"/>
    <x v="0"/>
    <x v="2"/>
    <x v="0"/>
    <s v="212.3"/>
    <x v="10"/>
    <x v="1"/>
    <x v="0"/>
    <x v="5"/>
    <x v="10"/>
    <x v="6"/>
    <x v="1"/>
    <x v="23"/>
    <x v="1"/>
    <x v="7"/>
  </r>
  <r>
    <n v="402"/>
    <x v="5"/>
    <x v="5"/>
    <x v="1"/>
    <x v="1"/>
    <x v="0"/>
    <x v="2"/>
    <x v="1"/>
    <s v="222.3"/>
    <x v="0"/>
    <x v="15"/>
    <x v="15"/>
    <x v="16"/>
    <x v="11"/>
    <x v="6"/>
    <x v="20"/>
    <x v="24"/>
    <x v="18"/>
    <x v="8"/>
  </r>
  <r>
    <n v="403"/>
    <x v="11"/>
    <x v="11"/>
    <x v="0"/>
    <x v="2"/>
    <x v="1"/>
    <x v="2"/>
    <x v="2"/>
    <s v="131.3"/>
    <x v="4"/>
    <x v="17"/>
    <x v="16"/>
    <x v="17"/>
    <x v="16"/>
    <x v="14"/>
    <x v="21"/>
    <x v="25"/>
    <x v="19"/>
    <x v="1"/>
  </r>
  <r>
    <n v="404"/>
    <x v="6"/>
    <x v="6"/>
    <x v="0"/>
    <x v="1"/>
    <x v="0"/>
    <x v="2"/>
    <x v="3"/>
    <s v="122.3"/>
    <x v="0"/>
    <x v="7"/>
    <x v="15"/>
    <x v="0"/>
    <x v="3"/>
    <x v="15"/>
    <x v="10"/>
    <x v="26"/>
    <x v="10"/>
    <x v="1"/>
  </r>
  <r>
    <n v="405"/>
    <x v="11"/>
    <x v="11"/>
    <x v="0"/>
    <x v="2"/>
    <x v="1"/>
    <x v="3"/>
    <x v="4"/>
    <s v="131.4"/>
    <x v="4"/>
    <x v="8"/>
    <x v="17"/>
    <x v="15"/>
    <x v="17"/>
    <x v="16"/>
    <x v="22"/>
    <x v="27"/>
    <x v="3"/>
    <x v="1"/>
  </r>
  <r>
    <n v="406"/>
    <x v="6"/>
    <x v="6"/>
    <x v="0"/>
    <x v="1"/>
    <x v="0"/>
    <x v="3"/>
    <x v="5"/>
    <s v="122.4"/>
    <x v="8"/>
    <x v="15"/>
    <x v="5"/>
    <x v="1"/>
    <x v="1"/>
    <x v="1"/>
    <x v="3"/>
    <x v="28"/>
    <x v="3"/>
    <x v="1"/>
  </r>
  <r>
    <n v="407"/>
    <x v="10"/>
    <x v="10"/>
    <x v="1"/>
    <x v="0"/>
    <x v="0"/>
    <x v="3"/>
    <x v="6"/>
    <s v="212.4"/>
    <x v="0"/>
    <x v="15"/>
    <x v="0"/>
    <x v="3"/>
    <x v="18"/>
    <x v="5"/>
    <x v="23"/>
    <x v="3"/>
    <x v="4"/>
    <x v="1"/>
  </r>
  <r>
    <n v="408"/>
    <x v="3"/>
    <x v="3"/>
    <x v="1"/>
    <x v="1"/>
    <x v="1"/>
    <x v="3"/>
    <x v="7"/>
    <s v="221.4"/>
    <x v="5"/>
    <x v="9"/>
    <x v="18"/>
    <x v="18"/>
    <x v="19"/>
    <x v="17"/>
    <x v="24"/>
    <x v="29"/>
    <x v="20"/>
    <x v="9"/>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n v="0.80363756341607961"/>
    <x v="0"/>
    <x v="0"/>
  </r>
  <r>
    <n v="102"/>
    <x v="1"/>
    <x v="1"/>
    <x v="0"/>
    <x v="1"/>
    <x v="1"/>
    <x v="0"/>
    <x v="1"/>
    <s v="121.1"/>
    <x v="0"/>
    <x v="1"/>
    <x v="1"/>
    <x v="1"/>
    <x v="1"/>
    <x v="1"/>
    <x v="1"/>
    <n v="0.98107084351742935"/>
    <x v="1"/>
    <x v="0"/>
  </r>
  <r>
    <n v="103"/>
    <x v="2"/>
    <x v="2"/>
    <x v="0"/>
    <x v="2"/>
    <x v="0"/>
    <x v="0"/>
    <x v="2"/>
    <s v="132.1"/>
    <x v="1"/>
    <x v="2"/>
    <x v="2"/>
    <x v="2"/>
    <x v="2"/>
    <x v="2"/>
    <x v="2"/>
    <n v="0.81308739451003442"/>
    <x v="2"/>
    <x v="0"/>
  </r>
  <r>
    <n v="104"/>
    <x v="3"/>
    <x v="3"/>
    <x v="1"/>
    <x v="1"/>
    <x v="1"/>
    <x v="0"/>
    <x v="3"/>
    <s v="221.1"/>
    <x v="0"/>
    <x v="3"/>
    <x v="3"/>
    <x v="3"/>
    <x v="3"/>
    <x v="3"/>
    <x v="0"/>
    <n v="0.66770752080033768"/>
    <x v="0"/>
    <x v="0"/>
  </r>
  <r>
    <n v="105"/>
    <x v="4"/>
    <x v="4"/>
    <x v="1"/>
    <x v="2"/>
    <x v="1"/>
    <x v="1"/>
    <x v="4"/>
    <s v="231.2"/>
    <x v="2"/>
    <x v="4"/>
    <x v="4"/>
    <x v="4"/>
    <x v="4"/>
    <x v="4"/>
    <x v="3"/>
    <n v="1.1310025051549033"/>
    <x v="3"/>
    <x v="0"/>
  </r>
  <r>
    <n v="106"/>
    <x v="5"/>
    <x v="5"/>
    <x v="1"/>
    <x v="1"/>
    <x v="0"/>
    <x v="1"/>
    <x v="5"/>
    <s v="222.2"/>
    <x v="3"/>
    <x v="5"/>
    <x v="5"/>
    <x v="5"/>
    <x v="5"/>
    <x v="5"/>
    <x v="4"/>
    <n v="0.73880534197671677"/>
    <x v="4"/>
    <x v="0"/>
  </r>
  <r>
    <n v="107"/>
    <x v="3"/>
    <x v="3"/>
    <x v="1"/>
    <x v="1"/>
    <x v="1"/>
    <x v="1"/>
    <x v="6"/>
    <s v="221.2"/>
    <x v="4"/>
    <x v="6"/>
    <x v="3"/>
    <x v="6"/>
    <x v="6"/>
    <x v="3"/>
    <x v="5"/>
    <n v="0.82327260234856536"/>
    <x v="5"/>
    <x v="0"/>
  </r>
  <r>
    <n v="108"/>
    <x v="6"/>
    <x v="6"/>
    <x v="0"/>
    <x v="1"/>
    <x v="0"/>
    <x v="1"/>
    <x v="7"/>
    <s v="122.2"/>
    <x v="5"/>
    <x v="7"/>
    <x v="6"/>
    <x v="5"/>
    <x v="3"/>
    <x v="6"/>
    <x v="6"/>
    <n v="0.30046260628866789"/>
    <x v="6"/>
    <x v="0"/>
  </r>
  <r>
    <n v="201"/>
    <x v="4"/>
    <x v="4"/>
    <x v="1"/>
    <x v="2"/>
    <x v="1"/>
    <x v="0"/>
    <x v="0"/>
    <s v="231.1"/>
    <x v="1"/>
    <x v="8"/>
    <x v="7"/>
    <x v="7"/>
    <x v="7"/>
    <x v="7"/>
    <x v="7"/>
    <n v="1.2292725943057203"/>
    <x v="7"/>
    <x v="0"/>
  </r>
  <r>
    <n v="202"/>
    <x v="5"/>
    <x v="5"/>
    <x v="1"/>
    <x v="1"/>
    <x v="0"/>
    <x v="0"/>
    <x v="1"/>
    <s v="222.1"/>
    <x v="6"/>
    <x v="9"/>
    <x v="8"/>
    <x v="8"/>
    <x v="8"/>
    <x v="3"/>
    <x v="8"/>
    <n v="1.2610621625351304"/>
    <x v="8"/>
    <x v="0"/>
  </r>
  <r>
    <n v="203"/>
    <x v="6"/>
    <x v="6"/>
    <x v="0"/>
    <x v="1"/>
    <x v="0"/>
    <x v="0"/>
    <x v="2"/>
    <s v="122.1"/>
    <x v="7"/>
    <x v="3"/>
    <x v="9"/>
    <x v="9"/>
    <x v="8"/>
    <x v="8"/>
    <x v="9"/>
    <n v="0.89131613047472991"/>
    <x v="2"/>
    <x v="0"/>
  </r>
  <r>
    <n v="204"/>
    <x v="7"/>
    <x v="7"/>
    <x v="1"/>
    <x v="2"/>
    <x v="0"/>
    <x v="0"/>
    <x v="3"/>
    <s v="232.1"/>
    <x v="8"/>
    <x v="8"/>
    <x v="10"/>
    <x v="10"/>
    <x v="9"/>
    <x v="2"/>
    <x v="10"/>
    <n v="0.58689389538863801"/>
    <x v="8"/>
    <x v="0"/>
  </r>
  <r>
    <n v="205"/>
    <x v="0"/>
    <x v="0"/>
    <x v="0"/>
    <x v="0"/>
    <x v="0"/>
    <x v="1"/>
    <x v="4"/>
    <s v="112.2"/>
    <x v="9"/>
    <x v="10"/>
    <x v="11"/>
    <x v="5"/>
    <x v="10"/>
    <x v="6"/>
    <x v="11"/>
    <n v="0.93985814532477896"/>
    <x v="9"/>
    <x v="0"/>
  </r>
  <r>
    <n v="206"/>
    <x v="8"/>
    <x v="8"/>
    <x v="1"/>
    <x v="0"/>
    <x v="1"/>
    <x v="1"/>
    <x v="5"/>
    <s v="211.2"/>
    <x v="3"/>
    <x v="6"/>
    <x v="5"/>
    <x v="11"/>
    <x v="11"/>
    <x v="6"/>
    <x v="12"/>
    <n v="0.42163702135578546"/>
    <x v="10"/>
    <x v="0"/>
  </r>
  <r>
    <n v="207"/>
    <x v="1"/>
    <x v="1"/>
    <x v="0"/>
    <x v="1"/>
    <x v="1"/>
    <x v="1"/>
    <x v="6"/>
    <s v="121.2"/>
    <x v="10"/>
    <x v="11"/>
    <x v="5"/>
    <x v="5"/>
    <x v="8"/>
    <x v="9"/>
    <x v="13"/>
    <n v="0.64117946872237919"/>
    <x v="11"/>
    <x v="0"/>
  </r>
  <r>
    <n v="208"/>
    <x v="9"/>
    <x v="9"/>
    <x v="0"/>
    <x v="0"/>
    <x v="1"/>
    <x v="1"/>
    <x v="7"/>
    <s v="111.2"/>
    <x v="3"/>
    <x v="12"/>
    <x v="9"/>
    <x v="6"/>
    <x v="12"/>
    <x v="9"/>
    <x v="14"/>
    <n v="0.91666666666666741"/>
    <x v="12"/>
    <x v="0"/>
  </r>
  <r>
    <n v="301"/>
    <x v="3"/>
    <x v="3"/>
    <x v="1"/>
    <x v="1"/>
    <x v="1"/>
    <x v="2"/>
    <x v="0"/>
    <s v="221.3"/>
    <x v="11"/>
    <x v="3"/>
    <x v="12"/>
    <x v="12"/>
    <x v="13"/>
    <x v="1"/>
    <x v="5"/>
    <n v="0.76011695006609292"/>
    <x v="5"/>
    <x v="0"/>
  </r>
  <r>
    <n v="302"/>
    <x v="1"/>
    <x v="1"/>
    <x v="0"/>
    <x v="1"/>
    <x v="1"/>
    <x v="2"/>
    <x v="1"/>
    <s v="121.3"/>
    <x v="12"/>
    <x v="6"/>
    <x v="13"/>
    <x v="12"/>
    <x v="11"/>
    <x v="6"/>
    <x v="8"/>
    <n v="0.62472216046637807"/>
    <x v="8"/>
    <x v="0"/>
  </r>
  <r>
    <n v="303"/>
    <x v="8"/>
    <x v="8"/>
    <x v="1"/>
    <x v="0"/>
    <x v="1"/>
    <x v="2"/>
    <x v="2"/>
    <s v="211.3"/>
    <x v="13"/>
    <x v="13"/>
    <x v="14"/>
    <x v="13"/>
    <x v="3"/>
    <x v="0"/>
    <x v="15"/>
    <n v="0.7120003121097952"/>
    <x v="13"/>
    <x v="0"/>
  </r>
  <r>
    <n v="304"/>
    <x v="9"/>
    <x v="9"/>
    <x v="0"/>
    <x v="0"/>
    <x v="1"/>
    <x v="2"/>
    <x v="3"/>
    <s v="111.3"/>
    <x v="3"/>
    <x v="3"/>
    <x v="6"/>
    <x v="14"/>
    <x v="11"/>
    <x v="6"/>
    <x v="16"/>
    <n v="0.33333333333333526"/>
    <x v="14"/>
    <x v="0"/>
  </r>
  <r>
    <n v="305"/>
    <x v="7"/>
    <x v="7"/>
    <x v="1"/>
    <x v="2"/>
    <x v="0"/>
    <x v="3"/>
    <x v="4"/>
    <s v="232.4"/>
    <x v="14"/>
    <x v="14"/>
    <x v="7"/>
    <x v="10"/>
    <x v="14"/>
    <x v="10"/>
    <x v="17"/>
    <n v="0.85634883857767541"/>
    <x v="15"/>
    <x v="0"/>
  </r>
  <r>
    <n v="306"/>
    <x v="1"/>
    <x v="1"/>
    <x v="0"/>
    <x v="1"/>
    <x v="1"/>
    <x v="3"/>
    <x v="5"/>
    <s v="121.4"/>
    <x v="6"/>
    <x v="10"/>
    <x v="5"/>
    <x v="5"/>
    <x v="6"/>
    <x v="3"/>
    <x v="18"/>
    <n v="0.35158371849548492"/>
    <x v="16"/>
    <x v="0"/>
  </r>
  <r>
    <n v="307"/>
    <x v="5"/>
    <x v="5"/>
    <x v="1"/>
    <x v="1"/>
    <x v="0"/>
    <x v="3"/>
    <x v="6"/>
    <s v="222.4"/>
    <x v="15"/>
    <x v="6"/>
    <x v="3"/>
    <x v="13"/>
    <x v="6"/>
    <x v="0"/>
    <x v="8"/>
    <n v="0.73503590237333249"/>
    <x v="8"/>
    <x v="0"/>
  </r>
  <r>
    <n v="308"/>
    <x v="2"/>
    <x v="2"/>
    <x v="0"/>
    <x v="2"/>
    <x v="0"/>
    <x v="3"/>
    <x v="7"/>
    <s v="132.4"/>
    <x v="16"/>
    <x v="15"/>
    <x v="15"/>
    <x v="15"/>
    <x v="15"/>
    <x v="11"/>
    <x v="3"/>
    <n v="1.5152007567755943"/>
    <x v="3"/>
    <x v="0"/>
  </r>
  <r>
    <n v="401"/>
    <x v="10"/>
    <x v="10"/>
    <x v="1"/>
    <x v="0"/>
    <x v="0"/>
    <x v="2"/>
    <x v="0"/>
    <s v="212.3"/>
    <x v="7"/>
    <x v="16"/>
    <x v="5"/>
    <x v="3"/>
    <x v="11"/>
    <x v="9"/>
    <x v="19"/>
    <n v="0.45491146879854077"/>
    <x v="17"/>
    <x v="0"/>
  </r>
  <r>
    <n v="402"/>
    <x v="5"/>
    <x v="5"/>
    <x v="1"/>
    <x v="1"/>
    <x v="0"/>
    <x v="2"/>
    <x v="1"/>
    <s v="222.3"/>
    <x v="17"/>
    <x v="10"/>
    <x v="9"/>
    <x v="3"/>
    <x v="16"/>
    <x v="12"/>
    <x v="20"/>
    <n v="0.59744827763116515"/>
    <x v="18"/>
    <x v="0"/>
  </r>
  <r>
    <n v="403"/>
    <x v="11"/>
    <x v="11"/>
    <x v="0"/>
    <x v="2"/>
    <x v="1"/>
    <x v="2"/>
    <x v="2"/>
    <s v="131.3"/>
    <x v="18"/>
    <x v="17"/>
    <x v="16"/>
    <x v="16"/>
    <x v="17"/>
    <x v="13"/>
    <x v="21"/>
    <n v="1.0723805294763609"/>
    <x v="9"/>
    <x v="0"/>
  </r>
  <r>
    <n v="404"/>
    <x v="6"/>
    <x v="6"/>
    <x v="0"/>
    <x v="1"/>
    <x v="0"/>
    <x v="2"/>
    <x v="3"/>
    <s v="122.3"/>
    <x v="17"/>
    <x v="18"/>
    <x v="5"/>
    <x v="11"/>
    <x v="5"/>
    <x v="5"/>
    <x v="22"/>
    <n v="0.51099032389186438"/>
    <x v="19"/>
    <x v="0"/>
  </r>
  <r>
    <n v="405"/>
    <x v="11"/>
    <x v="11"/>
    <x v="0"/>
    <x v="2"/>
    <x v="1"/>
    <x v="3"/>
    <x v="4"/>
    <s v="131.4"/>
    <x v="2"/>
    <x v="19"/>
    <x v="15"/>
    <x v="16"/>
    <x v="4"/>
    <x v="14"/>
    <x v="23"/>
    <n v="1.0521142734724445"/>
    <x v="20"/>
    <x v="0"/>
  </r>
  <r>
    <n v="406"/>
    <x v="6"/>
    <x v="6"/>
    <x v="0"/>
    <x v="1"/>
    <x v="0"/>
    <x v="3"/>
    <x v="5"/>
    <s v="122.4"/>
    <x v="5"/>
    <x v="10"/>
    <x v="11"/>
    <x v="3"/>
    <x v="11"/>
    <x v="9"/>
    <x v="4"/>
    <n v="0.35939764421413045"/>
    <x v="4"/>
    <x v="0"/>
  </r>
  <r>
    <n v="407"/>
    <x v="10"/>
    <x v="10"/>
    <x v="1"/>
    <x v="0"/>
    <x v="0"/>
    <x v="3"/>
    <x v="6"/>
    <s v="212.4"/>
    <x v="7"/>
    <x v="18"/>
    <x v="6"/>
    <x v="14"/>
    <x v="18"/>
    <x v="0"/>
    <x v="16"/>
    <n v="0.52704627669473114"/>
    <x v="14"/>
    <x v="0"/>
  </r>
  <r>
    <n v="408"/>
    <x v="3"/>
    <x v="3"/>
    <x v="1"/>
    <x v="1"/>
    <x v="1"/>
    <x v="3"/>
    <x v="7"/>
    <s v="221.4"/>
    <x v="6"/>
    <x v="7"/>
    <x v="5"/>
    <x v="17"/>
    <x v="6"/>
    <x v="8"/>
    <x v="15"/>
    <n v="0.74628710590793801"/>
    <x v="13"/>
    <x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n v="0.80363756341607961"/>
    <x v="0"/>
    <x v="0"/>
  </r>
  <r>
    <n v="102"/>
    <x v="1"/>
    <x v="1"/>
    <x v="0"/>
    <x v="1"/>
    <x v="1"/>
    <x v="0"/>
    <x v="1"/>
    <s v="121.1"/>
    <x v="0"/>
    <x v="1"/>
    <x v="1"/>
    <x v="1"/>
    <x v="1"/>
    <x v="1"/>
    <x v="1"/>
    <n v="0.98107084351742935"/>
    <x v="1"/>
    <x v="0"/>
  </r>
  <r>
    <n v="103"/>
    <x v="2"/>
    <x v="2"/>
    <x v="0"/>
    <x v="2"/>
    <x v="0"/>
    <x v="0"/>
    <x v="2"/>
    <s v="132.1"/>
    <x v="1"/>
    <x v="2"/>
    <x v="2"/>
    <x v="2"/>
    <x v="2"/>
    <x v="2"/>
    <x v="2"/>
    <n v="0.81308739451003442"/>
    <x v="2"/>
    <x v="0"/>
  </r>
  <r>
    <n v="104"/>
    <x v="3"/>
    <x v="3"/>
    <x v="1"/>
    <x v="1"/>
    <x v="1"/>
    <x v="0"/>
    <x v="3"/>
    <s v="221.1"/>
    <x v="0"/>
    <x v="3"/>
    <x v="3"/>
    <x v="3"/>
    <x v="3"/>
    <x v="3"/>
    <x v="0"/>
    <n v="0.66770752080033768"/>
    <x v="0"/>
    <x v="0"/>
  </r>
  <r>
    <n v="105"/>
    <x v="4"/>
    <x v="4"/>
    <x v="1"/>
    <x v="2"/>
    <x v="1"/>
    <x v="1"/>
    <x v="4"/>
    <s v="231.2"/>
    <x v="2"/>
    <x v="4"/>
    <x v="4"/>
    <x v="4"/>
    <x v="4"/>
    <x v="4"/>
    <x v="3"/>
    <n v="1.1310025051549033"/>
    <x v="3"/>
    <x v="0"/>
  </r>
  <r>
    <n v="106"/>
    <x v="5"/>
    <x v="5"/>
    <x v="1"/>
    <x v="1"/>
    <x v="0"/>
    <x v="1"/>
    <x v="5"/>
    <s v="222.2"/>
    <x v="3"/>
    <x v="5"/>
    <x v="5"/>
    <x v="5"/>
    <x v="5"/>
    <x v="5"/>
    <x v="4"/>
    <n v="0.73880534197671677"/>
    <x v="4"/>
    <x v="0"/>
  </r>
  <r>
    <n v="107"/>
    <x v="3"/>
    <x v="3"/>
    <x v="1"/>
    <x v="1"/>
    <x v="1"/>
    <x v="1"/>
    <x v="6"/>
    <s v="221.2"/>
    <x v="4"/>
    <x v="6"/>
    <x v="3"/>
    <x v="6"/>
    <x v="6"/>
    <x v="3"/>
    <x v="5"/>
    <n v="0.82327260234856536"/>
    <x v="5"/>
    <x v="0"/>
  </r>
  <r>
    <n v="108"/>
    <x v="6"/>
    <x v="6"/>
    <x v="0"/>
    <x v="1"/>
    <x v="0"/>
    <x v="1"/>
    <x v="7"/>
    <s v="122.2"/>
    <x v="5"/>
    <x v="7"/>
    <x v="6"/>
    <x v="5"/>
    <x v="3"/>
    <x v="6"/>
    <x v="6"/>
    <n v="0.30046260628866789"/>
    <x v="6"/>
    <x v="0"/>
  </r>
  <r>
    <n v="201"/>
    <x v="4"/>
    <x v="4"/>
    <x v="1"/>
    <x v="2"/>
    <x v="1"/>
    <x v="0"/>
    <x v="0"/>
    <s v="231.1"/>
    <x v="1"/>
    <x v="8"/>
    <x v="7"/>
    <x v="7"/>
    <x v="7"/>
    <x v="7"/>
    <x v="7"/>
    <n v="1.2292725943057203"/>
    <x v="7"/>
    <x v="0"/>
  </r>
  <r>
    <n v="202"/>
    <x v="5"/>
    <x v="5"/>
    <x v="1"/>
    <x v="1"/>
    <x v="0"/>
    <x v="0"/>
    <x v="1"/>
    <s v="222.1"/>
    <x v="6"/>
    <x v="9"/>
    <x v="8"/>
    <x v="8"/>
    <x v="8"/>
    <x v="3"/>
    <x v="8"/>
    <n v="1.2610621625351304"/>
    <x v="8"/>
    <x v="0"/>
  </r>
  <r>
    <n v="203"/>
    <x v="6"/>
    <x v="6"/>
    <x v="0"/>
    <x v="1"/>
    <x v="0"/>
    <x v="0"/>
    <x v="2"/>
    <s v="122.1"/>
    <x v="7"/>
    <x v="3"/>
    <x v="9"/>
    <x v="9"/>
    <x v="8"/>
    <x v="8"/>
    <x v="9"/>
    <n v="0.89131613047472991"/>
    <x v="2"/>
    <x v="0"/>
  </r>
  <r>
    <n v="204"/>
    <x v="7"/>
    <x v="7"/>
    <x v="1"/>
    <x v="2"/>
    <x v="0"/>
    <x v="0"/>
    <x v="3"/>
    <s v="232.1"/>
    <x v="8"/>
    <x v="8"/>
    <x v="10"/>
    <x v="10"/>
    <x v="9"/>
    <x v="2"/>
    <x v="10"/>
    <n v="0.58689389538863801"/>
    <x v="8"/>
    <x v="0"/>
  </r>
  <r>
    <n v="205"/>
    <x v="0"/>
    <x v="0"/>
    <x v="0"/>
    <x v="0"/>
    <x v="0"/>
    <x v="1"/>
    <x v="4"/>
    <s v="112.2"/>
    <x v="9"/>
    <x v="10"/>
    <x v="11"/>
    <x v="5"/>
    <x v="10"/>
    <x v="6"/>
    <x v="11"/>
    <n v="0.93985814532477896"/>
    <x v="9"/>
    <x v="0"/>
  </r>
  <r>
    <n v="206"/>
    <x v="8"/>
    <x v="8"/>
    <x v="1"/>
    <x v="0"/>
    <x v="1"/>
    <x v="1"/>
    <x v="5"/>
    <s v="211.2"/>
    <x v="3"/>
    <x v="6"/>
    <x v="5"/>
    <x v="11"/>
    <x v="11"/>
    <x v="6"/>
    <x v="12"/>
    <n v="0.42163702135578546"/>
    <x v="10"/>
    <x v="0"/>
  </r>
  <r>
    <n v="207"/>
    <x v="1"/>
    <x v="1"/>
    <x v="0"/>
    <x v="1"/>
    <x v="1"/>
    <x v="1"/>
    <x v="6"/>
    <s v="121.2"/>
    <x v="10"/>
    <x v="11"/>
    <x v="5"/>
    <x v="5"/>
    <x v="8"/>
    <x v="9"/>
    <x v="13"/>
    <n v="0.64117946872237919"/>
    <x v="11"/>
    <x v="0"/>
  </r>
  <r>
    <n v="208"/>
    <x v="9"/>
    <x v="9"/>
    <x v="0"/>
    <x v="0"/>
    <x v="1"/>
    <x v="1"/>
    <x v="7"/>
    <s v="111.2"/>
    <x v="3"/>
    <x v="12"/>
    <x v="9"/>
    <x v="6"/>
    <x v="12"/>
    <x v="9"/>
    <x v="14"/>
    <n v="0.91666666666666741"/>
    <x v="12"/>
    <x v="0"/>
  </r>
  <r>
    <n v="301"/>
    <x v="3"/>
    <x v="3"/>
    <x v="1"/>
    <x v="1"/>
    <x v="1"/>
    <x v="2"/>
    <x v="0"/>
    <s v="221.3"/>
    <x v="11"/>
    <x v="3"/>
    <x v="12"/>
    <x v="12"/>
    <x v="13"/>
    <x v="1"/>
    <x v="5"/>
    <n v="0.76011695006609292"/>
    <x v="5"/>
    <x v="0"/>
  </r>
  <r>
    <n v="302"/>
    <x v="1"/>
    <x v="1"/>
    <x v="0"/>
    <x v="1"/>
    <x v="1"/>
    <x v="2"/>
    <x v="1"/>
    <s v="121.3"/>
    <x v="12"/>
    <x v="6"/>
    <x v="13"/>
    <x v="12"/>
    <x v="11"/>
    <x v="6"/>
    <x v="8"/>
    <n v="0.62472216046637807"/>
    <x v="8"/>
    <x v="0"/>
  </r>
  <r>
    <n v="303"/>
    <x v="8"/>
    <x v="8"/>
    <x v="1"/>
    <x v="0"/>
    <x v="1"/>
    <x v="2"/>
    <x v="2"/>
    <s v="211.3"/>
    <x v="13"/>
    <x v="13"/>
    <x v="14"/>
    <x v="13"/>
    <x v="3"/>
    <x v="0"/>
    <x v="15"/>
    <n v="0.7120003121097952"/>
    <x v="13"/>
    <x v="0"/>
  </r>
  <r>
    <n v="304"/>
    <x v="9"/>
    <x v="9"/>
    <x v="0"/>
    <x v="0"/>
    <x v="1"/>
    <x v="2"/>
    <x v="3"/>
    <s v="111.3"/>
    <x v="3"/>
    <x v="3"/>
    <x v="6"/>
    <x v="14"/>
    <x v="11"/>
    <x v="6"/>
    <x v="16"/>
    <n v="0.33333333333333526"/>
    <x v="14"/>
    <x v="0"/>
  </r>
  <r>
    <n v="305"/>
    <x v="7"/>
    <x v="7"/>
    <x v="1"/>
    <x v="2"/>
    <x v="0"/>
    <x v="3"/>
    <x v="4"/>
    <s v="232.4"/>
    <x v="14"/>
    <x v="14"/>
    <x v="7"/>
    <x v="10"/>
    <x v="14"/>
    <x v="10"/>
    <x v="17"/>
    <n v="0.85634883857767541"/>
    <x v="15"/>
    <x v="0"/>
  </r>
  <r>
    <n v="306"/>
    <x v="1"/>
    <x v="1"/>
    <x v="0"/>
    <x v="1"/>
    <x v="1"/>
    <x v="3"/>
    <x v="5"/>
    <s v="121.4"/>
    <x v="6"/>
    <x v="10"/>
    <x v="5"/>
    <x v="5"/>
    <x v="6"/>
    <x v="3"/>
    <x v="18"/>
    <n v="0.35158371849548492"/>
    <x v="16"/>
    <x v="0"/>
  </r>
  <r>
    <n v="307"/>
    <x v="5"/>
    <x v="5"/>
    <x v="1"/>
    <x v="1"/>
    <x v="0"/>
    <x v="3"/>
    <x v="6"/>
    <s v="222.4"/>
    <x v="15"/>
    <x v="6"/>
    <x v="3"/>
    <x v="13"/>
    <x v="6"/>
    <x v="0"/>
    <x v="8"/>
    <n v="0.73503590237333249"/>
    <x v="8"/>
    <x v="0"/>
  </r>
  <r>
    <n v="308"/>
    <x v="2"/>
    <x v="2"/>
    <x v="0"/>
    <x v="2"/>
    <x v="0"/>
    <x v="3"/>
    <x v="7"/>
    <s v="132.4"/>
    <x v="16"/>
    <x v="15"/>
    <x v="15"/>
    <x v="15"/>
    <x v="15"/>
    <x v="11"/>
    <x v="3"/>
    <n v="1.5152007567755943"/>
    <x v="3"/>
    <x v="0"/>
  </r>
  <r>
    <n v="401"/>
    <x v="10"/>
    <x v="10"/>
    <x v="1"/>
    <x v="0"/>
    <x v="0"/>
    <x v="2"/>
    <x v="0"/>
    <s v="212.3"/>
    <x v="7"/>
    <x v="16"/>
    <x v="5"/>
    <x v="3"/>
    <x v="11"/>
    <x v="9"/>
    <x v="19"/>
    <n v="0.45491146879854077"/>
    <x v="17"/>
    <x v="0"/>
  </r>
  <r>
    <n v="402"/>
    <x v="5"/>
    <x v="5"/>
    <x v="1"/>
    <x v="1"/>
    <x v="0"/>
    <x v="2"/>
    <x v="1"/>
    <s v="222.3"/>
    <x v="17"/>
    <x v="10"/>
    <x v="9"/>
    <x v="3"/>
    <x v="16"/>
    <x v="12"/>
    <x v="20"/>
    <n v="0.59744827763116515"/>
    <x v="18"/>
    <x v="0"/>
  </r>
  <r>
    <n v="403"/>
    <x v="11"/>
    <x v="11"/>
    <x v="0"/>
    <x v="2"/>
    <x v="1"/>
    <x v="2"/>
    <x v="2"/>
    <s v="131.3"/>
    <x v="18"/>
    <x v="17"/>
    <x v="16"/>
    <x v="16"/>
    <x v="17"/>
    <x v="13"/>
    <x v="21"/>
    <n v="1.0723805294763609"/>
    <x v="9"/>
    <x v="0"/>
  </r>
  <r>
    <n v="404"/>
    <x v="6"/>
    <x v="6"/>
    <x v="0"/>
    <x v="1"/>
    <x v="0"/>
    <x v="2"/>
    <x v="3"/>
    <s v="122.3"/>
    <x v="17"/>
    <x v="18"/>
    <x v="5"/>
    <x v="11"/>
    <x v="5"/>
    <x v="5"/>
    <x v="22"/>
    <n v="0.51099032389186438"/>
    <x v="19"/>
    <x v="0"/>
  </r>
  <r>
    <n v="405"/>
    <x v="11"/>
    <x v="11"/>
    <x v="0"/>
    <x v="2"/>
    <x v="1"/>
    <x v="3"/>
    <x v="4"/>
    <s v="131.4"/>
    <x v="2"/>
    <x v="19"/>
    <x v="15"/>
    <x v="16"/>
    <x v="4"/>
    <x v="14"/>
    <x v="23"/>
    <n v="1.0521142734724445"/>
    <x v="20"/>
    <x v="0"/>
  </r>
  <r>
    <n v="406"/>
    <x v="6"/>
    <x v="6"/>
    <x v="0"/>
    <x v="1"/>
    <x v="0"/>
    <x v="3"/>
    <x v="5"/>
    <s v="122.4"/>
    <x v="5"/>
    <x v="10"/>
    <x v="11"/>
    <x v="3"/>
    <x v="11"/>
    <x v="9"/>
    <x v="4"/>
    <n v="0.35939764421413045"/>
    <x v="4"/>
    <x v="0"/>
  </r>
  <r>
    <n v="407"/>
    <x v="10"/>
    <x v="10"/>
    <x v="1"/>
    <x v="0"/>
    <x v="0"/>
    <x v="3"/>
    <x v="6"/>
    <s v="212.4"/>
    <x v="7"/>
    <x v="18"/>
    <x v="6"/>
    <x v="14"/>
    <x v="18"/>
    <x v="0"/>
    <x v="16"/>
    <n v="0.52704627669473114"/>
    <x v="14"/>
    <x v="0"/>
  </r>
  <r>
    <n v="408"/>
    <x v="3"/>
    <x v="3"/>
    <x v="1"/>
    <x v="1"/>
    <x v="1"/>
    <x v="3"/>
    <x v="7"/>
    <s v="221.4"/>
    <x v="6"/>
    <x v="7"/>
    <x v="5"/>
    <x v="17"/>
    <x v="6"/>
    <x v="8"/>
    <x v="15"/>
    <n v="0.74628710590793801"/>
    <x v="13"/>
    <x v="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x v="0"/>
    <x v="0"/>
    <x v="0"/>
  </r>
  <r>
    <n v="102"/>
    <x v="1"/>
    <x v="1"/>
    <x v="0"/>
    <x v="1"/>
    <x v="1"/>
    <x v="0"/>
    <x v="1"/>
    <s v="121.1"/>
    <x v="1"/>
    <x v="1"/>
    <x v="1"/>
    <x v="1"/>
    <x v="1"/>
    <x v="1"/>
    <x v="1"/>
    <x v="1"/>
    <x v="1"/>
    <x v="1"/>
  </r>
  <r>
    <n v="103"/>
    <x v="2"/>
    <x v="2"/>
    <x v="0"/>
    <x v="2"/>
    <x v="0"/>
    <x v="0"/>
    <x v="2"/>
    <s v="132.1"/>
    <x v="2"/>
    <x v="2"/>
    <x v="2"/>
    <x v="2"/>
    <x v="2"/>
    <x v="2"/>
    <x v="2"/>
    <x v="2"/>
    <x v="2"/>
    <x v="2"/>
  </r>
  <r>
    <n v="104"/>
    <x v="3"/>
    <x v="3"/>
    <x v="1"/>
    <x v="1"/>
    <x v="1"/>
    <x v="0"/>
    <x v="3"/>
    <s v="221.1"/>
    <x v="1"/>
    <x v="3"/>
    <x v="3"/>
    <x v="3"/>
    <x v="3"/>
    <x v="1"/>
    <x v="3"/>
    <x v="3"/>
    <x v="3"/>
    <x v="2"/>
  </r>
  <r>
    <n v="105"/>
    <x v="4"/>
    <x v="4"/>
    <x v="1"/>
    <x v="2"/>
    <x v="1"/>
    <x v="1"/>
    <x v="4"/>
    <s v="231.2"/>
    <x v="3"/>
    <x v="4"/>
    <x v="4"/>
    <x v="2"/>
    <x v="4"/>
    <x v="3"/>
    <x v="4"/>
    <x v="4"/>
    <x v="4"/>
    <x v="2"/>
  </r>
  <r>
    <n v="106"/>
    <x v="5"/>
    <x v="5"/>
    <x v="1"/>
    <x v="1"/>
    <x v="0"/>
    <x v="1"/>
    <x v="5"/>
    <s v="222.2"/>
    <x v="4"/>
    <x v="5"/>
    <x v="5"/>
    <x v="4"/>
    <x v="3"/>
    <x v="4"/>
    <x v="5"/>
    <x v="5"/>
    <x v="5"/>
    <x v="2"/>
  </r>
  <r>
    <n v="107"/>
    <x v="3"/>
    <x v="3"/>
    <x v="1"/>
    <x v="1"/>
    <x v="1"/>
    <x v="1"/>
    <x v="6"/>
    <s v="221.2"/>
    <x v="5"/>
    <x v="6"/>
    <x v="6"/>
    <x v="5"/>
    <x v="5"/>
    <x v="5"/>
    <x v="6"/>
    <x v="6"/>
    <x v="6"/>
    <x v="2"/>
  </r>
  <r>
    <n v="108"/>
    <x v="6"/>
    <x v="6"/>
    <x v="0"/>
    <x v="1"/>
    <x v="0"/>
    <x v="1"/>
    <x v="7"/>
    <s v="122.2"/>
    <x v="1"/>
    <x v="7"/>
    <x v="7"/>
    <x v="4"/>
    <x v="3"/>
    <x v="6"/>
    <x v="7"/>
    <x v="7"/>
    <x v="7"/>
    <x v="3"/>
  </r>
  <r>
    <n v="201"/>
    <x v="4"/>
    <x v="4"/>
    <x v="1"/>
    <x v="2"/>
    <x v="1"/>
    <x v="0"/>
    <x v="0"/>
    <s v="231.1"/>
    <x v="2"/>
    <x v="8"/>
    <x v="8"/>
    <x v="6"/>
    <x v="2"/>
    <x v="2"/>
    <x v="8"/>
    <x v="8"/>
    <x v="8"/>
    <x v="4"/>
  </r>
  <r>
    <n v="202"/>
    <x v="5"/>
    <x v="5"/>
    <x v="1"/>
    <x v="1"/>
    <x v="0"/>
    <x v="0"/>
    <x v="1"/>
    <s v="222.1"/>
    <x v="6"/>
    <x v="6"/>
    <x v="9"/>
    <x v="0"/>
    <x v="6"/>
    <x v="7"/>
    <x v="9"/>
    <x v="9"/>
    <x v="9"/>
    <x v="5"/>
  </r>
  <r>
    <n v="203"/>
    <x v="6"/>
    <x v="6"/>
    <x v="0"/>
    <x v="1"/>
    <x v="0"/>
    <x v="0"/>
    <x v="2"/>
    <s v="122.1"/>
    <x v="7"/>
    <x v="7"/>
    <x v="6"/>
    <x v="0"/>
    <x v="3"/>
    <x v="8"/>
    <x v="10"/>
    <x v="6"/>
    <x v="10"/>
    <x v="6"/>
  </r>
  <r>
    <n v="204"/>
    <x v="7"/>
    <x v="7"/>
    <x v="1"/>
    <x v="2"/>
    <x v="0"/>
    <x v="0"/>
    <x v="3"/>
    <s v="232.1"/>
    <x v="8"/>
    <x v="9"/>
    <x v="4"/>
    <x v="7"/>
    <x v="7"/>
    <x v="9"/>
    <x v="11"/>
    <x v="10"/>
    <x v="11"/>
    <x v="7"/>
  </r>
  <r>
    <n v="205"/>
    <x v="0"/>
    <x v="0"/>
    <x v="0"/>
    <x v="0"/>
    <x v="0"/>
    <x v="1"/>
    <x v="4"/>
    <s v="112.2"/>
    <x v="9"/>
    <x v="10"/>
    <x v="5"/>
    <x v="4"/>
    <x v="8"/>
    <x v="1"/>
    <x v="12"/>
    <x v="11"/>
    <x v="8"/>
    <x v="6"/>
  </r>
  <r>
    <n v="206"/>
    <x v="8"/>
    <x v="8"/>
    <x v="1"/>
    <x v="0"/>
    <x v="1"/>
    <x v="1"/>
    <x v="5"/>
    <s v="211.2"/>
    <x v="1"/>
    <x v="11"/>
    <x v="10"/>
    <x v="8"/>
    <x v="9"/>
    <x v="6"/>
    <x v="13"/>
    <x v="12"/>
    <x v="12"/>
    <x v="7"/>
  </r>
  <r>
    <n v="207"/>
    <x v="1"/>
    <x v="1"/>
    <x v="0"/>
    <x v="1"/>
    <x v="1"/>
    <x v="1"/>
    <x v="6"/>
    <s v="121.2"/>
    <x v="7"/>
    <x v="11"/>
    <x v="10"/>
    <x v="4"/>
    <x v="10"/>
    <x v="6"/>
    <x v="14"/>
    <x v="13"/>
    <x v="13"/>
    <x v="6"/>
  </r>
  <r>
    <n v="208"/>
    <x v="9"/>
    <x v="9"/>
    <x v="0"/>
    <x v="0"/>
    <x v="1"/>
    <x v="1"/>
    <x v="7"/>
    <s v="111.2"/>
    <x v="10"/>
    <x v="10"/>
    <x v="10"/>
    <x v="4"/>
    <x v="11"/>
    <x v="10"/>
    <x v="15"/>
    <x v="14"/>
    <x v="14"/>
    <x v="6"/>
  </r>
  <r>
    <n v="301"/>
    <x v="3"/>
    <x v="3"/>
    <x v="1"/>
    <x v="1"/>
    <x v="1"/>
    <x v="2"/>
    <x v="0"/>
    <s v="221.3"/>
    <x v="5"/>
    <x v="12"/>
    <x v="11"/>
    <x v="9"/>
    <x v="12"/>
    <x v="6"/>
    <x v="16"/>
    <x v="15"/>
    <x v="15"/>
    <x v="6"/>
  </r>
  <r>
    <n v="302"/>
    <x v="1"/>
    <x v="1"/>
    <x v="0"/>
    <x v="1"/>
    <x v="1"/>
    <x v="2"/>
    <x v="1"/>
    <s v="121.3"/>
    <x v="6"/>
    <x v="11"/>
    <x v="0"/>
    <x v="10"/>
    <x v="9"/>
    <x v="11"/>
    <x v="17"/>
    <x v="16"/>
    <x v="11"/>
    <x v="6"/>
  </r>
  <r>
    <n v="303"/>
    <x v="8"/>
    <x v="8"/>
    <x v="1"/>
    <x v="0"/>
    <x v="1"/>
    <x v="2"/>
    <x v="2"/>
    <s v="211.3"/>
    <x v="1"/>
    <x v="11"/>
    <x v="5"/>
    <x v="8"/>
    <x v="13"/>
    <x v="0"/>
    <x v="13"/>
    <x v="17"/>
    <x v="12"/>
    <x v="6"/>
  </r>
  <r>
    <n v="304"/>
    <x v="9"/>
    <x v="9"/>
    <x v="0"/>
    <x v="0"/>
    <x v="1"/>
    <x v="2"/>
    <x v="3"/>
    <s v="111.3"/>
    <x v="1"/>
    <x v="13"/>
    <x v="0"/>
    <x v="4"/>
    <x v="9"/>
    <x v="10"/>
    <x v="18"/>
    <x v="18"/>
    <x v="16"/>
    <x v="6"/>
  </r>
  <r>
    <n v="305"/>
    <x v="7"/>
    <x v="7"/>
    <x v="1"/>
    <x v="2"/>
    <x v="0"/>
    <x v="3"/>
    <x v="4"/>
    <s v="232.4"/>
    <x v="11"/>
    <x v="14"/>
    <x v="12"/>
    <x v="11"/>
    <x v="14"/>
    <x v="3"/>
    <x v="19"/>
    <x v="19"/>
    <x v="9"/>
    <x v="6"/>
  </r>
  <r>
    <n v="306"/>
    <x v="1"/>
    <x v="1"/>
    <x v="0"/>
    <x v="1"/>
    <x v="1"/>
    <x v="3"/>
    <x v="5"/>
    <s v="121.4"/>
    <x v="6"/>
    <x v="7"/>
    <x v="10"/>
    <x v="12"/>
    <x v="5"/>
    <x v="1"/>
    <x v="20"/>
    <x v="20"/>
    <x v="17"/>
    <x v="6"/>
  </r>
  <r>
    <n v="307"/>
    <x v="5"/>
    <x v="5"/>
    <x v="1"/>
    <x v="1"/>
    <x v="0"/>
    <x v="3"/>
    <x v="6"/>
    <s v="222.4"/>
    <x v="12"/>
    <x v="15"/>
    <x v="13"/>
    <x v="8"/>
    <x v="9"/>
    <x v="0"/>
    <x v="15"/>
    <x v="21"/>
    <x v="14"/>
    <x v="6"/>
  </r>
  <r>
    <n v="308"/>
    <x v="2"/>
    <x v="2"/>
    <x v="0"/>
    <x v="2"/>
    <x v="0"/>
    <x v="3"/>
    <x v="7"/>
    <s v="132.4"/>
    <x v="13"/>
    <x v="2"/>
    <x v="12"/>
    <x v="13"/>
    <x v="15"/>
    <x v="12"/>
    <x v="21"/>
    <x v="22"/>
    <x v="18"/>
    <x v="6"/>
  </r>
  <r>
    <n v="401"/>
    <x v="10"/>
    <x v="10"/>
    <x v="1"/>
    <x v="0"/>
    <x v="0"/>
    <x v="2"/>
    <x v="0"/>
    <s v="212.3"/>
    <x v="14"/>
    <x v="16"/>
    <x v="3"/>
    <x v="14"/>
    <x v="16"/>
    <x v="4"/>
    <x v="22"/>
    <x v="23"/>
    <x v="19"/>
    <x v="7"/>
  </r>
  <r>
    <n v="402"/>
    <x v="5"/>
    <x v="5"/>
    <x v="1"/>
    <x v="1"/>
    <x v="0"/>
    <x v="2"/>
    <x v="1"/>
    <s v="222.3"/>
    <x v="15"/>
    <x v="12"/>
    <x v="10"/>
    <x v="14"/>
    <x v="17"/>
    <x v="1"/>
    <x v="23"/>
    <x v="21"/>
    <x v="20"/>
    <x v="7"/>
  </r>
  <r>
    <n v="403"/>
    <x v="11"/>
    <x v="11"/>
    <x v="0"/>
    <x v="2"/>
    <x v="1"/>
    <x v="2"/>
    <x v="2"/>
    <s v="131.3"/>
    <x v="16"/>
    <x v="17"/>
    <x v="14"/>
    <x v="13"/>
    <x v="18"/>
    <x v="13"/>
    <x v="24"/>
    <x v="24"/>
    <x v="21"/>
    <x v="7"/>
  </r>
  <r>
    <n v="404"/>
    <x v="6"/>
    <x v="6"/>
    <x v="0"/>
    <x v="1"/>
    <x v="0"/>
    <x v="2"/>
    <x v="3"/>
    <s v="122.3"/>
    <x v="17"/>
    <x v="15"/>
    <x v="11"/>
    <x v="12"/>
    <x v="17"/>
    <x v="14"/>
    <x v="25"/>
    <x v="15"/>
    <x v="22"/>
    <x v="7"/>
  </r>
  <r>
    <n v="405"/>
    <x v="11"/>
    <x v="11"/>
    <x v="0"/>
    <x v="2"/>
    <x v="1"/>
    <x v="3"/>
    <x v="4"/>
    <s v="131.4"/>
    <x v="13"/>
    <x v="18"/>
    <x v="8"/>
    <x v="15"/>
    <x v="19"/>
    <x v="2"/>
    <x v="26"/>
    <x v="25"/>
    <x v="23"/>
    <x v="8"/>
  </r>
  <r>
    <n v="406"/>
    <x v="6"/>
    <x v="6"/>
    <x v="0"/>
    <x v="1"/>
    <x v="0"/>
    <x v="3"/>
    <x v="5"/>
    <s v="122.4"/>
    <x v="18"/>
    <x v="7"/>
    <x v="7"/>
    <x v="16"/>
    <x v="9"/>
    <x v="11"/>
    <x v="13"/>
    <x v="21"/>
    <x v="12"/>
    <x v="7"/>
  </r>
  <r>
    <n v="407"/>
    <x v="10"/>
    <x v="10"/>
    <x v="1"/>
    <x v="0"/>
    <x v="0"/>
    <x v="3"/>
    <x v="6"/>
    <s v="212.4"/>
    <x v="4"/>
    <x v="6"/>
    <x v="0"/>
    <x v="8"/>
    <x v="6"/>
    <x v="0"/>
    <x v="27"/>
    <x v="26"/>
    <x v="24"/>
    <x v="9"/>
  </r>
  <r>
    <n v="408"/>
    <x v="3"/>
    <x v="3"/>
    <x v="1"/>
    <x v="1"/>
    <x v="1"/>
    <x v="3"/>
    <x v="7"/>
    <s v="221.4"/>
    <x v="4"/>
    <x v="6"/>
    <x v="5"/>
    <x v="17"/>
    <x v="5"/>
    <x v="15"/>
    <x v="3"/>
    <x v="27"/>
    <x v="3"/>
    <x v="1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x v="0"/>
    <x v="0"/>
    <x v="0"/>
  </r>
  <r>
    <n v="102"/>
    <x v="1"/>
    <x v="1"/>
    <x v="0"/>
    <x v="1"/>
    <x v="1"/>
    <x v="0"/>
    <x v="1"/>
    <s v="121.1"/>
    <x v="1"/>
    <x v="1"/>
    <x v="1"/>
    <x v="1"/>
    <x v="1"/>
    <x v="1"/>
    <x v="1"/>
    <x v="1"/>
    <x v="1"/>
    <x v="1"/>
  </r>
  <r>
    <n v="103"/>
    <x v="2"/>
    <x v="2"/>
    <x v="0"/>
    <x v="2"/>
    <x v="0"/>
    <x v="0"/>
    <x v="2"/>
    <s v="132.1"/>
    <x v="2"/>
    <x v="2"/>
    <x v="2"/>
    <x v="2"/>
    <x v="2"/>
    <x v="2"/>
    <x v="2"/>
    <x v="2"/>
    <x v="2"/>
    <x v="2"/>
  </r>
  <r>
    <n v="104"/>
    <x v="3"/>
    <x v="3"/>
    <x v="1"/>
    <x v="1"/>
    <x v="1"/>
    <x v="0"/>
    <x v="3"/>
    <s v="221.1"/>
    <x v="1"/>
    <x v="3"/>
    <x v="3"/>
    <x v="3"/>
    <x v="3"/>
    <x v="1"/>
    <x v="3"/>
    <x v="3"/>
    <x v="3"/>
    <x v="2"/>
  </r>
  <r>
    <n v="105"/>
    <x v="4"/>
    <x v="4"/>
    <x v="1"/>
    <x v="2"/>
    <x v="1"/>
    <x v="1"/>
    <x v="4"/>
    <s v="231.2"/>
    <x v="3"/>
    <x v="4"/>
    <x v="4"/>
    <x v="2"/>
    <x v="4"/>
    <x v="3"/>
    <x v="4"/>
    <x v="4"/>
    <x v="4"/>
    <x v="2"/>
  </r>
  <r>
    <n v="106"/>
    <x v="5"/>
    <x v="5"/>
    <x v="1"/>
    <x v="1"/>
    <x v="0"/>
    <x v="1"/>
    <x v="5"/>
    <s v="222.2"/>
    <x v="4"/>
    <x v="5"/>
    <x v="5"/>
    <x v="4"/>
    <x v="3"/>
    <x v="4"/>
    <x v="5"/>
    <x v="5"/>
    <x v="5"/>
    <x v="2"/>
  </r>
  <r>
    <n v="107"/>
    <x v="3"/>
    <x v="3"/>
    <x v="1"/>
    <x v="1"/>
    <x v="1"/>
    <x v="1"/>
    <x v="6"/>
    <s v="221.2"/>
    <x v="5"/>
    <x v="6"/>
    <x v="6"/>
    <x v="5"/>
    <x v="5"/>
    <x v="5"/>
    <x v="6"/>
    <x v="6"/>
    <x v="6"/>
    <x v="2"/>
  </r>
  <r>
    <n v="108"/>
    <x v="6"/>
    <x v="6"/>
    <x v="0"/>
    <x v="1"/>
    <x v="0"/>
    <x v="1"/>
    <x v="7"/>
    <s v="122.2"/>
    <x v="1"/>
    <x v="7"/>
    <x v="7"/>
    <x v="4"/>
    <x v="3"/>
    <x v="6"/>
    <x v="7"/>
    <x v="7"/>
    <x v="7"/>
    <x v="3"/>
  </r>
  <r>
    <n v="201"/>
    <x v="4"/>
    <x v="4"/>
    <x v="1"/>
    <x v="2"/>
    <x v="1"/>
    <x v="0"/>
    <x v="0"/>
    <s v="231.1"/>
    <x v="2"/>
    <x v="8"/>
    <x v="8"/>
    <x v="6"/>
    <x v="2"/>
    <x v="2"/>
    <x v="8"/>
    <x v="8"/>
    <x v="8"/>
    <x v="4"/>
  </r>
  <r>
    <n v="202"/>
    <x v="5"/>
    <x v="5"/>
    <x v="1"/>
    <x v="1"/>
    <x v="0"/>
    <x v="0"/>
    <x v="1"/>
    <s v="222.1"/>
    <x v="6"/>
    <x v="6"/>
    <x v="9"/>
    <x v="0"/>
    <x v="6"/>
    <x v="7"/>
    <x v="9"/>
    <x v="9"/>
    <x v="9"/>
    <x v="5"/>
  </r>
  <r>
    <n v="203"/>
    <x v="6"/>
    <x v="6"/>
    <x v="0"/>
    <x v="1"/>
    <x v="0"/>
    <x v="0"/>
    <x v="2"/>
    <s v="122.1"/>
    <x v="7"/>
    <x v="7"/>
    <x v="6"/>
    <x v="0"/>
    <x v="3"/>
    <x v="8"/>
    <x v="10"/>
    <x v="6"/>
    <x v="10"/>
    <x v="6"/>
  </r>
  <r>
    <n v="204"/>
    <x v="7"/>
    <x v="7"/>
    <x v="1"/>
    <x v="2"/>
    <x v="0"/>
    <x v="0"/>
    <x v="3"/>
    <s v="232.1"/>
    <x v="8"/>
    <x v="9"/>
    <x v="4"/>
    <x v="7"/>
    <x v="7"/>
    <x v="9"/>
    <x v="11"/>
    <x v="10"/>
    <x v="11"/>
    <x v="7"/>
  </r>
  <r>
    <n v="205"/>
    <x v="0"/>
    <x v="0"/>
    <x v="0"/>
    <x v="0"/>
    <x v="0"/>
    <x v="1"/>
    <x v="4"/>
    <s v="112.2"/>
    <x v="9"/>
    <x v="10"/>
    <x v="5"/>
    <x v="4"/>
    <x v="8"/>
    <x v="1"/>
    <x v="12"/>
    <x v="11"/>
    <x v="8"/>
    <x v="6"/>
  </r>
  <r>
    <n v="206"/>
    <x v="8"/>
    <x v="8"/>
    <x v="1"/>
    <x v="0"/>
    <x v="1"/>
    <x v="1"/>
    <x v="5"/>
    <s v="211.2"/>
    <x v="1"/>
    <x v="11"/>
    <x v="10"/>
    <x v="8"/>
    <x v="9"/>
    <x v="6"/>
    <x v="13"/>
    <x v="12"/>
    <x v="12"/>
    <x v="7"/>
  </r>
  <r>
    <n v="207"/>
    <x v="1"/>
    <x v="1"/>
    <x v="0"/>
    <x v="1"/>
    <x v="1"/>
    <x v="1"/>
    <x v="6"/>
    <s v="121.2"/>
    <x v="7"/>
    <x v="11"/>
    <x v="10"/>
    <x v="4"/>
    <x v="10"/>
    <x v="6"/>
    <x v="14"/>
    <x v="13"/>
    <x v="13"/>
    <x v="6"/>
  </r>
  <r>
    <n v="208"/>
    <x v="9"/>
    <x v="9"/>
    <x v="0"/>
    <x v="0"/>
    <x v="1"/>
    <x v="1"/>
    <x v="7"/>
    <s v="111.2"/>
    <x v="10"/>
    <x v="10"/>
    <x v="10"/>
    <x v="4"/>
    <x v="11"/>
    <x v="10"/>
    <x v="15"/>
    <x v="14"/>
    <x v="14"/>
    <x v="6"/>
  </r>
  <r>
    <n v="301"/>
    <x v="3"/>
    <x v="3"/>
    <x v="1"/>
    <x v="1"/>
    <x v="1"/>
    <x v="2"/>
    <x v="0"/>
    <s v="221.3"/>
    <x v="5"/>
    <x v="12"/>
    <x v="11"/>
    <x v="9"/>
    <x v="12"/>
    <x v="6"/>
    <x v="16"/>
    <x v="15"/>
    <x v="15"/>
    <x v="6"/>
  </r>
  <r>
    <n v="302"/>
    <x v="1"/>
    <x v="1"/>
    <x v="0"/>
    <x v="1"/>
    <x v="1"/>
    <x v="2"/>
    <x v="1"/>
    <s v="121.3"/>
    <x v="6"/>
    <x v="11"/>
    <x v="0"/>
    <x v="10"/>
    <x v="9"/>
    <x v="11"/>
    <x v="17"/>
    <x v="16"/>
    <x v="11"/>
    <x v="6"/>
  </r>
  <r>
    <n v="303"/>
    <x v="8"/>
    <x v="8"/>
    <x v="1"/>
    <x v="0"/>
    <x v="1"/>
    <x v="2"/>
    <x v="2"/>
    <s v="211.3"/>
    <x v="1"/>
    <x v="11"/>
    <x v="5"/>
    <x v="8"/>
    <x v="13"/>
    <x v="0"/>
    <x v="13"/>
    <x v="17"/>
    <x v="12"/>
    <x v="6"/>
  </r>
  <r>
    <n v="304"/>
    <x v="9"/>
    <x v="9"/>
    <x v="0"/>
    <x v="0"/>
    <x v="1"/>
    <x v="2"/>
    <x v="3"/>
    <s v="111.3"/>
    <x v="1"/>
    <x v="13"/>
    <x v="0"/>
    <x v="4"/>
    <x v="9"/>
    <x v="10"/>
    <x v="18"/>
    <x v="18"/>
    <x v="16"/>
    <x v="6"/>
  </r>
  <r>
    <n v="305"/>
    <x v="7"/>
    <x v="7"/>
    <x v="1"/>
    <x v="2"/>
    <x v="0"/>
    <x v="3"/>
    <x v="4"/>
    <s v="232.4"/>
    <x v="11"/>
    <x v="14"/>
    <x v="12"/>
    <x v="11"/>
    <x v="14"/>
    <x v="3"/>
    <x v="19"/>
    <x v="19"/>
    <x v="9"/>
    <x v="6"/>
  </r>
  <r>
    <n v="306"/>
    <x v="1"/>
    <x v="1"/>
    <x v="0"/>
    <x v="1"/>
    <x v="1"/>
    <x v="3"/>
    <x v="5"/>
    <s v="121.4"/>
    <x v="6"/>
    <x v="7"/>
    <x v="10"/>
    <x v="12"/>
    <x v="5"/>
    <x v="1"/>
    <x v="20"/>
    <x v="20"/>
    <x v="17"/>
    <x v="6"/>
  </r>
  <r>
    <n v="307"/>
    <x v="5"/>
    <x v="5"/>
    <x v="1"/>
    <x v="1"/>
    <x v="0"/>
    <x v="3"/>
    <x v="6"/>
    <s v="222.4"/>
    <x v="12"/>
    <x v="15"/>
    <x v="13"/>
    <x v="8"/>
    <x v="9"/>
    <x v="0"/>
    <x v="15"/>
    <x v="21"/>
    <x v="14"/>
    <x v="6"/>
  </r>
  <r>
    <n v="308"/>
    <x v="2"/>
    <x v="2"/>
    <x v="0"/>
    <x v="2"/>
    <x v="0"/>
    <x v="3"/>
    <x v="7"/>
    <s v="132.4"/>
    <x v="13"/>
    <x v="2"/>
    <x v="12"/>
    <x v="13"/>
    <x v="15"/>
    <x v="12"/>
    <x v="21"/>
    <x v="22"/>
    <x v="18"/>
    <x v="6"/>
  </r>
  <r>
    <n v="401"/>
    <x v="10"/>
    <x v="10"/>
    <x v="1"/>
    <x v="0"/>
    <x v="0"/>
    <x v="2"/>
    <x v="0"/>
    <s v="212.3"/>
    <x v="14"/>
    <x v="16"/>
    <x v="3"/>
    <x v="14"/>
    <x v="16"/>
    <x v="4"/>
    <x v="22"/>
    <x v="23"/>
    <x v="19"/>
    <x v="7"/>
  </r>
  <r>
    <n v="402"/>
    <x v="5"/>
    <x v="5"/>
    <x v="1"/>
    <x v="1"/>
    <x v="0"/>
    <x v="2"/>
    <x v="1"/>
    <s v="222.3"/>
    <x v="15"/>
    <x v="12"/>
    <x v="10"/>
    <x v="14"/>
    <x v="17"/>
    <x v="1"/>
    <x v="23"/>
    <x v="21"/>
    <x v="20"/>
    <x v="7"/>
  </r>
  <r>
    <n v="403"/>
    <x v="11"/>
    <x v="11"/>
    <x v="0"/>
    <x v="2"/>
    <x v="1"/>
    <x v="2"/>
    <x v="2"/>
    <s v="131.3"/>
    <x v="16"/>
    <x v="17"/>
    <x v="14"/>
    <x v="13"/>
    <x v="18"/>
    <x v="13"/>
    <x v="24"/>
    <x v="24"/>
    <x v="21"/>
    <x v="7"/>
  </r>
  <r>
    <n v="404"/>
    <x v="6"/>
    <x v="6"/>
    <x v="0"/>
    <x v="1"/>
    <x v="0"/>
    <x v="2"/>
    <x v="3"/>
    <s v="122.3"/>
    <x v="17"/>
    <x v="15"/>
    <x v="11"/>
    <x v="12"/>
    <x v="17"/>
    <x v="14"/>
    <x v="25"/>
    <x v="15"/>
    <x v="22"/>
    <x v="7"/>
  </r>
  <r>
    <n v="405"/>
    <x v="11"/>
    <x v="11"/>
    <x v="0"/>
    <x v="2"/>
    <x v="1"/>
    <x v="3"/>
    <x v="4"/>
    <s v="131.4"/>
    <x v="13"/>
    <x v="18"/>
    <x v="8"/>
    <x v="15"/>
    <x v="19"/>
    <x v="2"/>
    <x v="26"/>
    <x v="25"/>
    <x v="23"/>
    <x v="8"/>
  </r>
  <r>
    <n v="406"/>
    <x v="6"/>
    <x v="6"/>
    <x v="0"/>
    <x v="1"/>
    <x v="0"/>
    <x v="3"/>
    <x v="5"/>
    <s v="122.4"/>
    <x v="18"/>
    <x v="7"/>
    <x v="7"/>
    <x v="16"/>
    <x v="9"/>
    <x v="11"/>
    <x v="13"/>
    <x v="21"/>
    <x v="12"/>
    <x v="7"/>
  </r>
  <r>
    <n v="407"/>
    <x v="10"/>
    <x v="10"/>
    <x v="1"/>
    <x v="0"/>
    <x v="0"/>
    <x v="3"/>
    <x v="6"/>
    <s v="212.4"/>
    <x v="4"/>
    <x v="6"/>
    <x v="0"/>
    <x v="8"/>
    <x v="6"/>
    <x v="0"/>
    <x v="27"/>
    <x v="26"/>
    <x v="24"/>
    <x v="9"/>
  </r>
  <r>
    <n v="408"/>
    <x v="3"/>
    <x v="3"/>
    <x v="1"/>
    <x v="1"/>
    <x v="1"/>
    <x v="3"/>
    <x v="7"/>
    <s v="221.4"/>
    <x v="4"/>
    <x v="6"/>
    <x v="5"/>
    <x v="17"/>
    <x v="5"/>
    <x v="15"/>
    <x v="3"/>
    <x v="27"/>
    <x v="3"/>
    <x v="1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x v="0"/>
    <x v="0"/>
    <x v="0"/>
    <s v="112.1"/>
    <x v="0"/>
    <x v="0"/>
    <x v="0"/>
    <x v="0"/>
    <x v="0"/>
    <x v="0"/>
    <x v="0"/>
    <x v="0"/>
    <x v="0"/>
    <x v="0"/>
  </r>
  <r>
    <x v="1"/>
    <x v="1"/>
    <x v="1"/>
    <x v="0"/>
    <x v="1"/>
    <x v="1"/>
    <x v="0"/>
    <x v="1"/>
    <s v="121.1"/>
    <x v="1"/>
    <x v="1"/>
    <x v="1"/>
    <x v="1"/>
    <x v="1"/>
    <x v="1"/>
    <x v="1"/>
    <x v="1"/>
    <x v="1"/>
    <x v="0"/>
  </r>
  <r>
    <x v="2"/>
    <x v="2"/>
    <x v="2"/>
    <x v="0"/>
    <x v="2"/>
    <x v="0"/>
    <x v="0"/>
    <x v="2"/>
    <s v="132.1"/>
    <x v="2"/>
    <x v="2"/>
    <x v="2"/>
    <x v="2"/>
    <x v="2"/>
    <x v="2"/>
    <x v="2"/>
    <x v="2"/>
    <x v="2"/>
    <x v="0"/>
  </r>
  <r>
    <x v="3"/>
    <x v="3"/>
    <x v="3"/>
    <x v="1"/>
    <x v="1"/>
    <x v="1"/>
    <x v="0"/>
    <x v="3"/>
    <s v="221.1"/>
    <x v="3"/>
    <x v="3"/>
    <x v="3"/>
    <x v="3"/>
    <x v="3"/>
    <x v="3"/>
    <x v="3"/>
    <x v="3"/>
    <x v="3"/>
    <x v="0"/>
  </r>
  <r>
    <x v="4"/>
    <x v="4"/>
    <x v="4"/>
    <x v="1"/>
    <x v="2"/>
    <x v="1"/>
    <x v="1"/>
    <x v="4"/>
    <s v="231.2"/>
    <x v="4"/>
    <x v="4"/>
    <x v="4"/>
    <x v="4"/>
    <x v="4"/>
    <x v="2"/>
    <x v="4"/>
    <x v="4"/>
    <x v="4"/>
    <x v="0"/>
  </r>
  <r>
    <x v="5"/>
    <x v="5"/>
    <x v="5"/>
    <x v="1"/>
    <x v="1"/>
    <x v="0"/>
    <x v="1"/>
    <x v="5"/>
    <s v="222.2"/>
    <x v="5"/>
    <x v="5"/>
    <x v="5"/>
    <x v="5"/>
    <x v="1"/>
    <x v="4"/>
    <x v="5"/>
    <x v="5"/>
    <x v="5"/>
    <x v="0"/>
  </r>
  <r>
    <x v="6"/>
    <x v="3"/>
    <x v="3"/>
    <x v="1"/>
    <x v="1"/>
    <x v="1"/>
    <x v="1"/>
    <x v="6"/>
    <s v="221.2"/>
    <x v="6"/>
    <x v="6"/>
    <x v="3"/>
    <x v="6"/>
    <x v="5"/>
    <x v="5"/>
    <x v="6"/>
    <x v="6"/>
    <x v="6"/>
    <x v="0"/>
  </r>
  <r>
    <x v="7"/>
    <x v="6"/>
    <x v="6"/>
    <x v="0"/>
    <x v="1"/>
    <x v="0"/>
    <x v="1"/>
    <x v="7"/>
    <s v="122.2"/>
    <x v="7"/>
    <x v="7"/>
    <x v="5"/>
    <x v="6"/>
    <x v="3"/>
    <x v="6"/>
    <x v="7"/>
    <x v="7"/>
    <x v="7"/>
    <x v="0"/>
  </r>
  <r>
    <x v="8"/>
    <x v="4"/>
    <x v="4"/>
    <x v="1"/>
    <x v="2"/>
    <x v="1"/>
    <x v="0"/>
    <x v="0"/>
    <s v="231.1"/>
    <x v="8"/>
    <x v="8"/>
    <x v="6"/>
    <x v="7"/>
    <x v="6"/>
    <x v="7"/>
    <x v="8"/>
    <x v="8"/>
    <x v="8"/>
    <x v="0"/>
  </r>
  <r>
    <x v="9"/>
    <x v="5"/>
    <x v="5"/>
    <x v="1"/>
    <x v="1"/>
    <x v="0"/>
    <x v="0"/>
    <x v="1"/>
    <s v="222.1"/>
    <x v="9"/>
    <x v="6"/>
    <x v="7"/>
    <x v="8"/>
    <x v="7"/>
    <x v="8"/>
    <x v="9"/>
    <x v="9"/>
    <x v="9"/>
    <x v="0"/>
  </r>
  <r>
    <x v="10"/>
    <x v="6"/>
    <x v="6"/>
    <x v="0"/>
    <x v="1"/>
    <x v="0"/>
    <x v="0"/>
    <x v="2"/>
    <s v="122.1"/>
    <x v="10"/>
    <x v="3"/>
    <x v="3"/>
    <x v="1"/>
    <x v="8"/>
    <x v="9"/>
    <x v="10"/>
    <x v="10"/>
    <x v="10"/>
    <x v="0"/>
  </r>
  <r>
    <x v="11"/>
    <x v="7"/>
    <x v="7"/>
    <x v="1"/>
    <x v="2"/>
    <x v="0"/>
    <x v="0"/>
    <x v="3"/>
    <s v="232.1"/>
    <x v="11"/>
    <x v="9"/>
    <x v="8"/>
    <x v="9"/>
    <x v="9"/>
    <x v="10"/>
    <x v="11"/>
    <x v="11"/>
    <x v="11"/>
    <x v="0"/>
  </r>
  <r>
    <x v="12"/>
    <x v="0"/>
    <x v="0"/>
    <x v="0"/>
    <x v="0"/>
    <x v="0"/>
    <x v="1"/>
    <x v="4"/>
    <s v="112.2"/>
    <x v="12"/>
    <x v="10"/>
    <x v="9"/>
    <x v="10"/>
    <x v="1"/>
    <x v="0"/>
    <x v="12"/>
    <x v="12"/>
    <x v="12"/>
    <x v="0"/>
  </r>
  <r>
    <x v="13"/>
    <x v="8"/>
    <x v="8"/>
    <x v="1"/>
    <x v="0"/>
    <x v="1"/>
    <x v="1"/>
    <x v="5"/>
    <s v="211.2"/>
    <x v="9"/>
    <x v="0"/>
    <x v="0"/>
    <x v="11"/>
    <x v="10"/>
    <x v="1"/>
    <x v="13"/>
    <x v="13"/>
    <x v="13"/>
    <x v="0"/>
  </r>
  <r>
    <x v="14"/>
    <x v="1"/>
    <x v="1"/>
    <x v="0"/>
    <x v="1"/>
    <x v="1"/>
    <x v="1"/>
    <x v="6"/>
    <s v="121.2"/>
    <x v="10"/>
    <x v="6"/>
    <x v="10"/>
    <x v="12"/>
    <x v="11"/>
    <x v="4"/>
    <x v="14"/>
    <x v="14"/>
    <x v="14"/>
    <x v="0"/>
  </r>
  <r>
    <x v="15"/>
    <x v="9"/>
    <x v="9"/>
    <x v="0"/>
    <x v="0"/>
    <x v="1"/>
    <x v="1"/>
    <x v="7"/>
    <s v="111.2"/>
    <x v="1"/>
    <x v="7"/>
    <x v="10"/>
    <x v="6"/>
    <x v="12"/>
    <x v="11"/>
    <x v="15"/>
    <x v="15"/>
    <x v="15"/>
    <x v="0"/>
  </r>
  <r>
    <x v="16"/>
    <x v="3"/>
    <x v="3"/>
    <x v="1"/>
    <x v="1"/>
    <x v="1"/>
    <x v="2"/>
    <x v="0"/>
    <s v="221.3"/>
    <x v="13"/>
    <x v="5"/>
    <x v="11"/>
    <x v="10"/>
    <x v="7"/>
    <x v="3"/>
    <x v="13"/>
    <x v="16"/>
    <x v="13"/>
    <x v="0"/>
  </r>
  <r>
    <x v="17"/>
    <x v="1"/>
    <x v="1"/>
    <x v="0"/>
    <x v="1"/>
    <x v="1"/>
    <x v="2"/>
    <x v="1"/>
    <s v="121.3"/>
    <x v="14"/>
    <x v="6"/>
    <x v="12"/>
    <x v="10"/>
    <x v="11"/>
    <x v="8"/>
    <x v="16"/>
    <x v="17"/>
    <x v="16"/>
    <x v="0"/>
  </r>
  <r>
    <x v="18"/>
    <x v="8"/>
    <x v="8"/>
    <x v="1"/>
    <x v="0"/>
    <x v="1"/>
    <x v="2"/>
    <x v="2"/>
    <s v="211.3"/>
    <x v="1"/>
    <x v="6"/>
    <x v="9"/>
    <x v="13"/>
    <x v="10"/>
    <x v="12"/>
    <x v="17"/>
    <x v="18"/>
    <x v="17"/>
    <x v="0"/>
  </r>
  <r>
    <x v="19"/>
    <x v="9"/>
    <x v="9"/>
    <x v="0"/>
    <x v="0"/>
    <x v="1"/>
    <x v="2"/>
    <x v="3"/>
    <s v="111.3"/>
    <x v="9"/>
    <x v="11"/>
    <x v="13"/>
    <x v="12"/>
    <x v="13"/>
    <x v="6"/>
    <x v="17"/>
    <x v="19"/>
    <x v="17"/>
    <x v="0"/>
  </r>
  <r>
    <x v="20"/>
    <x v="7"/>
    <x v="7"/>
    <x v="1"/>
    <x v="2"/>
    <x v="0"/>
    <x v="3"/>
    <x v="4"/>
    <s v="232.4"/>
    <x v="15"/>
    <x v="12"/>
    <x v="14"/>
    <x v="14"/>
    <x v="14"/>
    <x v="13"/>
    <x v="18"/>
    <x v="20"/>
    <x v="18"/>
    <x v="0"/>
  </r>
  <r>
    <x v="21"/>
    <x v="1"/>
    <x v="1"/>
    <x v="0"/>
    <x v="1"/>
    <x v="1"/>
    <x v="3"/>
    <x v="5"/>
    <s v="121.4"/>
    <x v="16"/>
    <x v="3"/>
    <x v="5"/>
    <x v="15"/>
    <x v="15"/>
    <x v="5"/>
    <x v="19"/>
    <x v="21"/>
    <x v="19"/>
    <x v="0"/>
  </r>
  <r>
    <x v="22"/>
    <x v="5"/>
    <x v="5"/>
    <x v="1"/>
    <x v="1"/>
    <x v="0"/>
    <x v="3"/>
    <x v="6"/>
    <s v="222.4"/>
    <x v="7"/>
    <x v="7"/>
    <x v="10"/>
    <x v="16"/>
    <x v="16"/>
    <x v="14"/>
    <x v="20"/>
    <x v="22"/>
    <x v="20"/>
    <x v="0"/>
  </r>
  <r>
    <x v="23"/>
    <x v="2"/>
    <x v="2"/>
    <x v="0"/>
    <x v="2"/>
    <x v="0"/>
    <x v="3"/>
    <x v="7"/>
    <s v="132.4"/>
    <x v="15"/>
    <x v="13"/>
    <x v="8"/>
    <x v="17"/>
    <x v="17"/>
    <x v="15"/>
    <x v="21"/>
    <x v="23"/>
    <x v="21"/>
    <x v="0"/>
  </r>
  <r>
    <x v="24"/>
    <x v="10"/>
    <x v="10"/>
    <x v="1"/>
    <x v="0"/>
    <x v="0"/>
    <x v="2"/>
    <x v="0"/>
    <s v="212.3"/>
    <x v="3"/>
    <x v="14"/>
    <x v="15"/>
    <x v="6"/>
    <x v="7"/>
    <x v="8"/>
    <x v="22"/>
    <x v="24"/>
    <x v="22"/>
    <x v="0"/>
  </r>
  <r>
    <x v="25"/>
    <x v="5"/>
    <x v="5"/>
    <x v="1"/>
    <x v="1"/>
    <x v="0"/>
    <x v="2"/>
    <x v="1"/>
    <s v="222.3"/>
    <x v="17"/>
    <x v="5"/>
    <x v="15"/>
    <x v="3"/>
    <x v="8"/>
    <x v="8"/>
    <x v="9"/>
    <x v="25"/>
    <x v="9"/>
    <x v="0"/>
  </r>
  <r>
    <x v="26"/>
    <x v="11"/>
    <x v="11"/>
    <x v="0"/>
    <x v="2"/>
    <x v="1"/>
    <x v="2"/>
    <x v="2"/>
    <s v="131.3"/>
    <x v="18"/>
    <x v="15"/>
    <x v="16"/>
    <x v="18"/>
    <x v="9"/>
    <x v="16"/>
    <x v="23"/>
    <x v="26"/>
    <x v="9"/>
    <x v="0"/>
  </r>
  <r>
    <x v="27"/>
    <x v="6"/>
    <x v="6"/>
    <x v="0"/>
    <x v="1"/>
    <x v="0"/>
    <x v="2"/>
    <x v="3"/>
    <s v="122.3"/>
    <x v="17"/>
    <x v="7"/>
    <x v="0"/>
    <x v="11"/>
    <x v="5"/>
    <x v="17"/>
    <x v="24"/>
    <x v="27"/>
    <x v="23"/>
    <x v="0"/>
  </r>
  <r>
    <x v="28"/>
    <x v="11"/>
    <x v="11"/>
    <x v="0"/>
    <x v="2"/>
    <x v="1"/>
    <x v="3"/>
    <x v="4"/>
    <s v="131.4"/>
    <x v="19"/>
    <x v="12"/>
    <x v="16"/>
    <x v="19"/>
    <x v="18"/>
    <x v="18"/>
    <x v="25"/>
    <x v="28"/>
    <x v="24"/>
    <x v="0"/>
  </r>
  <r>
    <x v="29"/>
    <x v="6"/>
    <x v="6"/>
    <x v="0"/>
    <x v="1"/>
    <x v="0"/>
    <x v="3"/>
    <x v="5"/>
    <s v="122.4"/>
    <x v="7"/>
    <x v="3"/>
    <x v="17"/>
    <x v="20"/>
    <x v="11"/>
    <x v="8"/>
    <x v="16"/>
    <x v="29"/>
    <x v="16"/>
    <x v="0"/>
  </r>
  <r>
    <x v="30"/>
    <x v="10"/>
    <x v="10"/>
    <x v="1"/>
    <x v="0"/>
    <x v="0"/>
    <x v="3"/>
    <x v="6"/>
    <s v="212.4"/>
    <x v="5"/>
    <x v="3"/>
    <x v="13"/>
    <x v="15"/>
    <x v="19"/>
    <x v="19"/>
    <x v="26"/>
    <x v="30"/>
    <x v="25"/>
    <x v="0"/>
  </r>
  <r>
    <x v="31"/>
    <x v="3"/>
    <x v="3"/>
    <x v="1"/>
    <x v="1"/>
    <x v="1"/>
    <x v="3"/>
    <x v="7"/>
    <s v="221.4"/>
    <x v="14"/>
    <x v="14"/>
    <x v="13"/>
    <x v="16"/>
    <x v="15"/>
    <x v="9"/>
    <x v="27"/>
    <x v="31"/>
    <x v="26"/>
    <x v="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n v="1.2018504251546629"/>
    <x v="0"/>
    <x v="0"/>
    <x v="0"/>
  </r>
  <r>
    <n v="102"/>
    <x v="1"/>
    <x v="1"/>
    <x v="0"/>
    <x v="1"/>
    <x v="1"/>
    <x v="0"/>
    <x v="1"/>
    <s v="121.1"/>
    <x v="1"/>
    <x v="1"/>
    <x v="1"/>
    <x v="1"/>
    <x v="1"/>
    <x v="1"/>
    <x v="1"/>
    <n v="1.1761519176251567"/>
    <x v="1"/>
    <x v="0"/>
    <x v="0"/>
  </r>
  <r>
    <n v="103"/>
    <x v="2"/>
    <x v="2"/>
    <x v="0"/>
    <x v="2"/>
    <x v="0"/>
    <x v="0"/>
    <x v="2"/>
    <s v="132.1"/>
    <x v="2"/>
    <x v="2"/>
    <x v="2"/>
    <x v="2"/>
    <x v="2"/>
    <x v="2"/>
    <x v="2"/>
    <n v="0.72360977820308392"/>
    <x v="2"/>
    <x v="0"/>
    <x v="0"/>
  </r>
  <r>
    <n v="104"/>
    <x v="3"/>
    <x v="3"/>
    <x v="1"/>
    <x v="1"/>
    <x v="1"/>
    <x v="0"/>
    <x v="3"/>
    <s v="221.1"/>
    <x v="3"/>
    <x v="3"/>
    <x v="3"/>
    <x v="3"/>
    <x v="3"/>
    <x v="3"/>
    <x v="3"/>
    <n v="0.55777335102271819"/>
    <x v="3"/>
    <x v="0"/>
    <x v="0"/>
  </r>
  <r>
    <n v="105"/>
    <x v="4"/>
    <x v="4"/>
    <x v="1"/>
    <x v="2"/>
    <x v="1"/>
    <x v="1"/>
    <x v="4"/>
    <s v="231.2"/>
    <x v="4"/>
    <x v="4"/>
    <x v="4"/>
    <x v="4"/>
    <x v="4"/>
    <x v="2"/>
    <x v="4"/>
    <n v="0.75277265270908111"/>
    <x v="4"/>
    <x v="0"/>
    <x v="0"/>
  </r>
  <r>
    <n v="106"/>
    <x v="5"/>
    <x v="5"/>
    <x v="1"/>
    <x v="1"/>
    <x v="0"/>
    <x v="1"/>
    <x v="5"/>
    <s v="222.2"/>
    <x v="5"/>
    <x v="5"/>
    <x v="5"/>
    <x v="5"/>
    <x v="1"/>
    <x v="4"/>
    <x v="5"/>
    <n v="0.74628710590793801"/>
    <x v="5"/>
    <x v="0"/>
    <x v="0"/>
  </r>
  <r>
    <n v="107"/>
    <x v="3"/>
    <x v="3"/>
    <x v="1"/>
    <x v="1"/>
    <x v="1"/>
    <x v="1"/>
    <x v="6"/>
    <s v="221.2"/>
    <x v="6"/>
    <x v="6"/>
    <x v="3"/>
    <x v="6"/>
    <x v="5"/>
    <x v="5"/>
    <x v="6"/>
    <n v="0.62472216046637807"/>
    <x v="6"/>
    <x v="0"/>
    <x v="0"/>
  </r>
  <r>
    <n v="108"/>
    <x v="6"/>
    <x v="6"/>
    <x v="0"/>
    <x v="1"/>
    <x v="0"/>
    <x v="1"/>
    <x v="7"/>
    <s v="122.2"/>
    <x v="7"/>
    <x v="7"/>
    <x v="5"/>
    <x v="6"/>
    <x v="3"/>
    <x v="6"/>
    <x v="7"/>
    <n v="0.25"/>
    <x v="7"/>
    <x v="0"/>
    <x v="0"/>
  </r>
  <r>
    <n v="201"/>
    <x v="4"/>
    <x v="4"/>
    <x v="1"/>
    <x v="2"/>
    <x v="1"/>
    <x v="0"/>
    <x v="0"/>
    <s v="231.1"/>
    <x v="8"/>
    <x v="8"/>
    <x v="6"/>
    <x v="7"/>
    <x v="6"/>
    <x v="7"/>
    <x v="8"/>
    <n v="1.0723805294763609"/>
    <x v="8"/>
    <x v="0"/>
    <x v="1"/>
  </r>
  <r>
    <n v="202"/>
    <x v="5"/>
    <x v="5"/>
    <x v="1"/>
    <x v="1"/>
    <x v="0"/>
    <x v="0"/>
    <x v="1"/>
    <s v="222.1"/>
    <x v="9"/>
    <x v="6"/>
    <x v="7"/>
    <x v="8"/>
    <x v="7"/>
    <x v="8"/>
    <x v="9"/>
    <n v="1.1648795836671042"/>
    <x v="9"/>
    <x v="0"/>
    <x v="1"/>
  </r>
  <r>
    <n v="203"/>
    <x v="6"/>
    <x v="6"/>
    <x v="0"/>
    <x v="1"/>
    <x v="0"/>
    <x v="0"/>
    <x v="2"/>
    <s v="122.1"/>
    <x v="10"/>
    <x v="3"/>
    <x v="3"/>
    <x v="1"/>
    <x v="8"/>
    <x v="9"/>
    <x v="10"/>
    <n v="0.84327404271156869"/>
    <x v="10"/>
    <x v="0"/>
    <x v="1"/>
  </r>
  <r>
    <n v="204"/>
    <x v="7"/>
    <x v="7"/>
    <x v="1"/>
    <x v="2"/>
    <x v="0"/>
    <x v="0"/>
    <x v="3"/>
    <s v="232.1"/>
    <x v="11"/>
    <x v="9"/>
    <x v="8"/>
    <x v="9"/>
    <x v="9"/>
    <x v="10"/>
    <x v="11"/>
    <n v="0.47287536530370894"/>
    <x v="11"/>
    <x v="0"/>
    <x v="1"/>
  </r>
  <r>
    <n v="205"/>
    <x v="0"/>
    <x v="0"/>
    <x v="0"/>
    <x v="0"/>
    <x v="0"/>
    <x v="1"/>
    <x v="4"/>
    <s v="112.2"/>
    <x v="12"/>
    <x v="10"/>
    <x v="9"/>
    <x v="10"/>
    <x v="1"/>
    <x v="0"/>
    <x v="12"/>
    <n v="1.0381607668264965"/>
    <x v="12"/>
    <x v="0"/>
    <x v="1"/>
  </r>
  <r>
    <n v="206"/>
    <x v="8"/>
    <x v="8"/>
    <x v="1"/>
    <x v="0"/>
    <x v="1"/>
    <x v="1"/>
    <x v="5"/>
    <s v="211.2"/>
    <x v="9"/>
    <x v="0"/>
    <x v="0"/>
    <x v="11"/>
    <x v="10"/>
    <x v="1"/>
    <x v="13"/>
    <n v="0.58807595881257835"/>
    <x v="13"/>
    <x v="0"/>
    <x v="1"/>
  </r>
  <r>
    <n v="207"/>
    <x v="1"/>
    <x v="1"/>
    <x v="0"/>
    <x v="1"/>
    <x v="1"/>
    <x v="1"/>
    <x v="6"/>
    <s v="121.2"/>
    <x v="10"/>
    <x v="6"/>
    <x v="10"/>
    <x v="12"/>
    <x v="11"/>
    <x v="4"/>
    <x v="14"/>
    <n v="0.44721359549995793"/>
    <x v="14"/>
    <x v="0"/>
    <x v="1"/>
  </r>
  <r>
    <n v="208"/>
    <x v="9"/>
    <x v="9"/>
    <x v="0"/>
    <x v="0"/>
    <x v="1"/>
    <x v="1"/>
    <x v="7"/>
    <s v="111.2"/>
    <x v="1"/>
    <x v="7"/>
    <x v="10"/>
    <x v="6"/>
    <x v="12"/>
    <x v="11"/>
    <x v="15"/>
    <n v="0.7120003121097952"/>
    <x v="15"/>
    <x v="0"/>
    <x v="1"/>
  </r>
  <r>
    <n v="301"/>
    <x v="3"/>
    <x v="3"/>
    <x v="1"/>
    <x v="1"/>
    <x v="1"/>
    <x v="2"/>
    <x v="0"/>
    <s v="221.3"/>
    <x v="13"/>
    <x v="5"/>
    <x v="11"/>
    <x v="10"/>
    <x v="7"/>
    <x v="3"/>
    <x v="13"/>
    <n v="0.71589105316381774"/>
    <x v="13"/>
    <x v="0"/>
    <x v="2"/>
  </r>
  <r>
    <n v="302"/>
    <x v="1"/>
    <x v="1"/>
    <x v="0"/>
    <x v="1"/>
    <x v="1"/>
    <x v="2"/>
    <x v="1"/>
    <s v="121.3"/>
    <x v="14"/>
    <x v="6"/>
    <x v="12"/>
    <x v="10"/>
    <x v="11"/>
    <x v="8"/>
    <x v="16"/>
    <n v="0.57735026918962584"/>
    <x v="16"/>
    <x v="0"/>
    <x v="2"/>
  </r>
  <r>
    <n v="303"/>
    <x v="8"/>
    <x v="8"/>
    <x v="1"/>
    <x v="0"/>
    <x v="1"/>
    <x v="2"/>
    <x v="2"/>
    <s v="211.3"/>
    <x v="1"/>
    <x v="6"/>
    <x v="9"/>
    <x v="13"/>
    <x v="10"/>
    <x v="12"/>
    <x v="17"/>
    <n v="0.65085413965888894"/>
    <x v="17"/>
    <x v="0"/>
    <x v="2"/>
  </r>
  <r>
    <n v="304"/>
    <x v="9"/>
    <x v="9"/>
    <x v="0"/>
    <x v="0"/>
    <x v="1"/>
    <x v="2"/>
    <x v="3"/>
    <s v="111.3"/>
    <x v="9"/>
    <x v="11"/>
    <x v="13"/>
    <x v="12"/>
    <x v="13"/>
    <x v="6"/>
    <x v="17"/>
    <n v="0.41666666666666829"/>
    <x v="17"/>
    <x v="0"/>
    <x v="2"/>
  </r>
  <r>
    <n v="305"/>
    <x v="7"/>
    <x v="7"/>
    <x v="1"/>
    <x v="2"/>
    <x v="0"/>
    <x v="3"/>
    <x v="4"/>
    <s v="232.4"/>
    <x v="15"/>
    <x v="12"/>
    <x v="14"/>
    <x v="14"/>
    <x v="14"/>
    <x v="13"/>
    <x v="18"/>
    <n v="0.72648315725677204"/>
    <x v="18"/>
    <x v="0"/>
    <x v="2"/>
  </r>
  <r>
    <n v="306"/>
    <x v="1"/>
    <x v="1"/>
    <x v="0"/>
    <x v="1"/>
    <x v="1"/>
    <x v="3"/>
    <x v="5"/>
    <s v="121.4"/>
    <x v="16"/>
    <x v="3"/>
    <x v="5"/>
    <x v="15"/>
    <x v="15"/>
    <x v="5"/>
    <x v="19"/>
    <n v="0.38188130791298669"/>
    <x v="19"/>
    <x v="0"/>
    <x v="2"/>
  </r>
  <r>
    <n v="307"/>
    <x v="5"/>
    <x v="5"/>
    <x v="1"/>
    <x v="1"/>
    <x v="0"/>
    <x v="3"/>
    <x v="6"/>
    <s v="222.4"/>
    <x v="7"/>
    <x v="7"/>
    <x v="10"/>
    <x v="16"/>
    <x v="16"/>
    <x v="14"/>
    <x v="20"/>
    <n v="0.6379219736334889"/>
    <x v="20"/>
    <x v="0"/>
    <x v="2"/>
  </r>
  <r>
    <n v="308"/>
    <x v="2"/>
    <x v="2"/>
    <x v="0"/>
    <x v="2"/>
    <x v="0"/>
    <x v="3"/>
    <x v="7"/>
    <s v="132.4"/>
    <x v="15"/>
    <x v="13"/>
    <x v="8"/>
    <x v="17"/>
    <x v="17"/>
    <x v="15"/>
    <x v="21"/>
    <n v="1.4491376746189439"/>
    <x v="21"/>
    <x v="0"/>
    <x v="2"/>
  </r>
  <r>
    <n v="401"/>
    <x v="10"/>
    <x v="10"/>
    <x v="1"/>
    <x v="0"/>
    <x v="0"/>
    <x v="2"/>
    <x v="0"/>
    <s v="212.3"/>
    <x v="3"/>
    <x v="14"/>
    <x v="15"/>
    <x v="6"/>
    <x v="7"/>
    <x v="8"/>
    <x v="22"/>
    <n v="0.38005847503304768"/>
    <x v="22"/>
    <x v="0"/>
    <x v="3"/>
  </r>
  <r>
    <n v="402"/>
    <x v="5"/>
    <x v="5"/>
    <x v="1"/>
    <x v="1"/>
    <x v="0"/>
    <x v="2"/>
    <x v="1"/>
    <s v="222.3"/>
    <x v="17"/>
    <x v="5"/>
    <x v="15"/>
    <x v="3"/>
    <x v="8"/>
    <x v="8"/>
    <x v="9"/>
    <n v="0.75737118450011853"/>
    <x v="9"/>
    <x v="0"/>
    <x v="3"/>
  </r>
  <r>
    <n v="403"/>
    <x v="11"/>
    <x v="11"/>
    <x v="0"/>
    <x v="2"/>
    <x v="1"/>
    <x v="2"/>
    <x v="2"/>
    <s v="131.3"/>
    <x v="18"/>
    <x v="15"/>
    <x v="16"/>
    <x v="18"/>
    <x v="9"/>
    <x v="16"/>
    <x v="23"/>
    <n v="0.98882646494609117"/>
    <x v="9"/>
    <x v="0"/>
    <x v="3"/>
  </r>
  <r>
    <n v="404"/>
    <x v="6"/>
    <x v="6"/>
    <x v="0"/>
    <x v="1"/>
    <x v="0"/>
    <x v="2"/>
    <x v="3"/>
    <s v="122.3"/>
    <x v="17"/>
    <x v="7"/>
    <x v="0"/>
    <x v="11"/>
    <x v="5"/>
    <x v="17"/>
    <x v="24"/>
    <n v="0.61913918736689033"/>
    <x v="23"/>
    <x v="0"/>
    <x v="3"/>
  </r>
  <r>
    <n v="405"/>
    <x v="11"/>
    <x v="11"/>
    <x v="0"/>
    <x v="2"/>
    <x v="1"/>
    <x v="3"/>
    <x v="4"/>
    <s v="131.4"/>
    <x v="19"/>
    <x v="12"/>
    <x v="16"/>
    <x v="19"/>
    <x v="18"/>
    <x v="18"/>
    <x v="25"/>
    <n v="0.98671734104104825"/>
    <x v="24"/>
    <x v="0"/>
    <x v="3"/>
  </r>
  <r>
    <n v="406"/>
    <x v="6"/>
    <x v="6"/>
    <x v="0"/>
    <x v="1"/>
    <x v="0"/>
    <x v="3"/>
    <x v="5"/>
    <s v="122.4"/>
    <x v="7"/>
    <x v="3"/>
    <x v="17"/>
    <x v="20"/>
    <x v="11"/>
    <x v="8"/>
    <x v="16"/>
    <n v="0.70710678118654757"/>
    <x v="16"/>
    <x v="0"/>
    <x v="3"/>
  </r>
  <r>
    <n v="407"/>
    <x v="10"/>
    <x v="10"/>
    <x v="1"/>
    <x v="0"/>
    <x v="0"/>
    <x v="3"/>
    <x v="6"/>
    <s v="212.4"/>
    <x v="5"/>
    <x v="3"/>
    <x v="13"/>
    <x v="15"/>
    <x v="19"/>
    <x v="19"/>
    <x v="26"/>
    <n v="0.66770752080033768"/>
    <x v="25"/>
    <x v="0"/>
    <x v="3"/>
  </r>
  <r>
    <n v="408"/>
    <x v="3"/>
    <x v="3"/>
    <x v="1"/>
    <x v="1"/>
    <x v="1"/>
    <x v="3"/>
    <x v="7"/>
    <s v="221.4"/>
    <x v="14"/>
    <x v="14"/>
    <x v="13"/>
    <x v="16"/>
    <x v="15"/>
    <x v="9"/>
    <x v="27"/>
    <n v="0.90753022600413291"/>
    <x v="26"/>
    <x v="0"/>
    <x v="3"/>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x v="0"/>
    <x v="0"/>
    <x v="0"/>
    <s v="112.1"/>
    <x v="0"/>
    <x v="0"/>
    <x v="0"/>
    <x v="0"/>
    <x v="0"/>
    <x v="0"/>
    <x v="0"/>
    <x v="0"/>
    <x v="0"/>
    <x v="0"/>
  </r>
  <r>
    <x v="1"/>
    <x v="1"/>
    <x v="1"/>
    <x v="0"/>
    <x v="1"/>
    <x v="1"/>
    <x v="0"/>
    <x v="1"/>
    <s v="121.1"/>
    <x v="1"/>
    <x v="1"/>
    <x v="1"/>
    <x v="1"/>
    <x v="1"/>
    <x v="1"/>
    <x v="1"/>
    <x v="1"/>
    <x v="1"/>
    <x v="1"/>
  </r>
  <r>
    <x v="2"/>
    <x v="2"/>
    <x v="2"/>
    <x v="0"/>
    <x v="2"/>
    <x v="0"/>
    <x v="0"/>
    <x v="2"/>
    <s v="132.1"/>
    <x v="2"/>
    <x v="2"/>
    <x v="2"/>
    <x v="2"/>
    <x v="2"/>
    <x v="2"/>
    <x v="2"/>
    <x v="2"/>
    <x v="2"/>
    <x v="1"/>
  </r>
  <r>
    <x v="3"/>
    <x v="3"/>
    <x v="3"/>
    <x v="1"/>
    <x v="1"/>
    <x v="1"/>
    <x v="0"/>
    <x v="3"/>
    <s v="221.1"/>
    <x v="3"/>
    <x v="3"/>
    <x v="3"/>
    <x v="3"/>
    <x v="3"/>
    <x v="3"/>
    <x v="3"/>
    <x v="3"/>
    <x v="3"/>
    <x v="1"/>
  </r>
  <r>
    <x v="4"/>
    <x v="4"/>
    <x v="4"/>
    <x v="1"/>
    <x v="2"/>
    <x v="1"/>
    <x v="1"/>
    <x v="4"/>
    <s v="231.2"/>
    <x v="4"/>
    <x v="4"/>
    <x v="2"/>
    <x v="4"/>
    <x v="4"/>
    <x v="4"/>
    <x v="4"/>
    <x v="4"/>
    <x v="4"/>
    <x v="1"/>
  </r>
  <r>
    <x v="5"/>
    <x v="5"/>
    <x v="5"/>
    <x v="1"/>
    <x v="1"/>
    <x v="0"/>
    <x v="1"/>
    <x v="5"/>
    <s v="222.2"/>
    <x v="5"/>
    <x v="3"/>
    <x v="0"/>
    <x v="5"/>
    <x v="3"/>
    <x v="5"/>
    <x v="3"/>
    <x v="5"/>
    <x v="3"/>
    <x v="1"/>
  </r>
  <r>
    <x v="6"/>
    <x v="3"/>
    <x v="3"/>
    <x v="1"/>
    <x v="1"/>
    <x v="1"/>
    <x v="1"/>
    <x v="6"/>
    <s v="221.2"/>
    <x v="6"/>
    <x v="5"/>
    <x v="4"/>
    <x v="3"/>
    <x v="5"/>
    <x v="0"/>
    <x v="5"/>
    <x v="6"/>
    <x v="2"/>
    <x v="1"/>
  </r>
  <r>
    <x v="7"/>
    <x v="6"/>
    <x v="6"/>
    <x v="0"/>
    <x v="1"/>
    <x v="0"/>
    <x v="1"/>
    <x v="7"/>
    <s v="122.2"/>
    <x v="1"/>
    <x v="6"/>
    <x v="5"/>
    <x v="5"/>
    <x v="3"/>
    <x v="1"/>
    <x v="6"/>
    <x v="7"/>
    <x v="5"/>
    <x v="2"/>
  </r>
  <r>
    <x v="8"/>
    <x v="4"/>
    <x v="4"/>
    <x v="1"/>
    <x v="2"/>
    <x v="1"/>
    <x v="0"/>
    <x v="0"/>
    <s v="231.1"/>
    <x v="7"/>
    <x v="7"/>
    <x v="6"/>
    <x v="6"/>
    <x v="6"/>
    <x v="6"/>
    <x v="7"/>
    <x v="8"/>
    <x v="6"/>
    <x v="3"/>
  </r>
  <r>
    <x v="9"/>
    <x v="5"/>
    <x v="5"/>
    <x v="1"/>
    <x v="1"/>
    <x v="0"/>
    <x v="0"/>
    <x v="1"/>
    <s v="222.1"/>
    <x v="8"/>
    <x v="8"/>
    <x v="7"/>
    <x v="7"/>
    <x v="7"/>
    <x v="0"/>
    <x v="8"/>
    <x v="9"/>
    <x v="7"/>
    <x v="1"/>
  </r>
  <r>
    <x v="10"/>
    <x v="6"/>
    <x v="6"/>
    <x v="0"/>
    <x v="1"/>
    <x v="0"/>
    <x v="0"/>
    <x v="2"/>
    <s v="122.1"/>
    <x v="9"/>
    <x v="9"/>
    <x v="3"/>
    <x v="8"/>
    <x v="8"/>
    <x v="7"/>
    <x v="9"/>
    <x v="10"/>
    <x v="8"/>
    <x v="1"/>
  </r>
  <r>
    <x v="11"/>
    <x v="7"/>
    <x v="7"/>
    <x v="1"/>
    <x v="2"/>
    <x v="0"/>
    <x v="0"/>
    <x v="3"/>
    <s v="232.1"/>
    <x v="10"/>
    <x v="10"/>
    <x v="8"/>
    <x v="9"/>
    <x v="9"/>
    <x v="2"/>
    <x v="10"/>
    <x v="11"/>
    <x v="9"/>
    <x v="1"/>
  </r>
  <r>
    <x v="12"/>
    <x v="0"/>
    <x v="0"/>
    <x v="0"/>
    <x v="0"/>
    <x v="0"/>
    <x v="1"/>
    <x v="4"/>
    <s v="112.2"/>
    <x v="11"/>
    <x v="11"/>
    <x v="9"/>
    <x v="5"/>
    <x v="10"/>
    <x v="3"/>
    <x v="11"/>
    <x v="12"/>
    <x v="10"/>
    <x v="1"/>
  </r>
  <r>
    <x v="13"/>
    <x v="8"/>
    <x v="8"/>
    <x v="1"/>
    <x v="0"/>
    <x v="1"/>
    <x v="1"/>
    <x v="5"/>
    <s v="211.2"/>
    <x v="5"/>
    <x v="12"/>
    <x v="5"/>
    <x v="10"/>
    <x v="11"/>
    <x v="8"/>
    <x v="12"/>
    <x v="13"/>
    <x v="11"/>
    <x v="1"/>
  </r>
  <r>
    <x v="14"/>
    <x v="1"/>
    <x v="1"/>
    <x v="0"/>
    <x v="1"/>
    <x v="1"/>
    <x v="1"/>
    <x v="6"/>
    <s v="121.2"/>
    <x v="0"/>
    <x v="8"/>
    <x v="0"/>
    <x v="11"/>
    <x v="12"/>
    <x v="1"/>
    <x v="6"/>
    <x v="14"/>
    <x v="5"/>
    <x v="1"/>
  </r>
  <r>
    <x v="15"/>
    <x v="9"/>
    <x v="9"/>
    <x v="0"/>
    <x v="0"/>
    <x v="1"/>
    <x v="1"/>
    <x v="7"/>
    <s v="111.2"/>
    <x v="5"/>
    <x v="11"/>
    <x v="3"/>
    <x v="12"/>
    <x v="13"/>
    <x v="1"/>
    <x v="13"/>
    <x v="15"/>
    <x v="12"/>
    <x v="4"/>
  </r>
  <r>
    <x v="16"/>
    <x v="3"/>
    <x v="3"/>
    <x v="1"/>
    <x v="1"/>
    <x v="1"/>
    <x v="2"/>
    <x v="0"/>
    <s v="221.3"/>
    <x v="11"/>
    <x v="13"/>
    <x v="10"/>
    <x v="13"/>
    <x v="5"/>
    <x v="5"/>
    <x v="14"/>
    <x v="16"/>
    <x v="13"/>
    <x v="5"/>
  </r>
  <r>
    <x v="17"/>
    <x v="1"/>
    <x v="1"/>
    <x v="0"/>
    <x v="1"/>
    <x v="1"/>
    <x v="2"/>
    <x v="1"/>
    <s v="121.3"/>
    <x v="1"/>
    <x v="14"/>
    <x v="0"/>
    <x v="14"/>
    <x v="3"/>
    <x v="5"/>
    <x v="15"/>
    <x v="17"/>
    <x v="14"/>
    <x v="1"/>
  </r>
  <r>
    <x v="18"/>
    <x v="8"/>
    <x v="8"/>
    <x v="1"/>
    <x v="0"/>
    <x v="1"/>
    <x v="2"/>
    <x v="2"/>
    <s v="211.3"/>
    <x v="1"/>
    <x v="0"/>
    <x v="4"/>
    <x v="5"/>
    <x v="10"/>
    <x v="8"/>
    <x v="16"/>
    <x v="18"/>
    <x v="15"/>
    <x v="1"/>
  </r>
  <r>
    <x v="19"/>
    <x v="9"/>
    <x v="9"/>
    <x v="0"/>
    <x v="0"/>
    <x v="1"/>
    <x v="2"/>
    <x v="3"/>
    <s v="111.3"/>
    <x v="1"/>
    <x v="13"/>
    <x v="11"/>
    <x v="15"/>
    <x v="1"/>
    <x v="5"/>
    <x v="17"/>
    <x v="19"/>
    <x v="16"/>
    <x v="1"/>
  </r>
  <r>
    <x v="20"/>
    <x v="7"/>
    <x v="7"/>
    <x v="1"/>
    <x v="2"/>
    <x v="0"/>
    <x v="3"/>
    <x v="4"/>
    <s v="232.4"/>
    <x v="10"/>
    <x v="4"/>
    <x v="12"/>
    <x v="16"/>
    <x v="14"/>
    <x v="2"/>
    <x v="18"/>
    <x v="20"/>
    <x v="17"/>
    <x v="1"/>
  </r>
  <r>
    <x v="21"/>
    <x v="1"/>
    <x v="1"/>
    <x v="0"/>
    <x v="1"/>
    <x v="1"/>
    <x v="3"/>
    <x v="5"/>
    <s v="121.4"/>
    <x v="1"/>
    <x v="12"/>
    <x v="13"/>
    <x v="3"/>
    <x v="5"/>
    <x v="9"/>
    <x v="9"/>
    <x v="21"/>
    <x v="8"/>
    <x v="1"/>
  </r>
  <r>
    <x v="22"/>
    <x v="5"/>
    <x v="5"/>
    <x v="1"/>
    <x v="1"/>
    <x v="0"/>
    <x v="3"/>
    <x v="6"/>
    <s v="222.4"/>
    <x v="12"/>
    <x v="15"/>
    <x v="14"/>
    <x v="12"/>
    <x v="3"/>
    <x v="8"/>
    <x v="19"/>
    <x v="22"/>
    <x v="18"/>
    <x v="6"/>
  </r>
  <r>
    <x v="23"/>
    <x v="2"/>
    <x v="2"/>
    <x v="0"/>
    <x v="2"/>
    <x v="0"/>
    <x v="3"/>
    <x v="7"/>
    <s v="132.4"/>
    <x v="10"/>
    <x v="16"/>
    <x v="15"/>
    <x v="17"/>
    <x v="4"/>
    <x v="10"/>
    <x v="20"/>
    <x v="23"/>
    <x v="19"/>
    <x v="1"/>
  </r>
  <r>
    <x v="24"/>
    <x v="10"/>
    <x v="10"/>
    <x v="1"/>
    <x v="0"/>
    <x v="0"/>
    <x v="2"/>
    <x v="0"/>
    <s v="212.3"/>
    <x v="13"/>
    <x v="17"/>
    <x v="4"/>
    <x v="14"/>
    <x v="8"/>
    <x v="9"/>
    <x v="21"/>
    <x v="6"/>
    <x v="20"/>
    <x v="7"/>
  </r>
  <r>
    <x v="25"/>
    <x v="5"/>
    <x v="5"/>
    <x v="1"/>
    <x v="1"/>
    <x v="0"/>
    <x v="2"/>
    <x v="1"/>
    <s v="222.3"/>
    <x v="14"/>
    <x v="5"/>
    <x v="4"/>
    <x v="8"/>
    <x v="15"/>
    <x v="9"/>
    <x v="22"/>
    <x v="24"/>
    <x v="21"/>
    <x v="1"/>
  </r>
  <r>
    <x v="26"/>
    <x v="11"/>
    <x v="11"/>
    <x v="0"/>
    <x v="2"/>
    <x v="1"/>
    <x v="2"/>
    <x v="2"/>
    <s v="131.3"/>
    <x v="15"/>
    <x v="18"/>
    <x v="16"/>
    <x v="17"/>
    <x v="16"/>
    <x v="11"/>
    <x v="23"/>
    <x v="25"/>
    <x v="22"/>
    <x v="1"/>
  </r>
  <r>
    <x v="27"/>
    <x v="6"/>
    <x v="6"/>
    <x v="0"/>
    <x v="1"/>
    <x v="0"/>
    <x v="2"/>
    <x v="3"/>
    <s v="122.3"/>
    <x v="0"/>
    <x v="15"/>
    <x v="10"/>
    <x v="3"/>
    <x v="0"/>
    <x v="12"/>
    <x v="24"/>
    <x v="14"/>
    <x v="23"/>
    <x v="1"/>
  </r>
  <r>
    <x v="28"/>
    <x v="11"/>
    <x v="11"/>
    <x v="0"/>
    <x v="2"/>
    <x v="1"/>
    <x v="3"/>
    <x v="4"/>
    <s v="131.4"/>
    <x v="15"/>
    <x v="19"/>
    <x v="17"/>
    <x v="18"/>
    <x v="17"/>
    <x v="6"/>
    <x v="25"/>
    <x v="26"/>
    <x v="24"/>
    <x v="1"/>
  </r>
  <r>
    <x v="29"/>
    <x v="6"/>
    <x v="6"/>
    <x v="0"/>
    <x v="1"/>
    <x v="0"/>
    <x v="3"/>
    <x v="5"/>
    <s v="122.4"/>
    <x v="0"/>
    <x v="6"/>
    <x v="5"/>
    <x v="7"/>
    <x v="3"/>
    <x v="13"/>
    <x v="26"/>
    <x v="27"/>
    <x v="19"/>
    <x v="1"/>
  </r>
  <r>
    <x v="30"/>
    <x v="10"/>
    <x v="10"/>
    <x v="1"/>
    <x v="0"/>
    <x v="0"/>
    <x v="3"/>
    <x v="6"/>
    <s v="212.4"/>
    <x v="12"/>
    <x v="15"/>
    <x v="13"/>
    <x v="15"/>
    <x v="18"/>
    <x v="3"/>
    <x v="17"/>
    <x v="28"/>
    <x v="16"/>
    <x v="1"/>
  </r>
  <r>
    <x v="31"/>
    <x v="3"/>
    <x v="3"/>
    <x v="1"/>
    <x v="1"/>
    <x v="1"/>
    <x v="3"/>
    <x v="7"/>
    <s v="221.4"/>
    <x v="3"/>
    <x v="20"/>
    <x v="3"/>
    <x v="11"/>
    <x v="11"/>
    <x v="14"/>
    <x v="17"/>
    <x v="29"/>
    <x v="16"/>
    <x v="4"/>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x v="0"/>
    <x v="0"/>
    <x v="0"/>
    <x v="0"/>
  </r>
  <r>
    <n v="102"/>
    <x v="1"/>
    <x v="1"/>
    <x v="0"/>
    <x v="1"/>
    <x v="1"/>
    <x v="0"/>
    <x v="1"/>
    <s v="121.1"/>
    <x v="1"/>
    <x v="1"/>
    <x v="1"/>
    <x v="1"/>
    <x v="1"/>
    <x v="1"/>
    <x v="1"/>
    <x v="1"/>
    <x v="1"/>
    <x v="1"/>
    <x v="0"/>
  </r>
  <r>
    <n v="103"/>
    <x v="2"/>
    <x v="2"/>
    <x v="0"/>
    <x v="2"/>
    <x v="0"/>
    <x v="0"/>
    <x v="2"/>
    <s v="132.1"/>
    <x v="2"/>
    <x v="2"/>
    <x v="2"/>
    <x v="2"/>
    <x v="2"/>
    <x v="2"/>
    <x v="2"/>
    <x v="2"/>
    <x v="2"/>
    <x v="1"/>
    <x v="0"/>
  </r>
  <r>
    <n v="104"/>
    <x v="3"/>
    <x v="3"/>
    <x v="1"/>
    <x v="1"/>
    <x v="1"/>
    <x v="0"/>
    <x v="3"/>
    <s v="221.1"/>
    <x v="3"/>
    <x v="3"/>
    <x v="3"/>
    <x v="3"/>
    <x v="3"/>
    <x v="3"/>
    <x v="3"/>
    <x v="3"/>
    <x v="3"/>
    <x v="1"/>
    <x v="0"/>
  </r>
  <r>
    <n v="105"/>
    <x v="4"/>
    <x v="4"/>
    <x v="1"/>
    <x v="2"/>
    <x v="1"/>
    <x v="1"/>
    <x v="4"/>
    <s v="231.2"/>
    <x v="4"/>
    <x v="4"/>
    <x v="2"/>
    <x v="4"/>
    <x v="4"/>
    <x v="4"/>
    <x v="4"/>
    <x v="4"/>
    <x v="4"/>
    <x v="1"/>
    <x v="0"/>
  </r>
  <r>
    <n v="106"/>
    <x v="5"/>
    <x v="5"/>
    <x v="1"/>
    <x v="1"/>
    <x v="0"/>
    <x v="1"/>
    <x v="5"/>
    <s v="222.2"/>
    <x v="5"/>
    <x v="3"/>
    <x v="0"/>
    <x v="5"/>
    <x v="3"/>
    <x v="5"/>
    <x v="3"/>
    <x v="5"/>
    <x v="3"/>
    <x v="1"/>
    <x v="0"/>
  </r>
  <r>
    <n v="107"/>
    <x v="3"/>
    <x v="3"/>
    <x v="1"/>
    <x v="1"/>
    <x v="1"/>
    <x v="1"/>
    <x v="6"/>
    <s v="221.2"/>
    <x v="6"/>
    <x v="5"/>
    <x v="4"/>
    <x v="3"/>
    <x v="5"/>
    <x v="0"/>
    <x v="5"/>
    <x v="6"/>
    <x v="2"/>
    <x v="1"/>
    <x v="0"/>
  </r>
  <r>
    <n v="108"/>
    <x v="6"/>
    <x v="6"/>
    <x v="0"/>
    <x v="1"/>
    <x v="0"/>
    <x v="1"/>
    <x v="7"/>
    <s v="122.2"/>
    <x v="1"/>
    <x v="6"/>
    <x v="5"/>
    <x v="5"/>
    <x v="3"/>
    <x v="1"/>
    <x v="6"/>
    <x v="7"/>
    <x v="5"/>
    <x v="2"/>
    <x v="0"/>
  </r>
  <r>
    <n v="201"/>
    <x v="4"/>
    <x v="4"/>
    <x v="1"/>
    <x v="2"/>
    <x v="1"/>
    <x v="0"/>
    <x v="0"/>
    <s v="231.1"/>
    <x v="7"/>
    <x v="7"/>
    <x v="6"/>
    <x v="6"/>
    <x v="6"/>
    <x v="6"/>
    <x v="7"/>
    <x v="8"/>
    <x v="6"/>
    <x v="3"/>
    <x v="1"/>
  </r>
  <r>
    <n v="202"/>
    <x v="5"/>
    <x v="5"/>
    <x v="1"/>
    <x v="1"/>
    <x v="0"/>
    <x v="0"/>
    <x v="1"/>
    <s v="222.1"/>
    <x v="8"/>
    <x v="8"/>
    <x v="7"/>
    <x v="7"/>
    <x v="7"/>
    <x v="0"/>
    <x v="8"/>
    <x v="9"/>
    <x v="7"/>
    <x v="1"/>
    <x v="1"/>
  </r>
  <r>
    <n v="203"/>
    <x v="6"/>
    <x v="6"/>
    <x v="0"/>
    <x v="1"/>
    <x v="0"/>
    <x v="0"/>
    <x v="2"/>
    <s v="122.1"/>
    <x v="9"/>
    <x v="9"/>
    <x v="3"/>
    <x v="8"/>
    <x v="8"/>
    <x v="7"/>
    <x v="9"/>
    <x v="10"/>
    <x v="8"/>
    <x v="1"/>
    <x v="1"/>
  </r>
  <r>
    <n v="204"/>
    <x v="7"/>
    <x v="7"/>
    <x v="1"/>
    <x v="2"/>
    <x v="0"/>
    <x v="0"/>
    <x v="3"/>
    <s v="232.1"/>
    <x v="10"/>
    <x v="10"/>
    <x v="8"/>
    <x v="9"/>
    <x v="9"/>
    <x v="2"/>
    <x v="10"/>
    <x v="11"/>
    <x v="9"/>
    <x v="1"/>
    <x v="1"/>
  </r>
  <r>
    <n v="205"/>
    <x v="0"/>
    <x v="0"/>
    <x v="0"/>
    <x v="0"/>
    <x v="0"/>
    <x v="1"/>
    <x v="4"/>
    <s v="112.2"/>
    <x v="11"/>
    <x v="11"/>
    <x v="9"/>
    <x v="5"/>
    <x v="10"/>
    <x v="3"/>
    <x v="11"/>
    <x v="12"/>
    <x v="10"/>
    <x v="1"/>
    <x v="1"/>
  </r>
  <r>
    <n v="206"/>
    <x v="8"/>
    <x v="8"/>
    <x v="1"/>
    <x v="0"/>
    <x v="1"/>
    <x v="1"/>
    <x v="5"/>
    <s v="211.2"/>
    <x v="5"/>
    <x v="12"/>
    <x v="5"/>
    <x v="10"/>
    <x v="11"/>
    <x v="8"/>
    <x v="12"/>
    <x v="13"/>
    <x v="11"/>
    <x v="1"/>
    <x v="1"/>
  </r>
  <r>
    <n v="207"/>
    <x v="1"/>
    <x v="1"/>
    <x v="0"/>
    <x v="1"/>
    <x v="1"/>
    <x v="1"/>
    <x v="6"/>
    <s v="121.2"/>
    <x v="0"/>
    <x v="8"/>
    <x v="0"/>
    <x v="11"/>
    <x v="12"/>
    <x v="1"/>
    <x v="6"/>
    <x v="14"/>
    <x v="5"/>
    <x v="1"/>
    <x v="1"/>
  </r>
  <r>
    <n v="208"/>
    <x v="9"/>
    <x v="9"/>
    <x v="0"/>
    <x v="0"/>
    <x v="1"/>
    <x v="1"/>
    <x v="7"/>
    <s v="111.2"/>
    <x v="5"/>
    <x v="11"/>
    <x v="3"/>
    <x v="12"/>
    <x v="13"/>
    <x v="1"/>
    <x v="13"/>
    <x v="15"/>
    <x v="12"/>
    <x v="4"/>
    <x v="1"/>
  </r>
  <r>
    <n v="301"/>
    <x v="3"/>
    <x v="3"/>
    <x v="1"/>
    <x v="1"/>
    <x v="1"/>
    <x v="2"/>
    <x v="0"/>
    <s v="221.3"/>
    <x v="11"/>
    <x v="13"/>
    <x v="10"/>
    <x v="13"/>
    <x v="5"/>
    <x v="5"/>
    <x v="14"/>
    <x v="16"/>
    <x v="13"/>
    <x v="5"/>
    <x v="2"/>
  </r>
  <r>
    <n v="302"/>
    <x v="1"/>
    <x v="1"/>
    <x v="0"/>
    <x v="1"/>
    <x v="1"/>
    <x v="2"/>
    <x v="1"/>
    <s v="121.3"/>
    <x v="1"/>
    <x v="14"/>
    <x v="0"/>
    <x v="14"/>
    <x v="3"/>
    <x v="5"/>
    <x v="15"/>
    <x v="17"/>
    <x v="14"/>
    <x v="1"/>
    <x v="2"/>
  </r>
  <r>
    <n v="303"/>
    <x v="8"/>
    <x v="8"/>
    <x v="1"/>
    <x v="0"/>
    <x v="1"/>
    <x v="2"/>
    <x v="2"/>
    <s v="211.3"/>
    <x v="1"/>
    <x v="0"/>
    <x v="4"/>
    <x v="5"/>
    <x v="10"/>
    <x v="8"/>
    <x v="16"/>
    <x v="18"/>
    <x v="15"/>
    <x v="1"/>
    <x v="2"/>
  </r>
  <r>
    <n v="304"/>
    <x v="9"/>
    <x v="9"/>
    <x v="0"/>
    <x v="0"/>
    <x v="1"/>
    <x v="2"/>
    <x v="3"/>
    <s v="111.3"/>
    <x v="1"/>
    <x v="13"/>
    <x v="11"/>
    <x v="15"/>
    <x v="1"/>
    <x v="5"/>
    <x v="17"/>
    <x v="19"/>
    <x v="16"/>
    <x v="1"/>
    <x v="2"/>
  </r>
  <r>
    <n v="305"/>
    <x v="7"/>
    <x v="7"/>
    <x v="1"/>
    <x v="2"/>
    <x v="0"/>
    <x v="3"/>
    <x v="4"/>
    <s v="232.4"/>
    <x v="10"/>
    <x v="4"/>
    <x v="12"/>
    <x v="16"/>
    <x v="14"/>
    <x v="2"/>
    <x v="18"/>
    <x v="20"/>
    <x v="17"/>
    <x v="1"/>
    <x v="2"/>
  </r>
  <r>
    <n v="306"/>
    <x v="1"/>
    <x v="1"/>
    <x v="0"/>
    <x v="1"/>
    <x v="1"/>
    <x v="3"/>
    <x v="5"/>
    <s v="121.4"/>
    <x v="1"/>
    <x v="12"/>
    <x v="13"/>
    <x v="3"/>
    <x v="5"/>
    <x v="9"/>
    <x v="9"/>
    <x v="21"/>
    <x v="8"/>
    <x v="1"/>
    <x v="2"/>
  </r>
  <r>
    <n v="307"/>
    <x v="5"/>
    <x v="5"/>
    <x v="1"/>
    <x v="1"/>
    <x v="0"/>
    <x v="3"/>
    <x v="6"/>
    <s v="222.4"/>
    <x v="12"/>
    <x v="15"/>
    <x v="14"/>
    <x v="12"/>
    <x v="3"/>
    <x v="8"/>
    <x v="19"/>
    <x v="22"/>
    <x v="18"/>
    <x v="6"/>
    <x v="2"/>
  </r>
  <r>
    <n v="308"/>
    <x v="2"/>
    <x v="2"/>
    <x v="0"/>
    <x v="2"/>
    <x v="0"/>
    <x v="3"/>
    <x v="7"/>
    <s v="132.4"/>
    <x v="10"/>
    <x v="16"/>
    <x v="15"/>
    <x v="17"/>
    <x v="4"/>
    <x v="10"/>
    <x v="20"/>
    <x v="23"/>
    <x v="19"/>
    <x v="1"/>
    <x v="2"/>
  </r>
  <r>
    <n v="401"/>
    <x v="10"/>
    <x v="10"/>
    <x v="1"/>
    <x v="0"/>
    <x v="0"/>
    <x v="2"/>
    <x v="0"/>
    <s v="212.3"/>
    <x v="13"/>
    <x v="17"/>
    <x v="4"/>
    <x v="14"/>
    <x v="8"/>
    <x v="9"/>
    <x v="21"/>
    <x v="6"/>
    <x v="20"/>
    <x v="7"/>
    <x v="3"/>
  </r>
  <r>
    <n v="402"/>
    <x v="5"/>
    <x v="5"/>
    <x v="1"/>
    <x v="1"/>
    <x v="0"/>
    <x v="2"/>
    <x v="1"/>
    <s v="222.3"/>
    <x v="14"/>
    <x v="5"/>
    <x v="4"/>
    <x v="8"/>
    <x v="15"/>
    <x v="9"/>
    <x v="22"/>
    <x v="24"/>
    <x v="21"/>
    <x v="1"/>
    <x v="3"/>
  </r>
  <r>
    <n v="403"/>
    <x v="11"/>
    <x v="11"/>
    <x v="0"/>
    <x v="2"/>
    <x v="1"/>
    <x v="2"/>
    <x v="2"/>
    <s v="131.3"/>
    <x v="15"/>
    <x v="18"/>
    <x v="16"/>
    <x v="17"/>
    <x v="16"/>
    <x v="11"/>
    <x v="23"/>
    <x v="25"/>
    <x v="22"/>
    <x v="1"/>
    <x v="3"/>
  </r>
  <r>
    <n v="404"/>
    <x v="6"/>
    <x v="6"/>
    <x v="0"/>
    <x v="1"/>
    <x v="0"/>
    <x v="2"/>
    <x v="3"/>
    <s v="122.3"/>
    <x v="0"/>
    <x v="15"/>
    <x v="10"/>
    <x v="3"/>
    <x v="0"/>
    <x v="12"/>
    <x v="24"/>
    <x v="14"/>
    <x v="23"/>
    <x v="1"/>
    <x v="3"/>
  </r>
  <r>
    <n v="405"/>
    <x v="11"/>
    <x v="11"/>
    <x v="0"/>
    <x v="2"/>
    <x v="1"/>
    <x v="3"/>
    <x v="4"/>
    <s v="131.4"/>
    <x v="15"/>
    <x v="19"/>
    <x v="17"/>
    <x v="18"/>
    <x v="17"/>
    <x v="6"/>
    <x v="25"/>
    <x v="26"/>
    <x v="24"/>
    <x v="1"/>
    <x v="3"/>
  </r>
  <r>
    <n v="406"/>
    <x v="6"/>
    <x v="6"/>
    <x v="0"/>
    <x v="1"/>
    <x v="0"/>
    <x v="3"/>
    <x v="5"/>
    <s v="122.4"/>
    <x v="0"/>
    <x v="6"/>
    <x v="5"/>
    <x v="7"/>
    <x v="3"/>
    <x v="13"/>
    <x v="26"/>
    <x v="27"/>
    <x v="19"/>
    <x v="1"/>
    <x v="3"/>
  </r>
  <r>
    <n v="407"/>
    <x v="10"/>
    <x v="10"/>
    <x v="1"/>
    <x v="0"/>
    <x v="0"/>
    <x v="3"/>
    <x v="6"/>
    <s v="212.4"/>
    <x v="12"/>
    <x v="15"/>
    <x v="13"/>
    <x v="15"/>
    <x v="18"/>
    <x v="3"/>
    <x v="17"/>
    <x v="28"/>
    <x v="16"/>
    <x v="1"/>
    <x v="3"/>
  </r>
  <r>
    <n v="408"/>
    <x v="3"/>
    <x v="3"/>
    <x v="1"/>
    <x v="1"/>
    <x v="1"/>
    <x v="3"/>
    <x v="7"/>
    <s v="221.4"/>
    <x v="3"/>
    <x v="20"/>
    <x v="3"/>
    <x v="11"/>
    <x v="11"/>
    <x v="14"/>
    <x v="17"/>
    <x v="29"/>
    <x v="16"/>
    <x v="4"/>
    <x v="3"/>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x v="0"/>
    <x v="0"/>
    <x v="0"/>
    <s v="112.1"/>
    <x v="0"/>
    <x v="0"/>
    <x v="0"/>
    <x v="0"/>
    <x v="0"/>
    <x v="0"/>
    <x v="0"/>
    <n v="0.88897569020630662"/>
    <x v="0"/>
    <x v="0"/>
  </r>
  <r>
    <x v="1"/>
    <x v="1"/>
    <x v="1"/>
    <x v="0"/>
    <x v="1"/>
    <x v="1"/>
    <x v="0"/>
    <x v="1"/>
    <s v="121.1"/>
    <x v="1"/>
    <x v="1"/>
    <x v="1"/>
    <x v="1"/>
    <x v="1"/>
    <x v="1"/>
    <x v="1"/>
    <n v="0.96321221845332572"/>
    <x v="1"/>
    <x v="0"/>
  </r>
  <r>
    <x v="2"/>
    <x v="2"/>
    <x v="2"/>
    <x v="0"/>
    <x v="2"/>
    <x v="0"/>
    <x v="0"/>
    <x v="2"/>
    <s v="132.1"/>
    <x v="2"/>
    <x v="2"/>
    <x v="2"/>
    <x v="2"/>
    <x v="2"/>
    <x v="2"/>
    <x v="2"/>
    <n v="0.64549722436790291"/>
    <x v="2"/>
    <x v="0"/>
  </r>
  <r>
    <x v="3"/>
    <x v="3"/>
    <x v="3"/>
    <x v="1"/>
    <x v="1"/>
    <x v="1"/>
    <x v="0"/>
    <x v="3"/>
    <s v="221.1"/>
    <x v="1"/>
    <x v="3"/>
    <x v="3"/>
    <x v="3"/>
    <x v="3"/>
    <x v="0"/>
    <x v="3"/>
    <n v="0.57251880124392351"/>
    <x v="3"/>
    <x v="0"/>
  </r>
  <r>
    <x v="4"/>
    <x v="4"/>
    <x v="4"/>
    <x v="1"/>
    <x v="2"/>
    <x v="1"/>
    <x v="1"/>
    <x v="4"/>
    <s v="231.2"/>
    <x v="3"/>
    <x v="4"/>
    <x v="4"/>
    <x v="4"/>
    <x v="4"/>
    <x v="3"/>
    <x v="4"/>
    <n v="0.83416625041614667"/>
    <x v="4"/>
    <x v="0"/>
  </r>
  <r>
    <x v="5"/>
    <x v="5"/>
    <x v="5"/>
    <x v="1"/>
    <x v="1"/>
    <x v="0"/>
    <x v="1"/>
    <x v="5"/>
    <s v="222.2"/>
    <x v="4"/>
    <x v="5"/>
    <x v="0"/>
    <x v="5"/>
    <x v="5"/>
    <x v="1"/>
    <x v="5"/>
    <n v="0.73029674334022154"/>
    <x v="5"/>
    <x v="0"/>
  </r>
  <r>
    <x v="6"/>
    <x v="3"/>
    <x v="3"/>
    <x v="1"/>
    <x v="1"/>
    <x v="1"/>
    <x v="1"/>
    <x v="6"/>
    <s v="221.2"/>
    <x v="5"/>
    <x v="6"/>
    <x v="5"/>
    <x v="6"/>
    <x v="6"/>
    <x v="4"/>
    <x v="6"/>
    <n v="0.65404722901162049"/>
    <x v="6"/>
    <x v="0"/>
  </r>
  <r>
    <x v="7"/>
    <x v="6"/>
    <x v="6"/>
    <x v="0"/>
    <x v="1"/>
    <x v="0"/>
    <x v="1"/>
    <x v="7"/>
    <s v="122.2"/>
    <x v="6"/>
    <x v="7"/>
    <x v="6"/>
    <x v="7"/>
    <x v="1"/>
    <x v="5"/>
    <x v="7"/>
    <n v="0.38188130791298669"/>
    <x v="7"/>
    <x v="0"/>
  </r>
  <r>
    <x v="8"/>
    <x v="4"/>
    <x v="4"/>
    <x v="1"/>
    <x v="2"/>
    <x v="1"/>
    <x v="0"/>
    <x v="0"/>
    <s v="231.1"/>
    <x v="7"/>
    <x v="8"/>
    <x v="7"/>
    <x v="8"/>
    <x v="7"/>
    <x v="6"/>
    <x v="8"/>
    <n v="1.2365947867699698"/>
    <x v="8"/>
    <x v="0"/>
  </r>
  <r>
    <x v="9"/>
    <x v="5"/>
    <x v="5"/>
    <x v="1"/>
    <x v="1"/>
    <x v="0"/>
    <x v="0"/>
    <x v="1"/>
    <s v="222.1"/>
    <x v="4"/>
    <x v="9"/>
    <x v="8"/>
    <x v="9"/>
    <x v="8"/>
    <x v="7"/>
    <x v="9"/>
    <n v="1.1061695670696752"/>
    <x v="9"/>
    <x v="0"/>
  </r>
  <r>
    <x v="10"/>
    <x v="6"/>
    <x v="6"/>
    <x v="0"/>
    <x v="1"/>
    <x v="0"/>
    <x v="0"/>
    <x v="2"/>
    <s v="122.1"/>
    <x v="8"/>
    <x v="7"/>
    <x v="9"/>
    <x v="10"/>
    <x v="3"/>
    <x v="8"/>
    <x v="10"/>
    <n v="0.60553007081949839"/>
    <x v="10"/>
    <x v="0"/>
  </r>
  <r>
    <x v="11"/>
    <x v="7"/>
    <x v="7"/>
    <x v="1"/>
    <x v="2"/>
    <x v="0"/>
    <x v="0"/>
    <x v="3"/>
    <s v="232.1"/>
    <x v="3"/>
    <x v="10"/>
    <x v="10"/>
    <x v="11"/>
    <x v="9"/>
    <x v="9"/>
    <x v="11"/>
    <n v="0.49441323247304936"/>
    <x v="11"/>
    <x v="0"/>
  </r>
  <r>
    <x v="12"/>
    <x v="0"/>
    <x v="0"/>
    <x v="0"/>
    <x v="0"/>
    <x v="0"/>
    <x v="1"/>
    <x v="4"/>
    <s v="112.2"/>
    <x v="9"/>
    <x v="11"/>
    <x v="11"/>
    <x v="12"/>
    <x v="5"/>
    <x v="7"/>
    <x v="12"/>
    <n v="0.92571293846658853"/>
    <x v="12"/>
    <x v="0"/>
  </r>
  <r>
    <x v="13"/>
    <x v="8"/>
    <x v="8"/>
    <x v="1"/>
    <x v="0"/>
    <x v="1"/>
    <x v="1"/>
    <x v="5"/>
    <s v="211.2"/>
    <x v="4"/>
    <x v="12"/>
    <x v="0"/>
    <x v="13"/>
    <x v="6"/>
    <x v="0"/>
    <x v="13"/>
    <n v="0.35746017649212208"/>
    <x v="13"/>
    <x v="0"/>
  </r>
  <r>
    <x v="14"/>
    <x v="1"/>
    <x v="1"/>
    <x v="0"/>
    <x v="1"/>
    <x v="1"/>
    <x v="1"/>
    <x v="6"/>
    <s v="121.2"/>
    <x v="10"/>
    <x v="13"/>
    <x v="3"/>
    <x v="12"/>
    <x v="10"/>
    <x v="10"/>
    <x v="14"/>
    <n v="0.64549722436790291"/>
    <x v="14"/>
    <x v="0"/>
  </r>
  <r>
    <x v="15"/>
    <x v="9"/>
    <x v="9"/>
    <x v="0"/>
    <x v="0"/>
    <x v="1"/>
    <x v="1"/>
    <x v="7"/>
    <s v="111.2"/>
    <x v="11"/>
    <x v="11"/>
    <x v="5"/>
    <x v="5"/>
    <x v="11"/>
    <x v="5"/>
    <x v="15"/>
    <n v="0.82411568767174115"/>
    <x v="15"/>
    <x v="0"/>
  </r>
  <r>
    <x v="16"/>
    <x v="3"/>
    <x v="3"/>
    <x v="1"/>
    <x v="1"/>
    <x v="1"/>
    <x v="2"/>
    <x v="0"/>
    <s v="221.3"/>
    <x v="0"/>
    <x v="14"/>
    <x v="9"/>
    <x v="3"/>
    <x v="12"/>
    <x v="11"/>
    <x v="15"/>
    <n v="0.62915286960589578"/>
    <x v="15"/>
    <x v="0"/>
  </r>
  <r>
    <x v="17"/>
    <x v="1"/>
    <x v="1"/>
    <x v="0"/>
    <x v="1"/>
    <x v="1"/>
    <x v="2"/>
    <x v="1"/>
    <s v="121.3"/>
    <x v="12"/>
    <x v="13"/>
    <x v="6"/>
    <x v="3"/>
    <x v="13"/>
    <x v="10"/>
    <x v="16"/>
    <n v="0.61123736069640944"/>
    <x v="11"/>
    <x v="0"/>
  </r>
  <r>
    <x v="18"/>
    <x v="8"/>
    <x v="8"/>
    <x v="1"/>
    <x v="0"/>
    <x v="1"/>
    <x v="2"/>
    <x v="2"/>
    <s v="211.3"/>
    <x v="1"/>
    <x v="13"/>
    <x v="12"/>
    <x v="12"/>
    <x v="3"/>
    <x v="4"/>
    <x v="5"/>
    <n v="0.483045891539648"/>
    <x v="5"/>
    <x v="0"/>
  </r>
  <r>
    <x v="19"/>
    <x v="9"/>
    <x v="9"/>
    <x v="0"/>
    <x v="0"/>
    <x v="1"/>
    <x v="2"/>
    <x v="3"/>
    <s v="111.3"/>
    <x v="4"/>
    <x v="15"/>
    <x v="13"/>
    <x v="7"/>
    <x v="12"/>
    <x v="11"/>
    <x v="17"/>
    <n v="0.57735026918962584"/>
    <x v="16"/>
    <x v="0"/>
  </r>
  <r>
    <x v="20"/>
    <x v="7"/>
    <x v="7"/>
    <x v="1"/>
    <x v="2"/>
    <x v="0"/>
    <x v="3"/>
    <x v="4"/>
    <s v="232.4"/>
    <x v="13"/>
    <x v="16"/>
    <x v="7"/>
    <x v="14"/>
    <x v="14"/>
    <x v="12"/>
    <x v="18"/>
    <n v="0.61463629715286328"/>
    <x v="17"/>
    <x v="0"/>
  </r>
  <r>
    <x v="21"/>
    <x v="1"/>
    <x v="1"/>
    <x v="0"/>
    <x v="1"/>
    <x v="1"/>
    <x v="3"/>
    <x v="5"/>
    <s v="121.4"/>
    <x v="14"/>
    <x v="7"/>
    <x v="0"/>
    <x v="5"/>
    <x v="15"/>
    <x v="4"/>
    <x v="19"/>
    <n v="0.28867513459481292"/>
    <x v="18"/>
    <x v="0"/>
  </r>
  <r>
    <x v="22"/>
    <x v="5"/>
    <x v="5"/>
    <x v="1"/>
    <x v="1"/>
    <x v="0"/>
    <x v="3"/>
    <x v="6"/>
    <s v="222.4"/>
    <x v="8"/>
    <x v="12"/>
    <x v="5"/>
    <x v="15"/>
    <x v="15"/>
    <x v="4"/>
    <x v="20"/>
    <n v="0.66353430791314716"/>
    <x v="19"/>
    <x v="0"/>
  </r>
  <r>
    <x v="23"/>
    <x v="2"/>
    <x v="2"/>
    <x v="0"/>
    <x v="2"/>
    <x v="0"/>
    <x v="3"/>
    <x v="7"/>
    <s v="132.4"/>
    <x v="13"/>
    <x v="16"/>
    <x v="14"/>
    <x v="4"/>
    <x v="16"/>
    <x v="13"/>
    <x v="21"/>
    <n v="1.4414498873626453"/>
    <x v="12"/>
    <x v="0"/>
  </r>
  <r>
    <x v="24"/>
    <x v="10"/>
    <x v="10"/>
    <x v="1"/>
    <x v="0"/>
    <x v="0"/>
    <x v="2"/>
    <x v="0"/>
    <s v="212.3"/>
    <x v="10"/>
    <x v="6"/>
    <x v="13"/>
    <x v="6"/>
    <x v="15"/>
    <x v="0"/>
    <x v="12"/>
    <n v="0.50689687752485291"/>
    <x v="12"/>
    <x v="0"/>
  </r>
  <r>
    <x v="25"/>
    <x v="5"/>
    <x v="5"/>
    <x v="1"/>
    <x v="1"/>
    <x v="0"/>
    <x v="2"/>
    <x v="1"/>
    <s v="222.3"/>
    <x v="1"/>
    <x v="14"/>
    <x v="12"/>
    <x v="16"/>
    <x v="0"/>
    <x v="0"/>
    <x v="22"/>
    <n v="0.64117946872237919"/>
    <x v="20"/>
    <x v="0"/>
  </r>
  <r>
    <x v="26"/>
    <x v="11"/>
    <x v="11"/>
    <x v="0"/>
    <x v="2"/>
    <x v="1"/>
    <x v="2"/>
    <x v="2"/>
    <s v="131.3"/>
    <x v="15"/>
    <x v="17"/>
    <x v="15"/>
    <x v="4"/>
    <x v="17"/>
    <x v="14"/>
    <x v="23"/>
    <n v="0.69121471177759441"/>
    <x v="6"/>
    <x v="0"/>
  </r>
  <r>
    <x v="27"/>
    <x v="6"/>
    <x v="6"/>
    <x v="0"/>
    <x v="1"/>
    <x v="0"/>
    <x v="2"/>
    <x v="3"/>
    <s v="122.3"/>
    <x v="16"/>
    <x v="6"/>
    <x v="13"/>
    <x v="12"/>
    <x v="1"/>
    <x v="1"/>
    <x v="14"/>
    <n v="0.40824829046386307"/>
    <x v="14"/>
    <x v="0"/>
  </r>
  <r>
    <x v="28"/>
    <x v="11"/>
    <x v="11"/>
    <x v="0"/>
    <x v="2"/>
    <x v="1"/>
    <x v="3"/>
    <x v="4"/>
    <s v="131.4"/>
    <x v="17"/>
    <x v="18"/>
    <x v="10"/>
    <x v="17"/>
    <x v="4"/>
    <x v="15"/>
    <x v="24"/>
    <n v="0.91893658347268437"/>
    <x v="19"/>
    <x v="0"/>
  </r>
  <r>
    <x v="29"/>
    <x v="6"/>
    <x v="6"/>
    <x v="0"/>
    <x v="1"/>
    <x v="0"/>
    <x v="3"/>
    <x v="5"/>
    <s v="122.4"/>
    <x v="6"/>
    <x v="7"/>
    <x v="11"/>
    <x v="18"/>
    <x v="13"/>
    <x v="10"/>
    <x v="22"/>
    <n v="0.7149203529842415"/>
    <x v="20"/>
    <x v="0"/>
  </r>
  <r>
    <x v="30"/>
    <x v="10"/>
    <x v="10"/>
    <x v="1"/>
    <x v="0"/>
    <x v="0"/>
    <x v="3"/>
    <x v="6"/>
    <s v="212.4"/>
    <x v="6"/>
    <x v="11"/>
    <x v="0"/>
    <x v="5"/>
    <x v="18"/>
    <x v="16"/>
    <x v="25"/>
    <n v="0.52307849421584174"/>
    <x v="21"/>
    <x v="0"/>
  </r>
  <r>
    <x v="31"/>
    <x v="3"/>
    <x v="3"/>
    <x v="1"/>
    <x v="1"/>
    <x v="1"/>
    <x v="3"/>
    <x v="7"/>
    <s v="221.4"/>
    <x v="11"/>
    <x v="9"/>
    <x v="0"/>
    <x v="15"/>
    <x v="10"/>
    <x v="17"/>
    <x v="20"/>
    <n v="0.90753022600413291"/>
    <x v="19"/>
    <x v="0"/>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x v="0"/>
    <n v="0.88897569020630662"/>
    <x v="0"/>
    <x v="0"/>
    <x v="0"/>
  </r>
  <r>
    <n v="102"/>
    <x v="1"/>
    <x v="1"/>
    <x v="0"/>
    <x v="1"/>
    <x v="1"/>
    <x v="0"/>
    <x v="1"/>
    <s v="121.1"/>
    <x v="1"/>
    <x v="1"/>
    <x v="1"/>
    <x v="1"/>
    <x v="1"/>
    <x v="1"/>
    <x v="1"/>
    <n v="0.96321221845332572"/>
    <x v="1"/>
    <x v="0"/>
    <x v="0"/>
  </r>
  <r>
    <n v="103"/>
    <x v="2"/>
    <x v="2"/>
    <x v="0"/>
    <x v="2"/>
    <x v="0"/>
    <x v="0"/>
    <x v="2"/>
    <s v="132.1"/>
    <x v="2"/>
    <x v="2"/>
    <x v="2"/>
    <x v="2"/>
    <x v="2"/>
    <x v="2"/>
    <x v="2"/>
    <n v="0.64549722436790291"/>
    <x v="2"/>
    <x v="0"/>
    <x v="0"/>
  </r>
  <r>
    <n v="104"/>
    <x v="3"/>
    <x v="3"/>
    <x v="1"/>
    <x v="1"/>
    <x v="1"/>
    <x v="0"/>
    <x v="3"/>
    <s v="221.1"/>
    <x v="1"/>
    <x v="3"/>
    <x v="3"/>
    <x v="3"/>
    <x v="3"/>
    <x v="0"/>
    <x v="3"/>
    <n v="0.57251880124392351"/>
    <x v="3"/>
    <x v="0"/>
    <x v="0"/>
  </r>
  <r>
    <n v="105"/>
    <x v="4"/>
    <x v="4"/>
    <x v="1"/>
    <x v="2"/>
    <x v="1"/>
    <x v="1"/>
    <x v="4"/>
    <s v="231.2"/>
    <x v="3"/>
    <x v="4"/>
    <x v="4"/>
    <x v="4"/>
    <x v="4"/>
    <x v="3"/>
    <x v="4"/>
    <n v="0.83416625041614667"/>
    <x v="4"/>
    <x v="0"/>
    <x v="0"/>
  </r>
  <r>
    <n v="106"/>
    <x v="5"/>
    <x v="5"/>
    <x v="1"/>
    <x v="1"/>
    <x v="0"/>
    <x v="1"/>
    <x v="5"/>
    <s v="222.2"/>
    <x v="4"/>
    <x v="5"/>
    <x v="0"/>
    <x v="5"/>
    <x v="5"/>
    <x v="1"/>
    <x v="5"/>
    <n v="0.73029674334022154"/>
    <x v="5"/>
    <x v="0"/>
    <x v="0"/>
  </r>
  <r>
    <n v="107"/>
    <x v="3"/>
    <x v="3"/>
    <x v="1"/>
    <x v="1"/>
    <x v="1"/>
    <x v="1"/>
    <x v="6"/>
    <s v="221.2"/>
    <x v="5"/>
    <x v="6"/>
    <x v="5"/>
    <x v="6"/>
    <x v="6"/>
    <x v="4"/>
    <x v="6"/>
    <n v="0.65404722901162049"/>
    <x v="6"/>
    <x v="0"/>
    <x v="0"/>
  </r>
  <r>
    <n v="108"/>
    <x v="6"/>
    <x v="6"/>
    <x v="0"/>
    <x v="1"/>
    <x v="0"/>
    <x v="1"/>
    <x v="7"/>
    <s v="122.2"/>
    <x v="6"/>
    <x v="7"/>
    <x v="6"/>
    <x v="7"/>
    <x v="1"/>
    <x v="5"/>
    <x v="7"/>
    <n v="0.38188130791298669"/>
    <x v="7"/>
    <x v="0"/>
    <x v="0"/>
  </r>
  <r>
    <n v="201"/>
    <x v="4"/>
    <x v="4"/>
    <x v="1"/>
    <x v="2"/>
    <x v="1"/>
    <x v="0"/>
    <x v="0"/>
    <s v="231.1"/>
    <x v="7"/>
    <x v="8"/>
    <x v="7"/>
    <x v="8"/>
    <x v="7"/>
    <x v="6"/>
    <x v="8"/>
    <n v="1.2365947867699698"/>
    <x v="8"/>
    <x v="0"/>
    <x v="1"/>
  </r>
  <r>
    <n v="202"/>
    <x v="5"/>
    <x v="5"/>
    <x v="1"/>
    <x v="1"/>
    <x v="0"/>
    <x v="0"/>
    <x v="1"/>
    <s v="222.1"/>
    <x v="4"/>
    <x v="9"/>
    <x v="8"/>
    <x v="9"/>
    <x v="8"/>
    <x v="7"/>
    <x v="9"/>
    <n v="1.1061695670696752"/>
    <x v="9"/>
    <x v="0"/>
    <x v="1"/>
  </r>
  <r>
    <n v="203"/>
    <x v="6"/>
    <x v="6"/>
    <x v="0"/>
    <x v="1"/>
    <x v="0"/>
    <x v="0"/>
    <x v="2"/>
    <s v="122.1"/>
    <x v="8"/>
    <x v="7"/>
    <x v="9"/>
    <x v="10"/>
    <x v="3"/>
    <x v="8"/>
    <x v="10"/>
    <n v="0.60553007081949839"/>
    <x v="10"/>
    <x v="0"/>
    <x v="1"/>
  </r>
  <r>
    <n v="204"/>
    <x v="7"/>
    <x v="7"/>
    <x v="1"/>
    <x v="2"/>
    <x v="0"/>
    <x v="0"/>
    <x v="3"/>
    <s v="232.1"/>
    <x v="3"/>
    <x v="10"/>
    <x v="10"/>
    <x v="11"/>
    <x v="9"/>
    <x v="9"/>
    <x v="11"/>
    <n v="0.49441323247304936"/>
    <x v="11"/>
    <x v="0"/>
    <x v="1"/>
  </r>
  <r>
    <n v="205"/>
    <x v="0"/>
    <x v="0"/>
    <x v="0"/>
    <x v="0"/>
    <x v="0"/>
    <x v="1"/>
    <x v="4"/>
    <s v="112.2"/>
    <x v="9"/>
    <x v="11"/>
    <x v="11"/>
    <x v="12"/>
    <x v="5"/>
    <x v="7"/>
    <x v="12"/>
    <n v="0.92571293846658853"/>
    <x v="12"/>
    <x v="0"/>
    <x v="1"/>
  </r>
  <r>
    <n v="206"/>
    <x v="8"/>
    <x v="8"/>
    <x v="1"/>
    <x v="0"/>
    <x v="1"/>
    <x v="1"/>
    <x v="5"/>
    <s v="211.2"/>
    <x v="4"/>
    <x v="12"/>
    <x v="0"/>
    <x v="13"/>
    <x v="6"/>
    <x v="0"/>
    <x v="13"/>
    <n v="0.35746017649212208"/>
    <x v="13"/>
    <x v="0"/>
    <x v="1"/>
  </r>
  <r>
    <n v="207"/>
    <x v="1"/>
    <x v="1"/>
    <x v="0"/>
    <x v="1"/>
    <x v="1"/>
    <x v="1"/>
    <x v="6"/>
    <s v="121.2"/>
    <x v="10"/>
    <x v="13"/>
    <x v="3"/>
    <x v="12"/>
    <x v="10"/>
    <x v="10"/>
    <x v="14"/>
    <n v="0.64549722436790291"/>
    <x v="14"/>
    <x v="0"/>
    <x v="1"/>
  </r>
  <r>
    <n v="208"/>
    <x v="9"/>
    <x v="9"/>
    <x v="0"/>
    <x v="0"/>
    <x v="1"/>
    <x v="1"/>
    <x v="7"/>
    <s v="111.2"/>
    <x v="11"/>
    <x v="11"/>
    <x v="5"/>
    <x v="5"/>
    <x v="11"/>
    <x v="5"/>
    <x v="15"/>
    <n v="0.82411568767174115"/>
    <x v="15"/>
    <x v="0"/>
    <x v="1"/>
  </r>
  <r>
    <n v="301"/>
    <x v="3"/>
    <x v="3"/>
    <x v="1"/>
    <x v="1"/>
    <x v="1"/>
    <x v="2"/>
    <x v="0"/>
    <s v="221.3"/>
    <x v="0"/>
    <x v="14"/>
    <x v="9"/>
    <x v="3"/>
    <x v="12"/>
    <x v="11"/>
    <x v="15"/>
    <n v="0.62915286960589578"/>
    <x v="15"/>
    <x v="0"/>
    <x v="2"/>
  </r>
  <r>
    <n v="302"/>
    <x v="1"/>
    <x v="1"/>
    <x v="0"/>
    <x v="1"/>
    <x v="1"/>
    <x v="2"/>
    <x v="1"/>
    <s v="121.3"/>
    <x v="12"/>
    <x v="13"/>
    <x v="6"/>
    <x v="3"/>
    <x v="13"/>
    <x v="10"/>
    <x v="16"/>
    <n v="0.61123736069640944"/>
    <x v="11"/>
    <x v="0"/>
    <x v="2"/>
  </r>
  <r>
    <n v="303"/>
    <x v="8"/>
    <x v="8"/>
    <x v="1"/>
    <x v="0"/>
    <x v="1"/>
    <x v="2"/>
    <x v="2"/>
    <s v="211.3"/>
    <x v="1"/>
    <x v="13"/>
    <x v="12"/>
    <x v="12"/>
    <x v="3"/>
    <x v="4"/>
    <x v="5"/>
    <n v="0.483045891539648"/>
    <x v="5"/>
    <x v="0"/>
    <x v="2"/>
  </r>
  <r>
    <n v="304"/>
    <x v="9"/>
    <x v="9"/>
    <x v="0"/>
    <x v="0"/>
    <x v="1"/>
    <x v="2"/>
    <x v="3"/>
    <s v="111.3"/>
    <x v="4"/>
    <x v="15"/>
    <x v="13"/>
    <x v="7"/>
    <x v="12"/>
    <x v="11"/>
    <x v="17"/>
    <n v="0.57735026918962584"/>
    <x v="16"/>
    <x v="0"/>
    <x v="2"/>
  </r>
  <r>
    <n v="305"/>
    <x v="7"/>
    <x v="7"/>
    <x v="1"/>
    <x v="2"/>
    <x v="0"/>
    <x v="3"/>
    <x v="4"/>
    <s v="232.4"/>
    <x v="13"/>
    <x v="16"/>
    <x v="7"/>
    <x v="14"/>
    <x v="14"/>
    <x v="12"/>
    <x v="18"/>
    <n v="0.61463629715286328"/>
    <x v="17"/>
    <x v="0"/>
    <x v="2"/>
  </r>
  <r>
    <n v="306"/>
    <x v="1"/>
    <x v="1"/>
    <x v="0"/>
    <x v="1"/>
    <x v="1"/>
    <x v="3"/>
    <x v="5"/>
    <s v="121.4"/>
    <x v="14"/>
    <x v="7"/>
    <x v="0"/>
    <x v="5"/>
    <x v="15"/>
    <x v="4"/>
    <x v="19"/>
    <n v="0.28867513459481292"/>
    <x v="18"/>
    <x v="0"/>
    <x v="2"/>
  </r>
  <r>
    <n v="307"/>
    <x v="5"/>
    <x v="5"/>
    <x v="1"/>
    <x v="1"/>
    <x v="0"/>
    <x v="3"/>
    <x v="6"/>
    <s v="222.4"/>
    <x v="8"/>
    <x v="12"/>
    <x v="5"/>
    <x v="15"/>
    <x v="15"/>
    <x v="4"/>
    <x v="20"/>
    <n v="0.66353430791314716"/>
    <x v="19"/>
    <x v="0"/>
    <x v="2"/>
  </r>
  <r>
    <n v="308"/>
    <x v="2"/>
    <x v="2"/>
    <x v="0"/>
    <x v="2"/>
    <x v="0"/>
    <x v="3"/>
    <x v="7"/>
    <s v="132.4"/>
    <x v="13"/>
    <x v="16"/>
    <x v="14"/>
    <x v="4"/>
    <x v="16"/>
    <x v="13"/>
    <x v="21"/>
    <n v="1.4414498873626453"/>
    <x v="12"/>
    <x v="0"/>
    <x v="2"/>
  </r>
  <r>
    <n v="401"/>
    <x v="10"/>
    <x v="10"/>
    <x v="1"/>
    <x v="0"/>
    <x v="0"/>
    <x v="2"/>
    <x v="0"/>
    <s v="212.3"/>
    <x v="10"/>
    <x v="6"/>
    <x v="13"/>
    <x v="6"/>
    <x v="15"/>
    <x v="0"/>
    <x v="12"/>
    <n v="0.50689687752485291"/>
    <x v="12"/>
    <x v="0"/>
    <x v="3"/>
  </r>
  <r>
    <n v="402"/>
    <x v="5"/>
    <x v="5"/>
    <x v="1"/>
    <x v="1"/>
    <x v="0"/>
    <x v="2"/>
    <x v="1"/>
    <s v="222.3"/>
    <x v="1"/>
    <x v="14"/>
    <x v="12"/>
    <x v="16"/>
    <x v="0"/>
    <x v="0"/>
    <x v="22"/>
    <n v="0.64117946872237919"/>
    <x v="20"/>
    <x v="0"/>
    <x v="3"/>
  </r>
  <r>
    <n v="403"/>
    <x v="11"/>
    <x v="11"/>
    <x v="0"/>
    <x v="2"/>
    <x v="1"/>
    <x v="2"/>
    <x v="2"/>
    <s v="131.3"/>
    <x v="15"/>
    <x v="17"/>
    <x v="15"/>
    <x v="4"/>
    <x v="17"/>
    <x v="14"/>
    <x v="23"/>
    <n v="0.69121471177759441"/>
    <x v="6"/>
    <x v="0"/>
    <x v="3"/>
  </r>
  <r>
    <n v="404"/>
    <x v="6"/>
    <x v="6"/>
    <x v="0"/>
    <x v="1"/>
    <x v="0"/>
    <x v="2"/>
    <x v="3"/>
    <s v="122.3"/>
    <x v="16"/>
    <x v="6"/>
    <x v="13"/>
    <x v="12"/>
    <x v="1"/>
    <x v="1"/>
    <x v="14"/>
    <n v="0.40824829046386307"/>
    <x v="14"/>
    <x v="0"/>
    <x v="3"/>
  </r>
  <r>
    <n v="405"/>
    <x v="11"/>
    <x v="11"/>
    <x v="0"/>
    <x v="2"/>
    <x v="1"/>
    <x v="3"/>
    <x v="4"/>
    <s v="131.4"/>
    <x v="17"/>
    <x v="18"/>
    <x v="10"/>
    <x v="17"/>
    <x v="4"/>
    <x v="15"/>
    <x v="24"/>
    <n v="0.91893658347268437"/>
    <x v="19"/>
    <x v="0"/>
    <x v="3"/>
  </r>
  <r>
    <n v="406"/>
    <x v="6"/>
    <x v="6"/>
    <x v="0"/>
    <x v="1"/>
    <x v="0"/>
    <x v="3"/>
    <x v="5"/>
    <s v="122.4"/>
    <x v="6"/>
    <x v="7"/>
    <x v="11"/>
    <x v="18"/>
    <x v="13"/>
    <x v="10"/>
    <x v="22"/>
    <n v="0.7149203529842415"/>
    <x v="20"/>
    <x v="0"/>
    <x v="3"/>
  </r>
  <r>
    <n v="407"/>
    <x v="10"/>
    <x v="10"/>
    <x v="1"/>
    <x v="0"/>
    <x v="0"/>
    <x v="3"/>
    <x v="6"/>
    <s v="212.4"/>
    <x v="6"/>
    <x v="11"/>
    <x v="0"/>
    <x v="5"/>
    <x v="18"/>
    <x v="16"/>
    <x v="25"/>
    <n v="0.52307849421584174"/>
    <x v="21"/>
    <x v="0"/>
    <x v="3"/>
  </r>
  <r>
    <n v="408"/>
    <x v="3"/>
    <x v="3"/>
    <x v="1"/>
    <x v="1"/>
    <x v="1"/>
    <x v="3"/>
    <x v="7"/>
    <s v="221.4"/>
    <x v="11"/>
    <x v="9"/>
    <x v="0"/>
    <x v="15"/>
    <x v="10"/>
    <x v="17"/>
    <x v="20"/>
    <n v="0.90753022600413291"/>
    <x v="19"/>
    <x v="0"/>
    <x v="3"/>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01"/>
    <x v="0"/>
    <x v="0"/>
    <x v="0"/>
    <x v="0"/>
    <x v="0"/>
    <x v="0"/>
    <x v="0"/>
    <s v="112.1"/>
    <x v="0"/>
    <x v="0"/>
    <x v="0"/>
    <x v="0"/>
    <x v="0"/>
    <x v="0"/>
    <n v="5.270833333333333"/>
    <n v="0.1561805401165953"/>
    <n v="10.541666666666666"/>
    <x v="0"/>
    <x v="0"/>
  </r>
  <r>
    <n v="102"/>
    <x v="1"/>
    <x v="1"/>
    <x v="0"/>
    <x v="1"/>
    <x v="1"/>
    <x v="0"/>
    <x v="1"/>
    <s v="121.1"/>
    <x v="1"/>
    <x v="1"/>
    <x v="1"/>
    <x v="1"/>
    <x v="1"/>
    <x v="1"/>
    <n v="9.3333333333333339"/>
    <n v="0.9953596037316077"/>
    <n v="9.3333333333333339"/>
    <x v="0"/>
    <x v="0"/>
  </r>
  <r>
    <n v="103"/>
    <x v="2"/>
    <x v="2"/>
    <x v="0"/>
    <x v="2"/>
    <x v="0"/>
    <x v="0"/>
    <x v="2"/>
    <s v="132.1"/>
    <x v="2"/>
    <x v="2"/>
    <x v="2"/>
    <x v="2"/>
    <x v="2"/>
    <x v="2"/>
    <n v="22.416666666666668"/>
    <n v="0.73377511945140772"/>
    <n v="11.208333333333334"/>
    <x v="0"/>
    <x v="0"/>
  </r>
  <r>
    <n v="104"/>
    <x v="3"/>
    <x v="3"/>
    <x v="1"/>
    <x v="1"/>
    <x v="1"/>
    <x v="0"/>
    <x v="3"/>
    <s v="221.1"/>
    <x v="3"/>
    <x v="3"/>
    <x v="3"/>
    <x v="3"/>
    <x v="3"/>
    <x v="3"/>
    <n v="12.027777777777779"/>
    <n v="0.57641398874398753"/>
    <n v="12.027777777777779"/>
    <x v="0"/>
    <x v="0"/>
  </r>
  <r>
    <n v="105"/>
    <x v="4"/>
    <x v="4"/>
    <x v="1"/>
    <x v="2"/>
    <x v="1"/>
    <x v="1"/>
    <x v="4"/>
    <s v="231.2"/>
    <x v="4"/>
    <x v="4"/>
    <x v="4"/>
    <x v="4"/>
    <x v="4"/>
    <x v="4"/>
    <n v="23.277777777777782"/>
    <n v="0.69610911589673552"/>
    <n v="11.638888888888891"/>
    <x v="0"/>
    <x v="0"/>
  </r>
  <r>
    <n v="106"/>
    <x v="5"/>
    <x v="5"/>
    <x v="1"/>
    <x v="1"/>
    <x v="0"/>
    <x v="1"/>
    <x v="5"/>
    <s v="222.2"/>
    <x v="5"/>
    <x v="5"/>
    <x v="5"/>
    <x v="5"/>
    <x v="5"/>
    <x v="5"/>
    <n v="12.166666666666666"/>
    <n v="0.7123253522144285"/>
    <n v="12.166666666666666"/>
    <x v="0"/>
    <x v="0"/>
  </r>
  <r>
    <n v="107"/>
    <x v="3"/>
    <x v="3"/>
    <x v="1"/>
    <x v="1"/>
    <x v="1"/>
    <x v="1"/>
    <x v="6"/>
    <s v="221.2"/>
    <x v="6"/>
    <x v="6"/>
    <x v="6"/>
    <x v="6"/>
    <x v="6"/>
    <x v="6"/>
    <n v="11.472222222222221"/>
    <n v="0.60463742834287959"/>
    <n v="11.472222222222221"/>
    <x v="0"/>
    <x v="0"/>
  </r>
  <r>
    <n v="108"/>
    <x v="6"/>
    <x v="6"/>
    <x v="0"/>
    <x v="1"/>
    <x v="0"/>
    <x v="1"/>
    <x v="7"/>
    <s v="122.2"/>
    <x v="7"/>
    <x v="7"/>
    <x v="7"/>
    <x v="7"/>
    <x v="7"/>
    <x v="7"/>
    <n v="11.916666666666666"/>
    <n v="0.27805541680538293"/>
    <n v="11.916666666666666"/>
    <x v="0"/>
    <x v="0"/>
  </r>
  <r>
    <n v="201"/>
    <x v="4"/>
    <x v="4"/>
    <x v="1"/>
    <x v="2"/>
    <x v="1"/>
    <x v="0"/>
    <x v="0"/>
    <s v="231.1"/>
    <x v="8"/>
    <x v="8"/>
    <x v="8"/>
    <x v="8"/>
    <x v="8"/>
    <x v="8"/>
    <n v="21.777777777777775"/>
    <n v="1.2085089272158929"/>
    <n v="10.888888888888888"/>
    <x v="0"/>
    <x v="1"/>
  </r>
  <r>
    <n v="202"/>
    <x v="5"/>
    <x v="5"/>
    <x v="1"/>
    <x v="1"/>
    <x v="0"/>
    <x v="0"/>
    <x v="1"/>
    <s v="222.1"/>
    <x v="9"/>
    <x v="9"/>
    <x v="9"/>
    <x v="9"/>
    <x v="9"/>
    <x v="9"/>
    <n v="12.527777777777777"/>
    <n v="1.1058905131885799"/>
    <n v="12.527777777777777"/>
    <x v="0"/>
    <x v="1"/>
  </r>
  <r>
    <n v="203"/>
    <x v="6"/>
    <x v="6"/>
    <x v="0"/>
    <x v="1"/>
    <x v="0"/>
    <x v="0"/>
    <x v="2"/>
    <s v="122.1"/>
    <x v="10"/>
    <x v="10"/>
    <x v="10"/>
    <x v="10"/>
    <x v="7"/>
    <x v="10"/>
    <n v="10.666666666666666"/>
    <n v="0.65968567150210911"/>
    <n v="10.666666666666666"/>
    <x v="0"/>
    <x v="1"/>
  </r>
  <r>
    <n v="204"/>
    <x v="7"/>
    <x v="7"/>
    <x v="1"/>
    <x v="2"/>
    <x v="0"/>
    <x v="0"/>
    <x v="3"/>
    <s v="232.1"/>
    <x v="11"/>
    <x v="2"/>
    <x v="11"/>
    <x v="11"/>
    <x v="10"/>
    <x v="11"/>
    <n v="24.027777777777782"/>
    <n v="0.44600420747610664"/>
    <n v="12.013888888888891"/>
    <x v="0"/>
    <x v="1"/>
  </r>
  <r>
    <n v="205"/>
    <x v="0"/>
    <x v="0"/>
    <x v="0"/>
    <x v="0"/>
    <x v="0"/>
    <x v="1"/>
    <x v="4"/>
    <s v="112.2"/>
    <x v="12"/>
    <x v="11"/>
    <x v="12"/>
    <x v="0"/>
    <x v="0"/>
    <x v="0"/>
    <n v="5"/>
    <n v="0.28686524130097513"/>
    <n v="10"/>
    <x v="0"/>
    <x v="1"/>
  </r>
  <r>
    <n v="206"/>
    <x v="8"/>
    <x v="8"/>
    <x v="1"/>
    <x v="0"/>
    <x v="1"/>
    <x v="1"/>
    <x v="5"/>
    <s v="211.2"/>
    <x v="13"/>
    <x v="12"/>
    <x v="13"/>
    <x v="12"/>
    <x v="11"/>
    <x v="12"/>
    <n v="5.229166666666667"/>
    <n v="9.3634187726019336E-2"/>
    <n v="10.458333333333334"/>
    <x v="0"/>
    <x v="1"/>
  </r>
  <r>
    <n v="207"/>
    <x v="1"/>
    <x v="1"/>
    <x v="0"/>
    <x v="1"/>
    <x v="1"/>
    <x v="1"/>
    <x v="6"/>
    <s v="121.2"/>
    <x v="14"/>
    <x v="13"/>
    <x v="14"/>
    <x v="13"/>
    <x v="12"/>
    <x v="7"/>
    <n v="11.75"/>
    <n v="0.52484565632475588"/>
    <n v="11.75"/>
    <x v="0"/>
    <x v="1"/>
  </r>
  <r>
    <n v="208"/>
    <x v="9"/>
    <x v="9"/>
    <x v="0"/>
    <x v="0"/>
    <x v="1"/>
    <x v="1"/>
    <x v="7"/>
    <s v="111.2"/>
    <x v="15"/>
    <x v="14"/>
    <x v="12"/>
    <x v="14"/>
    <x v="13"/>
    <x v="13"/>
    <n v="5.020833333333333"/>
    <n v="0.1561805401165953"/>
    <n v="10.041666666666666"/>
    <x v="0"/>
    <x v="1"/>
  </r>
  <r>
    <n v="301"/>
    <x v="3"/>
    <x v="3"/>
    <x v="1"/>
    <x v="1"/>
    <x v="1"/>
    <x v="2"/>
    <x v="0"/>
    <s v="221.3"/>
    <x v="16"/>
    <x v="10"/>
    <x v="15"/>
    <x v="15"/>
    <x v="14"/>
    <x v="14"/>
    <n v="11.305555555555557"/>
    <n v="0.68369457479559892"/>
    <n v="11.305555555555557"/>
    <x v="0"/>
    <x v="2"/>
  </r>
  <r>
    <n v="302"/>
    <x v="1"/>
    <x v="1"/>
    <x v="0"/>
    <x v="1"/>
    <x v="1"/>
    <x v="2"/>
    <x v="1"/>
    <s v="121.3"/>
    <x v="17"/>
    <x v="15"/>
    <x v="16"/>
    <x v="16"/>
    <x v="6"/>
    <x v="15"/>
    <n v="11.888888888888891"/>
    <n v="0.58001702827279911"/>
    <n v="11.888888888888891"/>
    <x v="0"/>
    <x v="2"/>
  </r>
  <r>
    <n v="303"/>
    <x v="8"/>
    <x v="8"/>
    <x v="1"/>
    <x v="0"/>
    <x v="1"/>
    <x v="2"/>
    <x v="2"/>
    <s v="211.3"/>
    <x v="15"/>
    <x v="16"/>
    <x v="17"/>
    <x v="17"/>
    <x v="15"/>
    <x v="16"/>
    <n v="5.375"/>
    <n v="0.10704360482220943"/>
    <n v="10.75"/>
    <x v="0"/>
    <x v="2"/>
  </r>
  <r>
    <n v="304"/>
    <x v="9"/>
    <x v="9"/>
    <x v="0"/>
    <x v="0"/>
    <x v="1"/>
    <x v="2"/>
    <x v="3"/>
    <s v="111.3"/>
    <x v="18"/>
    <x v="17"/>
    <x v="18"/>
    <x v="18"/>
    <x v="15"/>
    <x v="17"/>
    <n v="5.166666666666667"/>
    <n v="0.18162078931419562"/>
    <n v="10.333333333333334"/>
    <x v="0"/>
    <x v="2"/>
  </r>
  <r>
    <n v="305"/>
    <x v="7"/>
    <x v="7"/>
    <x v="1"/>
    <x v="2"/>
    <x v="0"/>
    <x v="3"/>
    <x v="4"/>
    <s v="232.4"/>
    <x v="19"/>
    <x v="18"/>
    <x v="19"/>
    <x v="19"/>
    <x v="16"/>
    <x v="18"/>
    <n v="25.666666666666668"/>
    <n v="0.68583552720048124"/>
    <n v="12.833333333333334"/>
    <x v="0"/>
    <x v="2"/>
  </r>
  <r>
    <n v="306"/>
    <x v="1"/>
    <x v="1"/>
    <x v="0"/>
    <x v="1"/>
    <x v="1"/>
    <x v="3"/>
    <x v="5"/>
    <s v="121.4"/>
    <x v="20"/>
    <x v="19"/>
    <x v="14"/>
    <x v="20"/>
    <x v="17"/>
    <x v="19"/>
    <n v="12.694444444444443"/>
    <n v="0.34805455794838958"/>
    <n v="12.694444444444443"/>
    <x v="0"/>
    <x v="2"/>
  </r>
  <r>
    <n v="307"/>
    <x v="5"/>
    <x v="5"/>
    <x v="1"/>
    <x v="1"/>
    <x v="0"/>
    <x v="3"/>
    <x v="6"/>
    <s v="222.4"/>
    <x v="21"/>
    <x v="13"/>
    <x v="20"/>
    <x v="21"/>
    <x v="18"/>
    <x v="6"/>
    <n v="11.944444444444445"/>
    <n v="0.6578115606940258"/>
    <n v="11.944444444444445"/>
    <x v="0"/>
    <x v="2"/>
  </r>
  <r>
    <n v="308"/>
    <x v="2"/>
    <x v="2"/>
    <x v="0"/>
    <x v="2"/>
    <x v="0"/>
    <x v="3"/>
    <x v="7"/>
    <s v="132.4"/>
    <x v="19"/>
    <x v="20"/>
    <x v="21"/>
    <x v="2"/>
    <x v="19"/>
    <x v="20"/>
    <n v="23.333333333333332"/>
    <n v="1.5764470131232413"/>
    <n v="11.666666666666666"/>
    <x v="0"/>
    <x v="2"/>
  </r>
  <r>
    <n v="401"/>
    <x v="10"/>
    <x v="10"/>
    <x v="1"/>
    <x v="0"/>
    <x v="0"/>
    <x v="2"/>
    <x v="0"/>
    <s v="212.3"/>
    <x v="22"/>
    <x v="21"/>
    <x v="18"/>
    <x v="0"/>
    <x v="15"/>
    <x v="0"/>
    <n v="4.875"/>
    <n v="0.10206207261596577"/>
    <n v="9.75"/>
    <x v="0"/>
    <x v="3"/>
  </r>
  <r>
    <n v="402"/>
    <x v="5"/>
    <x v="5"/>
    <x v="1"/>
    <x v="1"/>
    <x v="0"/>
    <x v="2"/>
    <x v="1"/>
    <s v="222.3"/>
    <x v="1"/>
    <x v="22"/>
    <x v="22"/>
    <x v="22"/>
    <x v="20"/>
    <x v="21"/>
    <n v="11.583333333333334"/>
    <n v="0.67047523223236216"/>
    <n v="11.583333333333334"/>
    <x v="0"/>
    <x v="3"/>
  </r>
  <r>
    <n v="403"/>
    <x v="11"/>
    <x v="11"/>
    <x v="0"/>
    <x v="2"/>
    <x v="1"/>
    <x v="2"/>
    <x v="2"/>
    <s v="131.3"/>
    <x v="19"/>
    <x v="23"/>
    <x v="23"/>
    <x v="23"/>
    <x v="21"/>
    <x v="22"/>
    <n v="22.722222222222225"/>
    <n v="0.84290795889022052"/>
    <n v="11.361111111111112"/>
    <x v="0"/>
    <x v="3"/>
  </r>
  <r>
    <n v="404"/>
    <x v="6"/>
    <x v="6"/>
    <x v="0"/>
    <x v="1"/>
    <x v="0"/>
    <x v="2"/>
    <x v="3"/>
    <s v="122.3"/>
    <x v="7"/>
    <x v="9"/>
    <x v="10"/>
    <x v="24"/>
    <x v="22"/>
    <x v="23"/>
    <n v="11.083333333333334"/>
    <n v="0.50872025347561822"/>
    <n v="11.083333333333334"/>
    <x v="0"/>
    <x v="3"/>
  </r>
  <r>
    <n v="405"/>
    <x v="11"/>
    <x v="11"/>
    <x v="0"/>
    <x v="2"/>
    <x v="1"/>
    <x v="3"/>
    <x v="4"/>
    <s v="131.4"/>
    <x v="23"/>
    <x v="18"/>
    <x v="24"/>
    <x v="25"/>
    <x v="23"/>
    <x v="24"/>
    <n v="24.361111111111114"/>
    <n v="0.87073475429987646"/>
    <n v="12.180555555555557"/>
    <x v="0"/>
    <x v="3"/>
  </r>
  <r>
    <n v="406"/>
    <x v="6"/>
    <x v="6"/>
    <x v="0"/>
    <x v="1"/>
    <x v="0"/>
    <x v="3"/>
    <x v="5"/>
    <s v="122.4"/>
    <x v="24"/>
    <x v="24"/>
    <x v="25"/>
    <x v="26"/>
    <x v="6"/>
    <x v="25"/>
    <n v="11.861111111111112"/>
    <n v="0.68774546684110194"/>
    <n v="11.861111111111112"/>
    <x v="0"/>
    <x v="3"/>
  </r>
  <r>
    <n v="407"/>
    <x v="10"/>
    <x v="10"/>
    <x v="1"/>
    <x v="0"/>
    <x v="0"/>
    <x v="3"/>
    <x v="6"/>
    <s v="212.4"/>
    <x v="25"/>
    <x v="12"/>
    <x v="13"/>
    <x v="27"/>
    <x v="15"/>
    <x v="26"/>
    <n v="5.0625"/>
    <n v="0.13597640726733934"/>
    <n v="10.125"/>
    <x v="0"/>
    <x v="3"/>
  </r>
  <r>
    <n v="408"/>
    <x v="3"/>
    <x v="3"/>
    <x v="1"/>
    <x v="1"/>
    <x v="1"/>
    <x v="3"/>
    <x v="7"/>
    <s v="221.4"/>
    <x v="26"/>
    <x v="25"/>
    <x v="26"/>
    <x v="28"/>
    <x v="24"/>
    <x v="27"/>
    <n v="12.138888888888891"/>
    <n v="0.93036896968518668"/>
    <n v="12.138888888888891"/>
    <x v="0"/>
    <x v="3"/>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x v="0"/>
    <x v="0"/>
    <x v="0"/>
    <s v="112.1"/>
    <x v="0"/>
    <x v="0"/>
    <x v="0"/>
    <x v="0"/>
    <x v="0"/>
    <x v="0"/>
    <n v="5.270833333333333"/>
    <n v="0.1561805401165953"/>
    <n v="10.541666666666666"/>
    <x v="0"/>
  </r>
  <r>
    <x v="1"/>
    <x v="1"/>
    <x v="1"/>
    <x v="0"/>
    <x v="1"/>
    <x v="1"/>
    <x v="0"/>
    <x v="1"/>
    <s v="121.1"/>
    <x v="1"/>
    <x v="1"/>
    <x v="1"/>
    <x v="1"/>
    <x v="1"/>
    <x v="1"/>
    <n v="9.3333333333333339"/>
    <n v="0.9953596037316077"/>
    <n v="9.3333333333333339"/>
    <x v="0"/>
  </r>
  <r>
    <x v="2"/>
    <x v="2"/>
    <x v="2"/>
    <x v="0"/>
    <x v="2"/>
    <x v="0"/>
    <x v="0"/>
    <x v="2"/>
    <s v="132.1"/>
    <x v="2"/>
    <x v="2"/>
    <x v="2"/>
    <x v="2"/>
    <x v="2"/>
    <x v="2"/>
    <n v="22.416666666666668"/>
    <n v="0.73377511945140772"/>
    <n v="11.208333333333334"/>
    <x v="0"/>
  </r>
  <r>
    <x v="3"/>
    <x v="3"/>
    <x v="3"/>
    <x v="1"/>
    <x v="1"/>
    <x v="1"/>
    <x v="0"/>
    <x v="3"/>
    <s v="221.1"/>
    <x v="3"/>
    <x v="3"/>
    <x v="3"/>
    <x v="3"/>
    <x v="3"/>
    <x v="3"/>
    <n v="12.027777777777779"/>
    <n v="0.57641398874398753"/>
    <n v="12.027777777777779"/>
    <x v="0"/>
  </r>
  <r>
    <x v="4"/>
    <x v="4"/>
    <x v="4"/>
    <x v="1"/>
    <x v="2"/>
    <x v="1"/>
    <x v="1"/>
    <x v="4"/>
    <s v="231.2"/>
    <x v="4"/>
    <x v="4"/>
    <x v="4"/>
    <x v="4"/>
    <x v="4"/>
    <x v="4"/>
    <n v="23.277777777777782"/>
    <n v="0.69610911589673552"/>
    <n v="11.638888888888891"/>
    <x v="0"/>
  </r>
  <r>
    <x v="5"/>
    <x v="5"/>
    <x v="5"/>
    <x v="1"/>
    <x v="1"/>
    <x v="0"/>
    <x v="1"/>
    <x v="5"/>
    <s v="222.2"/>
    <x v="5"/>
    <x v="5"/>
    <x v="5"/>
    <x v="5"/>
    <x v="5"/>
    <x v="5"/>
    <n v="12.166666666666666"/>
    <n v="0.7123253522144285"/>
    <n v="12.166666666666666"/>
    <x v="0"/>
  </r>
  <r>
    <x v="6"/>
    <x v="3"/>
    <x v="3"/>
    <x v="1"/>
    <x v="1"/>
    <x v="1"/>
    <x v="1"/>
    <x v="6"/>
    <s v="221.2"/>
    <x v="6"/>
    <x v="6"/>
    <x v="6"/>
    <x v="6"/>
    <x v="6"/>
    <x v="6"/>
    <n v="11.472222222222221"/>
    <n v="0.60463742834287959"/>
    <n v="11.472222222222221"/>
    <x v="0"/>
  </r>
  <r>
    <x v="7"/>
    <x v="6"/>
    <x v="6"/>
    <x v="0"/>
    <x v="1"/>
    <x v="0"/>
    <x v="1"/>
    <x v="7"/>
    <s v="122.2"/>
    <x v="7"/>
    <x v="7"/>
    <x v="7"/>
    <x v="7"/>
    <x v="7"/>
    <x v="7"/>
    <n v="11.916666666666666"/>
    <n v="0.27805541680538293"/>
    <n v="11.916666666666666"/>
    <x v="0"/>
  </r>
  <r>
    <x v="8"/>
    <x v="4"/>
    <x v="4"/>
    <x v="1"/>
    <x v="2"/>
    <x v="1"/>
    <x v="0"/>
    <x v="0"/>
    <s v="231.1"/>
    <x v="8"/>
    <x v="8"/>
    <x v="8"/>
    <x v="8"/>
    <x v="8"/>
    <x v="8"/>
    <n v="21.777777777777775"/>
    <n v="1.2085089272158929"/>
    <n v="10.888888888888888"/>
    <x v="0"/>
  </r>
  <r>
    <x v="9"/>
    <x v="5"/>
    <x v="5"/>
    <x v="1"/>
    <x v="1"/>
    <x v="0"/>
    <x v="0"/>
    <x v="1"/>
    <s v="222.1"/>
    <x v="9"/>
    <x v="9"/>
    <x v="9"/>
    <x v="9"/>
    <x v="9"/>
    <x v="9"/>
    <n v="12.527777777777777"/>
    <n v="1.1058905131885799"/>
    <n v="12.527777777777777"/>
    <x v="0"/>
  </r>
  <r>
    <x v="10"/>
    <x v="6"/>
    <x v="6"/>
    <x v="0"/>
    <x v="1"/>
    <x v="0"/>
    <x v="0"/>
    <x v="2"/>
    <s v="122.1"/>
    <x v="10"/>
    <x v="10"/>
    <x v="10"/>
    <x v="10"/>
    <x v="7"/>
    <x v="10"/>
    <n v="10.666666666666666"/>
    <n v="0.65968567150210911"/>
    <n v="10.666666666666666"/>
    <x v="0"/>
  </r>
  <r>
    <x v="11"/>
    <x v="7"/>
    <x v="7"/>
    <x v="1"/>
    <x v="2"/>
    <x v="0"/>
    <x v="0"/>
    <x v="3"/>
    <s v="232.1"/>
    <x v="11"/>
    <x v="2"/>
    <x v="11"/>
    <x v="11"/>
    <x v="10"/>
    <x v="11"/>
    <n v="24.027777777777782"/>
    <n v="0.44600420747610664"/>
    <n v="12.013888888888891"/>
    <x v="0"/>
  </r>
  <r>
    <x v="12"/>
    <x v="0"/>
    <x v="0"/>
    <x v="0"/>
    <x v="0"/>
    <x v="0"/>
    <x v="1"/>
    <x v="4"/>
    <s v="112.2"/>
    <x v="12"/>
    <x v="11"/>
    <x v="12"/>
    <x v="0"/>
    <x v="0"/>
    <x v="0"/>
    <n v="5"/>
    <n v="0.28686524130097513"/>
    <n v="10"/>
    <x v="0"/>
  </r>
  <r>
    <x v="13"/>
    <x v="8"/>
    <x v="8"/>
    <x v="1"/>
    <x v="0"/>
    <x v="1"/>
    <x v="1"/>
    <x v="5"/>
    <s v="211.2"/>
    <x v="13"/>
    <x v="12"/>
    <x v="13"/>
    <x v="12"/>
    <x v="11"/>
    <x v="12"/>
    <n v="5.229166666666667"/>
    <n v="9.3634187726019336E-2"/>
    <n v="10.458333333333334"/>
    <x v="0"/>
  </r>
  <r>
    <x v="14"/>
    <x v="1"/>
    <x v="1"/>
    <x v="0"/>
    <x v="1"/>
    <x v="1"/>
    <x v="1"/>
    <x v="6"/>
    <s v="121.2"/>
    <x v="14"/>
    <x v="13"/>
    <x v="14"/>
    <x v="13"/>
    <x v="12"/>
    <x v="7"/>
    <n v="11.75"/>
    <n v="0.52484565632475588"/>
    <n v="11.75"/>
    <x v="0"/>
  </r>
  <r>
    <x v="15"/>
    <x v="9"/>
    <x v="9"/>
    <x v="0"/>
    <x v="0"/>
    <x v="1"/>
    <x v="1"/>
    <x v="7"/>
    <s v="111.2"/>
    <x v="15"/>
    <x v="14"/>
    <x v="12"/>
    <x v="14"/>
    <x v="13"/>
    <x v="13"/>
    <n v="5.020833333333333"/>
    <n v="0.1561805401165953"/>
    <n v="10.041666666666666"/>
    <x v="0"/>
  </r>
  <r>
    <x v="16"/>
    <x v="3"/>
    <x v="3"/>
    <x v="1"/>
    <x v="1"/>
    <x v="1"/>
    <x v="2"/>
    <x v="0"/>
    <s v="221.3"/>
    <x v="16"/>
    <x v="10"/>
    <x v="15"/>
    <x v="15"/>
    <x v="14"/>
    <x v="14"/>
    <n v="11.305555555555557"/>
    <n v="0.68369457479559892"/>
    <n v="11.305555555555557"/>
    <x v="0"/>
  </r>
  <r>
    <x v="17"/>
    <x v="1"/>
    <x v="1"/>
    <x v="0"/>
    <x v="1"/>
    <x v="1"/>
    <x v="2"/>
    <x v="1"/>
    <s v="121.3"/>
    <x v="17"/>
    <x v="15"/>
    <x v="16"/>
    <x v="16"/>
    <x v="6"/>
    <x v="15"/>
    <n v="11.888888888888891"/>
    <n v="0.58001702827279911"/>
    <n v="11.888888888888891"/>
    <x v="0"/>
  </r>
  <r>
    <x v="18"/>
    <x v="8"/>
    <x v="8"/>
    <x v="1"/>
    <x v="0"/>
    <x v="1"/>
    <x v="2"/>
    <x v="2"/>
    <s v="211.3"/>
    <x v="15"/>
    <x v="16"/>
    <x v="17"/>
    <x v="17"/>
    <x v="15"/>
    <x v="16"/>
    <n v="5.375"/>
    <n v="0.10704360482220943"/>
    <n v="10.75"/>
    <x v="0"/>
  </r>
  <r>
    <x v="19"/>
    <x v="9"/>
    <x v="9"/>
    <x v="0"/>
    <x v="0"/>
    <x v="1"/>
    <x v="2"/>
    <x v="3"/>
    <s v="111.3"/>
    <x v="18"/>
    <x v="17"/>
    <x v="18"/>
    <x v="18"/>
    <x v="15"/>
    <x v="17"/>
    <n v="5.166666666666667"/>
    <n v="0.18162078931419562"/>
    <n v="10.333333333333334"/>
    <x v="0"/>
  </r>
  <r>
    <x v="20"/>
    <x v="7"/>
    <x v="7"/>
    <x v="1"/>
    <x v="2"/>
    <x v="0"/>
    <x v="3"/>
    <x v="4"/>
    <s v="232.4"/>
    <x v="19"/>
    <x v="18"/>
    <x v="19"/>
    <x v="19"/>
    <x v="16"/>
    <x v="18"/>
    <n v="25.666666666666668"/>
    <n v="0.68583552720048124"/>
    <n v="12.833333333333334"/>
    <x v="0"/>
  </r>
  <r>
    <x v="21"/>
    <x v="1"/>
    <x v="1"/>
    <x v="0"/>
    <x v="1"/>
    <x v="1"/>
    <x v="3"/>
    <x v="5"/>
    <s v="121.4"/>
    <x v="20"/>
    <x v="19"/>
    <x v="14"/>
    <x v="20"/>
    <x v="17"/>
    <x v="19"/>
    <n v="12.694444444444443"/>
    <n v="0.34805455794838958"/>
    <n v="12.694444444444443"/>
    <x v="0"/>
  </r>
  <r>
    <x v="22"/>
    <x v="5"/>
    <x v="5"/>
    <x v="1"/>
    <x v="1"/>
    <x v="0"/>
    <x v="3"/>
    <x v="6"/>
    <s v="222.4"/>
    <x v="21"/>
    <x v="13"/>
    <x v="20"/>
    <x v="21"/>
    <x v="18"/>
    <x v="6"/>
    <n v="11.944444444444445"/>
    <n v="0.6578115606940258"/>
    <n v="11.944444444444445"/>
    <x v="0"/>
  </r>
  <r>
    <x v="23"/>
    <x v="2"/>
    <x v="2"/>
    <x v="0"/>
    <x v="2"/>
    <x v="0"/>
    <x v="3"/>
    <x v="7"/>
    <s v="132.4"/>
    <x v="19"/>
    <x v="20"/>
    <x v="21"/>
    <x v="2"/>
    <x v="19"/>
    <x v="20"/>
    <n v="23.333333333333332"/>
    <n v="1.5764470131232413"/>
    <n v="11.666666666666666"/>
    <x v="0"/>
  </r>
  <r>
    <x v="24"/>
    <x v="10"/>
    <x v="10"/>
    <x v="1"/>
    <x v="0"/>
    <x v="0"/>
    <x v="2"/>
    <x v="0"/>
    <s v="212.3"/>
    <x v="22"/>
    <x v="21"/>
    <x v="18"/>
    <x v="0"/>
    <x v="15"/>
    <x v="0"/>
    <n v="4.875"/>
    <n v="0.10206207261596577"/>
    <n v="9.75"/>
    <x v="0"/>
  </r>
  <r>
    <x v="25"/>
    <x v="5"/>
    <x v="5"/>
    <x v="1"/>
    <x v="1"/>
    <x v="0"/>
    <x v="2"/>
    <x v="1"/>
    <s v="222.3"/>
    <x v="1"/>
    <x v="22"/>
    <x v="22"/>
    <x v="22"/>
    <x v="20"/>
    <x v="21"/>
    <n v="11.583333333333334"/>
    <n v="0.67047523223236216"/>
    <n v="11.583333333333334"/>
    <x v="0"/>
  </r>
  <r>
    <x v="26"/>
    <x v="11"/>
    <x v="11"/>
    <x v="0"/>
    <x v="2"/>
    <x v="1"/>
    <x v="2"/>
    <x v="2"/>
    <s v="131.3"/>
    <x v="19"/>
    <x v="23"/>
    <x v="23"/>
    <x v="23"/>
    <x v="21"/>
    <x v="22"/>
    <n v="22.722222222222225"/>
    <n v="0.84290795889022052"/>
    <n v="11.361111111111112"/>
    <x v="0"/>
  </r>
  <r>
    <x v="27"/>
    <x v="6"/>
    <x v="6"/>
    <x v="0"/>
    <x v="1"/>
    <x v="0"/>
    <x v="2"/>
    <x v="3"/>
    <s v="122.3"/>
    <x v="7"/>
    <x v="9"/>
    <x v="10"/>
    <x v="24"/>
    <x v="22"/>
    <x v="23"/>
    <n v="11.083333333333334"/>
    <n v="0.50872025347561822"/>
    <n v="11.083333333333334"/>
    <x v="0"/>
  </r>
  <r>
    <x v="28"/>
    <x v="11"/>
    <x v="11"/>
    <x v="0"/>
    <x v="2"/>
    <x v="1"/>
    <x v="3"/>
    <x v="4"/>
    <s v="131.4"/>
    <x v="23"/>
    <x v="18"/>
    <x v="24"/>
    <x v="25"/>
    <x v="23"/>
    <x v="24"/>
    <n v="24.361111111111114"/>
    <n v="0.87073475429987646"/>
    <n v="12.180555555555557"/>
    <x v="0"/>
  </r>
  <r>
    <x v="29"/>
    <x v="6"/>
    <x v="6"/>
    <x v="0"/>
    <x v="1"/>
    <x v="0"/>
    <x v="3"/>
    <x v="5"/>
    <s v="122.4"/>
    <x v="24"/>
    <x v="24"/>
    <x v="25"/>
    <x v="26"/>
    <x v="6"/>
    <x v="25"/>
    <n v="11.861111111111112"/>
    <n v="0.68774546684110194"/>
    <n v="11.861111111111112"/>
    <x v="0"/>
  </r>
  <r>
    <x v="30"/>
    <x v="10"/>
    <x v="10"/>
    <x v="1"/>
    <x v="0"/>
    <x v="0"/>
    <x v="3"/>
    <x v="6"/>
    <s v="212.4"/>
    <x v="25"/>
    <x v="12"/>
    <x v="13"/>
    <x v="27"/>
    <x v="15"/>
    <x v="26"/>
    <n v="5.0625"/>
    <n v="0.13597640726733934"/>
    <n v="10.125"/>
    <x v="0"/>
  </r>
  <r>
    <x v="31"/>
    <x v="3"/>
    <x v="3"/>
    <x v="1"/>
    <x v="1"/>
    <x v="1"/>
    <x v="3"/>
    <x v="7"/>
    <s v="221.4"/>
    <x v="26"/>
    <x v="25"/>
    <x v="26"/>
    <x v="28"/>
    <x v="24"/>
    <x v="27"/>
    <n v="12.138888888888891"/>
    <n v="0.93036896968518668"/>
    <n v="12.13888888888889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BF2EB-CF74-403E-BFFA-61E3FE4E94BB}" name="PivotTable1" cacheId="89"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20" firstHeaderRow="2" firstDataRow="2" firstDataCol="1"/>
  <pivotFields count="19">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s>
  <rowFields count="1">
    <field x="7"/>
  </rowFields>
  <rowItems count="9">
    <i>
      <x/>
    </i>
    <i>
      <x v="1"/>
    </i>
    <i>
      <x v="2"/>
    </i>
    <i>
      <x v="3"/>
    </i>
    <i>
      <x v="4"/>
    </i>
    <i>
      <x v="5"/>
    </i>
    <i>
      <x v="6"/>
    </i>
    <i>
      <x v="7"/>
    </i>
    <i t="grand">
      <x/>
    </i>
  </rowItems>
  <colItems count="1">
    <i/>
  </colItems>
  <dataFields count="1">
    <dataField name="Average of Nrml. mean per meter" fld="17" subtotal="average" baseField="0" baseItem="0" numFmtId="2"/>
  </dataFields>
  <formats count="1">
    <format dxfId="9">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1745AE-1C85-4C1D-A907-CCC6A08D5307}" name="PivotTable3" cacheId="88" dataOnRows="1" applyNumberFormats="0" applyBorderFormats="0" applyFontFormats="0" applyPatternFormats="0" applyAlignmentFormats="0" applyWidthHeightFormats="1" dataCaption="Data" updatedVersion="1" showItems="0" showMultipleLabel="0" showMemberPropertyTips="0" useAutoFormatting="1" rowGrandTotals="0" itemPrintTitles="1" indent="0" compact="0" compactData="0" gridDropZones="1">
  <location ref="V40:X81" firstHeaderRow="2" firstDataRow="2" firstDataCol="2"/>
  <pivotFields count="19">
    <pivotField axis="axisRow" compact="0" outline="0" subtotalTop="0" showAll="0" includeNewItemsInFilter="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s>
  <rowFields count="2">
    <field x="7"/>
    <field x="0"/>
  </rowFields>
  <rowItems count="40">
    <i>
      <x/>
      <x/>
    </i>
    <i r="1">
      <x v="8"/>
    </i>
    <i r="1">
      <x v="16"/>
    </i>
    <i r="1">
      <x v="24"/>
    </i>
    <i t="default">
      <x/>
    </i>
    <i>
      <x v="1"/>
      <x v="1"/>
    </i>
    <i r="1">
      <x v="9"/>
    </i>
    <i r="1">
      <x v="17"/>
    </i>
    <i r="1">
      <x v="25"/>
    </i>
    <i t="default">
      <x v="1"/>
    </i>
    <i>
      <x v="2"/>
      <x v="2"/>
    </i>
    <i r="1">
      <x v="10"/>
    </i>
    <i r="1">
      <x v="18"/>
    </i>
    <i r="1">
      <x v="26"/>
    </i>
    <i t="default">
      <x v="2"/>
    </i>
    <i>
      <x v="3"/>
      <x v="3"/>
    </i>
    <i r="1">
      <x v="11"/>
    </i>
    <i r="1">
      <x v="19"/>
    </i>
    <i r="1">
      <x v="27"/>
    </i>
    <i t="default">
      <x v="3"/>
    </i>
    <i>
      <x v="4"/>
      <x v="4"/>
    </i>
    <i r="1">
      <x v="12"/>
    </i>
    <i r="1">
      <x v="20"/>
    </i>
    <i r="1">
      <x v="28"/>
    </i>
    <i t="default">
      <x v="4"/>
    </i>
    <i>
      <x v="5"/>
      <x v="5"/>
    </i>
    <i r="1">
      <x v="13"/>
    </i>
    <i r="1">
      <x v="21"/>
    </i>
    <i r="1">
      <x v="29"/>
    </i>
    <i t="default">
      <x v="5"/>
    </i>
    <i>
      <x v="6"/>
      <x v="6"/>
    </i>
    <i r="1">
      <x v="14"/>
    </i>
    <i r="1">
      <x v="22"/>
    </i>
    <i r="1">
      <x v="30"/>
    </i>
    <i t="default">
      <x v="6"/>
    </i>
    <i>
      <x v="7"/>
      <x v="7"/>
    </i>
    <i r="1">
      <x v="15"/>
    </i>
    <i r="1">
      <x v="23"/>
    </i>
    <i r="1">
      <x v="31"/>
    </i>
    <i t="default">
      <x v="7"/>
    </i>
  </rowItems>
  <colItems count="1">
    <i/>
  </colItems>
  <dataFields count="1">
    <dataField name="Average of Nrml. mean per meter" fld="17"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2AE1F0-AA62-4BD8-9431-5C0DFD8E5289}" name="PivotTable3" cacheId="90" dataOnRows="1" applyNumberFormats="0" applyBorderFormats="0" applyFontFormats="0" applyPatternFormats="0" applyAlignmentFormats="0" applyWidthHeightFormats="1" dataCaption="Data" updatedVersion="1" asteriskTotals="1" showItems="0" showMultipleLabel="0" showMemberPropertyTips="0" useAutoFormatting="1" rowGrandTotals="0" itemPrintTitles="1" indent="0" compact="0" compactData="0" gridDropZones="1">
  <location ref="V40:X81" firstHeaderRow="2" firstDataRow="2" firstDataCol="2"/>
  <pivotFields count="19">
    <pivotField axis="axisRow" compact="0" outline="0" subtotalTop="0" showAll="0" includeNewItemsInFilter="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outline="0" subtotalTop="0" showAll="0" includeNewItemsInFilter="1">
      <items count="13">
        <item x="2"/>
        <item x="11"/>
        <item x="0"/>
        <item x="9"/>
        <item x="6"/>
        <item x="1"/>
        <item x="7"/>
        <item x="4"/>
        <item x="10"/>
        <item x="8"/>
        <item x="5"/>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s>
  <rowFields count="2">
    <field x="7"/>
    <field x="0"/>
  </rowFields>
  <rowItems count="40">
    <i>
      <x/>
      <x/>
    </i>
    <i r="1">
      <x v="8"/>
    </i>
    <i r="1">
      <x v="16"/>
    </i>
    <i r="1">
      <x v="24"/>
    </i>
    <i t="default">
      <x/>
    </i>
    <i>
      <x v="1"/>
      <x v="1"/>
    </i>
    <i r="1">
      <x v="9"/>
    </i>
    <i r="1">
      <x v="17"/>
    </i>
    <i r="1">
      <x v="25"/>
    </i>
    <i t="default">
      <x v="1"/>
    </i>
    <i>
      <x v="2"/>
      <x v="2"/>
    </i>
    <i r="1">
      <x v="10"/>
    </i>
    <i r="1">
      <x v="18"/>
    </i>
    <i r="1">
      <x v="26"/>
    </i>
    <i t="default">
      <x v="2"/>
    </i>
    <i>
      <x v="3"/>
      <x v="3"/>
    </i>
    <i r="1">
      <x v="11"/>
    </i>
    <i r="1">
      <x v="19"/>
    </i>
    <i r="1">
      <x v="27"/>
    </i>
    <i t="default">
      <x v="3"/>
    </i>
    <i>
      <x v="4"/>
      <x v="4"/>
    </i>
    <i r="1">
      <x v="12"/>
    </i>
    <i r="1">
      <x v="20"/>
    </i>
    <i r="1">
      <x v="28"/>
    </i>
    <i t="default">
      <x v="4"/>
    </i>
    <i>
      <x v="5"/>
      <x v="5"/>
    </i>
    <i r="1">
      <x v="13"/>
    </i>
    <i r="1">
      <x v="21"/>
    </i>
    <i r="1">
      <x v="29"/>
    </i>
    <i t="default">
      <x v="5"/>
    </i>
    <i>
      <x v="6"/>
      <x v="6"/>
    </i>
    <i r="1">
      <x v="14"/>
    </i>
    <i r="1">
      <x v="22"/>
    </i>
    <i r="1">
      <x v="30"/>
    </i>
    <i t="default">
      <x v="6"/>
    </i>
    <i>
      <x v="7"/>
      <x v="7"/>
    </i>
    <i r="1">
      <x v="15"/>
    </i>
    <i r="1">
      <x v="23"/>
    </i>
    <i r="1">
      <x v="31"/>
    </i>
    <i t="default">
      <x v="7"/>
    </i>
  </rowItems>
  <colItems count="1">
    <i/>
  </colItems>
  <dataFields count="1">
    <dataField name="Average of Nrml. mean per meter" fld="17"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7A6D9C-554B-49BE-9597-18FC0A7DE97C}" name="PivotTable1" cacheId="91"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20" firstHeaderRow="2" firstDataRow="2" firstDataCol="1"/>
  <pivotFields count="19">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s>
  <rowFields count="1">
    <field x="7"/>
  </rowFields>
  <rowItems count="9">
    <i>
      <x/>
    </i>
    <i>
      <x v="1"/>
    </i>
    <i>
      <x v="2"/>
    </i>
    <i>
      <x v="3"/>
    </i>
    <i>
      <x v="4"/>
    </i>
    <i>
      <x v="5"/>
    </i>
    <i>
      <x v="6"/>
    </i>
    <i>
      <x v="7"/>
    </i>
    <i t="grand">
      <x/>
    </i>
  </rowItems>
  <colItems count="1">
    <i/>
  </colItems>
  <dataFields count="1">
    <dataField name="Average of Nrml. mean per meter" fld="17" subtotal="average" baseField="0" baseItem="0" numFmtId="2"/>
  </dataFields>
  <formats count="1">
    <format dxfId="8">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335553-08A4-498D-A971-42A8E0FF6904}" name="PivotTable1" cacheId="93"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20" firstHeaderRow="2" firstDataRow="2" firstDataCol="1"/>
  <pivotFields count="19">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s>
  <rowFields count="1">
    <field x="7"/>
  </rowFields>
  <rowItems count="9">
    <i>
      <x/>
    </i>
    <i>
      <x v="1"/>
    </i>
    <i>
      <x v="2"/>
    </i>
    <i>
      <x v="3"/>
    </i>
    <i>
      <x v="4"/>
    </i>
    <i>
      <x v="5"/>
    </i>
    <i>
      <x v="6"/>
    </i>
    <i>
      <x v="7"/>
    </i>
    <i t="grand">
      <x/>
    </i>
  </rowItems>
  <colItems count="1">
    <i/>
  </colItems>
  <dataFields count="1">
    <dataField name="Average of Nrml. mean per meter" fld="17" subtotal="average" baseField="0" baseItem="0" numFmtId="2"/>
  </dataFields>
  <formats count="1">
    <format dxfId="7">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75E247-382A-4938-9DFB-4A598B47B8CB}" name="PivotTable3" cacheId="92" dataOnRows="1" applyNumberFormats="0" applyBorderFormats="0" applyFontFormats="0" applyPatternFormats="0" applyAlignmentFormats="0" applyWidthHeightFormats="1" dataCaption="Data" updatedVersion="1" showItems="0" showMultipleLabel="0" showMemberPropertyTips="0" useAutoFormatting="1" rowGrandTotals="0" itemPrintTitles="1" indent="0" compact="0" compactData="0" gridDropZones="1">
  <location ref="V40:X116" firstHeaderRow="2" firstDataRow="2" firstDataCol="2"/>
  <pivotFields count="19">
    <pivotField compact="0" outline="0" subtotalTop="0" showAll="0" includeNewItemsInFilter="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compact="0" outline="0" subtotalTop="0" showAll="0" includeNewItemsInFilter="1">
      <items count="13">
        <item x="2"/>
        <item x="11"/>
        <item x="0"/>
        <item x="9"/>
        <item x="6"/>
        <item x="1"/>
        <item x="7"/>
        <item x="4"/>
        <item x="10"/>
        <item x="8"/>
        <item x="5"/>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axis="axisRow" compact="0" numFmtId="2" outline="0" subtotalTop="0" showAll="0" includeNewItemsInFilter="1" avgSubtotal="1">
      <items count="32">
        <item x="11"/>
        <item x="19"/>
        <item x="21"/>
        <item x="7"/>
        <item x="24"/>
        <item x="28"/>
        <item x="29"/>
        <item x="2"/>
        <item x="20"/>
        <item x="13"/>
        <item x="5"/>
        <item x="26"/>
        <item x="17"/>
        <item x="18"/>
        <item x="3"/>
        <item x="14"/>
        <item x="22"/>
        <item x="6"/>
        <item x="15"/>
        <item x="10"/>
        <item x="16"/>
        <item x="27"/>
        <item x="12"/>
        <item x="30"/>
        <item x="8"/>
        <item x="4"/>
        <item x="9"/>
        <item x="25"/>
        <item x="0"/>
        <item x="23"/>
        <item x="1"/>
        <item t="avg"/>
      </items>
    </pivotField>
    <pivotField compact="0" numFmtId="2" outline="0" subtotalTop="0" showAll="0" includeNewItemsInFilter="1"/>
    <pivotField compact="0" outline="0" subtotalTop="0" showAll="0" includeNewItemsInFilter="1"/>
  </pivotFields>
  <rowFields count="2">
    <field x="1"/>
    <field x="16"/>
  </rowFields>
  <rowItems count="75">
    <i>
      <x/>
      <x v="7"/>
    </i>
    <i r="1">
      <x v="29"/>
    </i>
    <i t="default">
      <x/>
    </i>
    <i>
      <x v="1"/>
      <x v="21"/>
    </i>
    <i r="1">
      <x v="27"/>
    </i>
    <i t="default">
      <x v="1"/>
    </i>
    <i>
      <x v="2"/>
      <x v="22"/>
    </i>
    <i r="1">
      <x v="28"/>
    </i>
    <i t="default">
      <x v="2"/>
    </i>
    <i>
      <x v="3"/>
      <x v="1"/>
    </i>
    <i r="1">
      <x v="18"/>
    </i>
    <i t="default">
      <x v="3"/>
    </i>
    <i>
      <x v="4"/>
      <x v="3"/>
    </i>
    <i r="1">
      <x v="5"/>
    </i>
    <i r="1">
      <x v="11"/>
    </i>
    <i r="1">
      <x v="19"/>
    </i>
    <i t="default">
      <x v="4"/>
    </i>
    <i>
      <x v="5"/>
      <x v="2"/>
    </i>
    <i r="1">
      <x v="12"/>
    </i>
    <i r="1">
      <x v="15"/>
    </i>
    <i r="1">
      <x v="30"/>
    </i>
    <i t="default">
      <x v="5"/>
    </i>
    <i>
      <x v="6"/>
      <x/>
    </i>
    <i r="1">
      <x v="8"/>
    </i>
    <i t="default">
      <x v="6"/>
    </i>
    <i>
      <x v="7"/>
      <x v="24"/>
    </i>
    <i r="1">
      <x v="25"/>
    </i>
    <i t="default">
      <x v="7"/>
    </i>
    <i>
      <x v="8"/>
      <x v="4"/>
    </i>
    <i r="1">
      <x v="6"/>
    </i>
    <i t="default">
      <x v="8"/>
    </i>
    <i>
      <x v="9"/>
      <x v="9"/>
    </i>
    <i r="1">
      <x v="13"/>
    </i>
    <i t="default">
      <x v="9"/>
    </i>
    <i>
      <x v="10"/>
      <x v="10"/>
    </i>
    <i r="1">
      <x v="16"/>
    </i>
    <i r="1">
      <x v="20"/>
    </i>
    <i r="1">
      <x v="26"/>
    </i>
    <i t="default">
      <x v="10"/>
    </i>
    <i>
      <x v="11"/>
      <x v="14"/>
    </i>
    <i r="1">
      <x v="17"/>
    </i>
    <i r="1">
      <x v="20"/>
    </i>
    <i r="1">
      <x v="23"/>
    </i>
    <i t="default">
      <x v="11"/>
    </i>
    <i t="avg">
      <x v="1048832"/>
      <x/>
    </i>
    <i t="avg" r="1">
      <x v="1"/>
    </i>
    <i t="avg" r="1">
      <x v="2"/>
    </i>
    <i t="avg" r="1">
      <x v="3"/>
    </i>
    <i t="avg" r="1">
      <x v="4"/>
    </i>
    <i t="avg" r="1">
      <x v="5"/>
    </i>
    <i t="avg" r="1">
      <x v="6"/>
    </i>
    <i t="avg" r="1">
      <x v="7"/>
    </i>
    <i t="avg" r="1">
      <x v="8"/>
    </i>
    <i t="avg" r="1">
      <x v="9"/>
    </i>
    <i t="avg" r="1">
      <x v="10"/>
    </i>
    <i t="avg" r="1">
      <x v="11"/>
    </i>
    <i t="avg" r="1">
      <x v="12"/>
    </i>
    <i t="avg" r="1">
      <x v="13"/>
    </i>
    <i t="avg" r="1">
      <x v="14"/>
    </i>
    <i t="avg" r="1">
      <x v="15"/>
    </i>
    <i t="avg" r="1">
      <x v="16"/>
    </i>
    <i t="avg" r="1">
      <x v="17"/>
    </i>
    <i t="avg" r="1">
      <x v="18"/>
    </i>
    <i t="avg" r="1">
      <x v="19"/>
    </i>
    <i t="avg" r="1">
      <x v="20"/>
    </i>
    <i t="avg" r="1">
      <x v="21"/>
    </i>
    <i t="avg" r="1">
      <x v="22"/>
    </i>
    <i t="avg" r="1">
      <x v="23"/>
    </i>
    <i t="avg" r="1">
      <x v="24"/>
    </i>
    <i t="avg" r="1">
      <x v="25"/>
    </i>
    <i t="avg" r="1">
      <x v="26"/>
    </i>
    <i t="avg" r="1">
      <x v="27"/>
    </i>
    <i t="avg" r="1">
      <x v="28"/>
    </i>
    <i t="avg" r="1">
      <x v="29"/>
    </i>
    <i t="avg" r="1">
      <x v="30"/>
    </i>
  </rowItems>
  <colItems count="1">
    <i/>
  </colItems>
  <dataFields count="1">
    <dataField name="Average of Mean per meter" fld="15"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D1ACF3-8A3A-4F2F-8CF4-0466B8D2F778}" name="PivotTable1" cacheId="94" dataOnRows="1" applyNumberFormats="0" applyBorderFormats="0" applyFontFormats="0" applyPatternFormats="0" applyAlignmentFormats="0" applyWidthHeightFormats="1" dataCaption="Data" updatedVersion="1" asteriskTotals="1" showItems="0" showMultipleLabel="0" showMemberPropertyTips="0" useAutoFormatting="1" itemPrintTitles="1" indent="0" compact="0" compactData="0" gridDropZones="1">
  <location ref="V10:W20" firstHeaderRow="2" firstDataRow="2" firstDataCol="1"/>
  <pivotFields count="19">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s>
  <rowFields count="1">
    <field x="7"/>
  </rowFields>
  <rowItems count="9">
    <i>
      <x/>
    </i>
    <i>
      <x v="1"/>
    </i>
    <i>
      <x v="2"/>
    </i>
    <i>
      <x v="3"/>
    </i>
    <i>
      <x v="4"/>
    </i>
    <i>
      <x v="5"/>
    </i>
    <i>
      <x v="6"/>
    </i>
    <i>
      <x v="7"/>
    </i>
    <i t="grand">
      <x/>
    </i>
  </rowItems>
  <colItems count="1">
    <i/>
  </colItems>
  <dataFields count="1">
    <dataField name="Average of Nrml. mean per meter" fld="17" subtotal="average" baseField="0" baseItem="0" numFmtId="2"/>
  </dataFields>
  <formats count="1">
    <format dxfId="6">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0A7AF3-A0E5-4F09-A8A2-29EF023F401E}" name="PivotTable3" cacheId="95" dataOnRows="1" applyNumberFormats="0" applyBorderFormats="0" applyFontFormats="0" applyPatternFormats="0" applyAlignmentFormats="0" applyWidthHeightFormats="1" dataCaption="Data" updatedVersion="1" showItems="0" showMultipleLabel="0" showMemberPropertyTips="0" useAutoFormatting="1" rowGrandTotals="0" itemPrintTitles="1" indent="0" compact="0" compactData="0" gridDropZones="1">
  <location ref="V40:Y59" firstHeaderRow="2" firstDataRow="2" firstDataCol="3"/>
  <pivotFields count="19">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3">
        <item n="FAO" x="0"/>
        <item n="NDVI" x="1"/>
        <item t="default"/>
      </items>
    </pivotField>
    <pivotField axis="axisRow" compact="0" outline="0" subtotalTop="0" showAll="0" includeNewItemsInFilter="1">
      <items count="4">
        <item n="Sparse" x="0"/>
        <item n="Typical" x="1"/>
        <item n="Dense" x="2"/>
        <item t="default"/>
      </items>
    </pivotField>
    <pivotField axis="axisRow" compact="0" outline="0" subtotalTop="0" showAll="0" includeNewItemsInFilter="1">
      <items count="3">
        <item n="Low N" x="1"/>
        <item n="High N"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numFmtId="2" outline="0" subtotalTop="0" showAll="0" includeNewItemsInFilter="1"/>
    <pivotField compact="0" numFmtId="2" outline="0" subtotalTop="0" showAll="0" includeNewItemsInFilter="1"/>
    <pivotField compact="0" outline="0" subtotalTop="0" showAll="0" includeNewItemsInFilter="1"/>
  </pivotFields>
  <rowFields count="3">
    <field x="3"/>
    <field x="5"/>
    <field x="4"/>
  </rowFields>
  <rowItems count="18">
    <i>
      <x/>
      <x/>
      <x/>
    </i>
    <i r="2">
      <x v="1"/>
    </i>
    <i r="2">
      <x v="2"/>
    </i>
    <i t="default" r="1">
      <x/>
    </i>
    <i r="1">
      <x v="1"/>
      <x/>
    </i>
    <i r="2">
      <x v="1"/>
    </i>
    <i r="2">
      <x v="2"/>
    </i>
    <i t="default" r="1">
      <x v="1"/>
    </i>
    <i t="default">
      <x/>
    </i>
    <i>
      <x v="1"/>
      <x/>
      <x/>
    </i>
    <i r="2">
      <x v="1"/>
    </i>
    <i r="2">
      <x v="2"/>
    </i>
    <i t="default" r="1">
      <x/>
    </i>
    <i r="1">
      <x v="1"/>
      <x/>
    </i>
    <i r="2">
      <x v="1"/>
    </i>
    <i r="2">
      <x v="2"/>
    </i>
    <i t="default" r="1">
      <x v="1"/>
    </i>
    <i t="default">
      <x v="1"/>
    </i>
  </rowItems>
  <colItems count="1">
    <i/>
  </colItems>
  <dataFields count="1">
    <dataField name="Average of Mean per meter" fld="15"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5F9CFD-1128-4F56-AC78-ECDC8ECDC746}" name="PivotTable1" cacheId="97"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20" firstHeaderRow="2" firstDataRow="2" firstDataCol="1"/>
  <pivotFields count="19">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s>
  <rowFields count="1">
    <field x="7"/>
  </rowFields>
  <rowItems count="9">
    <i>
      <x/>
    </i>
    <i>
      <x v="1"/>
    </i>
    <i>
      <x v="2"/>
    </i>
    <i>
      <x v="3"/>
    </i>
    <i>
      <x v="4"/>
    </i>
    <i>
      <x v="5"/>
    </i>
    <i>
      <x v="6"/>
    </i>
    <i>
      <x v="7"/>
    </i>
    <i t="grand">
      <x/>
    </i>
  </rowItems>
  <colItems count="1">
    <i/>
  </colItems>
  <dataFields count="1">
    <dataField name="Average of Nrml. mean per meter" fld="17" subtotal="average" baseField="0" baseItem="0" numFmtId="2"/>
  </dataFields>
  <formats count="1">
    <format dxfId="5">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5A4EFD-DC2A-4037-8D9F-8241813D2B91}" name="PivotTable2" cacheId="96" dataOnRows="1" applyNumberFormats="0" applyBorderFormats="0" applyFontFormats="0" applyPatternFormats="0" applyAlignmentFormats="0" applyWidthHeightFormats="1" dataCaption="Data" updatedVersion="1" showItems="0" showMultipleLabel="0" showMemberPropertyTips="0" useAutoFormatting="1" rowGrandTotals="0" itemPrintTitles="1" indent="0" compact="0" compactData="0" gridDropZones="1">
  <location ref="V40:Y59" firstHeaderRow="2" firstDataRow="2" firstDataCol="3"/>
  <pivotFields count="19">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3">
        <item n="FAO" x="0"/>
        <item n="NDVI" x="1"/>
        <item t="default"/>
      </items>
    </pivotField>
    <pivotField axis="axisRow" compact="0" outline="0" subtotalTop="0" showAll="0" includeNewItemsInFilter="1">
      <items count="4">
        <item n="Sparse" x="0"/>
        <item n="Typical" x="1"/>
        <item n="Dense" x="2"/>
        <item t="default"/>
      </items>
    </pivotField>
    <pivotField axis="axisRow" compact="0" outline="0" subtotalTop="0" showAll="0" includeNewItemsInFilter="1">
      <items count="3">
        <item n="Low N" x="1"/>
        <item n="High N"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numFmtId="2" outline="0" subtotalTop="0" showAll="0" includeNewItemsInFilter="1"/>
    <pivotField compact="0" numFmtId="2" outline="0" subtotalTop="0" showAll="0" includeNewItemsInFilter="1"/>
    <pivotField compact="0" outline="0" subtotalTop="0" showAll="0" includeNewItemsInFilter="1"/>
  </pivotFields>
  <rowFields count="3">
    <field x="3"/>
    <field x="5"/>
    <field x="4"/>
  </rowFields>
  <rowItems count="18">
    <i>
      <x/>
      <x/>
      <x/>
    </i>
    <i r="2">
      <x v="1"/>
    </i>
    <i r="2">
      <x v="2"/>
    </i>
    <i t="default" r="1">
      <x/>
    </i>
    <i r="1">
      <x v="1"/>
      <x/>
    </i>
    <i r="2">
      <x v="1"/>
    </i>
    <i r="2">
      <x v="2"/>
    </i>
    <i t="default" r="1">
      <x v="1"/>
    </i>
    <i t="default">
      <x/>
    </i>
    <i>
      <x v="1"/>
      <x/>
      <x/>
    </i>
    <i r="2">
      <x v="1"/>
    </i>
    <i r="2">
      <x v="2"/>
    </i>
    <i t="default" r="1">
      <x/>
    </i>
    <i r="1">
      <x v="1"/>
      <x/>
    </i>
    <i r="2">
      <x v="1"/>
    </i>
    <i r="2">
      <x v="2"/>
    </i>
    <i t="default" r="1">
      <x v="1"/>
    </i>
    <i t="default">
      <x v="1"/>
    </i>
  </rowItems>
  <colItems count="1">
    <i/>
  </colItems>
  <dataFields count="1">
    <dataField name="Average of Mean per meter" fld="15"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51AE9F-0B02-4CB4-88E4-0FC2F6B6A310}" name="PivotTable1" cacheId="98"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20" firstHeaderRow="2" firstDataRow="2" firstDataCol="1"/>
  <pivotFields count="19">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s>
  <rowFields count="1">
    <field x="7"/>
  </rowFields>
  <rowItems count="9">
    <i>
      <x/>
    </i>
    <i>
      <x v="1"/>
    </i>
    <i>
      <x v="2"/>
    </i>
    <i>
      <x v="3"/>
    </i>
    <i>
      <x v="4"/>
    </i>
    <i>
      <x v="5"/>
    </i>
    <i>
      <x v="6"/>
    </i>
    <i>
      <x v="7"/>
    </i>
    <i t="grand">
      <x/>
    </i>
  </rowItems>
  <colItems count="1">
    <i/>
  </colItems>
  <dataFields count="1">
    <dataField name="Average of Nrml. mean per meter" fld="17" subtotal="average" baseField="0" baseItem="0" numFmtId="2"/>
  </dataFields>
  <formats count="1">
    <format dxfId="4">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9AB9EB-04C2-49B3-868B-DB7B54F86C60}" name="PivotTable3" cacheId="99" dataOnRows="1" applyNumberFormats="0" applyBorderFormats="0" applyFontFormats="0" applyPatternFormats="0" applyAlignmentFormats="0" applyWidthHeightFormats="1" dataCaption="Data" updatedVersion="1" showItems="0" showMultipleLabel="0" showMemberPropertyTips="0" useAutoFormatting="1" rowGrandTotals="0" itemPrintTitles="1" indent="0" compact="0" compactData="0" gridDropZones="1">
  <location ref="V40:W53" firstHeaderRow="2" firstDataRow="2" firstDataCol="1"/>
  <pivotFields count="19">
    <pivotField compact="0" outline="0" subtotalTop="0" showAll="0" includeNewItemsInFilter="1"/>
    <pivotField axis="axisRow" compact="0" outline="0" subtotalTop="0" showAll="0" includeNewItemsInFilter="1">
      <items count="13">
        <item x="2"/>
        <item x="11"/>
        <item x="0"/>
        <item x="9"/>
        <item x="6"/>
        <item x="1"/>
        <item x="7"/>
        <item x="4"/>
        <item x="10"/>
        <item x="8"/>
        <item x="5"/>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numFmtId="2" outline="0" subtotalTop="0" showAll="0" includeNewItemsInFilter="1"/>
    <pivotField compact="0" numFmtId="2" outline="0" subtotalTop="0" showAll="0" includeNewItemsInFilter="1"/>
    <pivotField compact="0" outline="0" subtotalTop="0" showAll="0" includeNewItemsInFilter="1"/>
  </pivotFields>
  <rowFields count="1">
    <field x="1"/>
  </rowFields>
  <rowItems count="12">
    <i>
      <x/>
    </i>
    <i>
      <x v="1"/>
    </i>
    <i>
      <x v="2"/>
    </i>
    <i>
      <x v="3"/>
    </i>
    <i>
      <x v="4"/>
    </i>
    <i>
      <x v="5"/>
    </i>
    <i>
      <x v="6"/>
    </i>
    <i>
      <x v="7"/>
    </i>
    <i>
      <x v="8"/>
    </i>
    <i>
      <x v="9"/>
    </i>
    <i>
      <x v="10"/>
    </i>
    <i>
      <x v="11"/>
    </i>
  </rowItems>
  <colItems count="1">
    <i/>
  </colItems>
  <dataFields count="1">
    <dataField name="Average of Mean per meter" fld="15"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A0F994-19F5-48C5-A617-9F15EDD29364}" name="PivotTable1" cacheId="101"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16" firstHeaderRow="2" firstDataRow="2" firstDataCol="1"/>
  <pivotFields count="2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 axis="axisRow" compact="0" outline="0" subtotalTop="0" showAll="0" includeNewItemsInFilter="1">
      <items count="5">
        <item x="0"/>
        <item x="1"/>
        <item x="2"/>
        <item x="3"/>
        <item t="default"/>
      </items>
    </pivotField>
  </pivotFields>
  <rowFields count="1">
    <field x="19"/>
  </rowFields>
  <rowItems count="5">
    <i>
      <x/>
    </i>
    <i>
      <x v="1"/>
    </i>
    <i>
      <x v="2"/>
    </i>
    <i>
      <x v="3"/>
    </i>
    <i t="grand">
      <x/>
    </i>
  </rowItems>
  <colItems count="1">
    <i/>
  </colItems>
  <dataFields count="1">
    <dataField name="Average of Nrml. mean per meter" fld="17" subtotal="average" baseField="0" baseItem="0" numFmtId="2"/>
  </dataFields>
  <formats count="1">
    <format dxfId="3">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E1AF25-969D-424E-8491-ACDF566E78E4}" name="PivotTable3" cacheId="100" dataOnRows="1" applyNumberFormats="0" applyBorderFormats="0" applyFontFormats="0" applyPatternFormats="0" applyAlignmentFormats="0" applyWidthHeightFormats="1" dataCaption="Data" updatedVersion="1" asteriskTotals="1" showItems="0" showMultipleLabel="0" showMemberPropertyTips="0" useAutoFormatting="1" rowGrandTotals="0" itemPrintTitles="1" indent="0" compact="0" compactData="0" gridDropZones="1">
  <location ref="V40:Y82" firstHeaderRow="2" firstDataRow="2" firstDataCol="3"/>
  <pivotFields count="19">
    <pivotField axis="axisRow" compact="0" outline="0" subtotalTop="0" showAll="0" includeNewItemsInFilter="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outline="0" subtotalTop="0" showAll="0" includeNewItemsInFilter="1">
      <items count="13">
        <item x="2"/>
        <item x="11"/>
        <item x="0"/>
        <item x="9"/>
        <item x="6"/>
        <item x="1"/>
        <item x="7"/>
        <item x="4"/>
        <item x="10"/>
        <item x="8"/>
        <item x="5"/>
        <item x="3"/>
        <item t="default"/>
      </items>
    </pivotField>
    <pivotField compact="0" outline="0" subtotalTop="0" showAll="0" includeNewItemsInFilter="1"/>
    <pivotField axis="axisRow" compact="0" outline="0" subtotalTop="0" showAll="0" includeNewItemsInFilter="1">
      <items count="3">
        <item x="0"/>
        <item x="1"/>
        <item t="default"/>
      </items>
    </pivotField>
    <pivotField axis="axisRow"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numFmtId="2" outline="0" subtotalTop="0" showAll="0" includeNewItemsInFilter="1">
      <items count="33">
        <item x="7"/>
        <item x="24"/>
        <item x="21"/>
        <item x="19"/>
        <item x="14"/>
        <item x="11"/>
        <item x="3"/>
        <item x="17"/>
        <item x="13"/>
        <item x="27"/>
        <item x="6"/>
        <item x="22"/>
        <item x="18"/>
        <item x="30"/>
        <item x="29"/>
        <item x="15"/>
        <item x="16"/>
        <item x="2"/>
        <item x="20"/>
        <item x="5"/>
        <item x="4"/>
        <item x="25"/>
        <item x="10"/>
        <item x="31"/>
        <item x="28"/>
        <item x="26"/>
        <item x="12"/>
        <item x="8"/>
        <item x="9"/>
        <item x="1"/>
        <item x="0"/>
        <item x="23"/>
        <item t="default"/>
      </items>
    </pivotField>
    <pivotField compact="0" numFmtId="2" outline="0" subtotalTop="0" showAll="0" includeNewItemsInFilter="1"/>
    <pivotField compact="0" outline="0" subtotalTop="0" showAll="0" includeNewItemsInFilter="1"/>
  </pivotFields>
  <rowFields count="3">
    <field x="4"/>
    <field x="3"/>
    <field x="0"/>
  </rowFields>
  <rowItems count="41">
    <i>
      <x/>
      <x/>
      <x/>
    </i>
    <i r="2">
      <x v="12"/>
    </i>
    <i r="2">
      <x v="15"/>
    </i>
    <i r="2">
      <x v="19"/>
    </i>
    <i t="default" r="1">
      <x/>
    </i>
    <i r="1">
      <x v="1"/>
      <x v="13"/>
    </i>
    <i r="2">
      <x v="18"/>
    </i>
    <i r="2">
      <x v="24"/>
    </i>
    <i r="2">
      <x v="30"/>
    </i>
    <i t="default" r="1">
      <x v="1"/>
    </i>
    <i t="default">
      <x/>
    </i>
    <i>
      <x v="1"/>
      <x/>
      <x v="1"/>
    </i>
    <i r="2">
      <x v="7"/>
    </i>
    <i r="2">
      <x v="10"/>
    </i>
    <i r="2">
      <x v="14"/>
    </i>
    <i r="2">
      <x v="17"/>
    </i>
    <i r="2">
      <x v="21"/>
    </i>
    <i r="2">
      <x v="27"/>
    </i>
    <i r="2">
      <x v="29"/>
    </i>
    <i t="default" r="1">
      <x/>
    </i>
    <i r="1">
      <x v="1"/>
      <x v="3"/>
    </i>
    <i r="2">
      <x v="5"/>
    </i>
    <i r="2">
      <x v="6"/>
    </i>
    <i r="2">
      <x v="9"/>
    </i>
    <i r="2">
      <x v="16"/>
    </i>
    <i r="2">
      <x v="22"/>
    </i>
    <i r="2">
      <x v="25"/>
    </i>
    <i r="2">
      <x v="31"/>
    </i>
    <i t="default" r="1">
      <x v="1"/>
    </i>
    <i t="default">
      <x v="1"/>
    </i>
    <i>
      <x v="2"/>
      <x/>
      <x v="2"/>
    </i>
    <i r="2">
      <x v="23"/>
    </i>
    <i r="2">
      <x v="26"/>
    </i>
    <i r="2">
      <x v="28"/>
    </i>
    <i t="default" r="1">
      <x/>
    </i>
    <i r="1">
      <x v="1"/>
      <x v="4"/>
    </i>
    <i r="2">
      <x v="8"/>
    </i>
    <i r="2">
      <x v="11"/>
    </i>
    <i r="2">
      <x v="20"/>
    </i>
    <i t="default" r="1">
      <x v="1"/>
    </i>
    <i t="default">
      <x v="2"/>
    </i>
  </rowItems>
  <colItems count="1">
    <i/>
  </colItems>
  <dataFields count="1">
    <dataField name="Average of Mean per meter" fld="15"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24DB987-134E-4E68-93D2-A9FC9C55387D}" name="PivotTable3" cacheId="102" dataOnRows="1" applyNumberFormats="0" applyBorderFormats="0" applyFontFormats="0" applyPatternFormats="0" applyAlignmentFormats="0" applyWidthHeightFormats="1" dataCaption="Data" updatedVersion="1" showItems="0" showMultipleLabel="0" showMemberPropertyTips="0" useAutoFormatting="1" rowGrandTotals="0" itemPrintTitles="1" indent="0" compact="0" compactData="0" gridDropZones="1">
  <location ref="V40:W44" firstHeaderRow="2" firstDataRow="2" firstDataCol="1"/>
  <pivotFields count="19">
    <pivotField compact="0" outline="0" subtotalTop="0" showAll="0" includeNewItemsInFilter="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outline="0" subtotalTop="0" showAll="0" includeNewItemsInFilter="1">
      <items count="13">
        <item x="2"/>
        <item x="11"/>
        <item x="0"/>
        <item x="9"/>
        <item x="6"/>
        <item x="1"/>
        <item x="7"/>
        <item x="4"/>
        <item x="10"/>
        <item x="8"/>
        <item x="5"/>
        <item x="3"/>
        <item t="default"/>
      </items>
    </pivotField>
    <pivotField compact="0" outline="0" subtotalTop="0" showAll="0" includeNewItemsInFilter="1"/>
    <pivotField compact="0" outline="0" subtotalTop="0" showAll="0" includeNewItemsInFilter="1">
      <items count="3">
        <item x="0"/>
        <item x="1"/>
        <item t="default"/>
      </items>
    </pivotField>
    <pivotField axis="axisRow"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numFmtId="2" outline="0" subtotalTop="0" showAll="0" includeNewItemsInFilter="1"/>
    <pivotField compact="0" numFmtId="2" outline="0" subtotalTop="0" showAll="0" includeNewItemsInFilter="1"/>
    <pivotField compact="0" outline="0" subtotalTop="0" showAll="0" includeNewItemsInFilter="1"/>
  </pivotFields>
  <rowFields count="1">
    <field x="4"/>
  </rowFields>
  <rowItems count="3">
    <i>
      <x/>
    </i>
    <i>
      <x v="1"/>
    </i>
    <i>
      <x v="2"/>
    </i>
  </rowItems>
  <colItems count="1">
    <i/>
  </colItems>
  <dataFields count="1">
    <dataField name="Average of Mean per meter" fld="15"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2346897-CE85-4AE8-A444-22EFB11B9673}" name="PivotTable1" cacheId="103"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16" firstHeaderRow="2" firstDataRow="2" firstDataCol="1"/>
  <pivotFields count="2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 axis="axisRow" compact="0" outline="0" subtotalTop="0" showAll="0" includeNewItemsInFilter="1">
      <items count="5">
        <item x="0"/>
        <item x="1"/>
        <item x="2"/>
        <item x="3"/>
        <item t="default"/>
      </items>
    </pivotField>
  </pivotFields>
  <rowFields count="1">
    <field x="19"/>
  </rowFields>
  <rowItems count="5">
    <i>
      <x/>
    </i>
    <i>
      <x v="1"/>
    </i>
    <i>
      <x v="2"/>
    </i>
    <i>
      <x v="3"/>
    </i>
    <i t="grand">
      <x/>
    </i>
  </rowItems>
  <colItems count="1">
    <i/>
  </colItems>
  <dataFields count="1">
    <dataField name="Average of Nrml. mean per meter" fld="17" subtotal="average" baseField="0" baseItem="0" numFmtId="2"/>
  </dataFields>
  <formats count="1">
    <format dxfId="2">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98E13B2-CB1F-4B94-BC2C-74F209EC6A12}" name="PivotTable1" cacheId="105"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20" firstHeaderRow="2" firstDataRow="2" firstDataCol="1"/>
  <pivotFields count="2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 compact="0" outline="0" subtotalTop="0" showAll="0" includeNewItemsInFilter="1"/>
  </pivotFields>
  <rowFields count="1">
    <field x="7"/>
  </rowFields>
  <rowItems count="9">
    <i>
      <x/>
    </i>
    <i>
      <x v="1"/>
    </i>
    <i>
      <x v="2"/>
    </i>
    <i>
      <x v="3"/>
    </i>
    <i>
      <x v="4"/>
    </i>
    <i>
      <x v="5"/>
    </i>
    <i>
      <x v="6"/>
    </i>
    <i>
      <x v="7"/>
    </i>
    <i t="grand">
      <x/>
    </i>
  </rowItems>
  <colItems count="1">
    <i/>
  </colItems>
  <dataFields count="1">
    <dataField name="Average of Nrml. mean per meter" fld="17" subtotal="average" baseField="0" baseItem="0" numFmtId="2"/>
  </dataFields>
  <formats count="1">
    <format dxfId="1">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6D1B21-F5A9-4264-A973-69DD6A309E24}" name="PivotTable3" cacheId="104" dataOnRows="1" applyNumberFormats="0" applyBorderFormats="0" applyFontFormats="0" applyPatternFormats="0" applyAlignmentFormats="0" applyWidthHeightFormats="1" dataCaption="Data" updatedVersion="1" showItems="0" showMultipleLabel="0" showMemberPropertyTips="0" useAutoFormatting="1" rowGrandTotals="0" itemPrintTitles="1" indent="0" compact="0" compactData="0" gridDropZones="1">
  <location ref="V40:Z94" firstHeaderRow="2" firstDataRow="2" firstDataCol="4"/>
  <pivotFields count="19">
    <pivotField axis="axisRow" compact="0" outline="0" subtotalTop="0" showAll="0" includeNewItemsInFilter="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outline="0" subtotalTop="0" showAll="0" includeNewItemsInFilter="1">
      <items count="13">
        <item x="2"/>
        <item x="11"/>
        <item x="0"/>
        <item x="9"/>
        <item x="6"/>
        <item x="1"/>
        <item x="7"/>
        <item x="4"/>
        <item x="10"/>
        <item x="8"/>
        <item x="5"/>
        <item x="3"/>
        <item t="default"/>
      </items>
    </pivotField>
    <pivotField compact="0" outline="0" subtotalTop="0" showAll="0" includeNewItemsInFilter="1"/>
    <pivotField axis="axisRow" compact="0" outline="0" subtotalTop="0" showAll="0" includeNewItemsInFilter="1">
      <items count="3">
        <item x="0"/>
        <item x="1"/>
        <item t="default"/>
      </items>
    </pivotField>
    <pivotField axis="axisRow" compact="0" outline="0" subtotalTop="0" showAll="0" includeNewItemsInFilter="1">
      <items count="4">
        <item x="0"/>
        <item x="1"/>
        <item x="2"/>
        <item t="default"/>
      </items>
    </pivotField>
    <pivotField axis="axisRow" compact="0" outline="0" subtotalTop="0" showAll="0" includeNewItemsInFilter="1">
      <items count="3">
        <item x="1"/>
        <item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numFmtId="2" outline="0" subtotalTop="0" showAll="0" includeNewItemsInFilter="1"/>
    <pivotField compact="0" numFmtId="2" outline="0" subtotalTop="0" showAll="0" includeNewItemsInFilter="1"/>
    <pivotField compact="0" outline="0" subtotalTop="0" showAll="0" includeNewItemsInFilter="1"/>
  </pivotFields>
  <rowFields count="4">
    <field x="4"/>
    <field x="5"/>
    <field x="3"/>
    <field x="0"/>
  </rowFields>
  <rowItems count="53">
    <i>
      <x/>
      <x/>
      <x/>
      <x v="15"/>
    </i>
    <i r="3">
      <x v="19"/>
    </i>
    <i t="default" r="2">
      <x/>
    </i>
    <i r="2">
      <x v="1"/>
      <x v="13"/>
    </i>
    <i r="3">
      <x v="18"/>
    </i>
    <i t="default" r="2">
      <x v="1"/>
    </i>
    <i t="default" r="1">
      <x/>
    </i>
    <i r="1">
      <x v="1"/>
      <x/>
      <x/>
    </i>
    <i r="3">
      <x v="12"/>
    </i>
    <i t="default" r="2">
      <x/>
    </i>
    <i r="2">
      <x v="1"/>
      <x v="24"/>
    </i>
    <i r="3">
      <x v="30"/>
    </i>
    <i t="default" r="2">
      <x v="1"/>
    </i>
    <i t="default" r="1">
      <x v="1"/>
    </i>
    <i t="default">
      <x/>
    </i>
    <i>
      <x v="1"/>
      <x/>
      <x/>
      <x v="1"/>
    </i>
    <i r="3">
      <x v="14"/>
    </i>
    <i r="3">
      <x v="17"/>
    </i>
    <i r="3">
      <x v="21"/>
    </i>
    <i t="default" r="2">
      <x/>
    </i>
    <i r="2">
      <x v="1"/>
      <x v="3"/>
    </i>
    <i r="3">
      <x v="6"/>
    </i>
    <i r="3">
      <x v="16"/>
    </i>
    <i r="3">
      <x v="31"/>
    </i>
    <i t="default" r="2">
      <x v="1"/>
    </i>
    <i t="default" r="1">
      <x/>
    </i>
    <i r="1">
      <x v="1"/>
      <x/>
      <x v="7"/>
    </i>
    <i r="3">
      <x v="10"/>
    </i>
    <i r="3">
      <x v="27"/>
    </i>
    <i r="3">
      <x v="29"/>
    </i>
    <i t="default" r="2">
      <x/>
    </i>
    <i r="2">
      <x v="1"/>
      <x v="5"/>
    </i>
    <i r="3">
      <x v="9"/>
    </i>
    <i r="3">
      <x v="22"/>
    </i>
    <i r="3">
      <x v="25"/>
    </i>
    <i t="default" r="2">
      <x v="1"/>
    </i>
    <i t="default" r="1">
      <x v="1"/>
    </i>
    <i t="default">
      <x v="1"/>
    </i>
    <i>
      <x v="2"/>
      <x/>
      <x/>
      <x v="26"/>
    </i>
    <i r="3">
      <x v="28"/>
    </i>
    <i t="default" r="2">
      <x/>
    </i>
    <i r="2">
      <x v="1"/>
      <x v="4"/>
    </i>
    <i r="3">
      <x v="8"/>
    </i>
    <i t="default" r="2">
      <x v="1"/>
    </i>
    <i t="default" r="1">
      <x/>
    </i>
    <i r="1">
      <x v="1"/>
      <x/>
      <x v="2"/>
    </i>
    <i r="3">
      <x v="23"/>
    </i>
    <i t="default" r="2">
      <x/>
    </i>
    <i r="2">
      <x v="1"/>
      <x v="11"/>
    </i>
    <i r="3">
      <x v="20"/>
    </i>
    <i t="default" r="2">
      <x v="1"/>
    </i>
    <i t="default" r="1">
      <x v="1"/>
    </i>
    <i t="default">
      <x v="2"/>
    </i>
  </rowItems>
  <colItems count="1">
    <i/>
  </colItems>
  <dataFields count="1">
    <dataField name="Average of Mean per meter" fld="15"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C23E2E2-736A-4F36-A27D-A3FC27DE4205}" name="PivotTable1" cacheId="106" dataOnRows="1" applyNumberFormats="0" applyBorderFormats="0" applyFontFormats="0" applyPatternFormats="0" applyAlignmentFormats="0" applyWidthHeightFormats="1" dataCaption="Data" updatedVersion="1" showItems="0" showMultipleLabel="0" showMemberPropertyTips="0" useAutoFormatting="1" itemPrintTitles="1" indent="0" compact="0" compactData="0" gridDropZones="1">
  <location ref="V10:W20" firstHeaderRow="2" firstDataRow="2" firstDataCol="1"/>
  <pivotFields count="2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9">
        <item x="0"/>
        <item x="1"/>
        <item x="2"/>
        <item x="3"/>
        <item x="4"/>
        <item x="5"/>
        <item x="6"/>
        <item x="7"/>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2" outline="0" subtotalTop="0" showAll="0" includeNewItemsInFilter="1"/>
    <pivotField dataField="1" compact="0" numFmtId="2" outline="0" subtotalTop="0" showAll="0" includeNewItemsInFilter="1"/>
    <pivotField compact="0" outline="0" subtotalTop="0" showAll="0" includeNewItemsInFilter="1"/>
    <pivotField compact="0" outline="0" subtotalTop="0" showAll="0" includeNewItemsInFilter="1"/>
  </pivotFields>
  <rowFields count="1">
    <field x="7"/>
  </rowFields>
  <rowItems count="9">
    <i>
      <x/>
    </i>
    <i>
      <x v="1"/>
    </i>
    <i>
      <x v="2"/>
    </i>
    <i>
      <x v="3"/>
    </i>
    <i>
      <x v="4"/>
    </i>
    <i>
      <x v="5"/>
    </i>
    <i>
      <x v="6"/>
    </i>
    <i>
      <x v="7"/>
    </i>
    <i t="grand">
      <x/>
    </i>
  </rowItems>
  <colItems count="1">
    <i/>
  </colItems>
  <dataFields count="1">
    <dataField name="Average of Nrml. mean per meter" fld="17" subtotal="average" baseField="0" baseItem="0" numFmtId="2"/>
  </dataFields>
  <formats count="1">
    <format dxfId="0">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CA1A4BD-8675-429F-B9FC-F34B5CDE5C36}" name="PivotTable3" cacheId="107" dataOnRows="1" applyNumberFormats="0" applyBorderFormats="0" applyFontFormats="0" applyPatternFormats="0" applyAlignmentFormats="0" applyWidthHeightFormats="1" dataCaption="Data" updatedVersion="1" showItems="0" showMultipleLabel="0" showMemberPropertyTips="0" useAutoFormatting="1" rowGrandTotals="0" itemPrintTitles="1" indent="0" compact="0" compactData="0" gridDropZones="1">
  <location ref="V40:Z94" firstHeaderRow="2" firstDataRow="2" firstDataCol="4"/>
  <pivotFields count="19">
    <pivotField axis="axisRow" compact="0" outline="0" subtotalTop="0" showAll="0" includeNewItemsInFilter="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outline="0" subtotalTop="0" showAll="0" includeNewItemsInFilter="1"/>
    <pivotField compact="0" outline="0" subtotalTop="0" showAll="0" includeNewItemsInFilter="1"/>
    <pivotField axis="axisRow" subtotalCaption="? mean" compact="0" outline="0" subtotalTop="0" showAll="0" includeNewItemsInFilter="1">
      <items count="3">
        <item n="FAO" x="0"/>
        <item n="NDVI" x="1"/>
        <item t="default"/>
      </items>
    </pivotField>
    <pivotField axis="axisRow" subtotalCaption="? Mean" compact="0" outline="0" subtotalTop="0" showAll="0" includeNewItemsInFilter="1">
      <items count="4">
        <item n="SPARSE POPULATION" x="0"/>
        <item n="TYPICAL POPULATION" x="1"/>
        <item n="DENSE POPULATION" x="2"/>
        <item t="default"/>
      </items>
    </pivotField>
    <pivotField axis="axisRow" subtotalCaption="? mean" compact="0" outline="0" subtotalTop="0" showAll="0" includeNewItemsInFilter="1">
      <items count="3">
        <item n="LowN" x="1"/>
        <item n="HighN"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numFmtId="2" outline="0" subtotalTop="0" showAll="0" includeNewItemsInFilter="1"/>
    <pivotField compact="0" numFmtId="2" outline="0" subtotalTop="0" showAll="0" includeNewItemsInFilter="1"/>
    <pivotField compact="0" outline="0" subtotalTop="0" showAll="0" includeNewItemsInFilter="1"/>
  </pivotFields>
  <rowFields count="4">
    <field x="4"/>
    <field x="3"/>
    <field x="5"/>
    <field x="0"/>
  </rowFields>
  <rowItems count="53">
    <i>
      <x/>
      <x/>
      <x/>
      <x v="15"/>
    </i>
    <i r="3">
      <x v="19"/>
    </i>
    <i t="default" r="2">
      <x/>
    </i>
    <i r="2">
      <x v="1"/>
      <x/>
    </i>
    <i r="3">
      <x v="12"/>
    </i>
    <i t="default" r="2">
      <x v="1"/>
    </i>
    <i t="default" r="1">
      <x/>
    </i>
    <i r="1">
      <x v="1"/>
      <x/>
      <x v="13"/>
    </i>
    <i r="3">
      <x v="18"/>
    </i>
    <i t="default" r="2">
      <x/>
    </i>
    <i r="2">
      <x v="1"/>
      <x v="24"/>
    </i>
    <i r="3">
      <x v="30"/>
    </i>
    <i t="default" r="2">
      <x v="1"/>
    </i>
    <i t="default" r="1">
      <x v="1"/>
    </i>
    <i t="default">
      <x/>
    </i>
    <i>
      <x v="1"/>
      <x/>
      <x/>
      <x v="1"/>
    </i>
    <i r="3">
      <x v="14"/>
    </i>
    <i r="3">
      <x v="17"/>
    </i>
    <i r="3">
      <x v="21"/>
    </i>
    <i t="default" r="2">
      <x/>
    </i>
    <i r="2">
      <x v="1"/>
      <x v="7"/>
    </i>
    <i r="3">
      <x v="10"/>
    </i>
    <i r="3">
      <x v="27"/>
    </i>
    <i r="3">
      <x v="29"/>
    </i>
    <i t="default" r="2">
      <x v="1"/>
    </i>
    <i t="default" r="1">
      <x/>
    </i>
    <i r="1">
      <x v="1"/>
      <x/>
      <x v="3"/>
    </i>
    <i r="3">
      <x v="6"/>
    </i>
    <i r="3">
      <x v="16"/>
    </i>
    <i r="3">
      <x v="31"/>
    </i>
    <i t="default" r="2">
      <x/>
    </i>
    <i r="2">
      <x v="1"/>
      <x v="5"/>
    </i>
    <i r="3">
      <x v="9"/>
    </i>
    <i r="3">
      <x v="22"/>
    </i>
    <i r="3">
      <x v="25"/>
    </i>
    <i t="default" r="2">
      <x v="1"/>
    </i>
    <i t="default" r="1">
      <x v="1"/>
    </i>
    <i t="default">
      <x v="1"/>
    </i>
    <i>
      <x v="2"/>
      <x/>
      <x/>
      <x v="26"/>
    </i>
    <i r="3">
      <x v="28"/>
    </i>
    <i t="default" r="2">
      <x/>
    </i>
    <i r="2">
      <x v="1"/>
      <x v="2"/>
    </i>
    <i r="3">
      <x v="23"/>
    </i>
    <i t="default" r="2">
      <x v="1"/>
    </i>
    <i t="default" r="1">
      <x/>
    </i>
    <i r="1">
      <x v="1"/>
      <x/>
      <x v="4"/>
    </i>
    <i r="3">
      <x v="8"/>
    </i>
    <i t="default" r="2">
      <x/>
    </i>
    <i r="2">
      <x v="1"/>
      <x v="11"/>
    </i>
    <i r="3">
      <x v="20"/>
    </i>
    <i t="default" r="2">
      <x v="1"/>
    </i>
    <i t="default" r="1">
      <x v="1"/>
    </i>
    <i t="default">
      <x v="2"/>
    </i>
  </rowItems>
  <colItems count="1">
    <i/>
  </colItems>
  <dataFields count="1">
    <dataField name="Average of Mean per meter" fld="15" subtotal="average" baseField="0" baseItem="0" numFmtId="2"/>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comments" Target="../comments10.xml"/><Relationship Id="rId5" Type="http://schemas.openxmlformats.org/officeDocument/2006/relationships/vmlDrawing" Target="../drawings/vmlDrawing10.vml"/><Relationship Id="rId4"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5E3E2-7177-4366-A4F2-1053F13B8238}">
  <dimension ref="A1:I217"/>
  <sheetViews>
    <sheetView workbookViewId="0"/>
  </sheetViews>
  <sheetFormatPr defaultRowHeight="15" x14ac:dyDescent="0.25"/>
  <sheetData>
    <row r="1" spans="1:9" x14ac:dyDescent="0.25">
      <c r="A1" t="s">
        <v>388</v>
      </c>
      <c r="B1" t="s">
        <v>83</v>
      </c>
      <c r="C1" t="s">
        <v>86</v>
      </c>
      <c r="D1" t="s">
        <v>91</v>
      </c>
      <c r="E1" t="s">
        <v>96</v>
      </c>
      <c r="F1" t="s">
        <v>98</v>
      </c>
      <c r="G1" t="s">
        <v>102</v>
      </c>
      <c r="H1" t="s">
        <v>106</v>
      </c>
      <c r="I1" t="s">
        <v>110</v>
      </c>
    </row>
    <row r="2" spans="1:9" x14ac:dyDescent="0.25">
      <c r="A2" t="s">
        <v>172</v>
      </c>
      <c r="B2" s="55">
        <v>35</v>
      </c>
      <c r="C2" s="55">
        <v>41</v>
      </c>
      <c r="D2">
        <v>70</v>
      </c>
      <c r="E2" s="55">
        <v>79</v>
      </c>
      <c r="F2" s="55">
        <v>96</v>
      </c>
      <c r="G2" s="55">
        <v>114</v>
      </c>
      <c r="H2" s="55">
        <v>141</v>
      </c>
      <c r="I2" s="55">
        <v>148</v>
      </c>
    </row>
    <row r="3" spans="1:9" x14ac:dyDescent="0.25">
      <c r="A3" t="s">
        <v>173</v>
      </c>
      <c r="B3" s="55">
        <v>35</v>
      </c>
      <c r="C3" s="55">
        <v>45</v>
      </c>
      <c r="D3">
        <v>65</v>
      </c>
      <c r="E3" s="55">
        <v>89</v>
      </c>
      <c r="F3" s="55">
        <v>104</v>
      </c>
      <c r="G3" s="55">
        <v>131</v>
      </c>
      <c r="H3" s="55">
        <v>141</v>
      </c>
      <c r="I3" s="55">
        <v>142</v>
      </c>
    </row>
    <row r="4" spans="1:9" x14ac:dyDescent="0.25">
      <c r="A4" t="s">
        <v>174</v>
      </c>
      <c r="B4" s="55">
        <v>30</v>
      </c>
      <c r="C4" s="55">
        <v>47</v>
      </c>
      <c r="D4">
        <v>69</v>
      </c>
      <c r="E4" s="55">
        <v>85</v>
      </c>
      <c r="F4" s="55">
        <v>86</v>
      </c>
      <c r="G4" s="55">
        <v>90</v>
      </c>
      <c r="H4" s="55">
        <v>126</v>
      </c>
      <c r="I4" s="55">
        <v>129</v>
      </c>
    </row>
    <row r="5" spans="1:9" x14ac:dyDescent="0.25">
      <c r="A5" t="s">
        <v>175</v>
      </c>
      <c r="B5" s="55">
        <v>26</v>
      </c>
      <c r="C5" s="55">
        <v>32</v>
      </c>
      <c r="D5">
        <v>60</v>
      </c>
      <c r="E5" s="55">
        <v>83</v>
      </c>
      <c r="F5" s="55">
        <v>92</v>
      </c>
      <c r="G5" s="55">
        <v>104</v>
      </c>
      <c r="H5" s="55">
        <v>85</v>
      </c>
      <c r="I5" s="55">
        <v>121</v>
      </c>
    </row>
    <row r="6" spans="1:9" x14ac:dyDescent="0.25">
      <c r="A6" t="s">
        <v>176</v>
      </c>
      <c r="B6" s="55">
        <v>26</v>
      </c>
      <c r="C6" s="55">
        <v>34</v>
      </c>
      <c r="D6">
        <v>58</v>
      </c>
      <c r="E6" s="55">
        <v>76</v>
      </c>
      <c r="F6" s="55">
        <v>87</v>
      </c>
      <c r="G6" s="55">
        <v>88</v>
      </c>
      <c r="H6" s="55">
        <v>117</v>
      </c>
      <c r="I6" s="55">
        <v>101</v>
      </c>
    </row>
    <row r="7" spans="1:9" x14ac:dyDescent="0.25">
      <c r="A7" t="s">
        <v>177</v>
      </c>
      <c r="B7" s="55">
        <v>32</v>
      </c>
      <c r="C7" s="55">
        <v>42</v>
      </c>
      <c r="D7">
        <v>71</v>
      </c>
      <c r="E7" s="55">
        <v>96</v>
      </c>
      <c r="F7" s="55">
        <v>76</v>
      </c>
      <c r="G7" s="55">
        <v>86</v>
      </c>
      <c r="H7" s="55">
        <v>114</v>
      </c>
      <c r="I7" s="55">
        <v>113</v>
      </c>
    </row>
    <row r="8" spans="1:9" x14ac:dyDescent="0.25">
      <c r="A8" t="s">
        <v>178</v>
      </c>
      <c r="B8" s="55">
        <v>34</v>
      </c>
      <c r="C8" s="55">
        <v>45</v>
      </c>
      <c r="D8">
        <v>74</v>
      </c>
      <c r="E8" s="55">
        <v>82</v>
      </c>
      <c r="F8" s="55">
        <v>90</v>
      </c>
      <c r="G8" s="55">
        <v>112</v>
      </c>
      <c r="H8" s="55">
        <v>127</v>
      </c>
      <c r="I8" s="55">
        <v>127</v>
      </c>
    </row>
    <row r="9" spans="1:9" x14ac:dyDescent="0.25">
      <c r="A9" t="s">
        <v>179</v>
      </c>
      <c r="B9" s="55">
        <v>32</v>
      </c>
      <c r="C9" s="55">
        <v>46</v>
      </c>
      <c r="D9">
        <v>75</v>
      </c>
      <c r="E9" s="55">
        <v>80</v>
      </c>
      <c r="F9" s="55">
        <v>87</v>
      </c>
      <c r="G9" s="55">
        <v>85</v>
      </c>
      <c r="H9" s="55">
        <v>108</v>
      </c>
      <c r="I9" s="55">
        <v>112</v>
      </c>
    </row>
    <row r="10" spans="1:9" x14ac:dyDescent="0.25">
      <c r="A10" t="s">
        <v>180</v>
      </c>
      <c r="B10" s="55">
        <v>31</v>
      </c>
      <c r="C10" s="55">
        <v>42</v>
      </c>
      <c r="D10">
        <v>69</v>
      </c>
      <c r="E10" s="55">
        <v>77</v>
      </c>
      <c r="F10" s="55">
        <v>80</v>
      </c>
      <c r="G10" s="55">
        <v>80</v>
      </c>
      <c r="H10" s="55">
        <v>81</v>
      </c>
      <c r="I10" s="55">
        <v>82</v>
      </c>
    </row>
    <row r="11" spans="1:9" x14ac:dyDescent="0.25">
      <c r="A11" t="s">
        <v>181</v>
      </c>
      <c r="B11" s="55">
        <v>33</v>
      </c>
      <c r="C11" s="55">
        <v>31</v>
      </c>
      <c r="E11" s="55">
        <v>86</v>
      </c>
      <c r="F11" s="55">
        <v>90</v>
      </c>
      <c r="G11" s="55">
        <v>97</v>
      </c>
      <c r="H11" s="55">
        <v>121</v>
      </c>
      <c r="I11" s="55">
        <v>103</v>
      </c>
    </row>
    <row r="12" spans="1:9" x14ac:dyDescent="0.25">
      <c r="A12" t="s">
        <v>182</v>
      </c>
      <c r="B12" s="55">
        <v>33</v>
      </c>
      <c r="C12" s="55">
        <v>44</v>
      </c>
      <c r="D12">
        <v>63</v>
      </c>
      <c r="E12" s="55">
        <v>75</v>
      </c>
      <c r="F12" s="55">
        <v>102</v>
      </c>
      <c r="G12" s="55">
        <v>100</v>
      </c>
      <c r="H12" s="55">
        <v>101</v>
      </c>
      <c r="I12" s="55">
        <v>104</v>
      </c>
    </row>
    <row r="13" spans="1:9" x14ac:dyDescent="0.25">
      <c r="A13" t="s">
        <v>183</v>
      </c>
      <c r="B13" s="55">
        <v>32</v>
      </c>
      <c r="C13" s="55">
        <v>44</v>
      </c>
      <c r="D13">
        <v>72</v>
      </c>
      <c r="E13" s="55">
        <v>86</v>
      </c>
      <c r="F13" s="55">
        <v>91</v>
      </c>
      <c r="G13" s="55">
        <v>91</v>
      </c>
      <c r="H13" s="55">
        <v>103</v>
      </c>
      <c r="I13" s="55">
        <v>102</v>
      </c>
    </row>
    <row r="14" spans="1:9" x14ac:dyDescent="0.25">
      <c r="A14" t="s">
        <v>184</v>
      </c>
      <c r="B14" s="55">
        <v>35</v>
      </c>
      <c r="C14" s="55">
        <v>45</v>
      </c>
      <c r="D14">
        <v>71</v>
      </c>
      <c r="E14" s="55">
        <v>84</v>
      </c>
      <c r="F14" s="55">
        <v>89</v>
      </c>
      <c r="G14" s="55">
        <v>116</v>
      </c>
      <c r="H14" s="55">
        <v>119</v>
      </c>
      <c r="I14" s="55">
        <v>124</v>
      </c>
    </row>
    <row r="15" spans="1:9" x14ac:dyDescent="0.25">
      <c r="A15" t="s">
        <v>185</v>
      </c>
      <c r="B15" s="55">
        <v>35</v>
      </c>
      <c r="C15" s="55">
        <v>40</v>
      </c>
      <c r="D15">
        <v>67</v>
      </c>
      <c r="E15" s="55">
        <v>91</v>
      </c>
      <c r="F15" s="55">
        <v>106</v>
      </c>
      <c r="G15" s="55">
        <v>121</v>
      </c>
      <c r="H15" s="55">
        <v>112</v>
      </c>
      <c r="I15" s="55">
        <v>121</v>
      </c>
    </row>
    <row r="16" spans="1:9" x14ac:dyDescent="0.25">
      <c r="A16" t="s">
        <v>186</v>
      </c>
      <c r="B16" s="55">
        <v>38</v>
      </c>
      <c r="C16" s="55">
        <v>42</v>
      </c>
      <c r="D16">
        <v>60</v>
      </c>
      <c r="E16" s="55">
        <v>84</v>
      </c>
      <c r="F16" s="55">
        <v>92</v>
      </c>
      <c r="G16" s="55">
        <v>94</v>
      </c>
      <c r="H16" s="55">
        <v>93</v>
      </c>
      <c r="I16" s="55">
        <v>111</v>
      </c>
    </row>
    <row r="17" spans="1:9" x14ac:dyDescent="0.25">
      <c r="A17" t="s">
        <v>187</v>
      </c>
      <c r="B17" s="55">
        <v>34</v>
      </c>
      <c r="C17" s="55">
        <v>39</v>
      </c>
      <c r="D17">
        <v>62</v>
      </c>
      <c r="E17" s="55">
        <v>83</v>
      </c>
      <c r="F17" s="55">
        <v>91</v>
      </c>
      <c r="G17" s="55">
        <v>100</v>
      </c>
      <c r="H17" s="55">
        <v>105</v>
      </c>
      <c r="I17" s="55">
        <v>113</v>
      </c>
    </row>
    <row r="18" spans="1:9" x14ac:dyDescent="0.25">
      <c r="A18" t="s">
        <v>188</v>
      </c>
      <c r="B18" s="55">
        <v>34</v>
      </c>
      <c r="C18" s="55">
        <v>38</v>
      </c>
      <c r="D18">
        <v>57</v>
      </c>
      <c r="E18" s="55">
        <v>73</v>
      </c>
      <c r="F18" s="55">
        <v>80</v>
      </c>
      <c r="G18" s="55">
        <v>92</v>
      </c>
      <c r="H18" s="55">
        <v>96</v>
      </c>
      <c r="I18" s="55">
        <v>92</v>
      </c>
    </row>
    <row r="19" spans="1:9" x14ac:dyDescent="0.25">
      <c r="A19" t="s">
        <v>189</v>
      </c>
      <c r="B19" s="55">
        <v>38</v>
      </c>
      <c r="C19" s="55">
        <v>41</v>
      </c>
      <c r="D19">
        <v>66</v>
      </c>
      <c r="E19" s="55">
        <v>77</v>
      </c>
      <c r="F19" s="55">
        <v>85</v>
      </c>
      <c r="G19" s="55">
        <v>88</v>
      </c>
      <c r="H19" s="55">
        <v>100</v>
      </c>
      <c r="I19" s="55">
        <v>94</v>
      </c>
    </row>
    <row r="20" spans="1:9" x14ac:dyDescent="0.25">
      <c r="A20" t="s">
        <v>190</v>
      </c>
      <c r="B20" s="55">
        <v>36</v>
      </c>
      <c r="C20" s="55">
        <v>45</v>
      </c>
      <c r="D20">
        <v>74</v>
      </c>
      <c r="E20" s="55">
        <v>93</v>
      </c>
      <c r="F20" s="55">
        <v>96</v>
      </c>
      <c r="G20" s="55">
        <v>98</v>
      </c>
      <c r="H20" s="55">
        <v>92</v>
      </c>
      <c r="I20" s="55">
        <v>94</v>
      </c>
    </row>
    <row r="21" spans="1:9" x14ac:dyDescent="0.25">
      <c r="A21" t="s">
        <v>191</v>
      </c>
      <c r="B21" s="55">
        <v>40</v>
      </c>
      <c r="C21" s="55">
        <v>50</v>
      </c>
      <c r="D21">
        <v>75</v>
      </c>
      <c r="E21" s="55">
        <v>89</v>
      </c>
      <c r="F21" s="55">
        <v>84</v>
      </c>
      <c r="G21" s="55">
        <v>89</v>
      </c>
      <c r="H21" s="55">
        <v>90</v>
      </c>
      <c r="I21" s="55">
        <v>96</v>
      </c>
    </row>
    <row r="22" spans="1:9" x14ac:dyDescent="0.25">
      <c r="A22" t="s">
        <v>192</v>
      </c>
      <c r="B22" s="55">
        <v>29</v>
      </c>
      <c r="C22" s="55">
        <v>51</v>
      </c>
      <c r="D22">
        <v>75</v>
      </c>
      <c r="E22" s="55">
        <v>87</v>
      </c>
      <c r="F22" s="55">
        <v>98</v>
      </c>
      <c r="G22" s="55">
        <v>97</v>
      </c>
      <c r="H22" s="55">
        <v>101</v>
      </c>
      <c r="I22" s="55">
        <v>98</v>
      </c>
    </row>
    <row r="23" spans="1:9" x14ac:dyDescent="0.25">
      <c r="A23" t="s">
        <v>193</v>
      </c>
      <c r="B23" s="55">
        <v>35</v>
      </c>
      <c r="C23" s="55">
        <v>46</v>
      </c>
      <c r="D23">
        <v>75</v>
      </c>
      <c r="E23" s="55">
        <v>88</v>
      </c>
      <c r="F23" s="55">
        <v>98</v>
      </c>
      <c r="G23" s="55">
        <v>98</v>
      </c>
      <c r="H23" s="55">
        <v>110</v>
      </c>
      <c r="I23" s="55">
        <v>102</v>
      </c>
    </row>
    <row r="24" spans="1:9" x14ac:dyDescent="0.25">
      <c r="A24" t="s">
        <v>194</v>
      </c>
      <c r="B24" s="55">
        <v>35</v>
      </c>
      <c r="C24" s="55">
        <v>45</v>
      </c>
      <c r="D24">
        <v>83</v>
      </c>
      <c r="E24" s="55">
        <v>108</v>
      </c>
      <c r="F24" s="55">
        <v>112</v>
      </c>
      <c r="G24" s="55">
        <v>124</v>
      </c>
      <c r="H24" s="55">
        <v>125</v>
      </c>
      <c r="I24" s="55">
        <v>131</v>
      </c>
    </row>
    <row r="25" spans="1:9" x14ac:dyDescent="0.25">
      <c r="A25" t="s">
        <v>195</v>
      </c>
      <c r="B25" s="55">
        <v>38</v>
      </c>
      <c r="C25" s="55">
        <v>46</v>
      </c>
      <c r="D25">
        <v>80</v>
      </c>
      <c r="E25" s="55">
        <v>99</v>
      </c>
      <c r="F25" s="55">
        <v>100</v>
      </c>
      <c r="G25" s="55">
        <v>93</v>
      </c>
      <c r="H25" s="55">
        <v>98</v>
      </c>
      <c r="I25" s="55">
        <v>98</v>
      </c>
    </row>
    <row r="26" spans="1:9" x14ac:dyDescent="0.25">
      <c r="A26" t="s">
        <v>196</v>
      </c>
      <c r="B26" s="55">
        <v>34</v>
      </c>
      <c r="C26" s="55">
        <v>50</v>
      </c>
      <c r="D26">
        <v>73</v>
      </c>
      <c r="E26" s="55">
        <v>98</v>
      </c>
      <c r="F26" s="55">
        <v>93</v>
      </c>
      <c r="G26" s="55">
        <v>93</v>
      </c>
      <c r="H26" s="55">
        <v>91</v>
      </c>
      <c r="I26" s="55">
        <v>91</v>
      </c>
    </row>
    <row r="27" spans="1:9" x14ac:dyDescent="0.25">
      <c r="A27" t="s">
        <v>197</v>
      </c>
      <c r="B27" s="55">
        <v>38</v>
      </c>
      <c r="C27" s="55">
        <v>48</v>
      </c>
      <c r="D27">
        <v>77</v>
      </c>
      <c r="E27" s="55">
        <v>88</v>
      </c>
      <c r="F27" s="55">
        <v>100</v>
      </c>
      <c r="G27" s="55">
        <v>116</v>
      </c>
      <c r="H27" s="55">
        <v>125</v>
      </c>
      <c r="I27" s="55">
        <v>121</v>
      </c>
    </row>
    <row r="28" spans="1:9" x14ac:dyDescent="0.25">
      <c r="A28" t="s">
        <v>198</v>
      </c>
      <c r="B28" s="55">
        <v>33</v>
      </c>
      <c r="C28" s="55">
        <v>43</v>
      </c>
      <c r="D28">
        <v>69</v>
      </c>
      <c r="E28" s="55">
        <v>84</v>
      </c>
      <c r="F28" s="55">
        <v>78</v>
      </c>
      <c r="G28" s="55">
        <v>87</v>
      </c>
      <c r="H28" s="55">
        <v>107</v>
      </c>
      <c r="I28" s="55">
        <v>104</v>
      </c>
    </row>
    <row r="29" spans="1:9" x14ac:dyDescent="0.25">
      <c r="A29" t="s">
        <v>199</v>
      </c>
      <c r="B29" s="55">
        <v>35.5</v>
      </c>
      <c r="C29" s="55">
        <v>45</v>
      </c>
      <c r="D29">
        <v>72</v>
      </c>
      <c r="E29" s="55">
        <v>89</v>
      </c>
      <c r="F29" s="55">
        <v>98</v>
      </c>
      <c r="G29" s="55">
        <v>94</v>
      </c>
      <c r="H29" s="55">
        <v>100</v>
      </c>
      <c r="I29" s="55">
        <v>107</v>
      </c>
    </row>
    <row r="30" spans="1:9" x14ac:dyDescent="0.25">
      <c r="A30" t="s">
        <v>200</v>
      </c>
      <c r="B30" s="55">
        <v>35.5</v>
      </c>
      <c r="C30" s="55">
        <v>46</v>
      </c>
      <c r="D30">
        <v>67</v>
      </c>
      <c r="E30" s="55">
        <v>74</v>
      </c>
      <c r="F30" s="55">
        <v>79</v>
      </c>
      <c r="G30" s="55">
        <v>77</v>
      </c>
      <c r="H30" s="55">
        <v>87</v>
      </c>
      <c r="I30" s="55">
        <v>83</v>
      </c>
    </row>
    <row r="31" spans="1:9" x14ac:dyDescent="0.25">
      <c r="A31" t="s">
        <v>201</v>
      </c>
      <c r="B31" s="55">
        <v>32</v>
      </c>
      <c r="C31" s="55">
        <v>45</v>
      </c>
      <c r="D31">
        <v>69</v>
      </c>
      <c r="E31" s="55">
        <v>77</v>
      </c>
      <c r="F31" s="55">
        <v>86</v>
      </c>
      <c r="G31" s="55">
        <v>78</v>
      </c>
      <c r="H31" s="55">
        <v>100</v>
      </c>
      <c r="I31" s="55">
        <v>81</v>
      </c>
    </row>
    <row r="32" spans="1:9" x14ac:dyDescent="0.25">
      <c r="A32" t="s">
        <v>202</v>
      </c>
      <c r="B32" s="55">
        <v>37</v>
      </c>
      <c r="C32" s="55">
        <v>46</v>
      </c>
      <c r="D32">
        <v>83</v>
      </c>
      <c r="E32">
        <v>102</v>
      </c>
      <c r="F32" s="55">
        <v>116</v>
      </c>
      <c r="G32" s="55">
        <v>137</v>
      </c>
      <c r="H32" s="55">
        <v>146</v>
      </c>
      <c r="I32" s="55">
        <v>128</v>
      </c>
    </row>
    <row r="33" spans="1:9" x14ac:dyDescent="0.25">
      <c r="A33" t="s">
        <v>203</v>
      </c>
      <c r="B33" s="55">
        <v>42</v>
      </c>
      <c r="C33" s="55">
        <v>45</v>
      </c>
      <c r="D33">
        <v>81</v>
      </c>
      <c r="E33">
        <v>99</v>
      </c>
      <c r="F33" s="55">
        <v>112</v>
      </c>
      <c r="G33" s="55">
        <v>122</v>
      </c>
      <c r="H33" s="55">
        <v>130</v>
      </c>
      <c r="I33" s="55">
        <v>133</v>
      </c>
    </row>
    <row r="34" spans="1:9" x14ac:dyDescent="0.25">
      <c r="A34" t="s">
        <v>204</v>
      </c>
      <c r="B34" s="55">
        <v>33</v>
      </c>
      <c r="C34" s="55">
        <v>50</v>
      </c>
      <c r="D34">
        <v>79</v>
      </c>
      <c r="E34">
        <v>101</v>
      </c>
      <c r="F34" s="55">
        <v>110</v>
      </c>
      <c r="G34" s="55">
        <v>115</v>
      </c>
      <c r="H34" s="55">
        <v>115</v>
      </c>
      <c r="I34" s="55">
        <v>114</v>
      </c>
    </row>
    <row r="35" spans="1:9" x14ac:dyDescent="0.25">
      <c r="A35" t="s">
        <v>205</v>
      </c>
      <c r="B35" s="55">
        <v>40</v>
      </c>
      <c r="C35" s="55">
        <v>43</v>
      </c>
      <c r="D35">
        <v>77</v>
      </c>
      <c r="E35">
        <v>105</v>
      </c>
      <c r="F35" s="55">
        <v>103</v>
      </c>
      <c r="G35" s="55">
        <v>103</v>
      </c>
      <c r="H35" s="55">
        <v>107</v>
      </c>
      <c r="I35" s="55">
        <v>115</v>
      </c>
    </row>
    <row r="36" spans="1:9" x14ac:dyDescent="0.25">
      <c r="A36" t="s">
        <v>206</v>
      </c>
      <c r="B36" s="55">
        <v>40</v>
      </c>
      <c r="C36" s="55">
        <v>50</v>
      </c>
      <c r="D36">
        <v>89</v>
      </c>
      <c r="E36">
        <v>95</v>
      </c>
      <c r="F36" s="55">
        <v>108</v>
      </c>
      <c r="G36" s="55">
        <v>115</v>
      </c>
      <c r="H36" s="55">
        <v>115</v>
      </c>
      <c r="I36" s="55">
        <v>115</v>
      </c>
    </row>
    <row r="37" spans="1:9" x14ac:dyDescent="0.25">
      <c r="A37" t="s">
        <v>207</v>
      </c>
      <c r="B37" s="55">
        <v>37.5</v>
      </c>
      <c r="C37" s="55">
        <v>45</v>
      </c>
      <c r="D37">
        <v>79</v>
      </c>
      <c r="E37">
        <v>94</v>
      </c>
      <c r="F37" s="55">
        <v>104</v>
      </c>
      <c r="G37" s="55">
        <v>112</v>
      </c>
      <c r="H37" s="55">
        <v>118</v>
      </c>
      <c r="I37" s="55">
        <v>128</v>
      </c>
    </row>
    <row r="38" spans="1:9" x14ac:dyDescent="0.25">
      <c r="A38" t="s">
        <v>208</v>
      </c>
      <c r="B38">
        <v>35</v>
      </c>
      <c r="C38">
        <v>48</v>
      </c>
      <c r="D38">
        <v>76</v>
      </c>
      <c r="E38">
        <v>90</v>
      </c>
      <c r="F38">
        <v>97</v>
      </c>
      <c r="G38">
        <v>97</v>
      </c>
      <c r="H38">
        <v>96</v>
      </c>
      <c r="I38">
        <v>115</v>
      </c>
    </row>
    <row r="39" spans="1:9" x14ac:dyDescent="0.25">
      <c r="A39" t="s">
        <v>209</v>
      </c>
      <c r="B39">
        <v>47</v>
      </c>
      <c r="C39">
        <v>57</v>
      </c>
      <c r="D39">
        <v>92</v>
      </c>
      <c r="E39">
        <v>103</v>
      </c>
      <c r="F39">
        <v>111</v>
      </c>
      <c r="G39">
        <v>108</v>
      </c>
      <c r="H39">
        <v>114</v>
      </c>
      <c r="I39">
        <v>113</v>
      </c>
    </row>
    <row r="40" spans="1:9" x14ac:dyDescent="0.25">
      <c r="A40" t="s">
        <v>210</v>
      </c>
      <c r="B40">
        <v>32</v>
      </c>
      <c r="C40">
        <v>45</v>
      </c>
      <c r="D40">
        <v>74</v>
      </c>
      <c r="E40">
        <v>84</v>
      </c>
      <c r="F40">
        <v>86</v>
      </c>
      <c r="G40">
        <v>87</v>
      </c>
      <c r="H40">
        <v>115</v>
      </c>
      <c r="I40">
        <v>102</v>
      </c>
    </row>
    <row r="41" spans="1:9" x14ac:dyDescent="0.25">
      <c r="A41" t="s">
        <v>211</v>
      </c>
      <c r="B41">
        <v>42</v>
      </c>
      <c r="C41">
        <v>52</v>
      </c>
      <c r="D41">
        <v>80</v>
      </c>
      <c r="E41">
        <v>88</v>
      </c>
      <c r="F41">
        <v>96</v>
      </c>
      <c r="G41">
        <v>95</v>
      </c>
      <c r="H41">
        <v>105</v>
      </c>
      <c r="I41">
        <v>103</v>
      </c>
    </row>
    <row r="42" spans="1:9" x14ac:dyDescent="0.25">
      <c r="A42" t="s">
        <v>212</v>
      </c>
      <c r="B42">
        <v>42</v>
      </c>
      <c r="C42">
        <v>55</v>
      </c>
      <c r="D42">
        <v>82</v>
      </c>
      <c r="E42">
        <v>94</v>
      </c>
      <c r="F42">
        <v>110</v>
      </c>
      <c r="G42">
        <v>112</v>
      </c>
      <c r="H42">
        <v>112</v>
      </c>
      <c r="I42">
        <v>112</v>
      </c>
    </row>
    <row r="43" spans="1:9" x14ac:dyDescent="0.25">
      <c r="A43" t="s">
        <v>213</v>
      </c>
      <c r="B43">
        <v>34</v>
      </c>
      <c r="C43">
        <v>43</v>
      </c>
      <c r="D43">
        <v>78</v>
      </c>
      <c r="E43">
        <v>93</v>
      </c>
      <c r="F43">
        <v>105</v>
      </c>
      <c r="G43">
        <v>103</v>
      </c>
      <c r="H43">
        <v>115</v>
      </c>
      <c r="I43">
        <v>118</v>
      </c>
    </row>
    <row r="44" spans="1:9" x14ac:dyDescent="0.25">
      <c r="A44" t="s">
        <v>214</v>
      </c>
      <c r="B44">
        <v>41</v>
      </c>
      <c r="C44">
        <v>52</v>
      </c>
      <c r="D44">
        <v>86</v>
      </c>
      <c r="E44">
        <v>91</v>
      </c>
      <c r="F44">
        <v>103</v>
      </c>
      <c r="G44">
        <v>128</v>
      </c>
      <c r="H44">
        <v>133</v>
      </c>
      <c r="I44">
        <v>117</v>
      </c>
    </row>
    <row r="45" spans="1:9" x14ac:dyDescent="0.25">
      <c r="A45" t="s">
        <v>215</v>
      </c>
      <c r="B45">
        <v>37</v>
      </c>
      <c r="C45">
        <v>49</v>
      </c>
      <c r="D45">
        <v>75</v>
      </c>
      <c r="E45">
        <v>86</v>
      </c>
      <c r="F45">
        <v>94</v>
      </c>
      <c r="G45">
        <v>105</v>
      </c>
      <c r="H45">
        <v>122</v>
      </c>
      <c r="I45">
        <v>112</v>
      </c>
    </row>
    <row r="46" spans="1:9" x14ac:dyDescent="0.25">
      <c r="A46" t="s">
        <v>216</v>
      </c>
      <c r="B46">
        <v>32</v>
      </c>
      <c r="C46">
        <v>45</v>
      </c>
      <c r="D46">
        <v>68</v>
      </c>
      <c r="E46">
        <v>81</v>
      </c>
      <c r="F46">
        <v>82</v>
      </c>
      <c r="G46">
        <v>88</v>
      </c>
      <c r="H46">
        <v>108</v>
      </c>
      <c r="I46">
        <v>112</v>
      </c>
    </row>
    <row r="47" spans="1:9" x14ac:dyDescent="0.25">
      <c r="A47" t="s">
        <v>217</v>
      </c>
      <c r="B47">
        <v>36.5</v>
      </c>
      <c r="C47">
        <v>50</v>
      </c>
      <c r="D47">
        <v>81</v>
      </c>
      <c r="E47">
        <v>94</v>
      </c>
      <c r="F47">
        <v>97.5</v>
      </c>
      <c r="G47">
        <v>103</v>
      </c>
      <c r="H47">
        <v>106</v>
      </c>
      <c r="I47">
        <v>119</v>
      </c>
    </row>
    <row r="48" spans="1:9" x14ac:dyDescent="0.25">
      <c r="A48" t="s">
        <v>218</v>
      </c>
      <c r="B48">
        <v>36.5</v>
      </c>
      <c r="C48">
        <v>46</v>
      </c>
      <c r="D48">
        <v>76</v>
      </c>
      <c r="E48">
        <v>101</v>
      </c>
      <c r="F48">
        <v>103</v>
      </c>
      <c r="G48">
        <v>110</v>
      </c>
      <c r="H48">
        <v>106</v>
      </c>
      <c r="I48">
        <v>114</v>
      </c>
    </row>
    <row r="49" spans="1:9" x14ac:dyDescent="0.25">
      <c r="A49" t="s">
        <v>219</v>
      </c>
      <c r="B49">
        <v>45</v>
      </c>
      <c r="C49">
        <v>50</v>
      </c>
      <c r="D49">
        <v>85.5</v>
      </c>
      <c r="E49">
        <v>84</v>
      </c>
      <c r="F49">
        <v>99.6</v>
      </c>
      <c r="G49">
        <v>110</v>
      </c>
      <c r="H49">
        <v>110</v>
      </c>
      <c r="I49">
        <v>113</v>
      </c>
    </row>
    <row r="50" spans="1:9" x14ac:dyDescent="0.25">
      <c r="A50" t="s">
        <v>220</v>
      </c>
      <c r="B50">
        <v>38</v>
      </c>
      <c r="C50">
        <v>75</v>
      </c>
      <c r="D50">
        <v>72</v>
      </c>
      <c r="E50">
        <v>91</v>
      </c>
      <c r="F50">
        <v>93</v>
      </c>
      <c r="G50">
        <v>97</v>
      </c>
      <c r="H50">
        <v>114</v>
      </c>
      <c r="I50">
        <v>114</v>
      </c>
    </row>
    <row r="51" spans="1:9" x14ac:dyDescent="0.25">
      <c r="A51" t="s">
        <v>221</v>
      </c>
      <c r="B51">
        <v>38</v>
      </c>
      <c r="C51">
        <v>82</v>
      </c>
      <c r="D51">
        <v>72</v>
      </c>
      <c r="E51">
        <v>87</v>
      </c>
      <c r="F51">
        <v>96</v>
      </c>
      <c r="G51">
        <v>93</v>
      </c>
      <c r="H51">
        <v>90</v>
      </c>
      <c r="I51">
        <v>98</v>
      </c>
    </row>
    <row r="52" spans="1:9" x14ac:dyDescent="0.25">
      <c r="A52" t="s">
        <v>222</v>
      </c>
      <c r="B52">
        <v>38</v>
      </c>
      <c r="C52">
        <v>52</v>
      </c>
      <c r="D52">
        <v>67</v>
      </c>
      <c r="E52">
        <v>74</v>
      </c>
      <c r="F52">
        <v>79</v>
      </c>
      <c r="G52">
        <v>100</v>
      </c>
      <c r="H52">
        <v>99</v>
      </c>
      <c r="I52">
        <v>101</v>
      </c>
    </row>
    <row r="53" spans="1:9" x14ac:dyDescent="0.25">
      <c r="A53" t="s">
        <v>223</v>
      </c>
      <c r="B53">
        <v>42</v>
      </c>
      <c r="C53">
        <v>52</v>
      </c>
      <c r="D53">
        <v>75</v>
      </c>
      <c r="E53">
        <v>86</v>
      </c>
      <c r="F53">
        <v>80</v>
      </c>
      <c r="G53">
        <v>81</v>
      </c>
      <c r="H53">
        <v>122</v>
      </c>
      <c r="I53">
        <v>86</v>
      </c>
    </row>
    <row r="54" spans="1:9" x14ac:dyDescent="0.25">
      <c r="A54" t="s">
        <v>224</v>
      </c>
      <c r="B54">
        <v>42</v>
      </c>
      <c r="C54">
        <v>55</v>
      </c>
      <c r="D54">
        <v>73</v>
      </c>
      <c r="E54">
        <v>83</v>
      </c>
      <c r="F54">
        <v>92</v>
      </c>
      <c r="G54">
        <v>92</v>
      </c>
      <c r="H54">
        <v>97</v>
      </c>
      <c r="I54">
        <v>96</v>
      </c>
    </row>
    <row r="55" spans="1:9" x14ac:dyDescent="0.25">
      <c r="A55" t="s">
        <v>225</v>
      </c>
      <c r="B55">
        <v>37</v>
      </c>
      <c r="C55">
        <v>62</v>
      </c>
      <c r="D55">
        <v>89</v>
      </c>
      <c r="E55">
        <v>83</v>
      </c>
      <c r="F55">
        <v>94</v>
      </c>
      <c r="G55">
        <v>96</v>
      </c>
      <c r="H55">
        <v>94</v>
      </c>
      <c r="I55">
        <v>102</v>
      </c>
    </row>
    <row r="56" spans="1:9" x14ac:dyDescent="0.25">
      <c r="A56" t="s">
        <v>226</v>
      </c>
      <c r="B56">
        <v>40</v>
      </c>
      <c r="C56">
        <v>49</v>
      </c>
      <c r="D56">
        <v>76</v>
      </c>
      <c r="E56">
        <v>79</v>
      </c>
      <c r="F56">
        <v>98</v>
      </c>
      <c r="G56">
        <v>116</v>
      </c>
      <c r="H56">
        <v>133</v>
      </c>
      <c r="I56">
        <v>135</v>
      </c>
    </row>
    <row r="57" spans="1:9" x14ac:dyDescent="0.25">
      <c r="A57" t="s">
        <v>227</v>
      </c>
      <c r="B57">
        <v>35</v>
      </c>
      <c r="C57">
        <v>42</v>
      </c>
      <c r="D57">
        <v>77</v>
      </c>
      <c r="E57">
        <v>94</v>
      </c>
      <c r="F57">
        <v>102</v>
      </c>
      <c r="G57">
        <v>121</v>
      </c>
      <c r="H57">
        <v>130</v>
      </c>
      <c r="I57">
        <v>135</v>
      </c>
    </row>
    <row r="58" spans="1:9" x14ac:dyDescent="0.25">
      <c r="A58" t="s">
        <v>228</v>
      </c>
      <c r="B58">
        <v>30</v>
      </c>
      <c r="C58">
        <v>39</v>
      </c>
      <c r="D58">
        <v>60</v>
      </c>
      <c r="E58">
        <v>73</v>
      </c>
      <c r="F58">
        <v>84</v>
      </c>
      <c r="G58">
        <v>90</v>
      </c>
      <c r="H58">
        <v>115</v>
      </c>
      <c r="I58">
        <v>115</v>
      </c>
    </row>
    <row r="59" spans="1:9" x14ac:dyDescent="0.25">
      <c r="A59" t="s">
        <v>229</v>
      </c>
      <c r="B59">
        <v>41</v>
      </c>
      <c r="C59">
        <v>42</v>
      </c>
      <c r="D59">
        <v>64</v>
      </c>
      <c r="E59">
        <v>88</v>
      </c>
      <c r="F59">
        <v>85</v>
      </c>
      <c r="G59">
        <v>110</v>
      </c>
      <c r="H59">
        <v>114</v>
      </c>
      <c r="I59">
        <v>129</v>
      </c>
    </row>
    <row r="60" spans="1:9" x14ac:dyDescent="0.25">
      <c r="A60" t="s">
        <v>230</v>
      </c>
      <c r="B60">
        <v>41</v>
      </c>
      <c r="C60">
        <v>54</v>
      </c>
      <c r="D60">
        <v>83</v>
      </c>
      <c r="E60">
        <v>90</v>
      </c>
      <c r="F60">
        <v>93</v>
      </c>
      <c r="G60">
        <v>100</v>
      </c>
      <c r="H60">
        <v>123</v>
      </c>
      <c r="I60">
        <v>117</v>
      </c>
    </row>
    <row r="61" spans="1:9" x14ac:dyDescent="0.25">
      <c r="A61" t="s">
        <v>231</v>
      </c>
      <c r="B61">
        <v>41</v>
      </c>
      <c r="C61">
        <v>48</v>
      </c>
      <c r="D61">
        <v>76</v>
      </c>
      <c r="E61">
        <v>91</v>
      </c>
      <c r="F61">
        <v>103</v>
      </c>
      <c r="G61">
        <v>123</v>
      </c>
      <c r="H61">
        <v>146</v>
      </c>
      <c r="I61">
        <v>143</v>
      </c>
    </row>
    <row r="62" spans="1:9" x14ac:dyDescent="0.25">
      <c r="A62" t="s">
        <v>232</v>
      </c>
      <c r="B62">
        <v>27.5</v>
      </c>
      <c r="C62">
        <v>39</v>
      </c>
      <c r="D62">
        <v>67</v>
      </c>
      <c r="E62">
        <v>78</v>
      </c>
      <c r="F62">
        <v>88</v>
      </c>
      <c r="G62">
        <v>97</v>
      </c>
      <c r="H62">
        <v>113</v>
      </c>
      <c r="I62">
        <v>114</v>
      </c>
    </row>
    <row r="63" spans="1:9" x14ac:dyDescent="0.25">
      <c r="A63" t="s">
        <v>233</v>
      </c>
      <c r="B63">
        <v>35</v>
      </c>
      <c r="C63">
        <v>55</v>
      </c>
      <c r="D63">
        <v>82</v>
      </c>
      <c r="E63">
        <v>97</v>
      </c>
      <c r="F63">
        <v>101</v>
      </c>
      <c r="G63">
        <v>123</v>
      </c>
      <c r="H63">
        <v>146</v>
      </c>
      <c r="I63">
        <v>146</v>
      </c>
    </row>
    <row r="64" spans="1:9" x14ac:dyDescent="0.25">
      <c r="A64" t="s">
        <v>234</v>
      </c>
      <c r="B64">
        <v>42</v>
      </c>
      <c r="C64">
        <v>57</v>
      </c>
      <c r="D64">
        <v>86</v>
      </c>
      <c r="E64">
        <v>98</v>
      </c>
      <c r="F64">
        <v>97</v>
      </c>
      <c r="G64">
        <v>105</v>
      </c>
      <c r="H64">
        <v>133</v>
      </c>
      <c r="I64">
        <v>120</v>
      </c>
    </row>
    <row r="65" spans="1:9" x14ac:dyDescent="0.25">
      <c r="A65" t="s">
        <v>235</v>
      </c>
      <c r="B65">
        <v>46</v>
      </c>
      <c r="C65">
        <v>52</v>
      </c>
      <c r="D65">
        <v>83</v>
      </c>
      <c r="E65">
        <v>85</v>
      </c>
      <c r="F65">
        <v>103</v>
      </c>
      <c r="G65">
        <v>121</v>
      </c>
      <c r="H65">
        <v>122</v>
      </c>
      <c r="I65">
        <v>128</v>
      </c>
    </row>
    <row r="66" spans="1:9" x14ac:dyDescent="0.25">
      <c r="A66" t="s">
        <v>236</v>
      </c>
      <c r="B66">
        <v>46</v>
      </c>
      <c r="C66">
        <v>53</v>
      </c>
      <c r="D66">
        <v>78</v>
      </c>
      <c r="E66">
        <v>90</v>
      </c>
      <c r="F66">
        <v>96</v>
      </c>
      <c r="G66">
        <v>98</v>
      </c>
      <c r="H66">
        <v>127</v>
      </c>
      <c r="I66">
        <v>140</v>
      </c>
    </row>
    <row r="67" spans="1:9" x14ac:dyDescent="0.25">
      <c r="A67" t="s">
        <v>237</v>
      </c>
      <c r="B67">
        <v>32</v>
      </c>
      <c r="C67">
        <v>41</v>
      </c>
      <c r="D67">
        <v>75</v>
      </c>
      <c r="E67">
        <v>98</v>
      </c>
      <c r="F67">
        <v>99</v>
      </c>
      <c r="G67">
        <v>130</v>
      </c>
      <c r="H67">
        <v>125</v>
      </c>
      <c r="I67">
        <v>121</v>
      </c>
    </row>
    <row r="68" spans="1:9" x14ac:dyDescent="0.25">
      <c r="A68" t="s">
        <v>238</v>
      </c>
      <c r="B68">
        <v>41</v>
      </c>
      <c r="C68">
        <v>48</v>
      </c>
      <c r="D68">
        <v>81</v>
      </c>
      <c r="E68">
        <v>103</v>
      </c>
      <c r="F68">
        <v>118</v>
      </c>
      <c r="G68">
        <v>125</v>
      </c>
      <c r="H68">
        <v>129</v>
      </c>
      <c r="I68">
        <v>126</v>
      </c>
    </row>
    <row r="69" spans="1:9" x14ac:dyDescent="0.25">
      <c r="A69" t="s">
        <v>239</v>
      </c>
      <c r="B69">
        <v>38</v>
      </c>
      <c r="C69">
        <v>49</v>
      </c>
      <c r="D69">
        <v>78</v>
      </c>
      <c r="E69">
        <v>96</v>
      </c>
      <c r="F69">
        <v>104</v>
      </c>
      <c r="G69">
        <v>111</v>
      </c>
      <c r="H69">
        <v>124</v>
      </c>
      <c r="I69">
        <v>112</v>
      </c>
    </row>
    <row r="70" spans="1:9" x14ac:dyDescent="0.25">
      <c r="A70" t="s">
        <v>240</v>
      </c>
      <c r="B70">
        <v>34</v>
      </c>
      <c r="C70">
        <v>51</v>
      </c>
      <c r="D70">
        <v>76</v>
      </c>
      <c r="E70">
        <v>96</v>
      </c>
      <c r="F70">
        <v>102</v>
      </c>
      <c r="G70">
        <v>115</v>
      </c>
      <c r="H70">
        <v>118</v>
      </c>
      <c r="I70">
        <v>122</v>
      </c>
    </row>
    <row r="71" spans="1:9" x14ac:dyDescent="0.25">
      <c r="A71" t="s">
        <v>241</v>
      </c>
      <c r="B71">
        <v>69</v>
      </c>
      <c r="C71">
        <v>61</v>
      </c>
      <c r="D71">
        <v>90</v>
      </c>
      <c r="E71">
        <v>112</v>
      </c>
      <c r="F71">
        <v>108</v>
      </c>
      <c r="G71">
        <v>126</v>
      </c>
      <c r="H71">
        <v>121</v>
      </c>
      <c r="I71">
        <v>121</v>
      </c>
    </row>
    <row r="72" spans="1:9" x14ac:dyDescent="0.25">
      <c r="A72" t="s">
        <v>242</v>
      </c>
      <c r="B72">
        <v>43</v>
      </c>
      <c r="C72">
        <v>56</v>
      </c>
      <c r="D72">
        <v>85</v>
      </c>
      <c r="E72">
        <v>102</v>
      </c>
      <c r="F72">
        <v>102</v>
      </c>
      <c r="G72">
        <v>127</v>
      </c>
      <c r="H72">
        <v>112</v>
      </c>
      <c r="I72">
        <v>108</v>
      </c>
    </row>
    <row r="73" spans="1:9" x14ac:dyDescent="0.25">
      <c r="A73" t="s">
        <v>243</v>
      </c>
      <c r="B73">
        <v>43</v>
      </c>
      <c r="C73">
        <v>55</v>
      </c>
      <c r="D73">
        <v>91</v>
      </c>
      <c r="E73">
        <v>98</v>
      </c>
      <c r="F73">
        <v>105</v>
      </c>
      <c r="G73">
        <v>106</v>
      </c>
      <c r="H73">
        <v>123</v>
      </c>
      <c r="I73">
        <v>106</v>
      </c>
    </row>
    <row r="74" spans="1:9" x14ac:dyDescent="0.25">
      <c r="A74" t="s">
        <v>244</v>
      </c>
      <c r="B74">
        <v>27</v>
      </c>
      <c r="C74">
        <v>42</v>
      </c>
      <c r="D74">
        <v>72</v>
      </c>
      <c r="E74">
        <v>87</v>
      </c>
      <c r="F74">
        <v>100</v>
      </c>
      <c r="G74">
        <v>110</v>
      </c>
      <c r="H74">
        <v>116</v>
      </c>
      <c r="I74">
        <v>113</v>
      </c>
    </row>
    <row r="75" spans="1:9" x14ac:dyDescent="0.25">
      <c r="A75" t="s">
        <v>245</v>
      </c>
      <c r="B75">
        <v>38</v>
      </c>
      <c r="C75">
        <v>44</v>
      </c>
      <c r="D75">
        <v>73</v>
      </c>
      <c r="E75">
        <v>101</v>
      </c>
      <c r="F75">
        <v>113</v>
      </c>
      <c r="G75">
        <v>111</v>
      </c>
      <c r="H75">
        <v>125</v>
      </c>
      <c r="I75">
        <v>121</v>
      </c>
    </row>
    <row r="76" spans="1:9" x14ac:dyDescent="0.25">
      <c r="A76" t="s">
        <v>246</v>
      </c>
      <c r="B76">
        <v>28</v>
      </c>
      <c r="C76">
        <v>42</v>
      </c>
      <c r="D76">
        <v>76</v>
      </c>
      <c r="E76">
        <v>102</v>
      </c>
      <c r="F76">
        <v>104</v>
      </c>
      <c r="G76">
        <v>113</v>
      </c>
      <c r="H76">
        <v>110</v>
      </c>
      <c r="I76">
        <v>108</v>
      </c>
    </row>
    <row r="77" spans="1:9" x14ac:dyDescent="0.25">
      <c r="A77" t="s">
        <v>247</v>
      </c>
      <c r="B77">
        <v>26</v>
      </c>
      <c r="C77">
        <v>36</v>
      </c>
      <c r="D77">
        <v>66</v>
      </c>
      <c r="E77">
        <v>95</v>
      </c>
      <c r="F77">
        <v>96</v>
      </c>
      <c r="G77">
        <v>109</v>
      </c>
      <c r="H77">
        <v>118</v>
      </c>
      <c r="I77">
        <v>117</v>
      </c>
    </row>
    <row r="78" spans="1:9" x14ac:dyDescent="0.25">
      <c r="A78" t="s">
        <v>248</v>
      </c>
      <c r="B78">
        <v>43</v>
      </c>
      <c r="C78">
        <v>55</v>
      </c>
      <c r="D78">
        <v>79</v>
      </c>
      <c r="E78">
        <v>105</v>
      </c>
      <c r="F78">
        <v>101</v>
      </c>
      <c r="G78">
        <v>111</v>
      </c>
      <c r="H78">
        <v>118</v>
      </c>
      <c r="I78">
        <v>108</v>
      </c>
    </row>
    <row r="79" spans="1:9" x14ac:dyDescent="0.25">
      <c r="A79" t="s">
        <v>249</v>
      </c>
      <c r="B79">
        <v>33</v>
      </c>
      <c r="C79">
        <v>49</v>
      </c>
      <c r="D79">
        <v>89</v>
      </c>
      <c r="E79">
        <v>93</v>
      </c>
      <c r="F79">
        <v>100</v>
      </c>
      <c r="G79">
        <v>98</v>
      </c>
      <c r="H79">
        <v>107</v>
      </c>
      <c r="I79">
        <v>106</v>
      </c>
    </row>
    <row r="80" spans="1:9" x14ac:dyDescent="0.25">
      <c r="A80" t="s">
        <v>250</v>
      </c>
      <c r="B80">
        <v>28</v>
      </c>
      <c r="C80">
        <v>44</v>
      </c>
      <c r="D80">
        <v>73</v>
      </c>
      <c r="E80">
        <v>89</v>
      </c>
      <c r="F80">
        <v>103</v>
      </c>
      <c r="G80">
        <v>109</v>
      </c>
      <c r="H80">
        <v>129</v>
      </c>
      <c r="I80">
        <v>112</v>
      </c>
    </row>
    <row r="81" spans="1:9" x14ac:dyDescent="0.25">
      <c r="A81" t="s">
        <v>251</v>
      </c>
      <c r="B81">
        <v>32</v>
      </c>
      <c r="C81">
        <v>46</v>
      </c>
      <c r="D81">
        <v>66</v>
      </c>
      <c r="E81">
        <v>71</v>
      </c>
      <c r="F81">
        <v>83</v>
      </c>
      <c r="G81">
        <v>90</v>
      </c>
      <c r="H81">
        <v>97</v>
      </c>
      <c r="I81">
        <v>105</v>
      </c>
    </row>
    <row r="82" spans="1:9" x14ac:dyDescent="0.25">
      <c r="A82" t="s">
        <v>252</v>
      </c>
      <c r="B82">
        <v>32</v>
      </c>
      <c r="C82">
        <v>51</v>
      </c>
      <c r="D82">
        <v>60</v>
      </c>
      <c r="E82">
        <v>68</v>
      </c>
      <c r="F82">
        <v>73</v>
      </c>
      <c r="G82">
        <v>81</v>
      </c>
      <c r="H82">
        <v>94</v>
      </c>
      <c r="I82">
        <v>96</v>
      </c>
    </row>
    <row r="83" spans="1:9" x14ac:dyDescent="0.25">
      <c r="A83" t="s">
        <v>253</v>
      </c>
      <c r="B83">
        <v>34</v>
      </c>
      <c r="C83">
        <v>48</v>
      </c>
      <c r="D83">
        <v>66</v>
      </c>
      <c r="E83">
        <v>84</v>
      </c>
      <c r="F83">
        <v>91</v>
      </c>
      <c r="G83">
        <v>109</v>
      </c>
      <c r="H83">
        <v>118</v>
      </c>
      <c r="I83">
        <v>112</v>
      </c>
    </row>
    <row r="84" spans="1:9" x14ac:dyDescent="0.25">
      <c r="A84" t="s">
        <v>254</v>
      </c>
      <c r="B84">
        <v>36</v>
      </c>
      <c r="C84">
        <v>46</v>
      </c>
      <c r="D84">
        <v>63</v>
      </c>
      <c r="E84">
        <v>74</v>
      </c>
      <c r="F84">
        <v>88</v>
      </c>
      <c r="G84">
        <v>86</v>
      </c>
      <c r="H84">
        <v>125</v>
      </c>
      <c r="I84">
        <v>124</v>
      </c>
    </row>
    <row r="85" spans="1:9" x14ac:dyDescent="0.25">
      <c r="A85" t="s">
        <v>255</v>
      </c>
      <c r="B85">
        <v>30</v>
      </c>
      <c r="C85">
        <v>46</v>
      </c>
      <c r="D85">
        <v>58</v>
      </c>
      <c r="E85">
        <v>83</v>
      </c>
      <c r="F85">
        <v>92</v>
      </c>
      <c r="G85">
        <v>115</v>
      </c>
      <c r="H85">
        <v>116</v>
      </c>
      <c r="I85">
        <v>114</v>
      </c>
    </row>
    <row r="86" spans="1:9" x14ac:dyDescent="0.25">
      <c r="A86" t="s">
        <v>256</v>
      </c>
      <c r="B86">
        <v>38</v>
      </c>
      <c r="C86">
        <v>49</v>
      </c>
      <c r="D86">
        <v>80</v>
      </c>
      <c r="E86">
        <v>87</v>
      </c>
      <c r="F86">
        <v>90</v>
      </c>
      <c r="G86">
        <v>101</v>
      </c>
      <c r="H86">
        <v>103</v>
      </c>
      <c r="I86">
        <v>104</v>
      </c>
    </row>
    <row r="87" spans="1:9" x14ac:dyDescent="0.25">
      <c r="A87" t="s">
        <v>257</v>
      </c>
      <c r="B87">
        <v>43</v>
      </c>
      <c r="C87">
        <v>57</v>
      </c>
      <c r="D87">
        <v>85</v>
      </c>
      <c r="E87">
        <v>90</v>
      </c>
      <c r="F87">
        <v>105</v>
      </c>
      <c r="G87">
        <v>118</v>
      </c>
      <c r="H87">
        <v>118</v>
      </c>
      <c r="I87">
        <v>129</v>
      </c>
    </row>
    <row r="88" spans="1:9" x14ac:dyDescent="0.25">
      <c r="A88" t="s">
        <v>258</v>
      </c>
      <c r="B88">
        <v>33</v>
      </c>
      <c r="C88">
        <v>50</v>
      </c>
      <c r="D88">
        <v>75</v>
      </c>
      <c r="E88">
        <v>96</v>
      </c>
      <c r="F88">
        <v>99</v>
      </c>
      <c r="G88">
        <v>125</v>
      </c>
      <c r="H88">
        <v>116</v>
      </c>
      <c r="I88">
        <v>99</v>
      </c>
    </row>
    <row r="89" spans="1:9" x14ac:dyDescent="0.25">
      <c r="A89" t="s">
        <v>259</v>
      </c>
      <c r="B89">
        <v>46</v>
      </c>
      <c r="C89">
        <v>60</v>
      </c>
      <c r="D89">
        <v>85</v>
      </c>
      <c r="E89">
        <v>98</v>
      </c>
      <c r="F89">
        <v>96</v>
      </c>
      <c r="G89">
        <v>95</v>
      </c>
      <c r="H89">
        <v>98</v>
      </c>
      <c r="I89">
        <v>97</v>
      </c>
    </row>
    <row r="90" spans="1:9" x14ac:dyDescent="0.25">
      <c r="A90" t="s">
        <v>260</v>
      </c>
      <c r="B90">
        <v>42</v>
      </c>
      <c r="C90">
        <v>46</v>
      </c>
      <c r="D90">
        <v>83</v>
      </c>
      <c r="E90">
        <v>93</v>
      </c>
      <c r="F90">
        <v>102</v>
      </c>
      <c r="G90">
        <v>128</v>
      </c>
      <c r="H90">
        <v>115</v>
      </c>
      <c r="I90">
        <v>116</v>
      </c>
    </row>
    <row r="91" spans="1:9" x14ac:dyDescent="0.25">
      <c r="A91" t="s">
        <v>261</v>
      </c>
      <c r="B91">
        <v>41</v>
      </c>
      <c r="C91">
        <v>50</v>
      </c>
      <c r="D91">
        <v>82</v>
      </c>
      <c r="E91">
        <v>84</v>
      </c>
      <c r="F91">
        <v>104</v>
      </c>
      <c r="G91">
        <v>115</v>
      </c>
      <c r="H91">
        <v>107</v>
      </c>
      <c r="I91">
        <v>108</v>
      </c>
    </row>
    <row r="92" spans="1:9" x14ac:dyDescent="0.25">
      <c r="A92" t="s">
        <v>262</v>
      </c>
      <c r="B92">
        <v>29</v>
      </c>
      <c r="C92">
        <v>46</v>
      </c>
      <c r="D92">
        <v>73</v>
      </c>
      <c r="E92">
        <v>83</v>
      </c>
      <c r="F92">
        <v>91</v>
      </c>
      <c r="G92">
        <v>93</v>
      </c>
      <c r="H92">
        <v>112</v>
      </c>
      <c r="I92">
        <v>108</v>
      </c>
    </row>
    <row r="93" spans="1:9" x14ac:dyDescent="0.25">
      <c r="A93" t="s">
        <v>263</v>
      </c>
      <c r="B93">
        <v>36</v>
      </c>
      <c r="C93">
        <v>38</v>
      </c>
      <c r="D93">
        <v>70</v>
      </c>
      <c r="E93">
        <v>81</v>
      </c>
      <c r="F93">
        <v>86</v>
      </c>
      <c r="G93">
        <v>93</v>
      </c>
      <c r="H93">
        <v>115</v>
      </c>
      <c r="I93">
        <v>101</v>
      </c>
    </row>
    <row r="94" spans="1:9" x14ac:dyDescent="0.25">
      <c r="A94" t="s">
        <v>264</v>
      </c>
      <c r="C94">
        <v>38</v>
      </c>
      <c r="D94">
        <v>62</v>
      </c>
      <c r="E94">
        <v>81</v>
      </c>
      <c r="F94">
        <v>84</v>
      </c>
      <c r="G94">
        <v>89</v>
      </c>
      <c r="H94">
        <v>106</v>
      </c>
      <c r="I94">
        <v>97</v>
      </c>
    </row>
    <row r="95" spans="1:9" x14ac:dyDescent="0.25">
      <c r="A95" t="s">
        <v>265</v>
      </c>
      <c r="B95">
        <v>32</v>
      </c>
      <c r="C95">
        <v>42</v>
      </c>
      <c r="D95">
        <v>66</v>
      </c>
      <c r="E95">
        <v>76</v>
      </c>
      <c r="F95">
        <v>83</v>
      </c>
      <c r="G95">
        <v>81</v>
      </c>
      <c r="H95">
        <v>99</v>
      </c>
      <c r="I95">
        <v>101</v>
      </c>
    </row>
    <row r="96" spans="1:9" x14ac:dyDescent="0.25">
      <c r="A96" t="s">
        <v>266</v>
      </c>
      <c r="B96">
        <v>41</v>
      </c>
      <c r="C96">
        <v>49</v>
      </c>
      <c r="D96">
        <v>69</v>
      </c>
      <c r="E96">
        <v>84</v>
      </c>
      <c r="F96">
        <v>89</v>
      </c>
      <c r="G96">
        <v>92</v>
      </c>
      <c r="H96">
        <v>118</v>
      </c>
      <c r="I96">
        <v>126</v>
      </c>
    </row>
    <row r="97" spans="1:9" x14ac:dyDescent="0.25">
      <c r="A97" t="s">
        <v>267</v>
      </c>
      <c r="B97">
        <v>28</v>
      </c>
      <c r="C97">
        <v>39</v>
      </c>
      <c r="D97">
        <v>72</v>
      </c>
      <c r="E97">
        <v>76</v>
      </c>
      <c r="F97">
        <v>96</v>
      </c>
      <c r="G97">
        <v>79</v>
      </c>
      <c r="H97">
        <v>95</v>
      </c>
      <c r="I97">
        <v>93</v>
      </c>
    </row>
    <row r="98" spans="1:9" x14ac:dyDescent="0.25">
      <c r="A98" t="s">
        <v>268</v>
      </c>
      <c r="B98">
        <v>36</v>
      </c>
      <c r="C98">
        <v>46</v>
      </c>
      <c r="D98">
        <v>71</v>
      </c>
      <c r="E98">
        <v>89</v>
      </c>
      <c r="F98">
        <v>104</v>
      </c>
      <c r="G98">
        <v>82</v>
      </c>
      <c r="H98">
        <v>103</v>
      </c>
      <c r="I98">
        <v>89</v>
      </c>
    </row>
    <row r="99" spans="1:9" x14ac:dyDescent="0.25">
      <c r="A99" t="s">
        <v>269</v>
      </c>
      <c r="B99">
        <v>39</v>
      </c>
      <c r="C99">
        <v>53</v>
      </c>
      <c r="D99">
        <v>79</v>
      </c>
      <c r="E99">
        <v>87</v>
      </c>
      <c r="F99">
        <v>101</v>
      </c>
      <c r="G99">
        <v>93</v>
      </c>
      <c r="H99">
        <v>111</v>
      </c>
      <c r="I99">
        <v>105</v>
      </c>
    </row>
    <row r="100" spans="1:9" x14ac:dyDescent="0.25">
      <c r="A100" t="s">
        <v>270</v>
      </c>
      <c r="B100">
        <v>36</v>
      </c>
      <c r="C100">
        <v>46</v>
      </c>
      <c r="D100">
        <v>72</v>
      </c>
      <c r="E100">
        <v>90</v>
      </c>
      <c r="F100">
        <v>101</v>
      </c>
      <c r="G100">
        <v>95</v>
      </c>
      <c r="H100">
        <v>107</v>
      </c>
      <c r="I100">
        <v>98</v>
      </c>
    </row>
    <row r="101" spans="1:9" x14ac:dyDescent="0.25">
      <c r="A101" t="s">
        <v>271</v>
      </c>
      <c r="B101">
        <v>44</v>
      </c>
      <c r="C101">
        <v>50</v>
      </c>
      <c r="D101">
        <v>78</v>
      </c>
      <c r="E101">
        <v>95</v>
      </c>
      <c r="F101">
        <v>101</v>
      </c>
      <c r="G101">
        <v>87</v>
      </c>
      <c r="H101">
        <v>98</v>
      </c>
      <c r="I101">
        <v>97</v>
      </c>
    </row>
    <row r="102" spans="1:9" x14ac:dyDescent="0.25">
      <c r="A102" t="s">
        <v>272</v>
      </c>
      <c r="B102">
        <v>44</v>
      </c>
      <c r="C102">
        <v>38</v>
      </c>
      <c r="D102">
        <v>84</v>
      </c>
      <c r="E102">
        <v>89</v>
      </c>
      <c r="F102">
        <v>99</v>
      </c>
      <c r="G102">
        <v>94</v>
      </c>
      <c r="H102">
        <v>97</v>
      </c>
      <c r="I102">
        <v>94</v>
      </c>
    </row>
    <row r="103" spans="1:9" x14ac:dyDescent="0.25">
      <c r="A103" t="s">
        <v>273</v>
      </c>
      <c r="B103">
        <v>39</v>
      </c>
      <c r="C103">
        <v>52</v>
      </c>
      <c r="D103">
        <v>76</v>
      </c>
      <c r="E103">
        <v>85</v>
      </c>
      <c r="F103">
        <v>98</v>
      </c>
      <c r="G103">
        <v>98</v>
      </c>
      <c r="H103">
        <v>92</v>
      </c>
      <c r="I103">
        <v>98</v>
      </c>
    </row>
    <row r="104" spans="1:9" x14ac:dyDescent="0.25">
      <c r="A104" t="s">
        <v>274</v>
      </c>
      <c r="B104">
        <v>32</v>
      </c>
      <c r="C104">
        <v>54</v>
      </c>
      <c r="D104">
        <v>74</v>
      </c>
      <c r="E104">
        <v>83</v>
      </c>
      <c r="F104">
        <v>101</v>
      </c>
      <c r="G104">
        <v>93</v>
      </c>
      <c r="H104">
        <v>102</v>
      </c>
      <c r="I104">
        <v>97</v>
      </c>
    </row>
    <row r="105" spans="1:9" x14ac:dyDescent="0.25">
      <c r="A105" t="s">
        <v>275</v>
      </c>
      <c r="B105">
        <v>33</v>
      </c>
      <c r="C105">
        <v>45</v>
      </c>
      <c r="D105">
        <v>83</v>
      </c>
      <c r="E105">
        <v>96</v>
      </c>
      <c r="F105">
        <v>96</v>
      </c>
      <c r="G105">
        <v>112</v>
      </c>
      <c r="H105">
        <v>104</v>
      </c>
      <c r="I105">
        <v>113</v>
      </c>
    </row>
    <row r="106" spans="1:9" x14ac:dyDescent="0.25">
      <c r="A106" t="s">
        <v>276</v>
      </c>
      <c r="B106">
        <v>26</v>
      </c>
      <c r="C106">
        <v>44</v>
      </c>
      <c r="D106">
        <v>80</v>
      </c>
      <c r="E106">
        <v>89</v>
      </c>
      <c r="F106">
        <v>95</v>
      </c>
      <c r="G106">
        <v>90</v>
      </c>
      <c r="H106">
        <v>94</v>
      </c>
      <c r="I106">
        <v>96</v>
      </c>
    </row>
    <row r="107" spans="1:9" x14ac:dyDescent="0.25">
      <c r="A107" t="s">
        <v>277</v>
      </c>
      <c r="B107">
        <v>40</v>
      </c>
      <c r="C107">
        <v>51</v>
      </c>
      <c r="D107">
        <v>77</v>
      </c>
      <c r="E107">
        <v>78</v>
      </c>
      <c r="F107">
        <v>88</v>
      </c>
      <c r="G107">
        <v>103</v>
      </c>
      <c r="H107">
        <v>115</v>
      </c>
      <c r="I107">
        <v>113</v>
      </c>
    </row>
    <row r="108" spans="1:9" x14ac:dyDescent="0.25">
      <c r="A108" t="s">
        <v>278</v>
      </c>
      <c r="B108">
        <v>36</v>
      </c>
      <c r="C108">
        <v>46</v>
      </c>
      <c r="D108">
        <v>77</v>
      </c>
      <c r="E108">
        <v>82</v>
      </c>
      <c r="F108">
        <v>90</v>
      </c>
      <c r="G108">
        <v>87</v>
      </c>
      <c r="H108">
        <v>107</v>
      </c>
      <c r="I108">
        <v>107</v>
      </c>
    </row>
    <row r="109" spans="1:9" x14ac:dyDescent="0.25">
      <c r="A109" t="s">
        <v>279</v>
      </c>
      <c r="B109">
        <v>37</v>
      </c>
      <c r="C109">
        <v>43</v>
      </c>
      <c r="D109">
        <v>74</v>
      </c>
      <c r="E109">
        <v>79</v>
      </c>
      <c r="F109">
        <v>86</v>
      </c>
      <c r="G109">
        <v>90</v>
      </c>
      <c r="H109">
        <v>105</v>
      </c>
      <c r="I109">
        <v>107</v>
      </c>
    </row>
    <row r="110" spans="1:9" x14ac:dyDescent="0.25">
      <c r="A110" t="s">
        <v>280</v>
      </c>
      <c r="B110">
        <v>34</v>
      </c>
      <c r="C110">
        <v>44</v>
      </c>
      <c r="D110">
        <v>71</v>
      </c>
      <c r="E110">
        <v>89</v>
      </c>
      <c r="F110">
        <v>99</v>
      </c>
      <c r="G110">
        <v>100</v>
      </c>
      <c r="H110">
        <v>98</v>
      </c>
      <c r="I110">
        <v>96</v>
      </c>
    </row>
    <row r="111" spans="1:9" x14ac:dyDescent="0.25">
      <c r="A111" t="s">
        <v>281</v>
      </c>
      <c r="B111">
        <v>32</v>
      </c>
      <c r="C111">
        <v>48</v>
      </c>
      <c r="D111">
        <v>78</v>
      </c>
      <c r="E111">
        <v>78</v>
      </c>
      <c r="F111">
        <v>88</v>
      </c>
      <c r="G111">
        <v>98</v>
      </c>
      <c r="H111">
        <v>104</v>
      </c>
      <c r="I111">
        <v>103</v>
      </c>
    </row>
    <row r="112" spans="1:9" x14ac:dyDescent="0.25">
      <c r="A112" t="s">
        <v>282</v>
      </c>
      <c r="B112">
        <v>33</v>
      </c>
      <c r="C112">
        <v>45</v>
      </c>
      <c r="D112">
        <v>69</v>
      </c>
      <c r="E112">
        <v>76</v>
      </c>
      <c r="F112">
        <v>78</v>
      </c>
      <c r="G112">
        <v>78</v>
      </c>
      <c r="H112">
        <v>103</v>
      </c>
      <c r="I112">
        <v>104</v>
      </c>
    </row>
    <row r="113" spans="1:9" x14ac:dyDescent="0.25">
      <c r="A113" t="s">
        <v>283</v>
      </c>
      <c r="B113">
        <v>36</v>
      </c>
      <c r="C113">
        <v>53</v>
      </c>
      <c r="D113">
        <v>28</v>
      </c>
      <c r="E113">
        <v>85</v>
      </c>
      <c r="F113">
        <v>87</v>
      </c>
      <c r="G113">
        <v>95</v>
      </c>
      <c r="H113">
        <v>91</v>
      </c>
      <c r="I113">
        <v>82</v>
      </c>
    </row>
    <row r="114" spans="1:9" x14ac:dyDescent="0.25">
      <c r="A114" t="s">
        <v>284</v>
      </c>
      <c r="B114">
        <v>37</v>
      </c>
      <c r="C114">
        <v>56</v>
      </c>
      <c r="D114">
        <v>88</v>
      </c>
      <c r="E114">
        <v>98</v>
      </c>
      <c r="F114">
        <v>97</v>
      </c>
      <c r="G114">
        <v>126</v>
      </c>
      <c r="H114">
        <v>114</v>
      </c>
      <c r="I114">
        <v>105</v>
      </c>
    </row>
    <row r="115" spans="1:9" x14ac:dyDescent="0.25">
      <c r="A115" t="s">
        <v>285</v>
      </c>
      <c r="B115">
        <v>35</v>
      </c>
      <c r="C115">
        <v>49</v>
      </c>
      <c r="D115">
        <v>70</v>
      </c>
      <c r="E115">
        <v>81</v>
      </c>
      <c r="F115">
        <v>93</v>
      </c>
      <c r="G115">
        <v>112</v>
      </c>
      <c r="H115">
        <v>113</v>
      </c>
      <c r="I115">
        <v>108</v>
      </c>
    </row>
    <row r="116" spans="1:9" x14ac:dyDescent="0.25">
      <c r="A116" t="s">
        <v>286</v>
      </c>
      <c r="B116">
        <v>29</v>
      </c>
      <c r="C116">
        <v>45</v>
      </c>
      <c r="D116">
        <v>76</v>
      </c>
      <c r="E116">
        <v>86</v>
      </c>
      <c r="F116">
        <v>91</v>
      </c>
      <c r="G116">
        <v>96</v>
      </c>
      <c r="H116">
        <v>106</v>
      </c>
      <c r="I116">
        <v>104</v>
      </c>
    </row>
    <row r="117" spans="1:9" x14ac:dyDescent="0.25">
      <c r="A117" t="s">
        <v>287</v>
      </c>
      <c r="B117">
        <v>38</v>
      </c>
      <c r="C117">
        <v>48</v>
      </c>
      <c r="D117">
        <v>72</v>
      </c>
      <c r="E117">
        <v>87</v>
      </c>
      <c r="F117">
        <v>95</v>
      </c>
      <c r="G117">
        <v>99</v>
      </c>
      <c r="H117">
        <v>111</v>
      </c>
      <c r="I117">
        <v>110</v>
      </c>
    </row>
    <row r="118" spans="1:9" x14ac:dyDescent="0.25">
      <c r="A118" t="s">
        <v>288</v>
      </c>
      <c r="B118">
        <v>31</v>
      </c>
      <c r="C118">
        <v>40</v>
      </c>
      <c r="D118">
        <v>66</v>
      </c>
      <c r="E118">
        <v>81</v>
      </c>
      <c r="F118">
        <v>91</v>
      </c>
      <c r="G118">
        <v>83</v>
      </c>
      <c r="H118">
        <v>93</v>
      </c>
      <c r="I118">
        <v>97</v>
      </c>
    </row>
    <row r="119" spans="1:9" x14ac:dyDescent="0.25">
      <c r="A119" t="s">
        <v>289</v>
      </c>
      <c r="B119">
        <v>36</v>
      </c>
      <c r="C119">
        <v>51</v>
      </c>
      <c r="D119">
        <v>80</v>
      </c>
      <c r="E119">
        <v>92</v>
      </c>
      <c r="F119">
        <v>88</v>
      </c>
      <c r="G119">
        <v>96</v>
      </c>
      <c r="H119">
        <v>98</v>
      </c>
      <c r="I119">
        <v>98</v>
      </c>
    </row>
    <row r="120" spans="1:9" x14ac:dyDescent="0.25">
      <c r="A120" t="s">
        <v>290</v>
      </c>
      <c r="B120">
        <v>37</v>
      </c>
      <c r="C120">
        <v>50</v>
      </c>
      <c r="D120">
        <v>73</v>
      </c>
      <c r="E120">
        <v>82</v>
      </c>
      <c r="F120">
        <v>96</v>
      </c>
      <c r="G120">
        <v>87</v>
      </c>
      <c r="H120">
        <v>100</v>
      </c>
      <c r="I120">
        <v>93</v>
      </c>
    </row>
    <row r="121" spans="1:9" x14ac:dyDescent="0.25">
      <c r="A121" t="s">
        <v>291</v>
      </c>
      <c r="B121">
        <v>20</v>
      </c>
      <c r="C121">
        <v>30</v>
      </c>
      <c r="D121">
        <v>59</v>
      </c>
      <c r="E121">
        <v>73</v>
      </c>
      <c r="F121">
        <v>101</v>
      </c>
      <c r="G121">
        <v>91</v>
      </c>
      <c r="H121">
        <v>91</v>
      </c>
      <c r="I121">
        <v>90</v>
      </c>
    </row>
    <row r="122" spans="1:9" x14ac:dyDescent="0.25">
      <c r="A122" t="s">
        <v>292</v>
      </c>
      <c r="B122">
        <v>37</v>
      </c>
      <c r="C122">
        <v>53</v>
      </c>
      <c r="D122">
        <v>82</v>
      </c>
      <c r="E122">
        <v>108</v>
      </c>
      <c r="F122">
        <v>109</v>
      </c>
      <c r="G122">
        <v>126</v>
      </c>
      <c r="H122">
        <v>139</v>
      </c>
      <c r="I122">
        <v>148</v>
      </c>
    </row>
    <row r="123" spans="1:9" x14ac:dyDescent="0.25">
      <c r="A123" t="s">
        <v>293</v>
      </c>
      <c r="B123">
        <v>40</v>
      </c>
      <c r="C123">
        <v>52</v>
      </c>
      <c r="D123">
        <v>81</v>
      </c>
      <c r="E123">
        <v>96</v>
      </c>
      <c r="F123">
        <v>108</v>
      </c>
      <c r="G123">
        <v>115</v>
      </c>
      <c r="H123">
        <v>118</v>
      </c>
      <c r="I123">
        <v>146</v>
      </c>
    </row>
    <row r="124" spans="1:9" x14ac:dyDescent="0.25">
      <c r="A124" t="s">
        <v>294</v>
      </c>
      <c r="B124">
        <v>29</v>
      </c>
      <c r="C124">
        <v>53</v>
      </c>
      <c r="D124">
        <v>74</v>
      </c>
      <c r="E124">
        <v>88</v>
      </c>
      <c r="F124">
        <v>105</v>
      </c>
      <c r="G124">
        <v>116</v>
      </c>
      <c r="H124">
        <v>114</v>
      </c>
      <c r="I124">
        <v>64</v>
      </c>
    </row>
    <row r="125" spans="1:9" x14ac:dyDescent="0.25">
      <c r="A125" t="s">
        <v>295</v>
      </c>
      <c r="B125">
        <v>38</v>
      </c>
      <c r="C125">
        <v>53</v>
      </c>
      <c r="D125">
        <v>81</v>
      </c>
      <c r="E125">
        <v>97</v>
      </c>
      <c r="F125">
        <v>107</v>
      </c>
      <c r="G125">
        <v>99</v>
      </c>
      <c r="H125">
        <v>115</v>
      </c>
      <c r="I125">
        <v>100</v>
      </c>
    </row>
    <row r="126" spans="1:9" x14ac:dyDescent="0.25">
      <c r="A126" t="s">
        <v>296</v>
      </c>
      <c r="B126">
        <v>40</v>
      </c>
      <c r="C126">
        <v>50</v>
      </c>
      <c r="D126">
        <v>76</v>
      </c>
      <c r="E126">
        <v>80</v>
      </c>
      <c r="F126">
        <v>102</v>
      </c>
      <c r="G126">
        <v>120</v>
      </c>
      <c r="H126">
        <v>127</v>
      </c>
      <c r="I126">
        <v>127</v>
      </c>
    </row>
    <row r="127" spans="1:9" x14ac:dyDescent="0.25">
      <c r="A127" t="s">
        <v>297</v>
      </c>
      <c r="B127">
        <v>36</v>
      </c>
      <c r="C127">
        <v>48</v>
      </c>
      <c r="D127">
        <v>88</v>
      </c>
      <c r="E127">
        <v>92</v>
      </c>
      <c r="F127">
        <v>103</v>
      </c>
      <c r="G127">
        <v>113</v>
      </c>
      <c r="H127">
        <v>118</v>
      </c>
      <c r="I127">
        <v>108</v>
      </c>
    </row>
    <row r="128" spans="1:9" x14ac:dyDescent="0.25">
      <c r="A128" t="s">
        <v>298</v>
      </c>
      <c r="B128">
        <v>38</v>
      </c>
      <c r="C128">
        <v>51</v>
      </c>
      <c r="D128">
        <v>75</v>
      </c>
      <c r="E128">
        <v>88</v>
      </c>
      <c r="F128">
        <v>88</v>
      </c>
      <c r="G128">
        <v>93</v>
      </c>
      <c r="H128">
        <v>101</v>
      </c>
      <c r="I128">
        <v>105</v>
      </c>
    </row>
    <row r="129" spans="1:9" x14ac:dyDescent="0.25">
      <c r="A129" t="s">
        <v>299</v>
      </c>
      <c r="B129">
        <v>36</v>
      </c>
      <c r="C129">
        <v>45</v>
      </c>
      <c r="D129">
        <v>74</v>
      </c>
      <c r="E129">
        <v>91</v>
      </c>
      <c r="F129">
        <v>86</v>
      </c>
      <c r="G129">
        <v>94</v>
      </c>
      <c r="H129">
        <v>94</v>
      </c>
      <c r="I129">
        <v>83</v>
      </c>
    </row>
    <row r="130" spans="1:9" x14ac:dyDescent="0.25">
      <c r="A130" t="s">
        <v>300</v>
      </c>
      <c r="B130">
        <v>33</v>
      </c>
      <c r="C130">
        <v>40</v>
      </c>
      <c r="D130">
        <v>66</v>
      </c>
      <c r="E130">
        <v>94</v>
      </c>
      <c r="F130">
        <v>83</v>
      </c>
      <c r="G130">
        <v>85</v>
      </c>
      <c r="H130">
        <v>89</v>
      </c>
      <c r="I130">
        <v>84</v>
      </c>
    </row>
    <row r="131" spans="1:9" x14ac:dyDescent="0.25">
      <c r="A131" t="s">
        <v>301</v>
      </c>
      <c r="B131">
        <v>39</v>
      </c>
      <c r="C131">
        <v>50</v>
      </c>
      <c r="D131">
        <v>72</v>
      </c>
      <c r="E131">
        <v>84</v>
      </c>
      <c r="F131">
        <v>105</v>
      </c>
      <c r="G131">
        <v>88</v>
      </c>
      <c r="H131">
        <v>94</v>
      </c>
      <c r="I131">
        <v>93</v>
      </c>
    </row>
    <row r="132" spans="1:9" x14ac:dyDescent="0.25">
      <c r="A132" t="s">
        <v>302</v>
      </c>
      <c r="B132">
        <v>44</v>
      </c>
      <c r="C132">
        <v>52</v>
      </c>
      <c r="D132">
        <v>79</v>
      </c>
      <c r="E132">
        <v>93</v>
      </c>
      <c r="F132">
        <v>91</v>
      </c>
      <c r="G132">
        <v>96</v>
      </c>
      <c r="H132">
        <v>110</v>
      </c>
      <c r="I132">
        <v>112</v>
      </c>
    </row>
    <row r="133" spans="1:9" x14ac:dyDescent="0.25">
      <c r="A133" t="s">
        <v>303</v>
      </c>
      <c r="B133">
        <v>38</v>
      </c>
      <c r="C133">
        <v>45</v>
      </c>
      <c r="D133">
        <v>75</v>
      </c>
      <c r="E133">
        <v>91</v>
      </c>
      <c r="F133">
        <v>105</v>
      </c>
      <c r="G133">
        <v>105</v>
      </c>
      <c r="H133">
        <v>110</v>
      </c>
      <c r="I133">
        <v>105</v>
      </c>
    </row>
    <row r="134" spans="1:9" x14ac:dyDescent="0.25">
      <c r="A134" t="s">
        <v>304</v>
      </c>
      <c r="B134">
        <v>38</v>
      </c>
      <c r="C134">
        <v>46</v>
      </c>
      <c r="D134">
        <v>76</v>
      </c>
      <c r="E134">
        <v>93</v>
      </c>
      <c r="F134">
        <v>96</v>
      </c>
      <c r="G134">
        <v>99</v>
      </c>
      <c r="H134">
        <v>118</v>
      </c>
      <c r="I134">
        <v>102</v>
      </c>
    </row>
    <row r="135" spans="1:9" x14ac:dyDescent="0.25">
      <c r="A135" t="s">
        <v>305</v>
      </c>
      <c r="B135">
        <v>37</v>
      </c>
      <c r="C135">
        <v>41</v>
      </c>
      <c r="D135">
        <v>72</v>
      </c>
      <c r="E135">
        <v>92</v>
      </c>
      <c r="F135">
        <v>95</v>
      </c>
      <c r="G135">
        <v>109</v>
      </c>
      <c r="H135">
        <v>116</v>
      </c>
      <c r="I135">
        <v>120</v>
      </c>
    </row>
    <row r="136" spans="1:9" x14ac:dyDescent="0.25">
      <c r="A136" t="s">
        <v>306</v>
      </c>
      <c r="B136">
        <v>32</v>
      </c>
      <c r="C136">
        <v>46</v>
      </c>
      <c r="D136">
        <v>78</v>
      </c>
      <c r="E136">
        <v>101</v>
      </c>
      <c r="F136">
        <v>98</v>
      </c>
      <c r="G136">
        <v>97</v>
      </c>
      <c r="H136">
        <v>118</v>
      </c>
      <c r="I136">
        <v>119</v>
      </c>
    </row>
    <row r="137" spans="1:9" x14ac:dyDescent="0.25">
      <c r="A137" t="s">
        <v>307</v>
      </c>
      <c r="B137">
        <v>43</v>
      </c>
      <c r="C137">
        <v>48</v>
      </c>
      <c r="D137">
        <v>83</v>
      </c>
      <c r="E137">
        <v>93</v>
      </c>
      <c r="F137">
        <v>101</v>
      </c>
      <c r="G137">
        <v>110</v>
      </c>
      <c r="H137">
        <v>123</v>
      </c>
      <c r="I137">
        <v>120</v>
      </c>
    </row>
    <row r="138" spans="1:9" x14ac:dyDescent="0.25">
      <c r="A138" t="s">
        <v>308</v>
      </c>
      <c r="B138">
        <v>39</v>
      </c>
      <c r="C138">
        <v>45</v>
      </c>
      <c r="D138">
        <v>84</v>
      </c>
      <c r="E138">
        <v>94</v>
      </c>
      <c r="F138">
        <v>92</v>
      </c>
      <c r="G138">
        <v>111</v>
      </c>
      <c r="H138">
        <v>115</v>
      </c>
      <c r="I138">
        <v>113</v>
      </c>
    </row>
    <row r="139" spans="1:9" x14ac:dyDescent="0.25">
      <c r="A139" t="s">
        <v>309</v>
      </c>
      <c r="B139">
        <v>36</v>
      </c>
      <c r="C139">
        <v>48</v>
      </c>
      <c r="D139">
        <v>87</v>
      </c>
      <c r="E139">
        <v>96</v>
      </c>
      <c r="F139">
        <v>101</v>
      </c>
      <c r="G139">
        <v>118</v>
      </c>
      <c r="H139">
        <v>127</v>
      </c>
      <c r="I139">
        <v>115</v>
      </c>
    </row>
    <row r="140" spans="1:9" x14ac:dyDescent="0.25">
      <c r="A140" t="s">
        <v>310</v>
      </c>
      <c r="B140">
        <v>33</v>
      </c>
      <c r="C140">
        <v>35</v>
      </c>
      <c r="D140">
        <v>62</v>
      </c>
      <c r="E140">
        <v>74</v>
      </c>
      <c r="F140">
        <v>103</v>
      </c>
      <c r="G140">
        <v>91</v>
      </c>
      <c r="H140">
        <v>102</v>
      </c>
      <c r="I140">
        <v>101</v>
      </c>
    </row>
    <row r="141" spans="1:9" x14ac:dyDescent="0.25">
      <c r="A141" t="s">
        <v>311</v>
      </c>
      <c r="B141">
        <v>36</v>
      </c>
      <c r="C141">
        <v>42</v>
      </c>
      <c r="D141">
        <v>61</v>
      </c>
      <c r="E141">
        <v>81</v>
      </c>
      <c r="F141">
        <v>93</v>
      </c>
      <c r="G141">
        <v>99</v>
      </c>
      <c r="H141">
        <v>101</v>
      </c>
      <c r="I141">
        <v>96</v>
      </c>
    </row>
    <row r="142" spans="1:9" x14ac:dyDescent="0.25">
      <c r="A142" t="s">
        <v>312</v>
      </c>
      <c r="B142">
        <v>25</v>
      </c>
      <c r="C142">
        <v>32</v>
      </c>
      <c r="D142">
        <v>48</v>
      </c>
      <c r="E142">
        <v>68</v>
      </c>
      <c r="F142">
        <v>102</v>
      </c>
      <c r="G142">
        <v>81</v>
      </c>
      <c r="H142">
        <v>105</v>
      </c>
      <c r="I142">
        <v>100</v>
      </c>
    </row>
    <row r="143" spans="1:9" x14ac:dyDescent="0.25">
      <c r="A143" t="s">
        <v>313</v>
      </c>
      <c r="B143">
        <v>33</v>
      </c>
      <c r="C143">
        <v>36</v>
      </c>
      <c r="D143">
        <v>58</v>
      </c>
      <c r="E143">
        <v>76</v>
      </c>
      <c r="F143">
        <v>98</v>
      </c>
      <c r="G143">
        <v>110</v>
      </c>
      <c r="H143">
        <v>118</v>
      </c>
      <c r="I143">
        <v>119</v>
      </c>
    </row>
    <row r="144" spans="1:9" x14ac:dyDescent="0.25">
      <c r="A144" t="s">
        <v>314</v>
      </c>
      <c r="B144">
        <v>43</v>
      </c>
      <c r="C144">
        <v>52</v>
      </c>
      <c r="D144">
        <v>70</v>
      </c>
      <c r="E144">
        <v>82</v>
      </c>
      <c r="F144">
        <v>100</v>
      </c>
      <c r="G144">
        <v>98</v>
      </c>
      <c r="H144">
        <v>114</v>
      </c>
      <c r="I144">
        <v>102</v>
      </c>
    </row>
    <row r="145" spans="1:9" x14ac:dyDescent="0.25">
      <c r="A145" t="s">
        <v>315</v>
      </c>
      <c r="B145">
        <v>42</v>
      </c>
      <c r="C145">
        <v>51</v>
      </c>
      <c r="D145">
        <v>69</v>
      </c>
      <c r="E145">
        <v>72</v>
      </c>
      <c r="F145">
        <v>103</v>
      </c>
      <c r="G145">
        <v>76</v>
      </c>
      <c r="H145">
        <v>113</v>
      </c>
      <c r="I145">
        <v>103</v>
      </c>
    </row>
    <row r="146" spans="1:9" x14ac:dyDescent="0.25">
      <c r="A146" t="s">
        <v>316</v>
      </c>
      <c r="B146">
        <v>28</v>
      </c>
      <c r="C146">
        <v>37</v>
      </c>
      <c r="D146">
        <v>54</v>
      </c>
      <c r="E146">
        <v>61</v>
      </c>
      <c r="F146">
        <v>74</v>
      </c>
      <c r="G146">
        <v>98</v>
      </c>
      <c r="H146">
        <v>125</v>
      </c>
      <c r="I146">
        <v>125</v>
      </c>
    </row>
    <row r="147" spans="1:9" x14ac:dyDescent="0.25">
      <c r="A147" t="s">
        <v>317</v>
      </c>
      <c r="B147">
        <v>29</v>
      </c>
      <c r="C147">
        <v>38</v>
      </c>
      <c r="D147">
        <v>53</v>
      </c>
      <c r="E147">
        <v>66</v>
      </c>
      <c r="F147">
        <v>74</v>
      </c>
      <c r="G147">
        <v>101</v>
      </c>
      <c r="H147">
        <v>116</v>
      </c>
      <c r="I147">
        <v>115</v>
      </c>
    </row>
    <row r="148" spans="1:9" x14ac:dyDescent="0.25">
      <c r="A148" t="s">
        <v>318</v>
      </c>
      <c r="B148">
        <v>23</v>
      </c>
      <c r="C148">
        <v>34</v>
      </c>
      <c r="D148">
        <v>55</v>
      </c>
      <c r="E148">
        <v>65</v>
      </c>
      <c r="F148">
        <v>77</v>
      </c>
      <c r="G148">
        <v>84</v>
      </c>
      <c r="H148">
        <v>97</v>
      </c>
      <c r="I148">
        <v>116</v>
      </c>
    </row>
    <row r="149" spans="1:9" x14ac:dyDescent="0.25">
      <c r="A149" t="s">
        <v>319</v>
      </c>
      <c r="B149">
        <v>33</v>
      </c>
      <c r="C149">
        <v>27</v>
      </c>
      <c r="D149">
        <v>57</v>
      </c>
      <c r="E149">
        <v>66</v>
      </c>
      <c r="F149">
        <v>80</v>
      </c>
      <c r="G149">
        <v>91</v>
      </c>
      <c r="H149">
        <v>112</v>
      </c>
      <c r="I149">
        <v>103</v>
      </c>
    </row>
    <row r="150" spans="1:9" x14ac:dyDescent="0.25">
      <c r="A150" t="s">
        <v>320</v>
      </c>
      <c r="B150">
        <v>33</v>
      </c>
      <c r="C150">
        <v>48</v>
      </c>
      <c r="D150">
        <v>68</v>
      </c>
      <c r="E150">
        <v>71</v>
      </c>
      <c r="F150">
        <v>88</v>
      </c>
      <c r="G150">
        <v>100</v>
      </c>
      <c r="H150">
        <v>129</v>
      </c>
      <c r="I150">
        <v>130</v>
      </c>
    </row>
    <row r="151" spans="1:9" x14ac:dyDescent="0.25">
      <c r="A151" t="s">
        <v>321</v>
      </c>
      <c r="B151">
        <v>27</v>
      </c>
      <c r="C151">
        <v>43</v>
      </c>
      <c r="D151">
        <v>59</v>
      </c>
      <c r="E151">
        <v>74</v>
      </c>
      <c r="F151">
        <v>85</v>
      </c>
      <c r="G151">
        <v>101</v>
      </c>
      <c r="H151">
        <v>118</v>
      </c>
      <c r="I151">
        <v>114</v>
      </c>
    </row>
    <row r="152" spans="1:9" x14ac:dyDescent="0.25">
      <c r="A152" t="s">
        <v>322</v>
      </c>
      <c r="B152">
        <v>30</v>
      </c>
      <c r="C152">
        <v>48</v>
      </c>
      <c r="D152">
        <v>68</v>
      </c>
      <c r="E152">
        <v>73</v>
      </c>
      <c r="F152">
        <v>100</v>
      </c>
      <c r="G152">
        <v>93</v>
      </c>
      <c r="H152">
        <v>116</v>
      </c>
      <c r="I152">
        <v>99</v>
      </c>
    </row>
    <row r="153" spans="1:9" x14ac:dyDescent="0.25">
      <c r="A153" t="s">
        <v>323</v>
      </c>
      <c r="B153">
        <v>33</v>
      </c>
      <c r="C153">
        <v>44</v>
      </c>
      <c r="D153">
        <v>71</v>
      </c>
      <c r="E153">
        <v>75</v>
      </c>
      <c r="F153">
        <v>99</v>
      </c>
      <c r="G153">
        <v>97</v>
      </c>
      <c r="H153">
        <v>127</v>
      </c>
      <c r="I153">
        <v>128</v>
      </c>
    </row>
    <row r="154" spans="1:9" x14ac:dyDescent="0.25">
      <c r="A154" t="s">
        <v>324</v>
      </c>
      <c r="B154">
        <v>29</v>
      </c>
      <c r="C154">
        <v>42</v>
      </c>
      <c r="D154">
        <v>71</v>
      </c>
      <c r="E154">
        <v>80</v>
      </c>
      <c r="F154">
        <v>95</v>
      </c>
      <c r="G154">
        <v>92</v>
      </c>
      <c r="H154">
        <v>117</v>
      </c>
      <c r="I154">
        <v>104</v>
      </c>
    </row>
    <row r="155" spans="1:9" x14ac:dyDescent="0.25">
      <c r="A155" t="s">
        <v>325</v>
      </c>
      <c r="B155">
        <v>33</v>
      </c>
      <c r="C155">
        <v>42</v>
      </c>
      <c r="D155">
        <v>68</v>
      </c>
      <c r="E155">
        <v>86</v>
      </c>
      <c r="F155">
        <v>98</v>
      </c>
      <c r="G155">
        <v>98</v>
      </c>
      <c r="H155">
        <v>110</v>
      </c>
      <c r="I155">
        <v>105</v>
      </c>
    </row>
    <row r="156" spans="1:9" x14ac:dyDescent="0.25">
      <c r="A156" t="s">
        <v>326</v>
      </c>
      <c r="B156">
        <v>29</v>
      </c>
      <c r="C156">
        <v>40</v>
      </c>
      <c r="D156">
        <v>61</v>
      </c>
      <c r="E156">
        <v>78</v>
      </c>
      <c r="F156">
        <v>89</v>
      </c>
      <c r="G156">
        <v>102</v>
      </c>
      <c r="H156">
        <v>123</v>
      </c>
      <c r="I156">
        <v>126</v>
      </c>
    </row>
    <row r="157" spans="1:9" x14ac:dyDescent="0.25">
      <c r="A157" t="s">
        <v>327</v>
      </c>
      <c r="B157">
        <v>26</v>
      </c>
      <c r="C157">
        <v>36</v>
      </c>
      <c r="D157">
        <v>65</v>
      </c>
      <c r="E157">
        <v>83</v>
      </c>
      <c r="F157">
        <v>97</v>
      </c>
      <c r="G157">
        <v>103</v>
      </c>
      <c r="H157">
        <v>103</v>
      </c>
      <c r="I157">
        <v>101</v>
      </c>
    </row>
    <row r="158" spans="1:9" x14ac:dyDescent="0.25">
      <c r="A158" t="s">
        <v>328</v>
      </c>
      <c r="B158">
        <v>31</v>
      </c>
      <c r="C158">
        <v>40</v>
      </c>
      <c r="D158">
        <v>75</v>
      </c>
      <c r="E158">
        <v>82</v>
      </c>
      <c r="F158">
        <v>105</v>
      </c>
      <c r="G158">
        <v>110</v>
      </c>
      <c r="H158">
        <v>110</v>
      </c>
      <c r="I158">
        <v>105</v>
      </c>
    </row>
    <row r="159" spans="1:9" x14ac:dyDescent="0.25">
      <c r="A159" t="s">
        <v>329</v>
      </c>
      <c r="B159">
        <v>33</v>
      </c>
      <c r="C159">
        <v>46</v>
      </c>
      <c r="D159">
        <v>73</v>
      </c>
      <c r="E159">
        <v>83</v>
      </c>
      <c r="F159">
        <v>101</v>
      </c>
      <c r="G159">
        <v>91</v>
      </c>
      <c r="H159">
        <v>102</v>
      </c>
      <c r="I159">
        <v>93</v>
      </c>
    </row>
    <row r="160" spans="1:9" x14ac:dyDescent="0.25">
      <c r="A160" t="s">
        <v>330</v>
      </c>
      <c r="B160">
        <v>28</v>
      </c>
      <c r="C160">
        <v>39</v>
      </c>
      <c r="D160">
        <v>61</v>
      </c>
      <c r="E160">
        <v>72</v>
      </c>
      <c r="F160">
        <v>100</v>
      </c>
      <c r="G160">
        <v>75</v>
      </c>
      <c r="H160">
        <v>87</v>
      </c>
      <c r="I160">
        <v>82</v>
      </c>
    </row>
    <row r="161" spans="1:9" x14ac:dyDescent="0.25">
      <c r="A161" t="s">
        <v>331</v>
      </c>
      <c r="B161">
        <v>27</v>
      </c>
      <c r="C161">
        <v>38</v>
      </c>
      <c r="D161">
        <v>60</v>
      </c>
      <c r="E161">
        <v>76</v>
      </c>
      <c r="F161">
        <v>101</v>
      </c>
      <c r="G161">
        <v>86</v>
      </c>
      <c r="H161">
        <v>91</v>
      </c>
      <c r="I161">
        <v>87</v>
      </c>
    </row>
    <row r="162" spans="1:9" x14ac:dyDescent="0.25">
      <c r="A162" t="s">
        <v>332</v>
      </c>
      <c r="B162">
        <v>28</v>
      </c>
      <c r="C162">
        <v>39</v>
      </c>
      <c r="D162">
        <v>65</v>
      </c>
      <c r="E162">
        <v>89</v>
      </c>
      <c r="F162">
        <v>89</v>
      </c>
      <c r="G162">
        <v>94</v>
      </c>
      <c r="H162">
        <v>116</v>
      </c>
      <c r="I162">
        <v>107</v>
      </c>
    </row>
    <row r="163" spans="1:9" x14ac:dyDescent="0.25">
      <c r="A163" t="s">
        <v>333</v>
      </c>
      <c r="B163">
        <v>30</v>
      </c>
      <c r="C163">
        <v>36</v>
      </c>
      <c r="D163">
        <v>74</v>
      </c>
      <c r="E163">
        <v>74</v>
      </c>
      <c r="F163">
        <v>108</v>
      </c>
      <c r="G163">
        <v>83</v>
      </c>
      <c r="H163">
        <v>92</v>
      </c>
      <c r="I163">
        <v>91</v>
      </c>
    </row>
    <row r="164" spans="1:9" x14ac:dyDescent="0.25">
      <c r="A164" t="s">
        <v>334</v>
      </c>
      <c r="B164">
        <v>40</v>
      </c>
      <c r="C164">
        <v>45</v>
      </c>
      <c r="D164">
        <v>78</v>
      </c>
      <c r="E164">
        <v>79</v>
      </c>
      <c r="F164">
        <v>98</v>
      </c>
      <c r="G164">
        <v>107</v>
      </c>
      <c r="H164">
        <v>120</v>
      </c>
      <c r="I164">
        <v>113</v>
      </c>
    </row>
    <row r="165" spans="1:9" x14ac:dyDescent="0.25">
      <c r="A165" t="s">
        <v>335</v>
      </c>
      <c r="B165">
        <v>36</v>
      </c>
      <c r="C165">
        <v>44</v>
      </c>
      <c r="D165">
        <v>72</v>
      </c>
      <c r="E165">
        <v>85</v>
      </c>
      <c r="F165">
        <v>96</v>
      </c>
      <c r="G165">
        <v>103</v>
      </c>
      <c r="H165">
        <v>146</v>
      </c>
      <c r="I165">
        <v>143</v>
      </c>
    </row>
    <row r="166" spans="1:9" x14ac:dyDescent="0.25">
      <c r="A166" t="s">
        <v>336</v>
      </c>
      <c r="B166">
        <v>31</v>
      </c>
      <c r="C166">
        <v>39</v>
      </c>
      <c r="D166">
        <v>75</v>
      </c>
      <c r="E166">
        <v>84</v>
      </c>
      <c r="F166">
        <v>87</v>
      </c>
      <c r="G166">
        <v>115</v>
      </c>
      <c r="H166">
        <v>121</v>
      </c>
      <c r="I166">
        <v>105</v>
      </c>
    </row>
    <row r="167" spans="1:9" x14ac:dyDescent="0.25">
      <c r="A167" t="s">
        <v>337</v>
      </c>
      <c r="B167">
        <v>42</v>
      </c>
      <c r="C167">
        <v>52</v>
      </c>
      <c r="D167">
        <v>82</v>
      </c>
      <c r="E167">
        <v>92</v>
      </c>
      <c r="F167">
        <v>106</v>
      </c>
      <c r="G167">
        <v>102</v>
      </c>
      <c r="H167">
        <v>119</v>
      </c>
      <c r="I167">
        <v>117</v>
      </c>
    </row>
    <row r="168" spans="1:9" x14ac:dyDescent="0.25">
      <c r="A168" t="s">
        <v>338</v>
      </c>
      <c r="B168">
        <v>38</v>
      </c>
      <c r="C168">
        <v>48</v>
      </c>
      <c r="D168">
        <v>75</v>
      </c>
      <c r="E168">
        <v>94</v>
      </c>
      <c r="F168">
        <v>98</v>
      </c>
      <c r="G168">
        <v>105</v>
      </c>
      <c r="H168">
        <v>109</v>
      </c>
      <c r="I168">
        <v>107</v>
      </c>
    </row>
    <row r="169" spans="1:9" x14ac:dyDescent="0.25">
      <c r="A169" t="s">
        <v>339</v>
      </c>
      <c r="B169">
        <v>27</v>
      </c>
      <c r="C169">
        <v>40</v>
      </c>
      <c r="D169">
        <v>71</v>
      </c>
      <c r="E169">
        <v>86</v>
      </c>
      <c r="F169">
        <v>97</v>
      </c>
      <c r="G169">
        <v>100</v>
      </c>
      <c r="H169">
        <v>110</v>
      </c>
      <c r="I169">
        <v>110</v>
      </c>
    </row>
    <row r="170" spans="1:9" x14ac:dyDescent="0.25">
      <c r="A170" t="s">
        <v>340</v>
      </c>
      <c r="B170">
        <v>35</v>
      </c>
      <c r="C170">
        <v>42</v>
      </c>
      <c r="D170">
        <v>64</v>
      </c>
      <c r="E170">
        <v>68</v>
      </c>
      <c r="F170">
        <v>101</v>
      </c>
      <c r="G170">
        <v>81</v>
      </c>
      <c r="H170">
        <v>88</v>
      </c>
      <c r="I170">
        <v>93</v>
      </c>
    </row>
    <row r="171" spans="1:9" x14ac:dyDescent="0.25">
      <c r="A171" t="s">
        <v>341</v>
      </c>
      <c r="B171">
        <v>37</v>
      </c>
      <c r="C171">
        <v>44</v>
      </c>
      <c r="D171">
        <v>69</v>
      </c>
      <c r="E171">
        <v>74</v>
      </c>
      <c r="F171">
        <v>103</v>
      </c>
      <c r="G171">
        <v>90</v>
      </c>
      <c r="H171">
        <v>89</v>
      </c>
      <c r="I171">
        <v>83</v>
      </c>
    </row>
    <row r="172" spans="1:9" x14ac:dyDescent="0.25">
      <c r="A172" t="s">
        <v>342</v>
      </c>
      <c r="B172">
        <v>30</v>
      </c>
      <c r="C172">
        <v>42</v>
      </c>
      <c r="D172">
        <v>59</v>
      </c>
      <c r="E172">
        <v>68</v>
      </c>
      <c r="F172">
        <v>91</v>
      </c>
      <c r="G172">
        <v>75</v>
      </c>
      <c r="H172">
        <v>80</v>
      </c>
      <c r="I172">
        <v>72</v>
      </c>
    </row>
    <row r="173" spans="1:9" x14ac:dyDescent="0.25">
      <c r="A173" t="s">
        <v>343</v>
      </c>
      <c r="B173">
        <v>38</v>
      </c>
      <c r="C173">
        <v>43</v>
      </c>
      <c r="D173">
        <v>70</v>
      </c>
      <c r="E173">
        <v>76</v>
      </c>
      <c r="F173">
        <v>94</v>
      </c>
      <c r="G173">
        <v>82</v>
      </c>
      <c r="H173">
        <v>90</v>
      </c>
      <c r="I173">
        <v>88</v>
      </c>
    </row>
    <row r="174" spans="1:9" x14ac:dyDescent="0.25">
      <c r="A174" t="s">
        <v>344</v>
      </c>
      <c r="B174">
        <v>30</v>
      </c>
      <c r="C174">
        <v>33</v>
      </c>
      <c r="D174">
        <v>69</v>
      </c>
      <c r="E174">
        <v>81</v>
      </c>
      <c r="F174">
        <v>98</v>
      </c>
      <c r="G174">
        <v>86</v>
      </c>
      <c r="H174">
        <v>71</v>
      </c>
      <c r="I174">
        <v>91</v>
      </c>
    </row>
    <row r="175" spans="1:9" x14ac:dyDescent="0.25">
      <c r="A175" t="s">
        <v>345</v>
      </c>
      <c r="B175">
        <v>32</v>
      </c>
      <c r="C175">
        <v>38</v>
      </c>
      <c r="D175">
        <v>64</v>
      </c>
      <c r="E175">
        <v>69</v>
      </c>
      <c r="F175">
        <v>94</v>
      </c>
      <c r="G175">
        <v>71</v>
      </c>
      <c r="H175">
        <v>74</v>
      </c>
      <c r="I175">
        <v>73</v>
      </c>
    </row>
    <row r="176" spans="1:9" x14ac:dyDescent="0.25">
      <c r="A176" t="s">
        <v>346</v>
      </c>
      <c r="B176">
        <v>27</v>
      </c>
      <c r="C176">
        <v>46</v>
      </c>
      <c r="D176">
        <v>77</v>
      </c>
      <c r="E176">
        <v>91</v>
      </c>
      <c r="F176">
        <v>92</v>
      </c>
      <c r="G176">
        <v>101</v>
      </c>
      <c r="H176">
        <v>107</v>
      </c>
      <c r="I176">
        <v>103</v>
      </c>
    </row>
    <row r="177" spans="1:9" x14ac:dyDescent="0.25">
      <c r="A177" t="s">
        <v>347</v>
      </c>
      <c r="B177">
        <v>38</v>
      </c>
      <c r="C177">
        <v>57</v>
      </c>
      <c r="D177">
        <v>87</v>
      </c>
      <c r="E177">
        <v>87</v>
      </c>
      <c r="F177">
        <v>102</v>
      </c>
      <c r="G177">
        <v>104</v>
      </c>
      <c r="H177">
        <v>105</v>
      </c>
      <c r="I177">
        <v>100</v>
      </c>
    </row>
    <row r="178" spans="1:9" x14ac:dyDescent="0.25">
      <c r="A178" t="s">
        <v>348</v>
      </c>
      <c r="B178">
        <v>41</v>
      </c>
      <c r="C178">
        <v>62</v>
      </c>
      <c r="D178">
        <v>82</v>
      </c>
      <c r="E178">
        <v>105</v>
      </c>
      <c r="F178">
        <v>98</v>
      </c>
      <c r="G178">
        <v>127</v>
      </c>
      <c r="H178">
        <v>129</v>
      </c>
      <c r="I178">
        <v>127</v>
      </c>
    </row>
    <row r="179" spans="1:9" x14ac:dyDescent="0.25">
      <c r="A179" t="s">
        <v>349</v>
      </c>
      <c r="B179">
        <v>33</v>
      </c>
      <c r="C179">
        <v>39</v>
      </c>
      <c r="D179">
        <v>81</v>
      </c>
      <c r="E179">
        <v>78</v>
      </c>
      <c r="F179">
        <v>98</v>
      </c>
      <c r="G179">
        <v>117</v>
      </c>
      <c r="H179">
        <v>131</v>
      </c>
      <c r="I179">
        <v>124</v>
      </c>
    </row>
    <row r="180" spans="1:9" x14ac:dyDescent="0.25">
      <c r="A180" t="s">
        <v>350</v>
      </c>
      <c r="B180">
        <v>33</v>
      </c>
      <c r="C180">
        <v>44</v>
      </c>
      <c r="D180">
        <v>78</v>
      </c>
      <c r="E180">
        <v>92</v>
      </c>
      <c r="F180">
        <v>101</v>
      </c>
      <c r="G180">
        <v>115</v>
      </c>
      <c r="H180">
        <v>111</v>
      </c>
      <c r="I180">
        <v>113</v>
      </c>
    </row>
    <row r="181" spans="1:9" x14ac:dyDescent="0.25">
      <c r="A181" t="s">
        <v>351</v>
      </c>
      <c r="B181">
        <v>38</v>
      </c>
      <c r="C181">
        <v>47</v>
      </c>
      <c r="D181">
        <v>78</v>
      </c>
      <c r="E181">
        <v>97</v>
      </c>
      <c r="F181">
        <v>100</v>
      </c>
      <c r="G181">
        <v>110</v>
      </c>
      <c r="H181">
        <v>122</v>
      </c>
      <c r="I181">
        <v>118</v>
      </c>
    </row>
    <row r="182" spans="1:9" x14ac:dyDescent="0.25">
      <c r="A182" t="s">
        <v>352</v>
      </c>
      <c r="B182">
        <v>25</v>
      </c>
      <c r="C182">
        <v>44</v>
      </c>
      <c r="D182">
        <v>54</v>
      </c>
      <c r="E182">
        <v>76</v>
      </c>
      <c r="F182">
        <v>78</v>
      </c>
      <c r="G182">
        <v>106</v>
      </c>
      <c r="H182">
        <v>127</v>
      </c>
      <c r="I182">
        <v>114</v>
      </c>
    </row>
    <row r="183" spans="1:9" x14ac:dyDescent="0.25">
      <c r="A183" t="s">
        <v>353</v>
      </c>
      <c r="B183">
        <v>31</v>
      </c>
      <c r="C183">
        <v>47</v>
      </c>
      <c r="D183">
        <v>63</v>
      </c>
      <c r="E183">
        <v>80</v>
      </c>
      <c r="F183">
        <v>95</v>
      </c>
      <c r="G183">
        <v>98</v>
      </c>
      <c r="H183">
        <v>121</v>
      </c>
      <c r="I183">
        <v>118</v>
      </c>
    </row>
    <row r="184" spans="1:9" x14ac:dyDescent="0.25">
      <c r="A184" t="s">
        <v>354</v>
      </c>
      <c r="B184">
        <v>30</v>
      </c>
      <c r="C184">
        <v>43</v>
      </c>
      <c r="D184">
        <v>55</v>
      </c>
      <c r="E184">
        <v>66</v>
      </c>
      <c r="F184">
        <v>93</v>
      </c>
      <c r="G184">
        <v>71</v>
      </c>
      <c r="H184">
        <v>90</v>
      </c>
      <c r="I184">
        <v>89</v>
      </c>
    </row>
    <row r="185" spans="1:9" x14ac:dyDescent="0.25">
      <c r="A185" t="s">
        <v>355</v>
      </c>
      <c r="B185">
        <v>30</v>
      </c>
      <c r="C185">
        <v>43</v>
      </c>
      <c r="D185">
        <v>63</v>
      </c>
      <c r="E185">
        <v>68</v>
      </c>
      <c r="F185">
        <v>85</v>
      </c>
      <c r="G185">
        <v>85</v>
      </c>
      <c r="H185">
        <v>103</v>
      </c>
      <c r="I185">
        <v>101</v>
      </c>
    </row>
    <row r="186" spans="1:9" x14ac:dyDescent="0.25">
      <c r="A186" t="s">
        <v>356</v>
      </c>
      <c r="B186">
        <v>23</v>
      </c>
      <c r="C186">
        <v>38</v>
      </c>
      <c r="D186">
        <v>57</v>
      </c>
      <c r="E186">
        <v>74</v>
      </c>
      <c r="F186">
        <v>79</v>
      </c>
      <c r="G186">
        <v>81</v>
      </c>
      <c r="H186">
        <v>108</v>
      </c>
      <c r="I186">
        <v>110</v>
      </c>
    </row>
    <row r="187" spans="1:9" x14ac:dyDescent="0.25">
      <c r="A187" t="s">
        <v>357</v>
      </c>
      <c r="B187">
        <v>32</v>
      </c>
      <c r="C187">
        <v>46</v>
      </c>
      <c r="D187">
        <v>68</v>
      </c>
      <c r="E187">
        <v>86</v>
      </c>
      <c r="F187">
        <v>93</v>
      </c>
      <c r="G187">
        <v>101</v>
      </c>
      <c r="H187">
        <v>118</v>
      </c>
      <c r="I187">
        <v>117</v>
      </c>
    </row>
    <row r="188" spans="1:9" x14ac:dyDescent="0.25">
      <c r="A188" t="s">
        <v>358</v>
      </c>
      <c r="B188">
        <v>36</v>
      </c>
      <c r="C188">
        <v>45</v>
      </c>
      <c r="D188">
        <v>82</v>
      </c>
      <c r="E188">
        <v>88</v>
      </c>
      <c r="F188">
        <v>93</v>
      </c>
      <c r="G188">
        <v>100</v>
      </c>
      <c r="H188">
        <v>106</v>
      </c>
      <c r="I188">
        <v>108</v>
      </c>
    </row>
    <row r="189" spans="1:9" x14ac:dyDescent="0.25">
      <c r="A189" t="s">
        <v>359</v>
      </c>
      <c r="B189">
        <v>30</v>
      </c>
      <c r="C189">
        <v>51</v>
      </c>
      <c r="D189">
        <v>77</v>
      </c>
      <c r="E189">
        <v>83</v>
      </c>
      <c r="F189">
        <v>95</v>
      </c>
      <c r="G189">
        <v>97</v>
      </c>
      <c r="H189">
        <v>116</v>
      </c>
      <c r="I189">
        <v>100</v>
      </c>
    </row>
    <row r="190" spans="1:9" x14ac:dyDescent="0.25">
      <c r="A190" t="s">
        <v>360</v>
      </c>
      <c r="B190">
        <v>34</v>
      </c>
      <c r="C190">
        <v>46</v>
      </c>
      <c r="D190">
        <v>69</v>
      </c>
      <c r="E190">
        <v>89</v>
      </c>
      <c r="F190">
        <v>89</v>
      </c>
      <c r="G190">
        <v>97</v>
      </c>
      <c r="H190">
        <v>115</v>
      </c>
      <c r="I190">
        <v>118</v>
      </c>
    </row>
    <row r="191" spans="1:9" x14ac:dyDescent="0.25">
      <c r="A191" t="s">
        <v>361</v>
      </c>
      <c r="B191">
        <v>36</v>
      </c>
      <c r="C191">
        <v>48</v>
      </c>
      <c r="D191">
        <v>73</v>
      </c>
      <c r="E191">
        <v>72</v>
      </c>
      <c r="F191">
        <v>88</v>
      </c>
      <c r="G191">
        <v>84</v>
      </c>
      <c r="H191">
        <v>110</v>
      </c>
      <c r="I191">
        <v>101</v>
      </c>
    </row>
    <row r="192" spans="1:9" x14ac:dyDescent="0.25">
      <c r="A192" t="s">
        <v>362</v>
      </c>
      <c r="B192">
        <v>40</v>
      </c>
      <c r="C192">
        <v>61</v>
      </c>
      <c r="D192">
        <v>71</v>
      </c>
      <c r="E192">
        <v>79</v>
      </c>
      <c r="F192">
        <v>94</v>
      </c>
      <c r="G192">
        <v>95</v>
      </c>
      <c r="H192">
        <v>108</v>
      </c>
      <c r="I192">
        <v>103</v>
      </c>
    </row>
    <row r="193" spans="1:9" x14ac:dyDescent="0.25">
      <c r="A193" t="s">
        <v>363</v>
      </c>
      <c r="B193">
        <v>33</v>
      </c>
      <c r="C193">
        <v>40</v>
      </c>
      <c r="D193">
        <v>68</v>
      </c>
      <c r="E193">
        <v>78</v>
      </c>
      <c r="F193">
        <v>86</v>
      </c>
      <c r="G193">
        <v>122</v>
      </c>
      <c r="H193">
        <v>121</v>
      </c>
      <c r="I193">
        <v>122</v>
      </c>
    </row>
    <row r="194" spans="1:9" x14ac:dyDescent="0.25">
      <c r="A194" t="s">
        <v>364</v>
      </c>
      <c r="B194">
        <v>38</v>
      </c>
      <c r="C194">
        <v>45</v>
      </c>
      <c r="D194">
        <v>66</v>
      </c>
      <c r="F194">
        <v>82</v>
      </c>
      <c r="G194">
        <v>90</v>
      </c>
      <c r="H194">
        <v>88</v>
      </c>
      <c r="I194">
        <v>84</v>
      </c>
    </row>
    <row r="195" spans="1:9" x14ac:dyDescent="0.25">
      <c r="A195" t="s">
        <v>365</v>
      </c>
      <c r="B195">
        <v>40</v>
      </c>
      <c r="C195">
        <v>48</v>
      </c>
      <c r="D195">
        <v>64</v>
      </c>
      <c r="F195">
        <v>84</v>
      </c>
      <c r="G195">
        <v>69</v>
      </c>
      <c r="H195">
        <v>73</v>
      </c>
      <c r="I195">
        <v>82</v>
      </c>
    </row>
    <row r="196" spans="1:9" x14ac:dyDescent="0.25">
      <c r="A196" t="s">
        <v>366</v>
      </c>
      <c r="B196">
        <v>26</v>
      </c>
      <c r="C196">
        <v>34</v>
      </c>
      <c r="D196">
        <v>56</v>
      </c>
      <c r="F196">
        <v>79</v>
      </c>
      <c r="G196">
        <v>67</v>
      </c>
      <c r="H196">
        <v>61</v>
      </c>
      <c r="I196">
        <v>72</v>
      </c>
    </row>
    <row r="197" spans="1:9" x14ac:dyDescent="0.25">
      <c r="A197" t="s">
        <v>367</v>
      </c>
      <c r="B197">
        <v>32</v>
      </c>
      <c r="C197">
        <v>42</v>
      </c>
      <c r="D197">
        <v>62</v>
      </c>
      <c r="F197">
        <v>101</v>
      </c>
      <c r="G197">
        <v>74</v>
      </c>
      <c r="H197">
        <v>75</v>
      </c>
      <c r="I197">
        <v>80</v>
      </c>
    </row>
    <row r="198" spans="1:9" x14ac:dyDescent="0.25">
      <c r="A198" t="s">
        <v>368</v>
      </c>
      <c r="B198">
        <v>32</v>
      </c>
      <c r="C198">
        <v>38</v>
      </c>
      <c r="D198">
        <v>60</v>
      </c>
      <c r="F198">
        <v>70</v>
      </c>
      <c r="G198">
        <v>73</v>
      </c>
      <c r="H198">
        <v>72</v>
      </c>
      <c r="I198">
        <v>73</v>
      </c>
    </row>
    <row r="199" spans="1:9" x14ac:dyDescent="0.25">
      <c r="A199" t="s">
        <v>369</v>
      </c>
      <c r="B199">
        <v>36</v>
      </c>
      <c r="C199">
        <v>43</v>
      </c>
      <c r="D199">
        <v>61</v>
      </c>
      <c r="F199">
        <v>76</v>
      </c>
      <c r="G199">
        <v>71</v>
      </c>
      <c r="H199">
        <v>78</v>
      </c>
      <c r="I199">
        <v>89</v>
      </c>
    </row>
    <row r="200" spans="1:9" x14ac:dyDescent="0.25">
      <c r="A200" t="s">
        <v>370</v>
      </c>
      <c r="B200">
        <v>38</v>
      </c>
      <c r="C200">
        <v>41</v>
      </c>
      <c r="D200">
        <v>49</v>
      </c>
      <c r="F200">
        <v>75</v>
      </c>
      <c r="G200">
        <v>60</v>
      </c>
      <c r="H200">
        <v>58</v>
      </c>
      <c r="I200">
        <v>64</v>
      </c>
    </row>
    <row r="201" spans="1:9" x14ac:dyDescent="0.25">
      <c r="A201" t="s">
        <v>371</v>
      </c>
      <c r="B201">
        <v>40</v>
      </c>
      <c r="C201">
        <v>52</v>
      </c>
      <c r="D201">
        <v>59</v>
      </c>
      <c r="F201">
        <v>73</v>
      </c>
      <c r="G201">
        <v>68</v>
      </c>
      <c r="H201">
        <v>70</v>
      </c>
      <c r="I201">
        <v>70</v>
      </c>
    </row>
    <row r="202" spans="1:9" x14ac:dyDescent="0.25">
      <c r="A202" t="s">
        <v>372</v>
      </c>
      <c r="B202">
        <v>33</v>
      </c>
      <c r="C202">
        <v>41</v>
      </c>
      <c r="D202">
        <v>55</v>
      </c>
      <c r="F202">
        <v>63</v>
      </c>
      <c r="G202">
        <v>64</v>
      </c>
      <c r="H202">
        <v>56</v>
      </c>
      <c r="I202">
        <v>66</v>
      </c>
    </row>
    <row r="203" spans="1:9" x14ac:dyDescent="0.25">
      <c r="A203" t="s">
        <v>373</v>
      </c>
      <c r="B203">
        <v>30</v>
      </c>
      <c r="C203">
        <v>41</v>
      </c>
      <c r="D203">
        <v>50</v>
      </c>
      <c r="F203">
        <v>71</v>
      </c>
      <c r="G203">
        <v>67</v>
      </c>
      <c r="H203">
        <v>64</v>
      </c>
      <c r="I203">
        <v>65</v>
      </c>
    </row>
    <row r="204" spans="1:9" x14ac:dyDescent="0.25">
      <c r="A204" t="s">
        <v>374</v>
      </c>
      <c r="B204">
        <v>33</v>
      </c>
      <c r="C204">
        <v>52</v>
      </c>
      <c r="D204">
        <v>58</v>
      </c>
      <c r="F204">
        <v>70</v>
      </c>
      <c r="G204">
        <v>72</v>
      </c>
      <c r="H204">
        <v>75</v>
      </c>
      <c r="I204">
        <v>76</v>
      </c>
    </row>
    <row r="205" spans="1:9" x14ac:dyDescent="0.25">
      <c r="A205" t="s">
        <v>375</v>
      </c>
      <c r="B205">
        <v>30</v>
      </c>
      <c r="C205">
        <v>37</v>
      </c>
      <c r="D205">
        <v>41</v>
      </c>
      <c r="F205">
        <v>58</v>
      </c>
      <c r="G205">
        <v>66</v>
      </c>
      <c r="H205">
        <v>58</v>
      </c>
      <c r="I205">
        <v>56</v>
      </c>
    </row>
    <row r="206" spans="1:9" x14ac:dyDescent="0.25">
      <c r="A206" t="s">
        <v>376</v>
      </c>
      <c r="B206">
        <v>33</v>
      </c>
      <c r="C206">
        <v>46</v>
      </c>
      <c r="D206">
        <v>70</v>
      </c>
      <c r="F206">
        <v>95</v>
      </c>
      <c r="G206">
        <v>80</v>
      </c>
      <c r="H206">
        <v>88</v>
      </c>
      <c r="I206">
        <v>83</v>
      </c>
    </row>
    <row r="207" spans="1:9" x14ac:dyDescent="0.25">
      <c r="A207" t="s">
        <v>377</v>
      </c>
      <c r="B207">
        <v>37</v>
      </c>
      <c r="C207">
        <v>45</v>
      </c>
      <c r="D207">
        <v>69</v>
      </c>
      <c r="F207">
        <v>101</v>
      </c>
      <c r="G207">
        <v>89</v>
      </c>
      <c r="H207">
        <v>91</v>
      </c>
      <c r="I207">
        <v>89</v>
      </c>
    </row>
    <row r="208" spans="1:9" x14ac:dyDescent="0.25">
      <c r="A208" t="s">
        <v>378</v>
      </c>
      <c r="B208">
        <v>22</v>
      </c>
      <c r="C208">
        <v>45</v>
      </c>
      <c r="D208">
        <v>68</v>
      </c>
      <c r="F208">
        <v>83</v>
      </c>
      <c r="G208">
        <v>72</v>
      </c>
      <c r="H208">
        <v>81</v>
      </c>
      <c r="I208">
        <v>82</v>
      </c>
    </row>
    <row r="209" spans="1:9" x14ac:dyDescent="0.25">
      <c r="A209" t="s">
        <v>379</v>
      </c>
      <c r="B209">
        <v>38</v>
      </c>
      <c r="C209">
        <v>47</v>
      </c>
      <c r="D209">
        <v>73</v>
      </c>
      <c r="F209">
        <v>91</v>
      </c>
      <c r="G209">
        <v>85</v>
      </c>
      <c r="H209">
        <v>88</v>
      </c>
      <c r="I209">
        <v>76</v>
      </c>
    </row>
    <row r="210" spans="1:9" x14ac:dyDescent="0.25">
      <c r="A210" t="s">
        <v>380</v>
      </c>
      <c r="B210">
        <v>37</v>
      </c>
      <c r="C210">
        <v>32</v>
      </c>
      <c r="D210">
        <v>59</v>
      </c>
      <c r="F210">
        <v>76</v>
      </c>
      <c r="G210">
        <v>73</v>
      </c>
      <c r="H210">
        <v>75</v>
      </c>
      <c r="I210">
        <v>72</v>
      </c>
    </row>
    <row r="211" spans="1:9" x14ac:dyDescent="0.25">
      <c r="A211" t="s">
        <v>381</v>
      </c>
      <c r="B211">
        <v>33</v>
      </c>
      <c r="C211">
        <v>45</v>
      </c>
      <c r="D211">
        <v>68</v>
      </c>
      <c r="F211">
        <v>92</v>
      </c>
      <c r="G211">
        <v>87</v>
      </c>
      <c r="H211">
        <v>92</v>
      </c>
      <c r="I211">
        <v>93</v>
      </c>
    </row>
    <row r="212" spans="1:9" x14ac:dyDescent="0.25">
      <c r="A212" t="s">
        <v>382</v>
      </c>
      <c r="B212">
        <v>27.5</v>
      </c>
      <c r="C212">
        <v>43</v>
      </c>
      <c r="D212">
        <v>50</v>
      </c>
      <c r="F212">
        <v>80</v>
      </c>
      <c r="G212">
        <v>66</v>
      </c>
      <c r="H212">
        <v>65</v>
      </c>
      <c r="I212">
        <v>66</v>
      </c>
    </row>
    <row r="213" spans="1:9" x14ac:dyDescent="0.25">
      <c r="A213" t="s">
        <v>383</v>
      </c>
      <c r="B213">
        <v>24</v>
      </c>
      <c r="C213">
        <v>44</v>
      </c>
      <c r="D213">
        <v>53</v>
      </c>
      <c r="F213">
        <v>72</v>
      </c>
      <c r="G213">
        <v>72</v>
      </c>
      <c r="H213">
        <v>72</v>
      </c>
      <c r="I213">
        <v>68</v>
      </c>
    </row>
    <row r="214" spans="1:9" x14ac:dyDescent="0.25">
      <c r="A214" t="s">
        <v>384</v>
      </c>
      <c r="B214">
        <v>32.5</v>
      </c>
      <c r="C214">
        <v>43</v>
      </c>
      <c r="D214">
        <v>48</v>
      </c>
      <c r="F214">
        <v>72</v>
      </c>
      <c r="G214">
        <v>59</v>
      </c>
      <c r="H214">
        <v>58</v>
      </c>
      <c r="I214">
        <v>60</v>
      </c>
    </row>
    <row r="215" spans="1:9" x14ac:dyDescent="0.25">
      <c r="A215" t="s">
        <v>385</v>
      </c>
      <c r="B215">
        <v>35</v>
      </c>
      <c r="C215">
        <v>46</v>
      </c>
      <c r="D215">
        <v>49</v>
      </c>
      <c r="F215">
        <v>75</v>
      </c>
      <c r="G215">
        <v>63</v>
      </c>
      <c r="H215">
        <v>62</v>
      </c>
      <c r="I215">
        <v>64</v>
      </c>
    </row>
    <row r="216" spans="1:9" x14ac:dyDescent="0.25">
      <c r="A216" t="s">
        <v>386</v>
      </c>
      <c r="B216">
        <v>31</v>
      </c>
      <c r="C216">
        <v>36</v>
      </c>
      <c r="D216">
        <v>38</v>
      </c>
      <c r="F216">
        <v>78</v>
      </c>
      <c r="G216">
        <v>55</v>
      </c>
      <c r="H216">
        <v>52</v>
      </c>
      <c r="I216">
        <v>52</v>
      </c>
    </row>
    <row r="217" spans="1:9" x14ac:dyDescent="0.25">
      <c r="A217" t="s">
        <v>387</v>
      </c>
      <c r="B217">
        <v>34</v>
      </c>
      <c r="C217">
        <v>42</v>
      </c>
      <c r="D217">
        <v>46</v>
      </c>
      <c r="F217">
        <v>75</v>
      </c>
      <c r="G217">
        <v>67</v>
      </c>
      <c r="H217">
        <v>71</v>
      </c>
      <c r="I217">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C1CA-97B6-4AF3-8D1D-327695D61ADA}">
  <dimension ref="A1:I217"/>
  <sheetViews>
    <sheetView workbookViewId="0"/>
  </sheetViews>
  <sheetFormatPr defaultRowHeight="15" x14ac:dyDescent="0.25"/>
  <sheetData>
    <row r="1" spans="1:9" x14ac:dyDescent="0.25">
      <c r="A1" t="s">
        <v>388</v>
      </c>
      <c r="B1" t="s">
        <v>83</v>
      </c>
      <c r="C1" t="s">
        <v>86</v>
      </c>
      <c r="D1" t="s">
        <v>91</v>
      </c>
      <c r="E1" t="s">
        <v>96</v>
      </c>
      <c r="F1" t="s">
        <v>98</v>
      </c>
      <c r="G1" t="s">
        <v>102</v>
      </c>
      <c r="H1" t="s">
        <v>106</v>
      </c>
      <c r="I1" t="s">
        <v>110</v>
      </c>
    </row>
    <row r="2" spans="1:9" x14ac:dyDescent="0.25">
      <c r="A2" t="s">
        <v>172</v>
      </c>
      <c r="B2" s="55">
        <v>39</v>
      </c>
      <c r="C2">
        <v>54</v>
      </c>
      <c r="D2" s="55">
        <v>72</v>
      </c>
      <c r="E2" s="55">
        <v>85</v>
      </c>
      <c r="F2" s="55">
        <v>83</v>
      </c>
      <c r="G2" s="55">
        <v>114</v>
      </c>
      <c r="H2" s="55">
        <v>100</v>
      </c>
      <c r="I2" s="55">
        <v>91</v>
      </c>
    </row>
    <row r="3" spans="1:9" x14ac:dyDescent="0.25">
      <c r="A3" t="s">
        <v>173</v>
      </c>
      <c r="B3" s="55">
        <v>53</v>
      </c>
      <c r="C3">
        <v>63</v>
      </c>
      <c r="D3" s="55">
        <v>79</v>
      </c>
      <c r="E3" s="55">
        <v>94</v>
      </c>
      <c r="F3" s="55">
        <v>93</v>
      </c>
      <c r="G3" s="55">
        <v>131</v>
      </c>
      <c r="H3" s="55">
        <v>82</v>
      </c>
      <c r="I3" s="55">
        <v>98</v>
      </c>
    </row>
    <row r="4" spans="1:9" x14ac:dyDescent="0.25">
      <c r="A4" t="s">
        <v>174</v>
      </c>
      <c r="B4" s="55">
        <v>38</v>
      </c>
      <c r="C4">
        <v>50</v>
      </c>
      <c r="D4" s="55">
        <v>71</v>
      </c>
      <c r="E4" s="55">
        <v>94</v>
      </c>
      <c r="F4" s="55">
        <v>95</v>
      </c>
      <c r="G4" s="55">
        <v>90</v>
      </c>
      <c r="H4" s="55">
        <v>70</v>
      </c>
      <c r="I4" s="55">
        <v>98</v>
      </c>
    </row>
    <row r="5" spans="1:9" x14ac:dyDescent="0.25">
      <c r="A5" t="s">
        <v>175</v>
      </c>
      <c r="B5" s="55">
        <v>35</v>
      </c>
      <c r="C5">
        <v>55</v>
      </c>
      <c r="D5" s="55">
        <v>75</v>
      </c>
      <c r="E5" s="55">
        <v>98</v>
      </c>
      <c r="F5" s="55">
        <v>86</v>
      </c>
      <c r="G5" s="55">
        <v>104</v>
      </c>
      <c r="H5" s="55">
        <v>100</v>
      </c>
      <c r="I5" s="55">
        <v>97</v>
      </c>
    </row>
    <row r="6" spans="1:9" x14ac:dyDescent="0.25">
      <c r="A6" t="s">
        <v>176</v>
      </c>
      <c r="B6" s="55">
        <v>35</v>
      </c>
      <c r="C6">
        <v>49</v>
      </c>
      <c r="D6" s="55">
        <v>73</v>
      </c>
      <c r="E6" s="55">
        <v>89</v>
      </c>
      <c r="F6" s="55">
        <v>83</v>
      </c>
      <c r="G6" s="55">
        <v>88</v>
      </c>
      <c r="H6" s="55">
        <v>82</v>
      </c>
      <c r="I6" s="55">
        <v>93</v>
      </c>
    </row>
    <row r="7" spans="1:9" x14ac:dyDescent="0.25">
      <c r="A7" t="s">
        <v>177</v>
      </c>
      <c r="B7" s="55">
        <v>44</v>
      </c>
      <c r="C7">
        <v>59</v>
      </c>
      <c r="D7" s="55">
        <v>81</v>
      </c>
      <c r="E7" s="55">
        <v>82</v>
      </c>
      <c r="F7" s="55">
        <v>95</v>
      </c>
      <c r="G7" s="55">
        <v>86</v>
      </c>
      <c r="H7" s="55">
        <v>86</v>
      </c>
      <c r="I7" s="55">
        <v>73</v>
      </c>
    </row>
    <row r="8" spans="1:9" x14ac:dyDescent="0.25">
      <c r="A8" t="s">
        <v>178</v>
      </c>
      <c r="B8" s="55">
        <v>46</v>
      </c>
      <c r="C8" s="55">
        <v>62</v>
      </c>
      <c r="D8" s="55">
        <v>75</v>
      </c>
      <c r="E8" s="55">
        <v>94</v>
      </c>
      <c r="F8" s="55">
        <v>84</v>
      </c>
      <c r="G8" s="55">
        <v>79</v>
      </c>
      <c r="H8" s="55">
        <v>100</v>
      </c>
      <c r="I8" s="55">
        <v>86</v>
      </c>
    </row>
    <row r="9" spans="1:9" x14ac:dyDescent="0.25">
      <c r="A9" t="s">
        <v>179</v>
      </c>
      <c r="B9" s="55">
        <v>45</v>
      </c>
      <c r="C9" s="55">
        <v>57</v>
      </c>
      <c r="D9" s="55">
        <v>91</v>
      </c>
      <c r="E9" s="55">
        <v>93</v>
      </c>
      <c r="F9" s="55">
        <v>87</v>
      </c>
      <c r="G9" s="55">
        <v>97</v>
      </c>
      <c r="H9" s="55">
        <v>94</v>
      </c>
      <c r="I9" s="55">
        <v>88</v>
      </c>
    </row>
    <row r="10" spans="1:9" x14ac:dyDescent="0.25">
      <c r="A10" t="s">
        <v>180</v>
      </c>
      <c r="B10" s="55">
        <v>40</v>
      </c>
      <c r="C10" s="55">
        <v>55</v>
      </c>
      <c r="D10" s="55">
        <v>69</v>
      </c>
      <c r="E10" s="55">
        <v>64</v>
      </c>
      <c r="F10" s="55">
        <v>80</v>
      </c>
      <c r="G10" s="55">
        <v>87</v>
      </c>
      <c r="H10" s="55">
        <v>87</v>
      </c>
      <c r="I10" s="55">
        <v>81</v>
      </c>
    </row>
    <row r="11" spans="1:9" x14ac:dyDescent="0.25">
      <c r="A11" t="s">
        <v>181</v>
      </c>
      <c r="B11" s="55">
        <v>38</v>
      </c>
      <c r="C11" s="55">
        <v>46</v>
      </c>
      <c r="D11" s="55">
        <v>71</v>
      </c>
      <c r="E11" s="55">
        <v>79</v>
      </c>
      <c r="F11" s="55">
        <v>79</v>
      </c>
      <c r="G11" s="55">
        <v>89</v>
      </c>
      <c r="H11" s="55">
        <v>93</v>
      </c>
      <c r="I11" s="55">
        <v>80</v>
      </c>
    </row>
    <row r="12" spans="1:9" x14ac:dyDescent="0.25">
      <c r="A12" t="s">
        <v>182</v>
      </c>
      <c r="B12" s="55">
        <v>38</v>
      </c>
      <c r="C12" s="55">
        <v>51</v>
      </c>
      <c r="D12" s="55">
        <v>70</v>
      </c>
      <c r="E12" s="55">
        <v>80</v>
      </c>
      <c r="F12" s="55">
        <v>85</v>
      </c>
      <c r="G12" s="55">
        <v>92</v>
      </c>
      <c r="H12" s="55">
        <v>90</v>
      </c>
      <c r="I12" s="55">
        <v>79</v>
      </c>
    </row>
    <row r="13" spans="1:9" x14ac:dyDescent="0.25">
      <c r="A13" t="s">
        <v>183</v>
      </c>
      <c r="B13" s="55">
        <v>51</v>
      </c>
      <c r="C13" s="55">
        <v>68</v>
      </c>
      <c r="D13" s="55">
        <v>83</v>
      </c>
      <c r="E13" s="55">
        <v>99</v>
      </c>
      <c r="F13" s="55">
        <v>105</v>
      </c>
      <c r="G13" s="55">
        <v>93</v>
      </c>
      <c r="H13" s="55">
        <v>99</v>
      </c>
      <c r="I13" s="55">
        <v>91</v>
      </c>
    </row>
    <row r="14" spans="1:9" x14ac:dyDescent="0.25">
      <c r="A14" t="s">
        <v>184</v>
      </c>
      <c r="B14" s="55">
        <v>70</v>
      </c>
      <c r="C14" s="55">
        <v>76</v>
      </c>
      <c r="D14" s="55">
        <v>83</v>
      </c>
      <c r="E14" s="55">
        <v>104</v>
      </c>
      <c r="F14" s="55">
        <v>107</v>
      </c>
      <c r="G14" s="55">
        <v>100</v>
      </c>
      <c r="H14" s="55">
        <v>48</v>
      </c>
      <c r="I14" s="55">
        <v>92</v>
      </c>
    </row>
    <row r="15" spans="1:9" x14ac:dyDescent="0.25">
      <c r="A15" t="s">
        <v>185</v>
      </c>
      <c r="B15" s="55">
        <v>71</v>
      </c>
      <c r="C15" s="55">
        <v>72</v>
      </c>
      <c r="D15" s="55">
        <v>89</v>
      </c>
      <c r="E15" s="55">
        <v>105</v>
      </c>
      <c r="F15" s="55">
        <v>94</v>
      </c>
      <c r="G15" s="55">
        <v>100</v>
      </c>
      <c r="H15" s="55">
        <v>100</v>
      </c>
      <c r="I15" s="55">
        <v>83</v>
      </c>
    </row>
    <row r="16" spans="1:9" x14ac:dyDescent="0.25">
      <c r="A16" t="s">
        <v>186</v>
      </c>
      <c r="B16" s="55">
        <v>70</v>
      </c>
      <c r="C16" s="55">
        <v>71</v>
      </c>
      <c r="D16" s="55">
        <v>85</v>
      </c>
      <c r="E16" s="55">
        <v>87</v>
      </c>
      <c r="F16" s="55">
        <v>107</v>
      </c>
      <c r="G16" s="55">
        <v>98</v>
      </c>
      <c r="H16" s="55">
        <v>50</v>
      </c>
      <c r="I16" s="55">
        <v>92</v>
      </c>
    </row>
    <row r="17" spans="1:9" x14ac:dyDescent="0.25">
      <c r="A17" t="s">
        <v>187</v>
      </c>
      <c r="B17" s="55">
        <v>63</v>
      </c>
      <c r="C17" s="55">
        <v>73</v>
      </c>
      <c r="D17" s="55">
        <v>87</v>
      </c>
      <c r="E17" s="55">
        <v>98</v>
      </c>
      <c r="F17" s="55">
        <v>102</v>
      </c>
      <c r="G17" s="55">
        <v>100</v>
      </c>
      <c r="H17" s="55">
        <v>95</v>
      </c>
      <c r="I17" s="55">
        <v>80</v>
      </c>
    </row>
    <row r="18" spans="1:9" x14ac:dyDescent="0.25">
      <c r="A18" t="s">
        <v>188</v>
      </c>
      <c r="B18" s="55">
        <v>63</v>
      </c>
      <c r="C18" s="55">
        <v>72</v>
      </c>
      <c r="D18" s="55">
        <v>82</v>
      </c>
      <c r="E18" s="55">
        <v>92</v>
      </c>
      <c r="F18" s="55">
        <v>91</v>
      </c>
      <c r="G18" s="55">
        <v>98</v>
      </c>
      <c r="H18" s="55">
        <v>76</v>
      </c>
      <c r="I18" s="55">
        <v>89</v>
      </c>
    </row>
    <row r="19" spans="1:9" x14ac:dyDescent="0.25">
      <c r="A19" t="s">
        <v>189</v>
      </c>
      <c r="B19" s="55">
        <v>60</v>
      </c>
      <c r="C19" s="55">
        <v>67</v>
      </c>
      <c r="D19" s="55">
        <v>90</v>
      </c>
      <c r="E19" s="55">
        <v>99</v>
      </c>
      <c r="F19" s="55">
        <v>100</v>
      </c>
      <c r="G19" s="55">
        <v>94</v>
      </c>
      <c r="H19" s="55">
        <v>100</v>
      </c>
      <c r="I19" s="55">
        <v>95</v>
      </c>
    </row>
    <row r="20" spans="1:9" x14ac:dyDescent="0.25">
      <c r="A20" t="s">
        <v>190</v>
      </c>
      <c r="B20" s="55">
        <v>45</v>
      </c>
      <c r="C20" s="55">
        <v>53</v>
      </c>
      <c r="D20" s="55">
        <v>81</v>
      </c>
      <c r="E20" s="55">
        <v>88</v>
      </c>
      <c r="F20" s="55">
        <v>87</v>
      </c>
      <c r="G20" s="55">
        <v>93</v>
      </c>
      <c r="H20" s="55">
        <v>85</v>
      </c>
      <c r="I20" s="55">
        <v>85</v>
      </c>
    </row>
    <row r="21" spans="1:9" x14ac:dyDescent="0.25">
      <c r="A21" t="s">
        <v>191</v>
      </c>
      <c r="B21" s="55">
        <v>60</v>
      </c>
      <c r="C21" s="55">
        <v>65</v>
      </c>
      <c r="D21" s="55">
        <v>92</v>
      </c>
      <c r="E21" s="55">
        <v>107</v>
      </c>
      <c r="F21" s="55">
        <v>105</v>
      </c>
      <c r="G21" s="55">
        <v>103</v>
      </c>
      <c r="H21" s="55">
        <v>108</v>
      </c>
      <c r="I21" s="55">
        <v>77</v>
      </c>
    </row>
    <row r="22" spans="1:9" x14ac:dyDescent="0.25">
      <c r="A22" t="s">
        <v>192</v>
      </c>
      <c r="B22" s="55">
        <v>45</v>
      </c>
      <c r="C22" s="55">
        <v>68</v>
      </c>
      <c r="D22" s="55">
        <v>82</v>
      </c>
      <c r="E22" s="55">
        <v>91</v>
      </c>
      <c r="F22" s="55">
        <v>101</v>
      </c>
      <c r="G22" s="55">
        <v>100</v>
      </c>
      <c r="H22" s="55">
        <v>101</v>
      </c>
      <c r="I22" s="55">
        <v>72</v>
      </c>
    </row>
    <row r="23" spans="1:9" x14ac:dyDescent="0.25">
      <c r="A23" t="s">
        <v>193</v>
      </c>
      <c r="B23" s="55">
        <v>49</v>
      </c>
      <c r="C23" s="55">
        <v>50</v>
      </c>
      <c r="D23" s="55">
        <v>79</v>
      </c>
      <c r="E23" s="55">
        <v>89</v>
      </c>
      <c r="F23" s="55">
        <v>86</v>
      </c>
      <c r="G23" s="55">
        <v>92</v>
      </c>
      <c r="H23" s="55">
        <v>100</v>
      </c>
      <c r="I23" s="55">
        <v>76</v>
      </c>
    </row>
    <row r="24" spans="1:9" x14ac:dyDescent="0.25">
      <c r="A24" t="s">
        <v>194</v>
      </c>
      <c r="B24" s="55">
        <v>49</v>
      </c>
      <c r="C24" s="55">
        <v>62</v>
      </c>
      <c r="D24" s="55">
        <v>81</v>
      </c>
      <c r="E24" s="55">
        <v>98</v>
      </c>
      <c r="F24" s="55">
        <v>96</v>
      </c>
      <c r="G24" s="55">
        <v>95</v>
      </c>
      <c r="H24" s="55">
        <v>97</v>
      </c>
      <c r="I24" s="55">
        <v>78</v>
      </c>
    </row>
    <row r="25" spans="1:9" x14ac:dyDescent="0.25">
      <c r="A25" t="s">
        <v>195</v>
      </c>
      <c r="B25" s="55">
        <v>49</v>
      </c>
      <c r="C25" s="55">
        <v>59</v>
      </c>
      <c r="D25" s="55">
        <v>86</v>
      </c>
      <c r="E25" s="55">
        <v>97</v>
      </c>
      <c r="F25" s="55">
        <v>97</v>
      </c>
      <c r="G25" s="55">
        <v>97</v>
      </c>
      <c r="H25" s="55">
        <v>96</v>
      </c>
      <c r="I25" s="55">
        <v>76</v>
      </c>
    </row>
    <row r="26" spans="1:9" x14ac:dyDescent="0.25">
      <c r="A26" t="s">
        <v>196</v>
      </c>
      <c r="B26" s="55">
        <v>68</v>
      </c>
      <c r="C26" s="55">
        <v>77</v>
      </c>
      <c r="D26" s="55">
        <v>97</v>
      </c>
      <c r="E26" s="55">
        <v>99</v>
      </c>
      <c r="F26" s="55">
        <v>99</v>
      </c>
      <c r="G26" s="55">
        <v>100</v>
      </c>
      <c r="H26" s="55">
        <v>100</v>
      </c>
      <c r="I26" s="55">
        <v>96</v>
      </c>
    </row>
    <row r="27" spans="1:9" x14ac:dyDescent="0.25">
      <c r="A27" t="s">
        <v>197</v>
      </c>
      <c r="B27" s="55">
        <v>67</v>
      </c>
      <c r="C27" s="55">
        <v>61</v>
      </c>
      <c r="D27" s="55">
        <v>85</v>
      </c>
      <c r="E27" s="55">
        <v>103</v>
      </c>
      <c r="F27" s="55">
        <v>98</v>
      </c>
      <c r="G27" s="55">
        <v>100</v>
      </c>
      <c r="H27" s="55">
        <v>100</v>
      </c>
      <c r="I27" s="55">
        <v>90</v>
      </c>
    </row>
    <row r="28" spans="1:9" x14ac:dyDescent="0.25">
      <c r="A28" t="s">
        <v>198</v>
      </c>
      <c r="B28" s="55">
        <v>72</v>
      </c>
      <c r="C28" s="55">
        <v>72</v>
      </c>
      <c r="D28" s="55">
        <v>92</v>
      </c>
      <c r="E28" s="55">
        <v>107</v>
      </c>
      <c r="F28" s="55">
        <v>106</v>
      </c>
      <c r="G28" s="55">
        <v>100</v>
      </c>
      <c r="H28" s="55">
        <v>100</v>
      </c>
      <c r="I28" s="55">
        <v>96</v>
      </c>
    </row>
    <row r="29" spans="1:9" x14ac:dyDescent="0.25">
      <c r="A29" t="s">
        <v>199</v>
      </c>
      <c r="B29" s="55">
        <v>60</v>
      </c>
      <c r="C29" s="55">
        <v>82</v>
      </c>
      <c r="D29" s="55">
        <v>86</v>
      </c>
      <c r="E29" s="55">
        <v>102</v>
      </c>
      <c r="F29" s="55">
        <v>102</v>
      </c>
      <c r="G29" s="55">
        <v>100</v>
      </c>
      <c r="H29" s="55">
        <v>97</v>
      </c>
      <c r="I29" s="55">
        <v>87</v>
      </c>
    </row>
    <row r="30" spans="1:9" x14ac:dyDescent="0.25">
      <c r="A30" t="s">
        <v>200</v>
      </c>
      <c r="B30" s="55">
        <v>60</v>
      </c>
      <c r="C30" s="55">
        <v>78</v>
      </c>
      <c r="D30" s="55">
        <v>93</v>
      </c>
      <c r="E30" s="55">
        <v>90</v>
      </c>
      <c r="F30" s="55">
        <v>96</v>
      </c>
      <c r="G30" s="55">
        <v>100</v>
      </c>
      <c r="H30" s="55">
        <v>100</v>
      </c>
      <c r="I30" s="55">
        <v>85</v>
      </c>
    </row>
    <row r="31" spans="1:9" x14ac:dyDescent="0.25">
      <c r="A31" t="s">
        <v>201</v>
      </c>
      <c r="B31" s="55">
        <v>68</v>
      </c>
      <c r="C31" s="55">
        <v>72</v>
      </c>
      <c r="D31" s="55">
        <v>83</v>
      </c>
      <c r="E31" s="55">
        <v>83</v>
      </c>
      <c r="F31" s="55">
        <v>96</v>
      </c>
      <c r="G31" s="55">
        <v>100</v>
      </c>
      <c r="H31" s="55">
        <v>100</v>
      </c>
      <c r="I31" s="55">
        <v>72</v>
      </c>
    </row>
    <row r="32" spans="1:9" x14ac:dyDescent="0.25">
      <c r="A32" t="s">
        <v>202</v>
      </c>
      <c r="B32" s="55">
        <v>50</v>
      </c>
      <c r="C32" s="55">
        <v>65</v>
      </c>
      <c r="D32" s="55">
        <v>85</v>
      </c>
      <c r="E32" s="55">
        <v>87</v>
      </c>
      <c r="F32" s="55">
        <v>102</v>
      </c>
      <c r="G32" s="55">
        <v>100</v>
      </c>
      <c r="H32" s="55">
        <v>100</v>
      </c>
      <c r="I32" s="55">
        <v>86</v>
      </c>
    </row>
    <row r="33" spans="1:9" x14ac:dyDescent="0.25">
      <c r="A33" t="s">
        <v>203</v>
      </c>
      <c r="B33" s="55">
        <v>42</v>
      </c>
      <c r="C33" s="55">
        <v>51</v>
      </c>
      <c r="D33" s="55">
        <v>72</v>
      </c>
      <c r="E33" s="55">
        <v>86</v>
      </c>
      <c r="F33" s="55">
        <v>100</v>
      </c>
      <c r="G33" s="55">
        <v>100</v>
      </c>
      <c r="H33" s="55">
        <v>100</v>
      </c>
      <c r="I33" s="55">
        <v>86</v>
      </c>
    </row>
    <row r="34" spans="1:9" x14ac:dyDescent="0.25">
      <c r="A34" t="s">
        <v>204</v>
      </c>
      <c r="B34" s="55">
        <v>44</v>
      </c>
      <c r="C34" s="55">
        <v>58</v>
      </c>
      <c r="D34" s="55">
        <v>88</v>
      </c>
      <c r="E34" s="55">
        <v>106</v>
      </c>
      <c r="F34" s="55">
        <v>113</v>
      </c>
      <c r="G34" s="55">
        <v>100</v>
      </c>
      <c r="H34" s="55">
        <v>100</v>
      </c>
      <c r="I34" s="55">
        <v>98</v>
      </c>
    </row>
    <row r="35" spans="1:9" x14ac:dyDescent="0.25">
      <c r="A35" t="s">
        <v>205</v>
      </c>
      <c r="B35" s="55">
        <v>45</v>
      </c>
      <c r="C35" s="55">
        <v>62</v>
      </c>
      <c r="D35" s="55">
        <v>81</v>
      </c>
      <c r="E35" s="55">
        <v>88</v>
      </c>
      <c r="F35" s="55">
        <v>94</v>
      </c>
      <c r="G35" s="55">
        <v>100</v>
      </c>
      <c r="H35" s="55">
        <v>100</v>
      </c>
      <c r="I35" s="55">
        <v>97</v>
      </c>
    </row>
    <row r="36" spans="1:9" x14ac:dyDescent="0.25">
      <c r="A36" t="s">
        <v>206</v>
      </c>
      <c r="B36" s="55">
        <v>45</v>
      </c>
      <c r="C36" s="55">
        <v>63</v>
      </c>
      <c r="D36" s="55">
        <v>93</v>
      </c>
      <c r="E36" s="55">
        <v>100</v>
      </c>
      <c r="F36" s="55">
        <v>108</v>
      </c>
      <c r="G36" s="55">
        <v>100</v>
      </c>
      <c r="H36" s="55">
        <v>100</v>
      </c>
      <c r="I36" s="55">
        <v>95</v>
      </c>
    </row>
    <row r="37" spans="1:9" x14ac:dyDescent="0.25">
      <c r="A37" t="s">
        <v>207</v>
      </c>
      <c r="B37" s="55">
        <v>42</v>
      </c>
      <c r="C37" s="55">
        <v>66</v>
      </c>
      <c r="D37" s="55">
        <v>90</v>
      </c>
      <c r="E37" s="55">
        <v>84</v>
      </c>
      <c r="F37" s="55">
        <v>97</v>
      </c>
      <c r="G37" s="55">
        <v>100</v>
      </c>
      <c r="H37" s="55">
        <v>100</v>
      </c>
      <c r="I37" s="55">
        <v>100</v>
      </c>
    </row>
    <row r="38" spans="1:9" x14ac:dyDescent="0.25">
      <c r="A38" t="s">
        <v>208</v>
      </c>
      <c r="B38">
        <v>45</v>
      </c>
      <c r="C38">
        <v>58</v>
      </c>
      <c r="D38">
        <v>78</v>
      </c>
      <c r="E38">
        <v>70</v>
      </c>
      <c r="F38">
        <v>74</v>
      </c>
      <c r="G38">
        <v>92</v>
      </c>
      <c r="H38">
        <v>85</v>
      </c>
      <c r="I38">
        <v>71</v>
      </c>
    </row>
    <row r="39" spans="1:9" x14ac:dyDescent="0.25">
      <c r="A39" t="s">
        <v>209</v>
      </c>
      <c r="B39">
        <v>50</v>
      </c>
      <c r="C39">
        <v>62</v>
      </c>
      <c r="D39">
        <v>84</v>
      </c>
      <c r="E39">
        <v>110</v>
      </c>
      <c r="F39">
        <v>96</v>
      </c>
      <c r="G39">
        <v>105</v>
      </c>
      <c r="H39">
        <v>96</v>
      </c>
      <c r="I39">
        <v>75</v>
      </c>
    </row>
    <row r="40" spans="1:9" x14ac:dyDescent="0.25">
      <c r="A40" t="s">
        <v>210</v>
      </c>
      <c r="B40">
        <v>42</v>
      </c>
      <c r="C40">
        <v>61</v>
      </c>
      <c r="D40">
        <v>73</v>
      </c>
      <c r="E40">
        <v>83</v>
      </c>
      <c r="F40">
        <v>79</v>
      </c>
      <c r="G40">
        <v>83</v>
      </c>
      <c r="H40">
        <v>87</v>
      </c>
      <c r="I40">
        <v>61</v>
      </c>
    </row>
    <row r="41" spans="1:9" x14ac:dyDescent="0.25">
      <c r="A41" t="s">
        <v>211</v>
      </c>
      <c r="B41">
        <v>48</v>
      </c>
      <c r="C41">
        <v>61</v>
      </c>
      <c r="D41">
        <v>81</v>
      </c>
      <c r="E41">
        <v>101</v>
      </c>
      <c r="F41">
        <v>100</v>
      </c>
      <c r="G41">
        <v>89</v>
      </c>
      <c r="H41">
        <v>100</v>
      </c>
      <c r="I41">
        <v>72</v>
      </c>
    </row>
    <row r="42" spans="1:9" x14ac:dyDescent="0.25">
      <c r="A42" t="s">
        <v>212</v>
      </c>
      <c r="B42">
        <v>48</v>
      </c>
      <c r="C42">
        <v>57</v>
      </c>
      <c r="D42">
        <v>86</v>
      </c>
      <c r="E42">
        <v>88</v>
      </c>
      <c r="F42">
        <v>88</v>
      </c>
      <c r="G42">
        <v>91</v>
      </c>
      <c r="H42">
        <v>89</v>
      </c>
      <c r="I42">
        <v>85</v>
      </c>
    </row>
    <row r="43" spans="1:9" x14ac:dyDescent="0.25">
      <c r="A43" t="s">
        <v>213</v>
      </c>
      <c r="B43">
        <v>49</v>
      </c>
      <c r="C43">
        <v>55</v>
      </c>
      <c r="D43">
        <v>80</v>
      </c>
      <c r="E43">
        <v>89</v>
      </c>
      <c r="F43">
        <v>94</v>
      </c>
      <c r="G43">
        <v>90</v>
      </c>
      <c r="H43">
        <v>89</v>
      </c>
      <c r="I43">
        <v>68</v>
      </c>
    </row>
    <row r="44" spans="1:9" x14ac:dyDescent="0.25">
      <c r="A44" t="s">
        <v>214</v>
      </c>
      <c r="B44">
        <v>42</v>
      </c>
      <c r="C44" s="55">
        <v>56</v>
      </c>
      <c r="D44">
        <v>85</v>
      </c>
      <c r="E44">
        <v>92</v>
      </c>
      <c r="F44">
        <v>97</v>
      </c>
      <c r="G44">
        <v>100</v>
      </c>
      <c r="H44">
        <v>100</v>
      </c>
      <c r="I44">
        <v>69</v>
      </c>
    </row>
    <row r="45" spans="1:9" x14ac:dyDescent="0.25">
      <c r="A45" t="s">
        <v>215</v>
      </c>
      <c r="B45">
        <v>46</v>
      </c>
      <c r="C45" s="55">
        <v>58</v>
      </c>
      <c r="D45">
        <v>87</v>
      </c>
      <c r="E45">
        <v>102</v>
      </c>
      <c r="F45">
        <v>100</v>
      </c>
      <c r="G45">
        <v>100</v>
      </c>
      <c r="H45">
        <v>100</v>
      </c>
      <c r="I45">
        <v>70</v>
      </c>
    </row>
    <row r="46" spans="1:9" x14ac:dyDescent="0.25">
      <c r="A46" t="s">
        <v>216</v>
      </c>
      <c r="B46">
        <v>44</v>
      </c>
      <c r="C46" s="55">
        <v>53</v>
      </c>
      <c r="D46">
        <v>77</v>
      </c>
      <c r="E46">
        <v>79</v>
      </c>
      <c r="F46">
        <v>91</v>
      </c>
      <c r="G46">
        <v>97</v>
      </c>
      <c r="H46">
        <v>100</v>
      </c>
      <c r="I46">
        <v>62</v>
      </c>
    </row>
    <row r="47" spans="1:9" x14ac:dyDescent="0.25">
      <c r="A47" t="s">
        <v>217</v>
      </c>
      <c r="B47">
        <v>56</v>
      </c>
      <c r="C47" s="55">
        <v>62</v>
      </c>
      <c r="D47">
        <v>86</v>
      </c>
      <c r="E47">
        <v>98</v>
      </c>
      <c r="F47">
        <v>94</v>
      </c>
      <c r="G47">
        <v>103</v>
      </c>
      <c r="H47">
        <v>100</v>
      </c>
      <c r="I47">
        <v>85</v>
      </c>
    </row>
    <row r="48" spans="1:9" x14ac:dyDescent="0.25">
      <c r="A48" t="s">
        <v>218</v>
      </c>
      <c r="B48">
        <v>56</v>
      </c>
      <c r="C48" s="55">
        <v>63</v>
      </c>
      <c r="D48">
        <v>91</v>
      </c>
      <c r="E48">
        <v>82</v>
      </c>
      <c r="F48">
        <v>92</v>
      </c>
      <c r="G48">
        <v>100</v>
      </c>
      <c r="H48">
        <v>100</v>
      </c>
      <c r="I48">
        <v>84</v>
      </c>
    </row>
    <row r="49" spans="1:9" x14ac:dyDescent="0.25">
      <c r="A49" t="s">
        <v>219</v>
      </c>
      <c r="B49">
        <v>39</v>
      </c>
      <c r="C49" s="55">
        <v>56</v>
      </c>
      <c r="D49">
        <v>90</v>
      </c>
      <c r="E49">
        <v>87</v>
      </c>
      <c r="F49">
        <v>94</v>
      </c>
      <c r="G49">
        <v>100</v>
      </c>
      <c r="H49">
        <v>100</v>
      </c>
      <c r="I49">
        <v>80</v>
      </c>
    </row>
    <row r="50" spans="1:9" x14ac:dyDescent="0.25">
      <c r="A50" t="s">
        <v>220</v>
      </c>
      <c r="B50">
        <v>69</v>
      </c>
      <c r="C50" s="55">
        <v>50</v>
      </c>
      <c r="D50">
        <v>86</v>
      </c>
      <c r="E50">
        <v>93</v>
      </c>
      <c r="F50">
        <v>103</v>
      </c>
      <c r="G50">
        <v>102</v>
      </c>
      <c r="H50">
        <v>95</v>
      </c>
      <c r="I50">
        <v>93</v>
      </c>
    </row>
    <row r="51" spans="1:9" x14ac:dyDescent="0.25">
      <c r="A51" t="s">
        <v>221</v>
      </c>
      <c r="B51">
        <v>74</v>
      </c>
      <c r="C51" s="55">
        <v>57</v>
      </c>
      <c r="D51">
        <v>86</v>
      </c>
      <c r="E51">
        <v>107</v>
      </c>
      <c r="F51">
        <v>110</v>
      </c>
      <c r="G51">
        <v>98</v>
      </c>
      <c r="H51">
        <v>100</v>
      </c>
      <c r="I51">
        <v>92</v>
      </c>
    </row>
    <row r="52" spans="1:9" x14ac:dyDescent="0.25">
      <c r="A52" t="s">
        <v>222</v>
      </c>
      <c r="B52">
        <v>70</v>
      </c>
      <c r="C52" s="55">
        <v>77</v>
      </c>
      <c r="D52">
        <v>85</v>
      </c>
      <c r="E52">
        <v>93</v>
      </c>
      <c r="F52">
        <v>108</v>
      </c>
      <c r="G52">
        <v>99</v>
      </c>
      <c r="H52">
        <v>100</v>
      </c>
      <c r="I52">
        <v>80</v>
      </c>
    </row>
    <row r="53" spans="1:9" x14ac:dyDescent="0.25">
      <c r="A53" t="s">
        <v>223</v>
      </c>
      <c r="B53">
        <v>65</v>
      </c>
      <c r="C53" s="55">
        <v>79</v>
      </c>
      <c r="D53">
        <v>89</v>
      </c>
      <c r="E53">
        <v>103</v>
      </c>
      <c r="F53">
        <v>101</v>
      </c>
      <c r="G53">
        <v>97</v>
      </c>
      <c r="H53">
        <v>100</v>
      </c>
      <c r="I53">
        <v>85</v>
      </c>
    </row>
    <row r="54" spans="1:9" x14ac:dyDescent="0.25">
      <c r="A54" t="s">
        <v>224</v>
      </c>
      <c r="B54">
        <v>65</v>
      </c>
      <c r="C54" s="55">
        <v>75</v>
      </c>
      <c r="D54">
        <v>85</v>
      </c>
      <c r="E54">
        <v>104</v>
      </c>
      <c r="F54">
        <v>91</v>
      </c>
      <c r="G54">
        <v>99</v>
      </c>
      <c r="H54">
        <v>100</v>
      </c>
      <c r="I54">
        <v>87</v>
      </c>
    </row>
    <row r="55" spans="1:9" x14ac:dyDescent="0.25">
      <c r="A55" t="s">
        <v>225</v>
      </c>
      <c r="B55">
        <v>61</v>
      </c>
      <c r="C55" s="55">
        <v>83</v>
      </c>
      <c r="D55">
        <v>98</v>
      </c>
      <c r="E55">
        <v>102</v>
      </c>
      <c r="F55">
        <v>98</v>
      </c>
      <c r="G55">
        <v>104</v>
      </c>
      <c r="H55">
        <v>100</v>
      </c>
      <c r="I55">
        <v>93</v>
      </c>
    </row>
    <row r="56" spans="1:9" x14ac:dyDescent="0.25">
      <c r="A56" t="s">
        <v>226</v>
      </c>
      <c r="B56">
        <v>44</v>
      </c>
      <c r="C56" s="55">
        <v>58</v>
      </c>
      <c r="D56">
        <v>81</v>
      </c>
      <c r="E56">
        <v>96</v>
      </c>
      <c r="F56">
        <v>106</v>
      </c>
      <c r="G56">
        <v>99</v>
      </c>
      <c r="H56">
        <v>100</v>
      </c>
      <c r="I56">
        <v>97</v>
      </c>
    </row>
    <row r="57" spans="1:9" x14ac:dyDescent="0.25">
      <c r="A57" t="s">
        <v>227</v>
      </c>
      <c r="B57">
        <v>50</v>
      </c>
      <c r="C57" s="55">
        <v>59</v>
      </c>
      <c r="D57">
        <v>69</v>
      </c>
      <c r="E57">
        <v>89</v>
      </c>
      <c r="F57">
        <v>93</v>
      </c>
      <c r="G57">
        <v>89</v>
      </c>
      <c r="H57">
        <v>100</v>
      </c>
      <c r="I57">
        <v>81</v>
      </c>
    </row>
    <row r="58" spans="1:9" x14ac:dyDescent="0.25">
      <c r="A58" t="s">
        <v>228</v>
      </c>
      <c r="B58">
        <v>51</v>
      </c>
      <c r="C58" s="55">
        <v>54</v>
      </c>
      <c r="D58">
        <v>75</v>
      </c>
      <c r="E58">
        <v>79</v>
      </c>
      <c r="F58">
        <v>91</v>
      </c>
      <c r="G58">
        <v>97</v>
      </c>
      <c r="H58">
        <v>100</v>
      </c>
      <c r="I58">
        <v>92</v>
      </c>
    </row>
    <row r="59" spans="1:9" x14ac:dyDescent="0.25">
      <c r="A59" t="s">
        <v>229</v>
      </c>
      <c r="B59">
        <v>53</v>
      </c>
      <c r="C59" s="55">
        <v>49</v>
      </c>
      <c r="D59">
        <v>69</v>
      </c>
      <c r="E59">
        <v>66</v>
      </c>
      <c r="F59">
        <v>78</v>
      </c>
      <c r="G59">
        <v>85</v>
      </c>
      <c r="H59">
        <v>100</v>
      </c>
      <c r="I59">
        <v>77</v>
      </c>
    </row>
    <row r="60" spans="1:9" x14ac:dyDescent="0.25">
      <c r="A60" t="s">
        <v>230</v>
      </c>
      <c r="B60">
        <v>53</v>
      </c>
      <c r="C60" s="55">
        <v>56</v>
      </c>
      <c r="D60">
        <v>77</v>
      </c>
      <c r="E60">
        <v>87</v>
      </c>
      <c r="F60">
        <v>92</v>
      </c>
      <c r="G60">
        <v>88</v>
      </c>
      <c r="H60">
        <v>100</v>
      </c>
      <c r="I60">
        <v>90</v>
      </c>
    </row>
    <row r="61" spans="1:9" x14ac:dyDescent="0.25">
      <c r="A61" t="s">
        <v>231</v>
      </c>
      <c r="B61">
        <v>49</v>
      </c>
      <c r="C61" s="55">
        <v>59</v>
      </c>
      <c r="D61">
        <v>69</v>
      </c>
      <c r="E61">
        <v>102</v>
      </c>
      <c r="F61">
        <v>94</v>
      </c>
      <c r="G61">
        <v>92</v>
      </c>
      <c r="H61">
        <v>100</v>
      </c>
      <c r="I61">
        <v>91</v>
      </c>
    </row>
    <row r="62" spans="1:9" x14ac:dyDescent="0.25">
      <c r="A62" t="s">
        <v>232</v>
      </c>
      <c r="B62">
        <v>41</v>
      </c>
      <c r="C62" s="55">
        <v>46</v>
      </c>
      <c r="D62">
        <v>76</v>
      </c>
      <c r="E62">
        <v>81</v>
      </c>
      <c r="F62">
        <v>87</v>
      </c>
      <c r="G62">
        <v>98</v>
      </c>
      <c r="H62">
        <v>100</v>
      </c>
      <c r="I62">
        <v>89</v>
      </c>
    </row>
    <row r="63" spans="1:9" x14ac:dyDescent="0.25">
      <c r="A63" t="s">
        <v>233</v>
      </c>
      <c r="B63">
        <v>59</v>
      </c>
      <c r="C63" s="55">
        <v>66</v>
      </c>
      <c r="D63">
        <v>82</v>
      </c>
      <c r="E63">
        <v>97</v>
      </c>
      <c r="F63">
        <v>92</v>
      </c>
      <c r="G63">
        <v>90</v>
      </c>
      <c r="H63">
        <v>100</v>
      </c>
      <c r="I63">
        <v>76</v>
      </c>
    </row>
    <row r="64" spans="1:9" x14ac:dyDescent="0.25">
      <c r="A64" t="s">
        <v>234</v>
      </c>
      <c r="B64">
        <v>53</v>
      </c>
      <c r="C64" s="55">
        <v>60</v>
      </c>
      <c r="D64">
        <v>79</v>
      </c>
      <c r="E64">
        <v>92</v>
      </c>
      <c r="F64">
        <v>95</v>
      </c>
      <c r="G64">
        <v>100</v>
      </c>
      <c r="H64">
        <v>70</v>
      </c>
      <c r="I64">
        <v>96</v>
      </c>
    </row>
    <row r="65" spans="1:9" x14ac:dyDescent="0.25">
      <c r="A65" t="s">
        <v>235</v>
      </c>
      <c r="B65">
        <v>56</v>
      </c>
      <c r="C65" s="55">
        <v>52</v>
      </c>
      <c r="D65">
        <v>65</v>
      </c>
      <c r="E65">
        <v>68</v>
      </c>
      <c r="F65">
        <v>94</v>
      </c>
      <c r="G65">
        <v>103</v>
      </c>
      <c r="H65">
        <v>100</v>
      </c>
      <c r="I65">
        <v>85</v>
      </c>
    </row>
    <row r="66" spans="1:9" x14ac:dyDescent="0.25">
      <c r="A66" t="s">
        <v>236</v>
      </c>
      <c r="B66">
        <v>56</v>
      </c>
      <c r="C66" s="55">
        <v>67</v>
      </c>
      <c r="D66">
        <v>84</v>
      </c>
      <c r="E66">
        <v>110</v>
      </c>
      <c r="F66">
        <v>87</v>
      </c>
      <c r="G66">
        <v>100</v>
      </c>
      <c r="H66">
        <v>100</v>
      </c>
      <c r="I66">
        <v>85</v>
      </c>
    </row>
    <row r="67" spans="1:9" x14ac:dyDescent="0.25">
      <c r="A67" t="s">
        <v>237</v>
      </c>
      <c r="B67">
        <v>50</v>
      </c>
      <c r="C67" s="55">
        <v>61</v>
      </c>
      <c r="D67">
        <v>74</v>
      </c>
      <c r="E67">
        <v>99</v>
      </c>
      <c r="F67">
        <v>95</v>
      </c>
      <c r="G67">
        <v>100</v>
      </c>
      <c r="H67">
        <v>100</v>
      </c>
      <c r="I67">
        <v>77</v>
      </c>
    </row>
    <row r="68" spans="1:9" x14ac:dyDescent="0.25">
      <c r="A68" t="s">
        <v>238</v>
      </c>
      <c r="B68">
        <v>72</v>
      </c>
      <c r="C68" s="55">
        <v>79</v>
      </c>
      <c r="D68">
        <v>92</v>
      </c>
      <c r="E68">
        <v>110</v>
      </c>
      <c r="F68">
        <v>107</v>
      </c>
      <c r="G68">
        <v>100</v>
      </c>
      <c r="H68">
        <v>55</v>
      </c>
      <c r="I68">
        <v>86</v>
      </c>
    </row>
    <row r="69" spans="1:9" x14ac:dyDescent="0.25">
      <c r="A69" t="s">
        <v>239</v>
      </c>
      <c r="B69">
        <v>73</v>
      </c>
      <c r="C69" s="55">
        <v>76</v>
      </c>
      <c r="D69">
        <v>91</v>
      </c>
      <c r="E69">
        <v>122</v>
      </c>
      <c r="F69">
        <v>108</v>
      </c>
      <c r="G69">
        <v>100</v>
      </c>
      <c r="H69">
        <v>100</v>
      </c>
      <c r="I69">
        <v>88</v>
      </c>
    </row>
    <row r="70" spans="1:9" x14ac:dyDescent="0.25">
      <c r="A70" t="s">
        <v>240</v>
      </c>
      <c r="B70">
        <v>71</v>
      </c>
      <c r="C70" s="55">
        <v>82</v>
      </c>
      <c r="D70">
        <v>89</v>
      </c>
      <c r="E70">
        <v>103</v>
      </c>
      <c r="F70">
        <v>101</v>
      </c>
      <c r="G70">
        <v>100</v>
      </c>
      <c r="H70">
        <v>100</v>
      </c>
      <c r="I70">
        <v>89</v>
      </c>
    </row>
    <row r="71" spans="1:9" x14ac:dyDescent="0.25">
      <c r="A71" t="s">
        <v>241</v>
      </c>
      <c r="B71">
        <v>46</v>
      </c>
      <c r="C71" s="55">
        <v>73</v>
      </c>
      <c r="D71">
        <v>96</v>
      </c>
      <c r="E71">
        <v>121</v>
      </c>
      <c r="F71">
        <v>103</v>
      </c>
      <c r="G71">
        <v>100</v>
      </c>
      <c r="H71">
        <v>100</v>
      </c>
      <c r="I71">
        <v>89</v>
      </c>
    </row>
    <row r="72" spans="1:9" x14ac:dyDescent="0.25">
      <c r="A72" t="s">
        <v>242</v>
      </c>
      <c r="B72">
        <v>69</v>
      </c>
      <c r="C72" s="55">
        <v>78</v>
      </c>
      <c r="D72">
        <v>97</v>
      </c>
      <c r="E72">
        <v>106</v>
      </c>
      <c r="F72">
        <v>101</v>
      </c>
      <c r="G72">
        <v>100</v>
      </c>
      <c r="H72">
        <v>56</v>
      </c>
      <c r="I72">
        <v>100</v>
      </c>
    </row>
    <row r="73" spans="1:9" x14ac:dyDescent="0.25">
      <c r="A73" t="s">
        <v>243</v>
      </c>
      <c r="B73">
        <v>77</v>
      </c>
      <c r="C73" s="55">
        <v>82</v>
      </c>
      <c r="D73">
        <v>103</v>
      </c>
      <c r="E73">
        <v>109</v>
      </c>
      <c r="F73">
        <v>107</v>
      </c>
      <c r="G73">
        <v>100</v>
      </c>
      <c r="H73">
        <v>100</v>
      </c>
      <c r="I73">
        <v>87</v>
      </c>
    </row>
    <row r="74" spans="1:9" x14ac:dyDescent="0.25">
      <c r="A74" t="s">
        <v>244</v>
      </c>
      <c r="B74">
        <v>38</v>
      </c>
      <c r="C74" s="55">
        <v>58</v>
      </c>
      <c r="D74">
        <v>80</v>
      </c>
      <c r="E74">
        <v>94</v>
      </c>
      <c r="F74">
        <v>92</v>
      </c>
      <c r="G74">
        <v>100</v>
      </c>
      <c r="H74">
        <v>100</v>
      </c>
      <c r="I74">
        <v>74</v>
      </c>
    </row>
    <row r="75" spans="1:9" x14ac:dyDescent="0.25">
      <c r="A75" t="s">
        <v>245</v>
      </c>
      <c r="B75">
        <v>41</v>
      </c>
      <c r="C75" s="55">
        <v>51</v>
      </c>
      <c r="D75">
        <v>81</v>
      </c>
      <c r="E75">
        <v>98</v>
      </c>
      <c r="F75">
        <v>101</v>
      </c>
      <c r="G75">
        <v>89</v>
      </c>
      <c r="H75">
        <v>100</v>
      </c>
      <c r="I75">
        <v>100</v>
      </c>
    </row>
    <row r="76" spans="1:9" x14ac:dyDescent="0.25">
      <c r="A76" t="s">
        <v>246</v>
      </c>
      <c r="B76">
        <v>51</v>
      </c>
      <c r="C76" s="55">
        <v>62</v>
      </c>
      <c r="D76">
        <v>80</v>
      </c>
      <c r="E76">
        <v>115</v>
      </c>
      <c r="F76">
        <v>110</v>
      </c>
      <c r="G76">
        <v>105</v>
      </c>
      <c r="H76">
        <v>70</v>
      </c>
      <c r="I76">
        <v>85</v>
      </c>
    </row>
    <row r="77" spans="1:9" x14ac:dyDescent="0.25">
      <c r="A77" t="s">
        <v>247</v>
      </c>
      <c r="B77">
        <v>38</v>
      </c>
      <c r="C77" s="55">
        <v>53</v>
      </c>
      <c r="D77">
        <v>78</v>
      </c>
      <c r="E77">
        <v>93</v>
      </c>
      <c r="F77">
        <v>93</v>
      </c>
      <c r="G77">
        <v>102</v>
      </c>
      <c r="H77">
        <v>100</v>
      </c>
      <c r="I77">
        <v>85</v>
      </c>
    </row>
    <row r="78" spans="1:9" x14ac:dyDescent="0.25">
      <c r="A78" t="s">
        <v>248</v>
      </c>
      <c r="B78">
        <v>59</v>
      </c>
      <c r="C78" s="55">
        <v>60</v>
      </c>
      <c r="D78">
        <v>87</v>
      </c>
      <c r="E78">
        <v>124</v>
      </c>
      <c r="F78">
        <v>90</v>
      </c>
      <c r="G78">
        <v>98</v>
      </c>
      <c r="H78">
        <v>66</v>
      </c>
      <c r="I78">
        <v>96</v>
      </c>
    </row>
    <row r="79" spans="1:9" x14ac:dyDescent="0.25">
      <c r="A79" t="s">
        <v>249</v>
      </c>
      <c r="B79">
        <v>48</v>
      </c>
      <c r="C79" s="55">
        <v>57</v>
      </c>
      <c r="D79">
        <v>90</v>
      </c>
      <c r="E79">
        <v>92</v>
      </c>
      <c r="F79">
        <v>105</v>
      </c>
      <c r="G79">
        <v>102</v>
      </c>
      <c r="H79">
        <v>70</v>
      </c>
      <c r="I79">
        <v>89</v>
      </c>
    </row>
    <row r="80" spans="1:9" x14ac:dyDescent="0.25">
      <c r="A80" t="s">
        <v>250</v>
      </c>
      <c r="B80">
        <v>33</v>
      </c>
      <c r="C80" s="55">
        <v>55</v>
      </c>
      <c r="D80">
        <v>70</v>
      </c>
      <c r="E80">
        <v>85</v>
      </c>
      <c r="F80">
        <v>91</v>
      </c>
      <c r="G80">
        <v>97</v>
      </c>
      <c r="H80">
        <v>100</v>
      </c>
      <c r="I80">
        <v>89</v>
      </c>
    </row>
    <row r="81" spans="1:9" x14ac:dyDescent="0.25">
      <c r="A81" t="s">
        <v>251</v>
      </c>
      <c r="B81">
        <v>39</v>
      </c>
      <c r="C81" s="55">
        <v>53</v>
      </c>
      <c r="D81">
        <v>65</v>
      </c>
      <c r="E81">
        <v>64</v>
      </c>
      <c r="F81">
        <v>77</v>
      </c>
      <c r="G81">
        <v>82</v>
      </c>
      <c r="H81">
        <v>85</v>
      </c>
      <c r="I81">
        <v>71</v>
      </c>
    </row>
    <row r="82" spans="1:9" x14ac:dyDescent="0.25">
      <c r="A82" t="s">
        <v>252</v>
      </c>
      <c r="B82">
        <v>44</v>
      </c>
      <c r="C82" s="55">
        <v>59</v>
      </c>
      <c r="D82">
        <v>70</v>
      </c>
      <c r="E82">
        <v>94</v>
      </c>
      <c r="F82">
        <v>97</v>
      </c>
      <c r="G82">
        <v>93</v>
      </c>
      <c r="H82">
        <v>97</v>
      </c>
      <c r="I82">
        <v>79</v>
      </c>
    </row>
    <row r="83" spans="1:9" x14ac:dyDescent="0.25">
      <c r="A83" t="s">
        <v>253</v>
      </c>
      <c r="B83">
        <v>48</v>
      </c>
      <c r="C83" s="55">
        <v>59</v>
      </c>
      <c r="D83">
        <v>70</v>
      </c>
      <c r="E83">
        <v>88</v>
      </c>
      <c r="F83">
        <v>95</v>
      </c>
      <c r="G83">
        <v>90</v>
      </c>
      <c r="H83">
        <v>100</v>
      </c>
      <c r="I83">
        <v>86</v>
      </c>
    </row>
    <row r="84" spans="1:9" x14ac:dyDescent="0.25">
      <c r="A84" t="s">
        <v>254</v>
      </c>
      <c r="B84">
        <v>42</v>
      </c>
      <c r="C84" s="55">
        <v>55</v>
      </c>
      <c r="D84">
        <v>70</v>
      </c>
      <c r="E84">
        <v>76</v>
      </c>
      <c r="F84">
        <v>87</v>
      </c>
      <c r="G84">
        <v>82</v>
      </c>
      <c r="H84">
        <v>92</v>
      </c>
      <c r="I84">
        <v>86</v>
      </c>
    </row>
    <row r="85" spans="1:9" x14ac:dyDescent="0.25">
      <c r="A85" t="s">
        <v>255</v>
      </c>
      <c r="B85">
        <v>41</v>
      </c>
      <c r="C85" s="55">
        <v>60</v>
      </c>
      <c r="D85">
        <v>63</v>
      </c>
      <c r="E85">
        <v>81</v>
      </c>
      <c r="F85">
        <v>85</v>
      </c>
      <c r="G85">
        <v>95</v>
      </c>
      <c r="H85">
        <v>100</v>
      </c>
      <c r="I85">
        <v>97</v>
      </c>
    </row>
    <row r="86" spans="1:9" x14ac:dyDescent="0.25">
      <c r="A86" t="s">
        <v>256</v>
      </c>
      <c r="B86">
        <v>54</v>
      </c>
      <c r="C86" s="55">
        <v>63</v>
      </c>
      <c r="D86">
        <v>83</v>
      </c>
      <c r="E86">
        <v>104</v>
      </c>
      <c r="F86">
        <v>96</v>
      </c>
      <c r="G86">
        <v>100</v>
      </c>
      <c r="H86">
        <v>100</v>
      </c>
      <c r="I86">
        <v>88</v>
      </c>
    </row>
    <row r="87" spans="1:9" x14ac:dyDescent="0.25">
      <c r="A87" t="s">
        <v>257</v>
      </c>
      <c r="B87">
        <v>55</v>
      </c>
      <c r="C87" s="55">
        <v>66</v>
      </c>
      <c r="D87">
        <v>83</v>
      </c>
      <c r="E87">
        <v>101</v>
      </c>
      <c r="F87">
        <v>89</v>
      </c>
      <c r="G87">
        <v>97</v>
      </c>
      <c r="H87">
        <v>90</v>
      </c>
      <c r="I87">
        <v>84</v>
      </c>
    </row>
    <row r="88" spans="1:9" x14ac:dyDescent="0.25">
      <c r="A88" t="s">
        <v>258</v>
      </c>
      <c r="B88">
        <v>49</v>
      </c>
      <c r="C88" s="55">
        <v>57</v>
      </c>
      <c r="D88">
        <v>70</v>
      </c>
      <c r="E88">
        <v>90</v>
      </c>
      <c r="F88">
        <v>98</v>
      </c>
      <c r="G88">
        <v>95</v>
      </c>
      <c r="H88">
        <v>82</v>
      </c>
      <c r="I88">
        <v>85</v>
      </c>
    </row>
    <row r="89" spans="1:9" x14ac:dyDescent="0.25">
      <c r="A89" t="s">
        <v>259</v>
      </c>
      <c r="B89">
        <v>62</v>
      </c>
      <c r="C89" s="55">
        <v>73</v>
      </c>
      <c r="D89">
        <v>87</v>
      </c>
      <c r="E89">
        <v>104</v>
      </c>
      <c r="F89">
        <v>103</v>
      </c>
      <c r="G89">
        <v>100</v>
      </c>
      <c r="H89">
        <v>100</v>
      </c>
      <c r="I89">
        <v>79</v>
      </c>
    </row>
    <row r="90" spans="1:9" x14ac:dyDescent="0.25">
      <c r="A90" t="s">
        <v>260</v>
      </c>
      <c r="B90">
        <v>53</v>
      </c>
      <c r="C90" s="55">
        <v>67</v>
      </c>
      <c r="D90">
        <v>85</v>
      </c>
      <c r="E90">
        <v>88</v>
      </c>
      <c r="F90">
        <v>88</v>
      </c>
      <c r="G90">
        <v>90</v>
      </c>
      <c r="H90">
        <v>95</v>
      </c>
      <c r="I90">
        <v>89</v>
      </c>
    </row>
    <row r="91" spans="1:9" x14ac:dyDescent="0.25">
      <c r="A91" t="s">
        <v>261</v>
      </c>
      <c r="B91">
        <v>58</v>
      </c>
      <c r="C91" s="55">
        <v>66</v>
      </c>
      <c r="D91">
        <v>90</v>
      </c>
      <c r="E91">
        <v>112</v>
      </c>
      <c r="F91">
        <v>97</v>
      </c>
      <c r="G91">
        <v>100</v>
      </c>
      <c r="H91">
        <v>100</v>
      </c>
      <c r="I91">
        <v>80</v>
      </c>
    </row>
    <row r="92" spans="1:9" x14ac:dyDescent="0.25">
      <c r="A92" t="s">
        <v>262</v>
      </c>
      <c r="B92">
        <v>41</v>
      </c>
      <c r="C92" s="55">
        <v>55</v>
      </c>
      <c r="D92">
        <v>81</v>
      </c>
      <c r="E92">
        <v>97</v>
      </c>
      <c r="F92">
        <v>89</v>
      </c>
      <c r="G92">
        <v>88</v>
      </c>
      <c r="H92">
        <v>87</v>
      </c>
      <c r="I92">
        <v>88</v>
      </c>
    </row>
    <row r="93" spans="1:9" x14ac:dyDescent="0.25">
      <c r="A93" t="s">
        <v>263</v>
      </c>
      <c r="B93">
        <v>47</v>
      </c>
      <c r="C93" s="55">
        <v>59</v>
      </c>
      <c r="D93">
        <v>84</v>
      </c>
      <c r="E93">
        <v>95</v>
      </c>
      <c r="F93">
        <v>97</v>
      </c>
      <c r="G93">
        <v>93</v>
      </c>
      <c r="H93">
        <v>100</v>
      </c>
      <c r="I93">
        <v>87</v>
      </c>
    </row>
    <row r="94" spans="1:9" x14ac:dyDescent="0.25">
      <c r="A94" t="s">
        <v>264</v>
      </c>
      <c r="B94">
        <v>0</v>
      </c>
      <c r="C94" s="55">
        <v>49</v>
      </c>
      <c r="D94">
        <v>66</v>
      </c>
      <c r="E94">
        <v>83</v>
      </c>
      <c r="F94">
        <v>86</v>
      </c>
      <c r="G94">
        <v>87</v>
      </c>
      <c r="H94">
        <v>94</v>
      </c>
      <c r="I94">
        <v>73</v>
      </c>
    </row>
    <row r="95" spans="1:9" x14ac:dyDescent="0.25">
      <c r="A95" t="s">
        <v>265</v>
      </c>
      <c r="B95">
        <v>44</v>
      </c>
      <c r="C95" s="55">
        <v>53</v>
      </c>
      <c r="D95">
        <v>77</v>
      </c>
      <c r="E95">
        <v>86</v>
      </c>
      <c r="F95">
        <v>89</v>
      </c>
      <c r="G95">
        <v>96</v>
      </c>
      <c r="H95">
        <v>86</v>
      </c>
      <c r="I95">
        <v>79</v>
      </c>
    </row>
    <row r="96" spans="1:9" x14ac:dyDescent="0.25">
      <c r="A96" t="s">
        <v>266</v>
      </c>
      <c r="B96">
        <v>40</v>
      </c>
      <c r="C96" s="55">
        <v>49</v>
      </c>
      <c r="D96">
        <v>72</v>
      </c>
      <c r="E96">
        <v>89</v>
      </c>
      <c r="F96">
        <v>96</v>
      </c>
      <c r="G96">
        <v>88</v>
      </c>
      <c r="H96">
        <v>93</v>
      </c>
      <c r="I96">
        <v>91</v>
      </c>
    </row>
    <row r="97" spans="1:9" x14ac:dyDescent="0.25">
      <c r="A97" t="s">
        <v>267</v>
      </c>
      <c r="B97">
        <v>39</v>
      </c>
      <c r="C97" s="55">
        <v>48</v>
      </c>
      <c r="D97">
        <v>76</v>
      </c>
      <c r="E97">
        <v>97</v>
      </c>
      <c r="F97">
        <v>92</v>
      </c>
      <c r="G97">
        <v>90</v>
      </c>
      <c r="H97">
        <v>97</v>
      </c>
      <c r="I97">
        <v>97</v>
      </c>
    </row>
    <row r="98" spans="1:9" x14ac:dyDescent="0.25">
      <c r="A98" t="s">
        <v>268</v>
      </c>
      <c r="B98">
        <v>43</v>
      </c>
      <c r="C98" s="55">
        <v>52</v>
      </c>
      <c r="D98">
        <v>77</v>
      </c>
      <c r="E98">
        <v>102</v>
      </c>
      <c r="F98">
        <v>81</v>
      </c>
      <c r="G98">
        <v>107</v>
      </c>
      <c r="H98">
        <v>97</v>
      </c>
      <c r="I98">
        <v>90</v>
      </c>
    </row>
    <row r="99" spans="1:9" x14ac:dyDescent="0.25">
      <c r="A99" t="s">
        <v>269</v>
      </c>
      <c r="B99">
        <v>46</v>
      </c>
      <c r="C99" s="55">
        <v>59</v>
      </c>
      <c r="D99">
        <v>82</v>
      </c>
      <c r="E99">
        <v>101</v>
      </c>
      <c r="F99">
        <v>93</v>
      </c>
      <c r="G99">
        <v>107</v>
      </c>
      <c r="H99">
        <v>99</v>
      </c>
      <c r="I99">
        <v>94</v>
      </c>
    </row>
    <row r="100" spans="1:9" x14ac:dyDescent="0.25">
      <c r="A100" t="s">
        <v>270</v>
      </c>
      <c r="B100">
        <v>60</v>
      </c>
      <c r="C100" s="55">
        <v>72</v>
      </c>
      <c r="D100">
        <v>90</v>
      </c>
      <c r="E100">
        <v>104</v>
      </c>
      <c r="F100">
        <v>100</v>
      </c>
      <c r="G100">
        <v>107</v>
      </c>
      <c r="H100">
        <v>100</v>
      </c>
      <c r="I100">
        <v>87</v>
      </c>
    </row>
    <row r="101" spans="1:9" x14ac:dyDescent="0.25">
      <c r="A101" t="s">
        <v>271</v>
      </c>
      <c r="B101">
        <v>56</v>
      </c>
      <c r="C101" s="55">
        <v>61</v>
      </c>
      <c r="D101">
        <v>79</v>
      </c>
      <c r="E101">
        <v>96</v>
      </c>
      <c r="F101">
        <v>99</v>
      </c>
      <c r="G101">
        <v>96</v>
      </c>
      <c r="H101">
        <v>92</v>
      </c>
      <c r="I101">
        <v>81</v>
      </c>
    </row>
    <row r="102" spans="1:9" x14ac:dyDescent="0.25">
      <c r="A102" t="s">
        <v>272</v>
      </c>
      <c r="B102">
        <v>54</v>
      </c>
      <c r="C102" s="55">
        <v>59</v>
      </c>
      <c r="D102">
        <v>84</v>
      </c>
      <c r="E102">
        <v>109</v>
      </c>
      <c r="F102">
        <v>96</v>
      </c>
      <c r="G102">
        <v>105</v>
      </c>
      <c r="H102">
        <v>91</v>
      </c>
      <c r="I102">
        <v>78</v>
      </c>
    </row>
    <row r="103" spans="1:9" x14ac:dyDescent="0.25">
      <c r="A103" t="s">
        <v>273</v>
      </c>
      <c r="B103">
        <v>57</v>
      </c>
      <c r="C103" s="55">
        <v>62</v>
      </c>
      <c r="D103">
        <v>82</v>
      </c>
      <c r="E103">
        <v>97</v>
      </c>
      <c r="F103">
        <v>98</v>
      </c>
      <c r="G103">
        <v>97</v>
      </c>
      <c r="H103">
        <v>95</v>
      </c>
      <c r="I103">
        <v>85</v>
      </c>
    </row>
    <row r="104" spans="1:9" x14ac:dyDescent="0.25">
      <c r="A104" t="s">
        <v>274</v>
      </c>
      <c r="B104">
        <v>42</v>
      </c>
      <c r="C104" s="55">
        <v>68</v>
      </c>
      <c r="D104">
        <v>82</v>
      </c>
      <c r="E104">
        <v>84</v>
      </c>
      <c r="F104">
        <v>88</v>
      </c>
      <c r="G104">
        <v>110</v>
      </c>
      <c r="H104">
        <v>85</v>
      </c>
      <c r="I104">
        <v>73</v>
      </c>
    </row>
    <row r="105" spans="1:9" x14ac:dyDescent="0.25">
      <c r="A105" t="s">
        <v>275</v>
      </c>
      <c r="B105">
        <v>53</v>
      </c>
      <c r="C105" s="55">
        <v>47</v>
      </c>
      <c r="D105">
        <v>71</v>
      </c>
      <c r="E105">
        <v>94</v>
      </c>
      <c r="F105">
        <v>103</v>
      </c>
      <c r="G105">
        <v>106</v>
      </c>
      <c r="H105">
        <v>78</v>
      </c>
      <c r="I105">
        <v>73</v>
      </c>
    </row>
    <row r="106" spans="1:9" x14ac:dyDescent="0.25">
      <c r="A106" t="s">
        <v>276</v>
      </c>
      <c r="B106">
        <v>35</v>
      </c>
      <c r="C106" s="55">
        <v>55</v>
      </c>
      <c r="D106">
        <v>80</v>
      </c>
      <c r="E106">
        <v>93</v>
      </c>
      <c r="F106">
        <v>90</v>
      </c>
      <c r="G106">
        <v>88</v>
      </c>
      <c r="H106">
        <v>89</v>
      </c>
      <c r="I106">
        <v>76</v>
      </c>
    </row>
    <row r="107" spans="1:9" x14ac:dyDescent="0.25">
      <c r="A107" t="s">
        <v>277</v>
      </c>
      <c r="B107">
        <v>54</v>
      </c>
      <c r="C107" s="55">
        <v>58</v>
      </c>
      <c r="D107">
        <v>74</v>
      </c>
      <c r="E107">
        <v>76</v>
      </c>
      <c r="F107">
        <v>95</v>
      </c>
      <c r="G107">
        <v>91</v>
      </c>
      <c r="H107">
        <v>86</v>
      </c>
      <c r="I107">
        <v>64</v>
      </c>
    </row>
    <row r="108" spans="1:9" x14ac:dyDescent="0.25">
      <c r="A108" t="s">
        <v>278</v>
      </c>
      <c r="B108">
        <v>48</v>
      </c>
      <c r="C108" s="55">
        <v>59</v>
      </c>
      <c r="D108">
        <v>77</v>
      </c>
      <c r="E108">
        <v>84</v>
      </c>
      <c r="F108">
        <v>86</v>
      </c>
      <c r="G108">
        <v>90</v>
      </c>
      <c r="H108">
        <v>84</v>
      </c>
      <c r="I108">
        <v>69</v>
      </c>
    </row>
    <row r="109" spans="1:9" x14ac:dyDescent="0.25">
      <c r="A109" t="s">
        <v>279</v>
      </c>
      <c r="B109">
        <v>41</v>
      </c>
      <c r="C109" s="55">
        <v>50</v>
      </c>
      <c r="D109">
        <v>72</v>
      </c>
      <c r="E109">
        <v>73</v>
      </c>
      <c r="F109">
        <v>87</v>
      </c>
      <c r="G109">
        <v>92</v>
      </c>
      <c r="H109">
        <v>85</v>
      </c>
      <c r="I109">
        <v>76</v>
      </c>
    </row>
    <row r="110" spans="1:9" x14ac:dyDescent="0.25">
      <c r="A110" t="s">
        <v>280</v>
      </c>
      <c r="B110">
        <v>51</v>
      </c>
      <c r="C110" s="55">
        <v>56</v>
      </c>
      <c r="D110">
        <v>80</v>
      </c>
      <c r="E110">
        <v>95</v>
      </c>
      <c r="F110">
        <v>94</v>
      </c>
      <c r="G110">
        <v>101</v>
      </c>
      <c r="H110">
        <v>100</v>
      </c>
      <c r="I110">
        <v>77</v>
      </c>
    </row>
    <row r="111" spans="1:9" x14ac:dyDescent="0.25">
      <c r="A111" t="s">
        <v>281</v>
      </c>
      <c r="B111">
        <v>42</v>
      </c>
      <c r="C111" s="55">
        <v>57</v>
      </c>
      <c r="D111">
        <v>73</v>
      </c>
      <c r="E111">
        <v>79</v>
      </c>
      <c r="F111">
        <v>95</v>
      </c>
      <c r="G111">
        <v>103</v>
      </c>
      <c r="H111">
        <v>89</v>
      </c>
      <c r="I111">
        <v>73</v>
      </c>
    </row>
    <row r="112" spans="1:9" x14ac:dyDescent="0.25">
      <c r="A112" t="s">
        <v>282</v>
      </c>
      <c r="B112">
        <v>37</v>
      </c>
      <c r="C112" s="55">
        <v>50</v>
      </c>
      <c r="D112">
        <v>66</v>
      </c>
      <c r="E112">
        <v>75</v>
      </c>
      <c r="F112">
        <v>82</v>
      </c>
      <c r="G112">
        <v>89</v>
      </c>
      <c r="H112">
        <v>92</v>
      </c>
      <c r="I112">
        <v>81</v>
      </c>
    </row>
    <row r="113" spans="1:9" x14ac:dyDescent="0.25">
      <c r="A113" t="s">
        <v>283</v>
      </c>
      <c r="B113">
        <v>51</v>
      </c>
      <c r="C113" s="55">
        <v>66</v>
      </c>
      <c r="D113">
        <v>83</v>
      </c>
      <c r="E113">
        <v>78</v>
      </c>
      <c r="F113">
        <v>84</v>
      </c>
      <c r="G113">
        <v>97</v>
      </c>
      <c r="H113">
        <v>93</v>
      </c>
      <c r="I113">
        <v>80</v>
      </c>
    </row>
    <row r="114" spans="1:9" x14ac:dyDescent="0.25">
      <c r="A114" t="s">
        <v>284</v>
      </c>
      <c r="B114">
        <v>42</v>
      </c>
      <c r="C114" s="55">
        <v>75</v>
      </c>
      <c r="D114">
        <v>93</v>
      </c>
      <c r="E114">
        <v>87</v>
      </c>
      <c r="F114">
        <v>111</v>
      </c>
      <c r="G114">
        <v>97</v>
      </c>
      <c r="H114">
        <v>40</v>
      </c>
      <c r="I114">
        <v>83</v>
      </c>
    </row>
    <row r="115" spans="1:9" x14ac:dyDescent="0.25">
      <c r="A115" t="s">
        <v>285</v>
      </c>
      <c r="B115">
        <v>39</v>
      </c>
      <c r="C115" s="55">
        <v>53</v>
      </c>
      <c r="D115">
        <v>72</v>
      </c>
      <c r="E115">
        <v>92</v>
      </c>
      <c r="F115">
        <v>102</v>
      </c>
      <c r="G115">
        <v>89</v>
      </c>
      <c r="H115">
        <v>91</v>
      </c>
      <c r="I115">
        <v>84</v>
      </c>
    </row>
    <row r="116" spans="1:9" x14ac:dyDescent="0.25">
      <c r="A116" t="s">
        <v>286</v>
      </c>
      <c r="B116">
        <v>50</v>
      </c>
      <c r="C116" s="55">
        <v>51</v>
      </c>
      <c r="D116">
        <v>77</v>
      </c>
      <c r="E116">
        <v>104</v>
      </c>
      <c r="F116">
        <v>96</v>
      </c>
      <c r="G116">
        <v>100</v>
      </c>
      <c r="H116">
        <v>99</v>
      </c>
      <c r="I116">
        <v>87</v>
      </c>
    </row>
    <row r="117" spans="1:9" x14ac:dyDescent="0.25">
      <c r="A117" t="s">
        <v>287</v>
      </c>
      <c r="B117">
        <v>50</v>
      </c>
      <c r="C117" s="55">
        <v>53</v>
      </c>
      <c r="D117">
        <v>81</v>
      </c>
      <c r="E117">
        <v>82</v>
      </c>
      <c r="F117">
        <v>90</v>
      </c>
      <c r="G117">
        <v>92</v>
      </c>
      <c r="H117">
        <v>93</v>
      </c>
      <c r="I117">
        <v>77</v>
      </c>
    </row>
    <row r="118" spans="1:9" x14ac:dyDescent="0.25">
      <c r="A118" t="s">
        <v>288</v>
      </c>
      <c r="B118">
        <v>38</v>
      </c>
      <c r="C118" s="55">
        <v>52</v>
      </c>
      <c r="D118">
        <v>82</v>
      </c>
      <c r="E118">
        <v>96</v>
      </c>
      <c r="F118">
        <v>79</v>
      </c>
      <c r="G118">
        <v>91</v>
      </c>
      <c r="H118">
        <v>87</v>
      </c>
      <c r="I118">
        <v>82</v>
      </c>
    </row>
    <row r="119" spans="1:9" x14ac:dyDescent="0.25">
      <c r="A119" t="s">
        <v>289</v>
      </c>
      <c r="B119">
        <v>51</v>
      </c>
      <c r="C119" s="55">
        <v>60</v>
      </c>
      <c r="D119">
        <v>89</v>
      </c>
      <c r="E119">
        <v>98</v>
      </c>
      <c r="F119">
        <v>97</v>
      </c>
      <c r="G119">
        <v>97</v>
      </c>
      <c r="H119">
        <v>88</v>
      </c>
      <c r="I119">
        <v>81</v>
      </c>
    </row>
    <row r="120" spans="1:9" x14ac:dyDescent="0.25">
      <c r="A120" t="s">
        <v>290</v>
      </c>
      <c r="B120">
        <v>46</v>
      </c>
      <c r="C120" s="55">
        <v>52</v>
      </c>
      <c r="D120">
        <v>81</v>
      </c>
      <c r="E120">
        <v>82</v>
      </c>
      <c r="F120">
        <v>77</v>
      </c>
      <c r="G120">
        <v>90</v>
      </c>
      <c r="H120">
        <v>93</v>
      </c>
      <c r="I120">
        <v>85</v>
      </c>
    </row>
    <row r="121" spans="1:9" x14ac:dyDescent="0.25">
      <c r="A121" t="s">
        <v>291</v>
      </c>
      <c r="B121">
        <v>26</v>
      </c>
      <c r="C121" s="55">
        <v>43</v>
      </c>
      <c r="D121">
        <v>72</v>
      </c>
      <c r="E121">
        <v>84</v>
      </c>
      <c r="F121">
        <v>85</v>
      </c>
      <c r="G121">
        <v>97</v>
      </c>
      <c r="H121">
        <v>100</v>
      </c>
      <c r="I121">
        <v>86</v>
      </c>
    </row>
    <row r="122" spans="1:9" x14ac:dyDescent="0.25">
      <c r="A122" t="s">
        <v>292</v>
      </c>
      <c r="B122">
        <v>69</v>
      </c>
      <c r="C122" s="55">
        <v>77</v>
      </c>
      <c r="D122">
        <v>99</v>
      </c>
      <c r="E122">
        <v>118</v>
      </c>
      <c r="F122">
        <v>103</v>
      </c>
      <c r="G122">
        <v>100</v>
      </c>
      <c r="H122">
        <v>50</v>
      </c>
      <c r="I122">
        <v>87</v>
      </c>
    </row>
    <row r="123" spans="1:9" x14ac:dyDescent="0.25">
      <c r="A123" t="s">
        <v>293</v>
      </c>
      <c r="B123">
        <v>64</v>
      </c>
      <c r="C123" s="55">
        <v>75</v>
      </c>
      <c r="D123">
        <v>98</v>
      </c>
      <c r="E123">
        <v>114</v>
      </c>
      <c r="F123">
        <v>107</v>
      </c>
      <c r="G123">
        <v>100</v>
      </c>
      <c r="H123">
        <v>100</v>
      </c>
      <c r="I123">
        <v>92</v>
      </c>
    </row>
    <row r="124" spans="1:9" x14ac:dyDescent="0.25">
      <c r="A124" t="s">
        <v>294</v>
      </c>
      <c r="B124">
        <v>60</v>
      </c>
      <c r="C124" s="55">
        <v>72</v>
      </c>
      <c r="D124">
        <v>87</v>
      </c>
      <c r="E124">
        <v>100</v>
      </c>
      <c r="F124">
        <v>93</v>
      </c>
      <c r="G124">
        <v>100</v>
      </c>
      <c r="H124">
        <v>100</v>
      </c>
      <c r="I124">
        <v>90</v>
      </c>
    </row>
    <row r="125" spans="1:9" x14ac:dyDescent="0.25">
      <c r="A125" t="s">
        <v>295</v>
      </c>
      <c r="B125">
        <v>73</v>
      </c>
      <c r="C125" s="55">
        <v>76</v>
      </c>
      <c r="D125">
        <v>94</v>
      </c>
      <c r="E125">
        <v>104</v>
      </c>
      <c r="F125">
        <v>95</v>
      </c>
      <c r="G125">
        <v>100</v>
      </c>
      <c r="H125">
        <v>100</v>
      </c>
      <c r="I125">
        <v>96</v>
      </c>
    </row>
    <row r="126" spans="1:9" x14ac:dyDescent="0.25">
      <c r="A126" t="s">
        <v>296</v>
      </c>
      <c r="B126">
        <v>79</v>
      </c>
      <c r="C126" s="55">
        <v>77</v>
      </c>
      <c r="D126">
        <v>100</v>
      </c>
      <c r="E126">
        <v>99</v>
      </c>
      <c r="F126">
        <v>104</v>
      </c>
      <c r="G126">
        <v>100</v>
      </c>
      <c r="H126">
        <v>100</v>
      </c>
      <c r="I126">
        <v>100</v>
      </c>
    </row>
    <row r="127" spans="1:9" x14ac:dyDescent="0.25">
      <c r="A127" t="s">
        <v>297</v>
      </c>
      <c r="B127">
        <v>69</v>
      </c>
      <c r="C127" s="55">
        <v>83</v>
      </c>
      <c r="D127">
        <v>94</v>
      </c>
      <c r="E127">
        <v>106</v>
      </c>
      <c r="F127">
        <v>95</v>
      </c>
      <c r="G127">
        <v>100</v>
      </c>
      <c r="H127">
        <v>100</v>
      </c>
      <c r="I127">
        <v>90</v>
      </c>
    </row>
    <row r="128" spans="1:9" x14ac:dyDescent="0.25">
      <c r="A128" t="s">
        <v>298</v>
      </c>
      <c r="B128">
        <v>50</v>
      </c>
      <c r="C128" s="55">
        <v>57</v>
      </c>
      <c r="D128">
        <v>81</v>
      </c>
      <c r="E128">
        <v>99</v>
      </c>
      <c r="F128">
        <v>95</v>
      </c>
      <c r="G128">
        <v>91</v>
      </c>
      <c r="H128">
        <v>93</v>
      </c>
      <c r="I128">
        <v>81</v>
      </c>
    </row>
    <row r="129" spans="1:9" x14ac:dyDescent="0.25">
      <c r="A129" t="s">
        <v>299</v>
      </c>
      <c r="B129">
        <v>47</v>
      </c>
      <c r="C129" s="55">
        <v>60</v>
      </c>
      <c r="D129">
        <v>76</v>
      </c>
      <c r="E129">
        <v>84</v>
      </c>
      <c r="F129">
        <v>81</v>
      </c>
      <c r="G129">
        <v>93</v>
      </c>
      <c r="H129">
        <v>86</v>
      </c>
      <c r="I129">
        <v>76</v>
      </c>
    </row>
    <row r="130" spans="1:9" x14ac:dyDescent="0.25">
      <c r="A130" t="s">
        <v>300</v>
      </c>
      <c r="B130">
        <v>55</v>
      </c>
      <c r="C130" s="55">
        <v>70</v>
      </c>
      <c r="D130">
        <v>79</v>
      </c>
      <c r="E130">
        <v>93</v>
      </c>
      <c r="F130">
        <v>78</v>
      </c>
      <c r="G130">
        <v>97</v>
      </c>
      <c r="H130">
        <v>89</v>
      </c>
      <c r="I130">
        <v>78</v>
      </c>
    </row>
    <row r="131" spans="1:9" x14ac:dyDescent="0.25">
      <c r="A131" t="s">
        <v>301</v>
      </c>
      <c r="B131">
        <v>50</v>
      </c>
      <c r="C131" s="55">
        <v>64</v>
      </c>
      <c r="D131">
        <v>81</v>
      </c>
      <c r="E131">
        <v>104</v>
      </c>
      <c r="F131">
        <v>88</v>
      </c>
      <c r="G131">
        <v>96</v>
      </c>
      <c r="H131">
        <v>98</v>
      </c>
      <c r="I131">
        <v>88</v>
      </c>
    </row>
    <row r="132" spans="1:9" x14ac:dyDescent="0.25">
      <c r="A132" t="s">
        <v>302</v>
      </c>
      <c r="B132">
        <v>59</v>
      </c>
      <c r="C132" s="55">
        <v>60</v>
      </c>
      <c r="D132">
        <v>72</v>
      </c>
      <c r="E132">
        <v>76</v>
      </c>
      <c r="F132">
        <v>99</v>
      </c>
      <c r="G132">
        <v>100</v>
      </c>
      <c r="H132">
        <v>86</v>
      </c>
      <c r="I132">
        <v>79</v>
      </c>
    </row>
    <row r="133" spans="1:9" x14ac:dyDescent="0.25">
      <c r="A133" t="s">
        <v>303</v>
      </c>
      <c r="B133">
        <v>47</v>
      </c>
      <c r="C133" s="55">
        <v>59</v>
      </c>
      <c r="D133">
        <v>84</v>
      </c>
      <c r="E133">
        <v>96</v>
      </c>
      <c r="F133">
        <v>88</v>
      </c>
      <c r="G133">
        <v>103</v>
      </c>
      <c r="H133">
        <v>93</v>
      </c>
      <c r="I133">
        <v>93</v>
      </c>
    </row>
    <row r="134" spans="1:9" x14ac:dyDescent="0.25">
      <c r="A134" t="s">
        <v>304</v>
      </c>
      <c r="B134">
        <v>49</v>
      </c>
      <c r="C134" s="55">
        <v>64</v>
      </c>
      <c r="D134">
        <v>85</v>
      </c>
      <c r="E134">
        <v>98</v>
      </c>
      <c r="F134">
        <v>93</v>
      </c>
      <c r="G134">
        <v>97</v>
      </c>
      <c r="H134">
        <v>94</v>
      </c>
      <c r="I134">
        <v>89</v>
      </c>
    </row>
    <row r="135" spans="1:9" x14ac:dyDescent="0.25">
      <c r="A135" t="s">
        <v>305</v>
      </c>
      <c r="B135">
        <v>51</v>
      </c>
      <c r="C135" s="55">
        <v>52</v>
      </c>
      <c r="D135">
        <v>75</v>
      </c>
      <c r="E135">
        <v>96</v>
      </c>
      <c r="F135">
        <v>92</v>
      </c>
      <c r="G135">
        <v>95</v>
      </c>
      <c r="H135">
        <v>83</v>
      </c>
      <c r="I135">
        <v>93</v>
      </c>
    </row>
    <row r="136" spans="1:9" x14ac:dyDescent="0.25">
      <c r="A136" t="s">
        <v>306</v>
      </c>
      <c r="B136">
        <v>44</v>
      </c>
      <c r="C136" s="55">
        <v>58</v>
      </c>
      <c r="D136">
        <v>75</v>
      </c>
      <c r="E136">
        <v>97</v>
      </c>
      <c r="F136">
        <v>104</v>
      </c>
      <c r="G136">
        <v>110</v>
      </c>
      <c r="H136">
        <v>97</v>
      </c>
      <c r="I136">
        <v>86</v>
      </c>
    </row>
    <row r="137" spans="1:9" x14ac:dyDescent="0.25">
      <c r="A137" t="s">
        <v>307</v>
      </c>
      <c r="B137">
        <v>61</v>
      </c>
      <c r="C137" s="55">
        <v>62</v>
      </c>
      <c r="D137">
        <v>90</v>
      </c>
      <c r="E137">
        <v>101</v>
      </c>
      <c r="F137">
        <v>95</v>
      </c>
      <c r="G137">
        <v>100</v>
      </c>
      <c r="H137">
        <v>100</v>
      </c>
      <c r="I137">
        <v>83</v>
      </c>
    </row>
    <row r="138" spans="1:9" x14ac:dyDescent="0.25">
      <c r="A138" t="s">
        <v>308</v>
      </c>
      <c r="B138">
        <v>52</v>
      </c>
      <c r="C138" s="55">
        <v>58</v>
      </c>
      <c r="D138">
        <v>85</v>
      </c>
      <c r="E138">
        <v>98</v>
      </c>
      <c r="F138">
        <v>94</v>
      </c>
      <c r="G138">
        <v>98</v>
      </c>
      <c r="H138">
        <v>95</v>
      </c>
      <c r="I138">
        <v>89</v>
      </c>
    </row>
    <row r="139" spans="1:9" x14ac:dyDescent="0.25">
      <c r="A139" t="s">
        <v>309</v>
      </c>
      <c r="B139">
        <v>43</v>
      </c>
      <c r="C139" s="55">
        <v>60</v>
      </c>
      <c r="D139">
        <v>85</v>
      </c>
      <c r="E139">
        <v>101</v>
      </c>
      <c r="F139">
        <v>116</v>
      </c>
      <c r="G139">
        <v>99</v>
      </c>
      <c r="H139">
        <v>100</v>
      </c>
      <c r="I139">
        <v>91</v>
      </c>
    </row>
    <row r="140" spans="1:9" x14ac:dyDescent="0.25">
      <c r="A140" t="s">
        <v>310</v>
      </c>
      <c r="B140">
        <v>67</v>
      </c>
      <c r="C140" s="55">
        <v>71</v>
      </c>
      <c r="D140">
        <v>95</v>
      </c>
      <c r="E140">
        <v>109</v>
      </c>
      <c r="F140">
        <v>83</v>
      </c>
      <c r="G140">
        <v>100</v>
      </c>
      <c r="H140">
        <v>100</v>
      </c>
      <c r="I140">
        <v>79</v>
      </c>
    </row>
    <row r="141" spans="1:9" x14ac:dyDescent="0.25">
      <c r="A141" t="s">
        <v>311</v>
      </c>
      <c r="B141">
        <v>68</v>
      </c>
      <c r="C141" s="55">
        <v>65</v>
      </c>
      <c r="D141">
        <v>90</v>
      </c>
      <c r="E141">
        <v>96</v>
      </c>
      <c r="F141">
        <v>103</v>
      </c>
      <c r="G141">
        <v>100</v>
      </c>
      <c r="H141">
        <v>40</v>
      </c>
      <c r="I141">
        <v>83</v>
      </c>
    </row>
    <row r="142" spans="1:9" x14ac:dyDescent="0.25">
      <c r="A142" t="s">
        <v>312</v>
      </c>
      <c r="B142">
        <v>63</v>
      </c>
      <c r="C142" s="55">
        <v>66</v>
      </c>
      <c r="D142">
        <v>72</v>
      </c>
      <c r="E142">
        <v>109</v>
      </c>
      <c r="F142">
        <v>68</v>
      </c>
      <c r="G142">
        <v>93</v>
      </c>
      <c r="H142">
        <v>100</v>
      </c>
      <c r="I142">
        <v>84</v>
      </c>
    </row>
    <row r="143" spans="1:9" x14ac:dyDescent="0.25">
      <c r="A143" t="s">
        <v>313</v>
      </c>
      <c r="B143">
        <v>58</v>
      </c>
      <c r="C143" s="55">
        <v>64</v>
      </c>
      <c r="D143">
        <v>91</v>
      </c>
      <c r="E143">
        <v>106</v>
      </c>
      <c r="F143">
        <v>87</v>
      </c>
      <c r="G143">
        <v>100</v>
      </c>
      <c r="H143">
        <v>100</v>
      </c>
      <c r="I143">
        <v>85</v>
      </c>
    </row>
    <row r="144" spans="1:9" x14ac:dyDescent="0.25">
      <c r="A144" t="s">
        <v>314</v>
      </c>
      <c r="B144">
        <v>65</v>
      </c>
      <c r="C144" s="55">
        <v>63</v>
      </c>
      <c r="D144">
        <v>82</v>
      </c>
      <c r="E144">
        <v>107</v>
      </c>
      <c r="F144">
        <v>85</v>
      </c>
      <c r="G144">
        <v>100</v>
      </c>
      <c r="H144">
        <v>100</v>
      </c>
      <c r="I144">
        <v>82</v>
      </c>
    </row>
    <row r="145" spans="1:9" x14ac:dyDescent="0.25">
      <c r="A145" t="s">
        <v>315</v>
      </c>
      <c r="B145">
        <v>68</v>
      </c>
      <c r="C145" s="55">
        <v>70</v>
      </c>
      <c r="D145">
        <v>92</v>
      </c>
      <c r="E145">
        <v>98</v>
      </c>
      <c r="F145">
        <v>86</v>
      </c>
      <c r="G145">
        <v>90</v>
      </c>
      <c r="H145">
        <v>100</v>
      </c>
      <c r="I145">
        <v>82</v>
      </c>
    </row>
    <row r="146" spans="1:9" x14ac:dyDescent="0.25">
      <c r="A146" t="s">
        <v>316</v>
      </c>
      <c r="B146">
        <v>39</v>
      </c>
      <c r="C146" s="55">
        <v>43</v>
      </c>
      <c r="D146">
        <v>59</v>
      </c>
      <c r="E146">
        <v>60</v>
      </c>
      <c r="F146">
        <v>82</v>
      </c>
      <c r="G146">
        <v>96</v>
      </c>
      <c r="H146">
        <v>100</v>
      </c>
      <c r="I146">
        <v>76</v>
      </c>
    </row>
    <row r="147" spans="1:9" x14ac:dyDescent="0.25">
      <c r="A147" t="s">
        <v>317</v>
      </c>
      <c r="B147">
        <v>33</v>
      </c>
      <c r="C147" s="55">
        <v>40</v>
      </c>
      <c r="D147">
        <v>59</v>
      </c>
      <c r="E147">
        <v>65</v>
      </c>
      <c r="F147">
        <v>81</v>
      </c>
      <c r="G147">
        <v>87</v>
      </c>
      <c r="H147">
        <v>93</v>
      </c>
      <c r="I147">
        <v>73</v>
      </c>
    </row>
    <row r="148" spans="1:9" x14ac:dyDescent="0.25">
      <c r="A148" t="s">
        <v>318</v>
      </c>
      <c r="B148">
        <v>40</v>
      </c>
      <c r="C148" s="55">
        <v>52</v>
      </c>
      <c r="D148">
        <v>61</v>
      </c>
      <c r="E148">
        <v>62</v>
      </c>
      <c r="F148">
        <v>74</v>
      </c>
      <c r="G148">
        <v>96</v>
      </c>
      <c r="H148">
        <v>100</v>
      </c>
      <c r="I148">
        <v>81</v>
      </c>
    </row>
    <row r="149" spans="1:9" x14ac:dyDescent="0.25">
      <c r="A149" t="s">
        <v>319</v>
      </c>
      <c r="B149">
        <v>36</v>
      </c>
      <c r="C149" s="55">
        <v>41</v>
      </c>
      <c r="D149">
        <v>61</v>
      </c>
      <c r="E149">
        <v>64</v>
      </c>
      <c r="F149">
        <v>80</v>
      </c>
      <c r="G149">
        <v>87</v>
      </c>
      <c r="H149">
        <v>56</v>
      </c>
      <c r="I149">
        <v>77</v>
      </c>
    </row>
    <row r="150" spans="1:9" x14ac:dyDescent="0.25">
      <c r="A150" t="s">
        <v>320</v>
      </c>
      <c r="B150">
        <v>48</v>
      </c>
      <c r="C150" s="55">
        <v>51</v>
      </c>
      <c r="D150">
        <v>73</v>
      </c>
      <c r="E150">
        <v>79</v>
      </c>
      <c r="F150">
        <v>86</v>
      </c>
      <c r="G150">
        <v>93</v>
      </c>
      <c r="H150">
        <v>100</v>
      </c>
      <c r="I150">
        <v>81</v>
      </c>
    </row>
    <row r="151" spans="1:9" x14ac:dyDescent="0.25">
      <c r="A151" t="s">
        <v>321</v>
      </c>
      <c r="B151">
        <v>38</v>
      </c>
      <c r="C151" s="55">
        <v>49</v>
      </c>
      <c r="D151">
        <v>58</v>
      </c>
      <c r="E151">
        <v>62</v>
      </c>
      <c r="F151">
        <v>88</v>
      </c>
      <c r="G151">
        <v>94</v>
      </c>
      <c r="H151">
        <v>100</v>
      </c>
      <c r="I151">
        <v>88</v>
      </c>
    </row>
    <row r="152" spans="1:9" x14ac:dyDescent="0.25">
      <c r="A152" t="s">
        <v>322</v>
      </c>
      <c r="B152">
        <v>50</v>
      </c>
      <c r="C152">
        <v>55</v>
      </c>
      <c r="D152">
        <v>74</v>
      </c>
      <c r="E152">
        <v>94</v>
      </c>
      <c r="F152">
        <v>78</v>
      </c>
      <c r="G152">
        <v>102</v>
      </c>
      <c r="H152">
        <v>100</v>
      </c>
      <c r="I152">
        <v>89</v>
      </c>
    </row>
    <row r="153" spans="1:9" x14ac:dyDescent="0.25">
      <c r="A153" t="s">
        <v>323</v>
      </c>
      <c r="B153">
        <v>54</v>
      </c>
      <c r="C153">
        <v>57</v>
      </c>
      <c r="D153">
        <v>72</v>
      </c>
      <c r="E153">
        <v>78</v>
      </c>
      <c r="F153">
        <v>89</v>
      </c>
      <c r="G153">
        <v>97</v>
      </c>
      <c r="H153">
        <v>100</v>
      </c>
      <c r="I153">
        <v>90</v>
      </c>
    </row>
    <row r="154" spans="1:9" x14ac:dyDescent="0.25">
      <c r="A154" t="s">
        <v>324</v>
      </c>
      <c r="B154">
        <v>42</v>
      </c>
      <c r="C154">
        <v>57</v>
      </c>
      <c r="D154">
        <v>80</v>
      </c>
      <c r="E154">
        <v>91</v>
      </c>
      <c r="F154">
        <v>95</v>
      </c>
      <c r="G154">
        <v>103</v>
      </c>
      <c r="H154">
        <v>100</v>
      </c>
      <c r="I154">
        <v>92</v>
      </c>
    </row>
    <row r="155" spans="1:9" x14ac:dyDescent="0.25">
      <c r="A155" t="s">
        <v>325</v>
      </c>
      <c r="B155">
        <v>55</v>
      </c>
      <c r="C155">
        <v>61</v>
      </c>
      <c r="D155">
        <v>82</v>
      </c>
      <c r="E155">
        <v>91</v>
      </c>
      <c r="F155">
        <v>92</v>
      </c>
      <c r="G155">
        <v>104</v>
      </c>
      <c r="H155">
        <v>100</v>
      </c>
      <c r="I155">
        <v>92</v>
      </c>
    </row>
    <row r="156" spans="1:9" x14ac:dyDescent="0.25">
      <c r="A156" t="s">
        <v>326</v>
      </c>
      <c r="B156">
        <v>60</v>
      </c>
      <c r="C156">
        <v>58</v>
      </c>
      <c r="D156">
        <v>74</v>
      </c>
      <c r="E156">
        <v>77</v>
      </c>
      <c r="F156">
        <v>97</v>
      </c>
      <c r="G156">
        <v>93</v>
      </c>
      <c r="H156">
        <v>93</v>
      </c>
      <c r="I156">
        <v>86</v>
      </c>
    </row>
    <row r="157" spans="1:9" x14ac:dyDescent="0.25">
      <c r="A157" t="s">
        <v>327</v>
      </c>
      <c r="B157">
        <v>54</v>
      </c>
      <c r="C157">
        <v>52</v>
      </c>
      <c r="D157">
        <v>70</v>
      </c>
      <c r="E157">
        <v>92</v>
      </c>
      <c r="F157">
        <v>93</v>
      </c>
      <c r="G157">
        <v>89</v>
      </c>
      <c r="H157">
        <v>100</v>
      </c>
      <c r="I157">
        <v>73</v>
      </c>
    </row>
    <row r="158" spans="1:9" x14ac:dyDescent="0.25">
      <c r="A158" t="s">
        <v>328</v>
      </c>
      <c r="B158">
        <v>68</v>
      </c>
      <c r="C158">
        <v>72</v>
      </c>
      <c r="D158">
        <v>88</v>
      </c>
      <c r="E158">
        <v>104</v>
      </c>
      <c r="F158">
        <v>97</v>
      </c>
      <c r="G158">
        <v>100</v>
      </c>
      <c r="H158">
        <v>99</v>
      </c>
      <c r="I158">
        <v>87</v>
      </c>
    </row>
    <row r="159" spans="1:9" x14ac:dyDescent="0.25">
      <c r="A159" t="s">
        <v>329</v>
      </c>
      <c r="B159">
        <v>76</v>
      </c>
      <c r="C159">
        <v>75</v>
      </c>
      <c r="D159">
        <v>85</v>
      </c>
      <c r="E159">
        <v>105</v>
      </c>
      <c r="F159">
        <v>90</v>
      </c>
      <c r="G159">
        <v>100</v>
      </c>
      <c r="H159">
        <v>94</v>
      </c>
      <c r="I159">
        <v>81</v>
      </c>
    </row>
    <row r="160" spans="1:9" x14ac:dyDescent="0.25">
      <c r="A160" t="s">
        <v>330</v>
      </c>
      <c r="B160">
        <v>58</v>
      </c>
      <c r="C160">
        <v>60</v>
      </c>
      <c r="D160">
        <v>80</v>
      </c>
      <c r="E160">
        <v>98</v>
      </c>
      <c r="F160">
        <v>76</v>
      </c>
      <c r="G160">
        <v>100</v>
      </c>
      <c r="H160">
        <v>96</v>
      </c>
      <c r="I160">
        <v>85</v>
      </c>
    </row>
    <row r="161" spans="1:9" x14ac:dyDescent="0.25">
      <c r="A161" t="s">
        <v>331</v>
      </c>
      <c r="B161">
        <v>56</v>
      </c>
      <c r="C161">
        <v>62</v>
      </c>
      <c r="D161">
        <v>81</v>
      </c>
      <c r="E161">
        <v>98</v>
      </c>
      <c r="F161">
        <v>81</v>
      </c>
      <c r="G161">
        <v>100</v>
      </c>
      <c r="H161">
        <v>88</v>
      </c>
      <c r="I161">
        <v>69</v>
      </c>
    </row>
    <row r="162" spans="1:9" x14ac:dyDescent="0.25">
      <c r="A162" t="s">
        <v>332</v>
      </c>
      <c r="B162">
        <v>61</v>
      </c>
      <c r="C162">
        <v>64</v>
      </c>
      <c r="D162">
        <v>73</v>
      </c>
      <c r="E162">
        <v>106</v>
      </c>
      <c r="F162">
        <v>83</v>
      </c>
      <c r="G162">
        <v>100</v>
      </c>
      <c r="H162">
        <v>89</v>
      </c>
      <c r="I162">
        <v>73</v>
      </c>
    </row>
    <row r="163" spans="1:9" x14ac:dyDescent="0.25">
      <c r="A163" t="s">
        <v>333</v>
      </c>
      <c r="B163">
        <v>70</v>
      </c>
      <c r="C163">
        <v>71</v>
      </c>
      <c r="D163">
        <v>86</v>
      </c>
      <c r="E163">
        <v>99</v>
      </c>
      <c r="F163">
        <v>82</v>
      </c>
      <c r="G163">
        <v>100</v>
      </c>
      <c r="H163">
        <v>100</v>
      </c>
      <c r="I163">
        <v>78</v>
      </c>
    </row>
    <row r="164" spans="1:9" x14ac:dyDescent="0.25">
      <c r="A164" t="s">
        <v>334</v>
      </c>
      <c r="B164">
        <v>51</v>
      </c>
      <c r="C164">
        <v>55</v>
      </c>
      <c r="D164">
        <v>89</v>
      </c>
      <c r="E164">
        <v>103</v>
      </c>
      <c r="F164">
        <v>103</v>
      </c>
      <c r="G164">
        <v>100</v>
      </c>
      <c r="H164">
        <v>89</v>
      </c>
      <c r="I164">
        <v>77</v>
      </c>
    </row>
    <row r="165" spans="1:9" x14ac:dyDescent="0.25">
      <c r="A165" t="s">
        <v>335</v>
      </c>
      <c r="B165">
        <v>59</v>
      </c>
      <c r="C165">
        <v>59</v>
      </c>
      <c r="D165">
        <v>80</v>
      </c>
      <c r="E165">
        <v>98</v>
      </c>
      <c r="F165">
        <v>104</v>
      </c>
      <c r="G165">
        <v>100</v>
      </c>
      <c r="H165">
        <v>94</v>
      </c>
      <c r="I165">
        <v>88</v>
      </c>
    </row>
    <row r="166" spans="1:9" x14ac:dyDescent="0.25">
      <c r="A166" t="s">
        <v>336</v>
      </c>
      <c r="B166">
        <v>52</v>
      </c>
      <c r="C166">
        <v>51</v>
      </c>
      <c r="D166">
        <v>71</v>
      </c>
      <c r="E166">
        <v>87</v>
      </c>
      <c r="F166">
        <v>92</v>
      </c>
      <c r="G166">
        <v>100</v>
      </c>
      <c r="H166">
        <v>93</v>
      </c>
      <c r="I166">
        <v>66</v>
      </c>
    </row>
    <row r="167" spans="1:9" x14ac:dyDescent="0.25">
      <c r="A167" t="s">
        <v>337</v>
      </c>
      <c r="B167">
        <v>56</v>
      </c>
      <c r="C167">
        <v>65</v>
      </c>
      <c r="D167">
        <v>87</v>
      </c>
      <c r="E167">
        <v>111</v>
      </c>
      <c r="F167">
        <v>101</v>
      </c>
      <c r="G167">
        <v>100</v>
      </c>
      <c r="H167">
        <v>60</v>
      </c>
      <c r="I167">
        <v>83</v>
      </c>
    </row>
    <row r="168" spans="1:9" x14ac:dyDescent="0.25">
      <c r="A168" t="s">
        <v>338</v>
      </c>
      <c r="B168">
        <v>53</v>
      </c>
      <c r="C168">
        <v>55</v>
      </c>
      <c r="D168">
        <v>78</v>
      </c>
      <c r="E168">
        <v>102</v>
      </c>
      <c r="F168">
        <v>100</v>
      </c>
      <c r="G168">
        <v>100</v>
      </c>
      <c r="H168">
        <v>75</v>
      </c>
      <c r="I168">
        <v>80</v>
      </c>
    </row>
    <row r="169" spans="1:9" x14ac:dyDescent="0.25">
      <c r="A169" t="s">
        <v>339</v>
      </c>
      <c r="B169">
        <v>35</v>
      </c>
      <c r="C169">
        <v>51</v>
      </c>
      <c r="D169">
        <v>80</v>
      </c>
      <c r="E169">
        <v>98</v>
      </c>
      <c r="F169">
        <v>90</v>
      </c>
      <c r="G169">
        <v>100</v>
      </c>
      <c r="H169">
        <v>88</v>
      </c>
      <c r="I169">
        <v>90</v>
      </c>
    </row>
    <row r="170" spans="1:9" x14ac:dyDescent="0.25">
      <c r="A170" t="s">
        <v>340</v>
      </c>
      <c r="B170">
        <v>72</v>
      </c>
      <c r="C170">
        <v>74</v>
      </c>
      <c r="D170">
        <v>78</v>
      </c>
      <c r="E170">
        <v>113</v>
      </c>
      <c r="F170">
        <v>82</v>
      </c>
      <c r="G170">
        <v>103</v>
      </c>
      <c r="H170">
        <v>100</v>
      </c>
      <c r="I170">
        <v>60</v>
      </c>
    </row>
    <row r="171" spans="1:9" x14ac:dyDescent="0.25">
      <c r="A171" t="s">
        <v>341</v>
      </c>
      <c r="B171">
        <v>73</v>
      </c>
      <c r="C171">
        <v>77</v>
      </c>
      <c r="D171">
        <v>87</v>
      </c>
      <c r="E171">
        <v>95</v>
      </c>
      <c r="F171">
        <v>86</v>
      </c>
      <c r="G171">
        <v>101</v>
      </c>
      <c r="H171">
        <v>92</v>
      </c>
      <c r="I171">
        <v>43</v>
      </c>
    </row>
    <row r="172" spans="1:9" x14ac:dyDescent="0.25">
      <c r="A172" t="s">
        <v>342</v>
      </c>
      <c r="B172">
        <v>68</v>
      </c>
      <c r="C172">
        <v>69</v>
      </c>
      <c r="D172">
        <v>82</v>
      </c>
      <c r="E172">
        <v>96</v>
      </c>
      <c r="F172">
        <v>67</v>
      </c>
      <c r="G172">
        <v>101</v>
      </c>
      <c r="H172">
        <v>91</v>
      </c>
      <c r="I172">
        <v>81</v>
      </c>
    </row>
    <row r="173" spans="1:9" x14ac:dyDescent="0.25">
      <c r="A173" t="s">
        <v>343</v>
      </c>
      <c r="B173">
        <v>70</v>
      </c>
      <c r="C173">
        <v>72</v>
      </c>
      <c r="D173">
        <v>87</v>
      </c>
      <c r="E173">
        <v>98</v>
      </c>
      <c r="F173">
        <v>88</v>
      </c>
      <c r="G173">
        <v>100</v>
      </c>
      <c r="H173">
        <v>96</v>
      </c>
      <c r="I173">
        <v>86</v>
      </c>
    </row>
    <row r="174" spans="1:9" x14ac:dyDescent="0.25">
      <c r="A174" t="s">
        <v>344</v>
      </c>
      <c r="B174">
        <v>64</v>
      </c>
      <c r="C174">
        <v>72</v>
      </c>
      <c r="D174">
        <v>82</v>
      </c>
      <c r="E174">
        <v>98</v>
      </c>
      <c r="F174">
        <v>88</v>
      </c>
      <c r="G174">
        <v>99</v>
      </c>
      <c r="H174">
        <v>91</v>
      </c>
      <c r="I174">
        <v>90</v>
      </c>
    </row>
    <row r="175" spans="1:9" x14ac:dyDescent="0.25">
      <c r="A175" t="s">
        <v>345</v>
      </c>
      <c r="B175">
        <v>67</v>
      </c>
      <c r="C175">
        <v>76</v>
      </c>
      <c r="D175">
        <v>82</v>
      </c>
      <c r="E175">
        <v>85</v>
      </c>
      <c r="F175">
        <v>67</v>
      </c>
      <c r="G175">
        <v>101</v>
      </c>
      <c r="H175">
        <v>92</v>
      </c>
      <c r="I175">
        <v>92</v>
      </c>
    </row>
    <row r="176" spans="1:9" x14ac:dyDescent="0.25">
      <c r="A176" t="s">
        <v>346</v>
      </c>
      <c r="B176">
        <v>43</v>
      </c>
      <c r="C176">
        <v>54</v>
      </c>
      <c r="D176">
        <v>79</v>
      </c>
      <c r="E176">
        <v>99</v>
      </c>
      <c r="F176">
        <v>96</v>
      </c>
      <c r="G176">
        <v>100</v>
      </c>
      <c r="H176">
        <v>93</v>
      </c>
      <c r="I176">
        <v>75</v>
      </c>
    </row>
    <row r="177" spans="1:9" x14ac:dyDescent="0.25">
      <c r="A177" t="s">
        <v>347</v>
      </c>
      <c r="B177">
        <v>66</v>
      </c>
      <c r="C177">
        <v>68</v>
      </c>
      <c r="D177">
        <v>86</v>
      </c>
      <c r="E177">
        <v>105</v>
      </c>
      <c r="F177">
        <v>95</v>
      </c>
      <c r="G177">
        <v>100</v>
      </c>
      <c r="H177">
        <v>100</v>
      </c>
      <c r="I177">
        <v>77</v>
      </c>
    </row>
    <row r="178" spans="1:9" x14ac:dyDescent="0.25">
      <c r="A178" t="s">
        <v>348</v>
      </c>
      <c r="B178">
        <v>56</v>
      </c>
      <c r="C178">
        <v>78</v>
      </c>
      <c r="D178">
        <v>89</v>
      </c>
      <c r="E178">
        <v>108</v>
      </c>
      <c r="F178">
        <v>96</v>
      </c>
      <c r="G178">
        <v>100</v>
      </c>
      <c r="H178">
        <v>100</v>
      </c>
      <c r="I178">
        <v>90</v>
      </c>
    </row>
    <row r="179" spans="1:9" x14ac:dyDescent="0.25">
      <c r="A179" t="s">
        <v>349</v>
      </c>
      <c r="B179">
        <v>55</v>
      </c>
      <c r="C179">
        <v>55</v>
      </c>
      <c r="D179">
        <v>89</v>
      </c>
      <c r="E179">
        <v>98</v>
      </c>
      <c r="F179">
        <v>98</v>
      </c>
      <c r="G179">
        <v>100</v>
      </c>
      <c r="H179">
        <v>88</v>
      </c>
      <c r="I179">
        <v>83</v>
      </c>
    </row>
    <row r="180" spans="1:9" x14ac:dyDescent="0.25">
      <c r="A180" t="s">
        <v>350</v>
      </c>
      <c r="B180">
        <v>57</v>
      </c>
      <c r="C180">
        <v>65</v>
      </c>
      <c r="D180">
        <v>81</v>
      </c>
      <c r="E180">
        <v>113</v>
      </c>
      <c r="F180">
        <v>102</v>
      </c>
      <c r="G180">
        <v>100</v>
      </c>
      <c r="H180">
        <v>70</v>
      </c>
      <c r="I180">
        <v>84</v>
      </c>
    </row>
    <row r="181" spans="1:9" x14ac:dyDescent="0.25">
      <c r="A181" t="s">
        <v>351</v>
      </c>
      <c r="B181">
        <v>63</v>
      </c>
      <c r="C181">
        <v>52</v>
      </c>
      <c r="D181">
        <v>77</v>
      </c>
      <c r="E181">
        <v>107</v>
      </c>
      <c r="F181">
        <v>107</v>
      </c>
      <c r="G181">
        <v>100</v>
      </c>
      <c r="H181">
        <v>93</v>
      </c>
      <c r="I181">
        <v>81</v>
      </c>
    </row>
    <row r="182" spans="1:9" x14ac:dyDescent="0.25">
      <c r="A182" t="s">
        <v>352</v>
      </c>
      <c r="B182">
        <v>28</v>
      </c>
      <c r="C182">
        <v>49</v>
      </c>
      <c r="D182">
        <v>57</v>
      </c>
      <c r="E182">
        <v>78</v>
      </c>
      <c r="F182">
        <v>87</v>
      </c>
      <c r="G182">
        <v>89</v>
      </c>
      <c r="H182">
        <v>96</v>
      </c>
      <c r="I182">
        <v>75</v>
      </c>
    </row>
    <row r="183" spans="1:9" x14ac:dyDescent="0.25">
      <c r="A183" t="s">
        <v>353</v>
      </c>
      <c r="B183">
        <v>41</v>
      </c>
      <c r="C183">
        <v>59</v>
      </c>
      <c r="D183">
        <v>70</v>
      </c>
      <c r="E183">
        <v>85</v>
      </c>
      <c r="F183">
        <v>89</v>
      </c>
      <c r="G183">
        <v>92</v>
      </c>
      <c r="H183">
        <v>95</v>
      </c>
      <c r="I183">
        <v>88</v>
      </c>
    </row>
    <row r="184" spans="1:9" x14ac:dyDescent="0.25">
      <c r="A184" t="s">
        <v>354</v>
      </c>
      <c r="B184">
        <v>34</v>
      </c>
      <c r="C184">
        <v>57</v>
      </c>
      <c r="D184">
        <v>73</v>
      </c>
      <c r="E184">
        <v>81</v>
      </c>
      <c r="F184">
        <v>67</v>
      </c>
      <c r="G184">
        <v>100</v>
      </c>
      <c r="H184">
        <v>72</v>
      </c>
      <c r="I184">
        <v>83</v>
      </c>
    </row>
    <row r="185" spans="1:9" x14ac:dyDescent="0.25">
      <c r="A185" t="s">
        <v>355</v>
      </c>
      <c r="B185">
        <v>55</v>
      </c>
      <c r="C185">
        <v>54</v>
      </c>
      <c r="D185">
        <v>72</v>
      </c>
      <c r="E185">
        <v>93</v>
      </c>
      <c r="F185">
        <v>75</v>
      </c>
      <c r="G185">
        <v>92</v>
      </c>
      <c r="H185">
        <v>100</v>
      </c>
      <c r="I185">
        <v>85</v>
      </c>
    </row>
    <row r="186" spans="1:9" x14ac:dyDescent="0.25">
      <c r="A186" t="s">
        <v>356</v>
      </c>
      <c r="B186">
        <v>42</v>
      </c>
      <c r="C186">
        <v>48</v>
      </c>
      <c r="D186">
        <v>69</v>
      </c>
      <c r="E186">
        <v>98</v>
      </c>
      <c r="F186">
        <v>82</v>
      </c>
      <c r="G186">
        <v>79</v>
      </c>
      <c r="H186">
        <v>82</v>
      </c>
      <c r="I186">
        <v>78</v>
      </c>
    </row>
    <row r="187" spans="1:9" x14ac:dyDescent="0.25">
      <c r="A187" t="s">
        <v>357</v>
      </c>
      <c r="B187">
        <v>47</v>
      </c>
      <c r="C187">
        <v>58</v>
      </c>
      <c r="D187">
        <v>73</v>
      </c>
      <c r="E187">
        <v>102</v>
      </c>
      <c r="F187">
        <v>97</v>
      </c>
      <c r="G187">
        <v>108</v>
      </c>
      <c r="H187">
        <v>100</v>
      </c>
      <c r="I187">
        <v>100</v>
      </c>
    </row>
    <row r="188" spans="1:9" x14ac:dyDescent="0.25">
      <c r="A188" t="s">
        <v>358</v>
      </c>
      <c r="B188">
        <v>52</v>
      </c>
      <c r="C188">
        <v>55</v>
      </c>
      <c r="D188">
        <v>76</v>
      </c>
      <c r="E188">
        <v>86</v>
      </c>
      <c r="F188">
        <v>96</v>
      </c>
      <c r="G188">
        <v>103</v>
      </c>
      <c r="H188">
        <v>100</v>
      </c>
      <c r="I188">
        <v>86</v>
      </c>
    </row>
    <row r="189" spans="1:9" x14ac:dyDescent="0.25">
      <c r="A189" t="s">
        <v>359</v>
      </c>
      <c r="B189">
        <v>52</v>
      </c>
      <c r="C189">
        <v>60</v>
      </c>
      <c r="D189">
        <v>73</v>
      </c>
      <c r="E189">
        <v>87</v>
      </c>
      <c r="F189">
        <v>89</v>
      </c>
      <c r="G189">
        <v>91</v>
      </c>
      <c r="H189">
        <v>93</v>
      </c>
      <c r="I189">
        <v>81</v>
      </c>
    </row>
    <row r="190" spans="1:9" x14ac:dyDescent="0.25">
      <c r="A190" t="s">
        <v>360</v>
      </c>
      <c r="B190">
        <v>55</v>
      </c>
      <c r="C190">
        <v>67</v>
      </c>
      <c r="D190">
        <v>72</v>
      </c>
      <c r="E190">
        <v>92</v>
      </c>
      <c r="F190">
        <v>90</v>
      </c>
      <c r="G190">
        <v>96</v>
      </c>
      <c r="H190">
        <v>100</v>
      </c>
      <c r="I190">
        <v>84</v>
      </c>
    </row>
    <row r="191" spans="1:9" x14ac:dyDescent="0.25">
      <c r="A191" t="s">
        <v>361</v>
      </c>
      <c r="B191">
        <v>49</v>
      </c>
      <c r="C191">
        <v>56</v>
      </c>
      <c r="D191">
        <v>80</v>
      </c>
      <c r="E191">
        <v>83</v>
      </c>
      <c r="F191">
        <v>80</v>
      </c>
      <c r="G191">
        <v>86</v>
      </c>
      <c r="H191">
        <v>90</v>
      </c>
      <c r="I191">
        <v>91</v>
      </c>
    </row>
    <row r="192" spans="1:9" x14ac:dyDescent="0.25">
      <c r="A192" t="s">
        <v>362</v>
      </c>
      <c r="B192">
        <v>46</v>
      </c>
      <c r="C192">
        <v>69</v>
      </c>
      <c r="D192">
        <v>77</v>
      </c>
      <c r="E192">
        <v>100</v>
      </c>
      <c r="F192">
        <v>85</v>
      </c>
      <c r="G192">
        <v>106</v>
      </c>
      <c r="H192">
        <v>91</v>
      </c>
      <c r="I192">
        <v>103</v>
      </c>
    </row>
    <row r="193" spans="1:9" x14ac:dyDescent="0.25">
      <c r="A193" t="s">
        <v>363</v>
      </c>
      <c r="B193">
        <v>47</v>
      </c>
      <c r="C193">
        <v>53</v>
      </c>
      <c r="D193">
        <v>73</v>
      </c>
      <c r="E193">
        <v>92</v>
      </c>
      <c r="F193">
        <v>96</v>
      </c>
      <c r="G193">
        <v>99</v>
      </c>
      <c r="H193">
        <v>92</v>
      </c>
      <c r="I193">
        <v>73</v>
      </c>
    </row>
    <row r="194" spans="1:9" x14ac:dyDescent="0.25">
      <c r="A194" t="s">
        <v>364</v>
      </c>
      <c r="B194">
        <v>44</v>
      </c>
      <c r="C194">
        <v>58</v>
      </c>
      <c r="D194">
        <v>69</v>
      </c>
      <c r="F194">
        <v>85</v>
      </c>
      <c r="G194">
        <v>84</v>
      </c>
      <c r="H194">
        <v>84</v>
      </c>
      <c r="I194">
        <v>66</v>
      </c>
    </row>
    <row r="195" spans="1:9" x14ac:dyDescent="0.25">
      <c r="A195" t="s">
        <v>365</v>
      </c>
      <c r="B195">
        <v>50</v>
      </c>
      <c r="C195">
        <v>62</v>
      </c>
      <c r="D195">
        <v>77</v>
      </c>
      <c r="F195">
        <v>68</v>
      </c>
      <c r="G195">
        <v>78</v>
      </c>
      <c r="H195">
        <v>82</v>
      </c>
      <c r="I195">
        <v>73</v>
      </c>
    </row>
    <row r="196" spans="1:9" x14ac:dyDescent="0.25">
      <c r="A196" t="s">
        <v>366</v>
      </c>
      <c r="B196">
        <v>48</v>
      </c>
      <c r="C196">
        <v>55</v>
      </c>
      <c r="D196">
        <v>67</v>
      </c>
      <c r="F196">
        <v>64</v>
      </c>
      <c r="G196">
        <v>73</v>
      </c>
      <c r="H196">
        <v>70</v>
      </c>
      <c r="I196">
        <v>63</v>
      </c>
    </row>
    <row r="197" spans="1:9" x14ac:dyDescent="0.25">
      <c r="A197" t="s">
        <v>367</v>
      </c>
      <c r="B197">
        <v>50</v>
      </c>
      <c r="C197">
        <v>65</v>
      </c>
      <c r="D197">
        <v>83</v>
      </c>
      <c r="F197">
        <v>67</v>
      </c>
      <c r="G197">
        <v>101</v>
      </c>
      <c r="H197">
        <v>100</v>
      </c>
      <c r="I197">
        <v>79</v>
      </c>
    </row>
    <row r="198" spans="1:9" x14ac:dyDescent="0.25">
      <c r="A198" t="s">
        <v>368</v>
      </c>
      <c r="B198">
        <v>41</v>
      </c>
      <c r="C198">
        <v>48</v>
      </c>
      <c r="D198">
        <v>66</v>
      </c>
      <c r="F198">
        <v>65</v>
      </c>
      <c r="G198">
        <v>76</v>
      </c>
      <c r="H198">
        <v>65</v>
      </c>
      <c r="I198">
        <v>55</v>
      </c>
    </row>
    <row r="199" spans="1:9" x14ac:dyDescent="0.25">
      <c r="A199" t="s">
        <v>369</v>
      </c>
      <c r="B199">
        <v>49</v>
      </c>
      <c r="C199">
        <v>60</v>
      </c>
      <c r="D199">
        <v>73</v>
      </c>
      <c r="F199">
        <v>67</v>
      </c>
      <c r="G199">
        <v>78</v>
      </c>
      <c r="H199">
        <v>100</v>
      </c>
      <c r="I199">
        <v>72</v>
      </c>
    </row>
    <row r="200" spans="1:9" x14ac:dyDescent="0.25">
      <c r="A200" t="s">
        <v>370</v>
      </c>
      <c r="B200">
        <v>57</v>
      </c>
      <c r="C200">
        <v>55</v>
      </c>
      <c r="D200">
        <v>63</v>
      </c>
      <c r="F200">
        <v>58</v>
      </c>
      <c r="G200">
        <v>70</v>
      </c>
      <c r="H200">
        <v>68</v>
      </c>
      <c r="I200">
        <v>63</v>
      </c>
    </row>
    <row r="201" spans="1:9" x14ac:dyDescent="0.25">
      <c r="A201" t="s">
        <v>371</v>
      </c>
      <c r="B201">
        <v>56</v>
      </c>
      <c r="C201">
        <v>62</v>
      </c>
      <c r="D201">
        <v>63</v>
      </c>
      <c r="F201">
        <v>56</v>
      </c>
      <c r="G201">
        <v>61</v>
      </c>
      <c r="H201">
        <v>64</v>
      </c>
      <c r="I201">
        <v>61</v>
      </c>
    </row>
    <row r="202" spans="1:9" x14ac:dyDescent="0.25">
      <c r="A202" t="s">
        <v>372</v>
      </c>
      <c r="B202">
        <v>44</v>
      </c>
      <c r="C202">
        <v>53</v>
      </c>
      <c r="D202">
        <v>56</v>
      </c>
      <c r="F202">
        <v>51</v>
      </c>
      <c r="G202">
        <v>57</v>
      </c>
      <c r="H202">
        <v>57</v>
      </c>
      <c r="I202">
        <v>53</v>
      </c>
    </row>
    <row r="203" spans="1:9" x14ac:dyDescent="0.25">
      <c r="A203" t="s">
        <v>373</v>
      </c>
      <c r="B203">
        <v>41</v>
      </c>
      <c r="C203">
        <v>53</v>
      </c>
      <c r="D203">
        <v>55</v>
      </c>
      <c r="F203">
        <v>66</v>
      </c>
      <c r="G203">
        <v>70</v>
      </c>
      <c r="H203">
        <v>74</v>
      </c>
      <c r="I203">
        <v>63</v>
      </c>
    </row>
    <row r="204" spans="1:9" x14ac:dyDescent="0.25">
      <c r="A204" t="s">
        <v>374</v>
      </c>
      <c r="B204">
        <v>44</v>
      </c>
      <c r="C204">
        <v>59</v>
      </c>
      <c r="D204">
        <v>61</v>
      </c>
      <c r="F204">
        <v>71</v>
      </c>
      <c r="G204">
        <v>73</v>
      </c>
      <c r="H204">
        <v>75</v>
      </c>
      <c r="I204">
        <v>68</v>
      </c>
    </row>
    <row r="205" spans="1:9" x14ac:dyDescent="0.25">
      <c r="A205" t="s">
        <v>375</v>
      </c>
      <c r="B205">
        <v>45</v>
      </c>
      <c r="C205">
        <v>53</v>
      </c>
      <c r="D205">
        <v>53</v>
      </c>
      <c r="F205">
        <v>51</v>
      </c>
      <c r="G205">
        <v>75</v>
      </c>
      <c r="H205">
        <v>70</v>
      </c>
      <c r="I205">
        <v>58</v>
      </c>
    </row>
    <row r="206" spans="1:9" x14ac:dyDescent="0.25">
      <c r="A206" t="s">
        <v>376</v>
      </c>
      <c r="B206">
        <v>44</v>
      </c>
      <c r="C206">
        <v>57</v>
      </c>
      <c r="D206">
        <v>71</v>
      </c>
      <c r="F206">
        <v>77</v>
      </c>
      <c r="G206">
        <v>97</v>
      </c>
      <c r="H206">
        <v>95</v>
      </c>
      <c r="I206">
        <v>74</v>
      </c>
    </row>
    <row r="207" spans="1:9" x14ac:dyDescent="0.25">
      <c r="A207" t="s">
        <v>377</v>
      </c>
      <c r="B207">
        <v>44</v>
      </c>
      <c r="C207">
        <v>58</v>
      </c>
      <c r="D207">
        <v>80</v>
      </c>
      <c r="F207">
        <v>85</v>
      </c>
      <c r="G207">
        <v>91</v>
      </c>
      <c r="H207">
        <v>97</v>
      </c>
      <c r="I207">
        <v>77</v>
      </c>
    </row>
    <row r="208" spans="1:9" x14ac:dyDescent="0.25">
      <c r="A208" t="s">
        <v>378</v>
      </c>
      <c r="B208">
        <v>47</v>
      </c>
      <c r="C208">
        <v>55</v>
      </c>
      <c r="D208">
        <v>74</v>
      </c>
      <c r="F208">
        <v>81</v>
      </c>
      <c r="G208">
        <v>79</v>
      </c>
      <c r="H208">
        <v>75</v>
      </c>
      <c r="I208">
        <v>82</v>
      </c>
    </row>
    <row r="209" spans="1:9" x14ac:dyDescent="0.25">
      <c r="A209" t="s">
        <v>379</v>
      </c>
      <c r="B209">
        <v>49</v>
      </c>
      <c r="C209">
        <v>56</v>
      </c>
      <c r="D209">
        <v>85</v>
      </c>
      <c r="F209">
        <v>87</v>
      </c>
      <c r="G209">
        <v>96</v>
      </c>
      <c r="H209">
        <v>94</v>
      </c>
      <c r="I209">
        <v>91</v>
      </c>
    </row>
    <row r="210" spans="1:9" x14ac:dyDescent="0.25">
      <c r="A210" t="s">
        <v>380</v>
      </c>
      <c r="B210">
        <v>44</v>
      </c>
      <c r="C210">
        <v>50</v>
      </c>
      <c r="D210">
        <v>67</v>
      </c>
      <c r="F210">
        <v>73</v>
      </c>
      <c r="G210">
        <v>75</v>
      </c>
      <c r="H210">
        <v>70</v>
      </c>
      <c r="I210">
        <v>73</v>
      </c>
    </row>
    <row r="211" spans="1:9" x14ac:dyDescent="0.25">
      <c r="A211" t="s">
        <v>381</v>
      </c>
      <c r="B211">
        <v>44</v>
      </c>
      <c r="C211">
        <v>62</v>
      </c>
      <c r="D211">
        <v>79</v>
      </c>
      <c r="F211">
        <v>89</v>
      </c>
      <c r="G211">
        <v>87</v>
      </c>
      <c r="H211">
        <v>92</v>
      </c>
      <c r="I211">
        <v>84</v>
      </c>
    </row>
    <row r="212" spans="1:9" x14ac:dyDescent="0.25">
      <c r="A212" t="s">
        <v>382</v>
      </c>
      <c r="B212">
        <v>36</v>
      </c>
      <c r="C212">
        <v>62</v>
      </c>
      <c r="D212">
        <v>68</v>
      </c>
      <c r="F212">
        <v>65</v>
      </c>
      <c r="G212">
        <v>83</v>
      </c>
      <c r="H212">
        <v>78</v>
      </c>
      <c r="I212">
        <v>77</v>
      </c>
    </row>
    <row r="213" spans="1:9" x14ac:dyDescent="0.25">
      <c r="A213" t="s">
        <v>383</v>
      </c>
      <c r="B213">
        <v>34</v>
      </c>
      <c r="C213">
        <v>58</v>
      </c>
      <c r="D213">
        <v>65</v>
      </c>
      <c r="F213">
        <v>71</v>
      </c>
      <c r="G213">
        <v>69</v>
      </c>
      <c r="H213">
        <v>71</v>
      </c>
      <c r="I213">
        <v>65</v>
      </c>
    </row>
    <row r="214" spans="1:9" x14ac:dyDescent="0.25">
      <c r="A214" t="s">
        <v>384</v>
      </c>
      <c r="B214">
        <v>39</v>
      </c>
      <c r="C214">
        <v>52</v>
      </c>
      <c r="D214">
        <v>60</v>
      </c>
      <c r="F214">
        <v>56</v>
      </c>
      <c r="G214">
        <v>68</v>
      </c>
      <c r="H214">
        <v>73</v>
      </c>
      <c r="I214">
        <v>64</v>
      </c>
    </row>
    <row r="215" spans="1:9" x14ac:dyDescent="0.25">
      <c r="A215" t="s">
        <v>385</v>
      </c>
      <c r="B215">
        <v>45</v>
      </c>
      <c r="C215">
        <v>55</v>
      </c>
      <c r="D215">
        <v>59</v>
      </c>
      <c r="F215">
        <v>63</v>
      </c>
      <c r="G215">
        <v>79</v>
      </c>
      <c r="H215">
        <v>67</v>
      </c>
      <c r="I215">
        <v>58</v>
      </c>
    </row>
    <row r="216" spans="1:9" x14ac:dyDescent="0.25">
      <c r="A216" t="s">
        <v>386</v>
      </c>
      <c r="B216">
        <v>38</v>
      </c>
      <c r="C216">
        <v>47</v>
      </c>
      <c r="D216">
        <v>45</v>
      </c>
      <c r="F216">
        <v>55</v>
      </c>
      <c r="G216">
        <v>73</v>
      </c>
      <c r="H216">
        <v>70</v>
      </c>
      <c r="I216">
        <v>72</v>
      </c>
    </row>
    <row r="217" spans="1:9" x14ac:dyDescent="0.25">
      <c r="A217" t="s">
        <v>387</v>
      </c>
      <c r="B217">
        <v>49</v>
      </c>
      <c r="C217">
        <v>60</v>
      </c>
      <c r="D217">
        <v>59</v>
      </c>
      <c r="F217">
        <v>71</v>
      </c>
      <c r="G217">
        <v>73</v>
      </c>
      <c r="H217">
        <v>43</v>
      </c>
      <c r="I217">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430A-58EB-478F-BD35-8367E1E4338A}">
  <dimension ref="A1:G37"/>
  <sheetViews>
    <sheetView workbookViewId="0"/>
  </sheetViews>
  <sheetFormatPr defaultRowHeight="15" x14ac:dyDescent="0.25"/>
  <sheetData>
    <row r="1" spans="1:7" x14ac:dyDescent="0.25">
      <c r="A1" t="s">
        <v>388</v>
      </c>
      <c r="B1" t="s">
        <v>86</v>
      </c>
      <c r="C1" t="s">
        <v>516</v>
      </c>
      <c r="D1" t="s">
        <v>98</v>
      </c>
      <c r="E1" t="s">
        <v>102</v>
      </c>
      <c r="F1" t="s">
        <v>517</v>
      </c>
      <c r="G1" t="s">
        <v>106</v>
      </c>
    </row>
    <row r="2" spans="1:7" x14ac:dyDescent="0.25">
      <c r="A2" t="s">
        <v>174</v>
      </c>
      <c r="B2" s="56">
        <v>48.866666666666667</v>
      </c>
      <c r="C2" s="56">
        <v>36.771000000000001</v>
      </c>
      <c r="D2" s="56">
        <v>44.716132600000002</v>
      </c>
      <c r="E2" s="56">
        <v>48.696439000000005</v>
      </c>
      <c r="F2" s="56">
        <v>45.204081632653057</v>
      </c>
      <c r="G2" s="56">
        <v>47.722949999999997</v>
      </c>
    </row>
    <row r="3" spans="1:7" x14ac:dyDescent="0.25">
      <c r="A3" t="s">
        <v>180</v>
      </c>
      <c r="B3" s="56">
        <v>45.083333333333343</v>
      </c>
      <c r="C3" s="56">
        <v>37.749500000000005</v>
      </c>
      <c r="D3" s="56">
        <v>39.361672800000015</v>
      </c>
      <c r="E3" s="56">
        <v>41.304441400000009</v>
      </c>
      <c r="F3" s="56">
        <v>42.137905873768688</v>
      </c>
      <c r="G3" s="56">
        <v>39.769125000000003</v>
      </c>
    </row>
    <row r="4" spans="1:7" x14ac:dyDescent="0.25">
      <c r="A4" t="s">
        <v>186</v>
      </c>
      <c r="B4" s="56">
        <v>47.68333333333333</v>
      </c>
      <c r="C4" s="56">
        <v>38.933999999999997</v>
      </c>
      <c r="D4" s="56">
        <v>42.583825599999997</v>
      </c>
      <c r="E4" s="56">
        <v>45.900747600000003</v>
      </c>
      <c r="F4" s="56">
        <v>42.439737034331621</v>
      </c>
      <c r="G4" s="56">
        <v>45.311145000000003</v>
      </c>
    </row>
    <row r="5" spans="1:7" x14ac:dyDescent="0.25">
      <c r="A5" t="s">
        <v>192</v>
      </c>
      <c r="B5" s="56">
        <v>42.391666666666666</v>
      </c>
      <c r="C5" s="56">
        <v>33.732500000000002</v>
      </c>
      <c r="D5" s="56">
        <v>37.655827200000004</v>
      </c>
      <c r="E5" s="56">
        <v>41.399210599999996</v>
      </c>
      <c r="F5" s="56">
        <v>39.414990859232176</v>
      </c>
      <c r="G5" s="56">
        <v>38.434935000000003</v>
      </c>
    </row>
    <row r="6" spans="1:7" x14ac:dyDescent="0.25">
      <c r="A6" t="s">
        <v>198</v>
      </c>
      <c r="B6" s="56">
        <v>41.537500000000001</v>
      </c>
      <c r="C6" s="56">
        <v>35.0715</v>
      </c>
      <c r="D6" s="56">
        <v>36.376443000000002</v>
      </c>
      <c r="E6" s="56">
        <v>41.683518200000002</v>
      </c>
      <c r="F6" s="56">
        <v>37.715959004392388</v>
      </c>
      <c r="G6" s="56">
        <v>37.357320000000009</v>
      </c>
    </row>
    <row r="7" spans="1:7" x14ac:dyDescent="0.25">
      <c r="A7" t="s">
        <v>204</v>
      </c>
      <c r="B7" s="56">
        <v>44.516666666666659</v>
      </c>
      <c r="C7" s="56">
        <v>32.753999999999998</v>
      </c>
      <c r="D7" s="56">
        <v>36.423827600000003</v>
      </c>
      <c r="E7" s="56">
        <v>45.237363199999997</v>
      </c>
      <c r="F7" s="56">
        <v>43.964822279223171</v>
      </c>
      <c r="G7" s="56">
        <v>42.848025</v>
      </c>
    </row>
    <row r="8" spans="1:7" x14ac:dyDescent="0.25">
      <c r="A8" t="s">
        <v>210</v>
      </c>
      <c r="B8" s="56">
        <v>44.837499999999999</v>
      </c>
      <c r="C8" s="56">
        <v>35.998500000000007</v>
      </c>
      <c r="D8" s="56">
        <v>34.860135800000002</v>
      </c>
      <c r="E8" s="56">
        <v>40.877980000000008</v>
      </c>
      <c r="F8" s="56">
        <v>38.928833455612612</v>
      </c>
      <c r="G8" s="56">
        <v>38.537564999999994</v>
      </c>
    </row>
    <row r="9" spans="1:7" x14ac:dyDescent="0.25">
      <c r="A9" t="s">
        <v>216</v>
      </c>
      <c r="B9" s="56">
        <v>45.791666666666664</v>
      </c>
      <c r="C9" s="56">
        <v>33.166000000000004</v>
      </c>
      <c r="D9" s="56">
        <v>38.745673000000004</v>
      </c>
      <c r="E9" s="56">
        <v>46.801055000000005</v>
      </c>
      <c r="F9" s="56">
        <v>44.421593830334189</v>
      </c>
      <c r="G9" s="56">
        <v>45.003254999999996</v>
      </c>
    </row>
    <row r="10" spans="1:7" x14ac:dyDescent="0.25">
      <c r="A10" t="s">
        <v>222</v>
      </c>
      <c r="B10" s="56">
        <v>41.637500000000003</v>
      </c>
      <c r="C10" s="56">
        <v>34.762500000000003</v>
      </c>
      <c r="D10" s="56">
        <v>40.972749199999996</v>
      </c>
      <c r="E10" s="56">
        <v>40.783210799999999</v>
      </c>
      <c r="F10" s="56">
        <v>39.42647058823529</v>
      </c>
      <c r="G10" s="56">
        <v>35.356035000000006</v>
      </c>
    </row>
    <row r="11" spans="1:7" x14ac:dyDescent="0.25">
      <c r="A11" t="s">
        <v>228</v>
      </c>
      <c r="B11" s="56">
        <v>47.75</v>
      </c>
      <c r="C11" s="56">
        <v>38.522000000000006</v>
      </c>
      <c r="D11" s="56">
        <v>43.531517600000001</v>
      </c>
      <c r="E11" s="56">
        <v>45.995516800000011</v>
      </c>
      <c r="F11" s="56">
        <v>43.793420327145739</v>
      </c>
      <c r="G11" s="56">
        <v>43.771695000000001</v>
      </c>
    </row>
    <row r="12" spans="1:7" x14ac:dyDescent="0.25">
      <c r="A12" t="s">
        <v>234</v>
      </c>
      <c r="B12" s="56">
        <v>45.975000000000001</v>
      </c>
      <c r="C12" s="56">
        <v>33.320500000000003</v>
      </c>
      <c r="D12" s="56">
        <v>42.062595000000002</v>
      </c>
      <c r="E12" s="56">
        <v>46.5167474</v>
      </c>
      <c r="F12" s="56">
        <v>43.322307975009181</v>
      </c>
      <c r="G12" s="56">
        <v>45.208514999999998</v>
      </c>
    </row>
    <row r="13" spans="1:7" x14ac:dyDescent="0.25">
      <c r="A13" t="s">
        <v>240</v>
      </c>
      <c r="B13" s="56">
        <v>41.583333333333321</v>
      </c>
      <c r="C13" s="56">
        <v>36.719500000000004</v>
      </c>
      <c r="D13" s="56">
        <v>40.877980000000008</v>
      </c>
      <c r="E13" s="56">
        <v>43.531517600000001</v>
      </c>
      <c r="F13" s="56">
        <v>40.639353297813706</v>
      </c>
      <c r="G13" s="56">
        <v>43.053285000000002</v>
      </c>
    </row>
    <row r="14" spans="1:7" x14ac:dyDescent="0.25">
      <c r="A14" t="s">
        <v>246</v>
      </c>
      <c r="B14" s="56">
        <v>45.625</v>
      </c>
      <c r="C14" s="56">
        <v>33.268999999999998</v>
      </c>
      <c r="D14" s="56">
        <v>40.546287800000002</v>
      </c>
      <c r="E14" s="56">
        <v>44.431825000000003</v>
      </c>
      <c r="F14" s="56">
        <v>42.843497428361502</v>
      </c>
      <c r="G14" s="56">
        <v>45.208514999999998</v>
      </c>
    </row>
    <row r="15" spans="1:7" x14ac:dyDescent="0.25">
      <c r="A15" t="s">
        <v>252</v>
      </c>
      <c r="B15" s="56">
        <v>41.387500000000003</v>
      </c>
      <c r="C15" s="56">
        <v>38.11</v>
      </c>
      <c r="D15" s="56">
        <v>39.788134200000009</v>
      </c>
      <c r="E15" s="56">
        <v>42.820748600000002</v>
      </c>
      <c r="F15" s="56">
        <v>41.550045913682283</v>
      </c>
      <c r="G15" s="56">
        <v>41.411205000000002</v>
      </c>
    </row>
    <row r="16" spans="1:7" x14ac:dyDescent="0.25">
      <c r="A16" t="s">
        <v>258</v>
      </c>
      <c r="B16" s="56">
        <v>43.895833333333336</v>
      </c>
      <c r="C16" s="56">
        <v>36.410499999999992</v>
      </c>
      <c r="D16" s="56">
        <v>37.845365600000001</v>
      </c>
      <c r="E16" s="56">
        <v>42.109979600000003</v>
      </c>
      <c r="F16" s="56">
        <v>40.359897172236501</v>
      </c>
      <c r="G16" s="56">
        <v>38.024414999999998</v>
      </c>
    </row>
    <row r="17" spans="1:7" x14ac:dyDescent="0.25">
      <c r="A17" t="s">
        <v>264</v>
      </c>
      <c r="B17" s="56">
        <v>45.458333333333336</v>
      </c>
      <c r="C17" s="56">
        <v>33.681000000000004</v>
      </c>
      <c r="D17" s="56">
        <v>40.830595400000007</v>
      </c>
      <c r="E17" s="56">
        <v>44.561875125000007</v>
      </c>
      <c r="F17" s="56">
        <v>42.922709748485403</v>
      </c>
      <c r="G17" s="56">
        <v>42.283560000000001</v>
      </c>
    </row>
    <row r="18" spans="1:7" x14ac:dyDescent="0.25">
      <c r="A18" t="s">
        <v>270</v>
      </c>
      <c r="B18" s="56">
        <v>43.316666666666663</v>
      </c>
      <c r="C18" s="56">
        <v>34.298999999999999</v>
      </c>
      <c r="D18" s="56">
        <v>41.920441199999999</v>
      </c>
      <c r="E18" s="56">
        <v>41.465137000000006</v>
      </c>
      <c r="F18" s="56">
        <v>38.906020558002929</v>
      </c>
      <c r="G18" s="56">
        <v>40.230960000000003</v>
      </c>
    </row>
    <row r="19" spans="1:7" x14ac:dyDescent="0.25">
      <c r="A19" t="s">
        <v>276</v>
      </c>
      <c r="B19" s="56">
        <v>47.641666666666673</v>
      </c>
      <c r="C19" s="56">
        <v>32.033000000000001</v>
      </c>
      <c r="D19" s="56">
        <v>39.409057400000002</v>
      </c>
      <c r="E19" s="56">
        <v>42.513263750000007</v>
      </c>
      <c r="F19" s="56">
        <v>40.257069408740357</v>
      </c>
      <c r="G19" s="56">
        <v>40.036705000000005</v>
      </c>
    </row>
    <row r="20" spans="1:7" x14ac:dyDescent="0.25">
      <c r="A20" t="s">
        <v>282</v>
      </c>
      <c r="B20" s="56">
        <v>41.983333333333341</v>
      </c>
      <c r="C20" s="56">
        <v>35.689500000000002</v>
      </c>
      <c r="D20" s="56">
        <v>42.299517999999999</v>
      </c>
      <c r="E20" s="56">
        <v>42.322695250000002</v>
      </c>
      <c r="F20" s="56">
        <v>40.426157237325498</v>
      </c>
      <c r="G20" s="56">
        <v>40.756234999999997</v>
      </c>
    </row>
    <row r="21" spans="1:7" x14ac:dyDescent="0.25">
      <c r="A21" t="s">
        <v>288</v>
      </c>
      <c r="B21" s="56">
        <v>45.633333333333326</v>
      </c>
      <c r="C21" s="56">
        <v>31.672499999999999</v>
      </c>
      <c r="D21" s="56">
        <v>38.840442200000005</v>
      </c>
      <c r="E21" s="56">
        <v>41.798631875000005</v>
      </c>
      <c r="F21" s="56">
        <v>40.389562660786467</v>
      </c>
      <c r="G21" s="56">
        <v>41.270184999999998</v>
      </c>
    </row>
    <row r="22" spans="1:7" x14ac:dyDescent="0.25">
      <c r="A22" t="s">
        <v>294</v>
      </c>
      <c r="B22" s="56">
        <v>41.983333333333334</v>
      </c>
      <c r="C22" s="56">
        <v>35.998500000000007</v>
      </c>
      <c r="D22" s="56">
        <v>41.35182600000001</v>
      </c>
      <c r="E22" s="56">
        <v>43.370822000000004</v>
      </c>
      <c r="F22" s="56">
        <v>43.749999999999993</v>
      </c>
      <c r="G22" s="56">
        <v>41.938319999999997</v>
      </c>
    </row>
    <row r="23" spans="1:7" x14ac:dyDescent="0.25">
      <c r="A23" t="s">
        <v>300</v>
      </c>
      <c r="B23" s="56">
        <v>43.666666666666664</v>
      </c>
      <c r="C23" s="56">
        <v>33.783999999999999</v>
      </c>
      <c r="D23" s="56">
        <v>38.461365400000005</v>
      </c>
      <c r="E23" s="56">
        <v>42.370337375000005</v>
      </c>
      <c r="F23" s="56">
        <v>41.91246781905113</v>
      </c>
      <c r="G23" s="56">
        <v>38.700434999999999</v>
      </c>
    </row>
    <row r="24" spans="1:7" x14ac:dyDescent="0.25">
      <c r="A24" t="s">
        <v>306</v>
      </c>
      <c r="B24" s="56">
        <v>43.125</v>
      </c>
      <c r="C24" s="56">
        <v>30.333500000000001</v>
      </c>
      <c r="D24" s="56">
        <v>41.541364400000006</v>
      </c>
      <c r="E24" s="56">
        <v>46.038781000000007</v>
      </c>
      <c r="F24" s="56">
        <v>43.11258278145695</v>
      </c>
      <c r="G24" s="56">
        <v>44.610860000000002</v>
      </c>
    </row>
    <row r="25" spans="1:7" x14ac:dyDescent="0.25">
      <c r="A25" t="s">
        <v>312</v>
      </c>
      <c r="B25" s="56">
        <v>50.31666666666667</v>
      </c>
      <c r="C25" s="56">
        <v>36.513500000000001</v>
      </c>
      <c r="D25" s="56">
        <v>39.693365</v>
      </c>
      <c r="E25" s="56">
        <v>43.180253500000006</v>
      </c>
      <c r="F25" s="56">
        <v>41.324990798675017</v>
      </c>
      <c r="G25" s="56">
        <v>42.914825</v>
      </c>
    </row>
    <row r="26" spans="1:7" x14ac:dyDescent="0.25">
      <c r="A26" t="s">
        <v>318</v>
      </c>
      <c r="B26" s="56">
        <v>42.483333333333334</v>
      </c>
      <c r="C26" s="56">
        <v>36.256000000000007</v>
      </c>
      <c r="D26" s="56">
        <v>41.2096722</v>
      </c>
      <c r="E26" s="56">
        <v>46.467560125000006</v>
      </c>
      <c r="F26" s="56">
        <v>44.020618556701031</v>
      </c>
      <c r="G26" s="56">
        <v>45.741550000000004</v>
      </c>
    </row>
    <row r="27" spans="1:7" x14ac:dyDescent="0.25">
      <c r="A27" t="s">
        <v>324</v>
      </c>
      <c r="B27" s="56">
        <v>43.291666666666664</v>
      </c>
      <c r="C27" s="56">
        <v>38.985500000000002</v>
      </c>
      <c r="D27" s="56">
        <v>44.242286600000007</v>
      </c>
      <c r="E27" s="56">
        <v>45.943496750000001</v>
      </c>
      <c r="F27" s="56">
        <v>46.194071073467128</v>
      </c>
      <c r="G27" s="56">
        <v>45.330389999999994</v>
      </c>
    </row>
    <row r="28" spans="1:7" x14ac:dyDescent="0.25">
      <c r="A28" t="s">
        <v>330</v>
      </c>
      <c r="B28" s="56">
        <v>45.7</v>
      </c>
      <c r="C28" s="56">
        <v>36.667999999999999</v>
      </c>
      <c r="D28" s="56">
        <v>39.503826600000004</v>
      </c>
      <c r="E28" s="56">
        <v>40.84578937500001</v>
      </c>
      <c r="F28" s="56">
        <v>41.510128913443829</v>
      </c>
      <c r="G28" s="56">
        <v>40.190890000000003</v>
      </c>
    </row>
    <row r="29" spans="1:7" x14ac:dyDescent="0.25">
      <c r="A29" t="s">
        <v>336</v>
      </c>
      <c r="B29" s="56">
        <v>44.924999999999997</v>
      </c>
      <c r="C29" s="56">
        <v>32.393500000000003</v>
      </c>
      <c r="D29" s="56">
        <v>42.915517800000003</v>
      </c>
      <c r="E29" s="56">
        <v>46.372275875</v>
      </c>
      <c r="F29" s="56">
        <v>44.61226745256954</v>
      </c>
      <c r="G29" s="56">
        <v>45.330389999999994</v>
      </c>
    </row>
    <row r="30" spans="1:7" x14ac:dyDescent="0.25">
      <c r="A30" t="s">
        <v>342</v>
      </c>
      <c r="B30" s="56">
        <v>46.183333333333337</v>
      </c>
      <c r="C30" s="56">
        <v>37.131499999999996</v>
      </c>
      <c r="D30" s="56">
        <v>38.935211400000007</v>
      </c>
      <c r="E30" s="56">
        <v>40.464652375</v>
      </c>
      <c r="F30" s="56">
        <v>39.25571112748711</v>
      </c>
      <c r="G30" s="56">
        <v>39.317174999999999</v>
      </c>
    </row>
    <row r="31" spans="1:7" x14ac:dyDescent="0.25">
      <c r="A31" t="s">
        <v>348</v>
      </c>
      <c r="B31" s="56">
        <v>43.366666666666667</v>
      </c>
      <c r="C31" s="56">
        <v>31.414999999999999</v>
      </c>
      <c r="D31" s="56">
        <v>39.029980600000002</v>
      </c>
      <c r="E31" s="56">
        <v>44.418948750000006</v>
      </c>
      <c r="F31" s="56">
        <v>43.029297954671094</v>
      </c>
      <c r="G31" s="56">
        <v>46.769449999999999</v>
      </c>
    </row>
    <row r="32" spans="1:7" x14ac:dyDescent="0.25">
      <c r="A32" t="s">
        <v>354</v>
      </c>
      <c r="B32" s="56">
        <v>41.008333333333333</v>
      </c>
      <c r="C32" s="56">
        <v>33.835500000000003</v>
      </c>
      <c r="D32" s="56">
        <v>35.476135599999999</v>
      </c>
      <c r="E32" s="56">
        <v>47.229834125000004</v>
      </c>
      <c r="F32" s="56">
        <v>46.288241798746768</v>
      </c>
      <c r="G32" s="56">
        <v>48.362695000000002</v>
      </c>
    </row>
    <row r="33" spans="1:7" x14ac:dyDescent="0.25">
      <c r="A33" t="s">
        <v>360</v>
      </c>
      <c r="B33" s="56">
        <v>45.583333333333321</v>
      </c>
      <c r="C33" s="56">
        <v>36.358999999999995</v>
      </c>
      <c r="D33" s="56">
        <v>40.119826400000008</v>
      </c>
      <c r="E33" s="56">
        <v>42.751474375000001</v>
      </c>
      <c r="F33" s="56">
        <v>42.529032258064518</v>
      </c>
      <c r="G33" s="56">
        <v>39.728335000000008</v>
      </c>
    </row>
    <row r="34" spans="1:7" x14ac:dyDescent="0.25">
      <c r="A34" t="s">
        <v>366</v>
      </c>
      <c r="B34" s="56"/>
      <c r="C34" s="56"/>
      <c r="D34" s="56">
        <v>46.5167474</v>
      </c>
      <c r="E34" s="56">
        <v>50.850635625000002</v>
      </c>
      <c r="F34" s="56">
        <v>50.796460176991161</v>
      </c>
      <c r="G34" s="56">
        <v>52.165925000000001</v>
      </c>
    </row>
    <row r="35" spans="1:7" x14ac:dyDescent="0.25">
      <c r="A35" t="s">
        <v>372</v>
      </c>
      <c r="B35" s="56">
        <v>47.041666666666664</v>
      </c>
      <c r="C35" s="56">
        <v>53.972000000000008</v>
      </c>
      <c r="D35" s="56">
        <v>51.349976600000005</v>
      </c>
      <c r="E35" s="56">
        <v>52.136973000000005</v>
      </c>
      <c r="F35" s="56">
        <v>54.463582677165356</v>
      </c>
      <c r="G35" s="56">
        <v>54.067540000000001</v>
      </c>
    </row>
    <row r="36" spans="1:7" x14ac:dyDescent="0.25">
      <c r="A36" t="s">
        <v>378</v>
      </c>
      <c r="B36" s="56"/>
      <c r="C36" s="56"/>
      <c r="D36" s="56">
        <v>44.289671199999994</v>
      </c>
      <c r="E36" s="56">
        <v>49.897793125000007</v>
      </c>
      <c r="F36" s="56">
        <v>49.137931034482762</v>
      </c>
      <c r="G36" s="56">
        <v>50.212914999999995</v>
      </c>
    </row>
    <row r="37" spans="1:7" x14ac:dyDescent="0.25">
      <c r="A37" t="s">
        <v>384</v>
      </c>
      <c r="B37" s="56">
        <v>46.758333333333326</v>
      </c>
      <c r="C37" s="56">
        <v>53.920499999999997</v>
      </c>
      <c r="D37" s="56">
        <v>50.402284600000002</v>
      </c>
      <c r="E37" s="56">
        <v>53.804447375000002</v>
      </c>
      <c r="F37" s="56">
        <v>52.396449704142022</v>
      </c>
      <c r="G37" s="56">
        <v>52.885455000000007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38B6-BADF-4618-A1E2-86823CB04AE8}">
  <dimension ref="A1:G37"/>
  <sheetViews>
    <sheetView workbookViewId="0"/>
  </sheetViews>
  <sheetFormatPr defaultRowHeight="15" x14ac:dyDescent="0.25"/>
  <sheetData>
    <row r="1" spans="1:7" x14ac:dyDescent="0.25">
      <c r="A1" t="s">
        <v>388</v>
      </c>
      <c r="B1" t="s">
        <v>86</v>
      </c>
      <c r="C1" t="s">
        <v>516</v>
      </c>
      <c r="D1" t="s">
        <v>98</v>
      </c>
      <c r="E1" t="s">
        <v>102</v>
      </c>
      <c r="F1" t="s">
        <v>517</v>
      </c>
      <c r="G1" t="s">
        <v>106</v>
      </c>
    </row>
    <row r="2" spans="1:7" x14ac:dyDescent="0.25">
      <c r="A2" t="s">
        <v>174</v>
      </c>
      <c r="B2" s="56">
        <v>46.335835742914398</v>
      </c>
      <c r="C2" s="56">
        <v>33.809458818248274</v>
      </c>
      <c r="D2" s="56">
        <v>51.795826131493371</v>
      </c>
      <c r="E2" s="56">
        <v>60.703554039109783</v>
      </c>
      <c r="F2" s="56">
        <v>42.906744923887366</v>
      </c>
      <c r="G2" s="56">
        <v>55.238428870614982</v>
      </c>
    </row>
    <row r="3" spans="1:7" x14ac:dyDescent="0.25">
      <c r="A3" t="s">
        <v>180</v>
      </c>
      <c r="B3" s="56">
        <v>44.578741936881613</v>
      </c>
      <c r="C3" s="56">
        <v>36.374176831853944</v>
      </c>
      <c r="D3" s="56">
        <v>47.56767176814737</v>
      </c>
      <c r="E3" s="56">
        <v>53.999831664587845</v>
      </c>
      <c r="F3" s="56">
        <v>47.362338071756255</v>
      </c>
      <c r="G3" s="56">
        <v>45.181950788348999</v>
      </c>
    </row>
    <row r="4" spans="1:7" x14ac:dyDescent="0.25">
      <c r="A4" t="s">
        <v>186</v>
      </c>
      <c r="B4" s="56">
        <v>46.408117644806211</v>
      </c>
      <c r="C4" s="56">
        <v>37.411239734760045</v>
      </c>
      <c r="D4" s="56">
        <v>48.148111007318441</v>
      </c>
      <c r="E4" s="56">
        <v>56.136992121583731</v>
      </c>
      <c r="F4" s="56">
        <v>49.704772647755668</v>
      </c>
      <c r="G4" s="56">
        <v>52.610211519860371</v>
      </c>
    </row>
    <row r="5" spans="1:7" x14ac:dyDescent="0.25">
      <c r="A5" t="s">
        <v>192</v>
      </c>
      <c r="B5" s="56">
        <v>44.39749117614295</v>
      </c>
      <c r="C5" s="56">
        <v>30.710003430152092</v>
      </c>
      <c r="D5" s="56">
        <v>41.889976004857282</v>
      </c>
      <c r="E5" s="56">
        <v>50.361363791121029</v>
      </c>
      <c r="F5" s="56">
        <v>44.395434675875777</v>
      </c>
      <c r="G5" s="56">
        <v>38.753601316823435</v>
      </c>
    </row>
    <row r="6" spans="1:7" x14ac:dyDescent="0.25">
      <c r="A6" t="s">
        <v>198</v>
      </c>
      <c r="B6" s="56">
        <v>42.328105167176119</v>
      </c>
      <c r="C6" s="56">
        <v>33.130622325939385</v>
      </c>
      <c r="D6" s="56">
        <v>38.906018313419473</v>
      </c>
      <c r="E6" s="56">
        <v>49.477414913758821</v>
      </c>
      <c r="F6" s="56">
        <v>37.371880698745976</v>
      </c>
      <c r="G6" s="56">
        <v>35.8570045868492</v>
      </c>
    </row>
    <row r="7" spans="1:7" x14ac:dyDescent="0.25">
      <c r="A7" t="s">
        <v>204</v>
      </c>
      <c r="B7" s="56">
        <v>42.363235426147646</v>
      </c>
      <c r="C7" s="56">
        <v>28.498772030298262</v>
      </c>
      <c r="D7" s="56">
        <v>35.645595706966994</v>
      </c>
      <c r="E7" s="56">
        <v>54.327435270076272</v>
      </c>
      <c r="F7" s="56">
        <v>47.663903087473251</v>
      </c>
      <c r="G7" s="56">
        <v>49.32927302804292</v>
      </c>
    </row>
    <row r="8" spans="1:7" x14ac:dyDescent="0.25">
      <c r="A8" t="s">
        <v>210</v>
      </c>
      <c r="B8" s="56">
        <v>44.82730245968412</v>
      </c>
      <c r="C8" s="56">
        <v>34.431557154202359</v>
      </c>
      <c r="D8" s="56">
        <v>34.274168017778351</v>
      </c>
      <c r="E8" s="56">
        <v>52.135790383656961</v>
      </c>
      <c r="F8" s="56">
        <v>41.16330405619906</v>
      </c>
      <c r="G8" s="56">
        <v>39.73594744732349</v>
      </c>
    </row>
    <row r="9" spans="1:7" x14ac:dyDescent="0.25">
      <c r="A9" t="s">
        <v>216</v>
      </c>
      <c r="B9" s="56">
        <v>48.210680972536935</v>
      </c>
      <c r="C9" s="56">
        <v>30.369574492023268</v>
      </c>
      <c r="D9" s="56">
        <v>39.454278049498228</v>
      </c>
      <c r="E9" s="56">
        <v>60.675184960932384</v>
      </c>
      <c r="F9" s="56">
        <v>49.396094702556297</v>
      </c>
      <c r="G9" s="56">
        <v>53.843604243076918</v>
      </c>
    </row>
    <row r="10" spans="1:7" x14ac:dyDescent="0.25">
      <c r="A10" t="s">
        <v>222</v>
      </c>
      <c r="B10" s="56">
        <v>44.065612459774385</v>
      </c>
      <c r="C10" s="56">
        <v>31.342905714797823</v>
      </c>
      <c r="D10" s="56">
        <v>54.076853363325029</v>
      </c>
      <c r="E10" s="56">
        <v>48.47369322885811</v>
      </c>
      <c r="F10" s="56">
        <v>37.343042408562042</v>
      </c>
      <c r="G10" s="56">
        <v>35.167131802866059</v>
      </c>
    </row>
    <row r="11" spans="1:7" x14ac:dyDescent="0.25">
      <c r="A11" t="s">
        <v>228</v>
      </c>
      <c r="B11" s="56">
        <v>49.996143856747111</v>
      </c>
      <c r="C11" s="56">
        <v>36.136652600725711</v>
      </c>
      <c r="D11" s="56">
        <v>50.46628988207037</v>
      </c>
      <c r="E11" s="56">
        <v>53.495717095206118</v>
      </c>
      <c r="F11" s="56">
        <v>44.489835620418894</v>
      </c>
      <c r="G11" s="56">
        <v>51.507627895856601</v>
      </c>
    </row>
    <row r="12" spans="1:7" x14ac:dyDescent="0.25">
      <c r="A12" t="s">
        <v>234</v>
      </c>
      <c r="B12" s="56">
        <v>45.720266244771821</v>
      </c>
      <c r="C12" s="56">
        <v>29.094755015006317</v>
      </c>
      <c r="D12" s="56">
        <v>48.628131609402899</v>
      </c>
      <c r="E12" s="56">
        <v>56.066963946623297</v>
      </c>
      <c r="F12" s="56">
        <v>47.311774420870762</v>
      </c>
      <c r="G12" s="56">
        <v>52.664463606301197</v>
      </c>
    </row>
    <row r="13" spans="1:7" x14ac:dyDescent="0.25">
      <c r="A13" t="s">
        <v>240</v>
      </c>
      <c r="B13" s="56">
        <v>49.265076661946168</v>
      </c>
      <c r="C13" s="56">
        <v>33.015356972263632</v>
      </c>
      <c r="D13" s="56">
        <v>47.750711569852186</v>
      </c>
      <c r="E13" s="56">
        <v>50.291335616160588</v>
      </c>
      <c r="F13" s="56">
        <v>41.617333169081526</v>
      </c>
      <c r="G13" s="56">
        <v>50.355299639274747</v>
      </c>
    </row>
    <row r="14" spans="1:7" x14ac:dyDescent="0.25">
      <c r="A14" t="s">
        <v>246</v>
      </c>
      <c r="B14" s="56">
        <v>43.101063801742711</v>
      </c>
      <c r="C14" s="56">
        <v>28.653675096808286</v>
      </c>
      <c r="D14" s="56">
        <v>43.094534963931174</v>
      </c>
      <c r="E14" s="56">
        <v>50.924470243788932</v>
      </c>
      <c r="F14" s="56">
        <v>45.702822040514761</v>
      </c>
      <c r="G14" s="56">
        <v>53.184121921219926</v>
      </c>
    </row>
    <row r="15" spans="1:7" x14ac:dyDescent="0.25">
      <c r="A15" t="s">
        <v>252</v>
      </c>
      <c r="B15" s="56">
        <v>38.715520301972703</v>
      </c>
      <c r="C15" s="56">
        <v>33.768032064447866</v>
      </c>
      <c r="D15" s="56">
        <v>44.491845661383238</v>
      </c>
      <c r="E15" s="56">
        <v>54.032708196628001</v>
      </c>
      <c r="F15" s="56">
        <v>44.35909688395499</v>
      </c>
      <c r="G15" s="56">
        <v>48.364259684046019</v>
      </c>
    </row>
    <row r="16" spans="1:7" x14ac:dyDescent="0.25">
      <c r="A16" t="s">
        <v>258</v>
      </c>
      <c r="B16" s="56">
        <v>44.465265624172005</v>
      </c>
      <c r="C16" s="56">
        <v>35.243688815638002</v>
      </c>
      <c r="D16" s="56">
        <v>44.838803437323577</v>
      </c>
      <c r="E16" s="56">
        <v>55.067285029620102</v>
      </c>
      <c r="F16" s="56">
        <v>42.695831101845073</v>
      </c>
      <c r="G16" s="56">
        <v>38.777927627103324</v>
      </c>
    </row>
    <row r="17" spans="1:7" x14ac:dyDescent="0.25">
      <c r="A17" t="s">
        <v>264</v>
      </c>
      <c r="B17" s="56">
        <v>47.363651395112385</v>
      </c>
      <c r="C17" s="56">
        <v>29.714599624029034</v>
      </c>
      <c r="D17" s="56">
        <v>53.144251865403035</v>
      </c>
      <c r="E17" s="56">
        <v>53.995788896690335</v>
      </c>
      <c r="F17" s="56">
        <v>44.504448051638093</v>
      </c>
      <c r="G17" s="56">
        <v>47.618345772655907</v>
      </c>
    </row>
    <row r="18" spans="1:7" x14ac:dyDescent="0.25">
      <c r="A18" t="s">
        <v>270</v>
      </c>
      <c r="B18" s="56">
        <v>44.829323843632864</v>
      </c>
      <c r="C18" s="56">
        <v>30.107491607632529</v>
      </c>
      <c r="D18" s="56">
        <v>52.157630624022858</v>
      </c>
      <c r="E18" s="56">
        <v>49.141261086510134</v>
      </c>
      <c r="F18" s="56">
        <v>40.331671165144101</v>
      </c>
      <c r="G18" s="56">
        <v>41.226683258085394</v>
      </c>
    </row>
    <row r="19" spans="1:7" x14ac:dyDescent="0.25">
      <c r="A19" t="s">
        <v>276</v>
      </c>
      <c r="B19" s="56">
        <v>46.305212937805628</v>
      </c>
      <c r="C19" s="56">
        <v>27.372791467945063</v>
      </c>
      <c r="D19" s="56">
        <v>46.02602960989433</v>
      </c>
      <c r="E19" s="56">
        <v>49.793749884590369</v>
      </c>
      <c r="F19" s="56">
        <v>42.445216309268055</v>
      </c>
      <c r="G19" s="56">
        <v>41.185256504284986</v>
      </c>
    </row>
    <row r="20" spans="1:7" x14ac:dyDescent="0.25">
      <c r="A20" t="s">
        <v>282</v>
      </c>
      <c r="B20" s="56">
        <v>40.924497974895175</v>
      </c>
      <c r="C20" s="56">
        <v>29.038016858651517</v>
      </c>
      <c r="D20" s="56">
        <v>47.032702050674253</v>
      </c>
      <c r="E20" s="56">
        <v>52.094363629856545</v>
      </c>
      <c r="F20" s="56">
        <v>40.589785459457964</v>
      </c>
      <c r="G20" s="56">
        <v>44.571121087051786</v>
      </c>
    </row>
    <row r="21" spans="1:7" x14ac:dyDescent="0.25">
      <c r="A21" t="s">
        <v>288</v>
      </c>
      <c r="B21" s="56">
        <v>44.637501477185182</v>
      </c>
      <c r="C21" s="56">
        <v>25.220319608394789</v>
      </c>
      <c r="D21" s="56">
        <v>48.453409686475737</v>
      </c>
      <c r="E21" s="56">
        <v>53.10282511160262</v>
      </c>
      <c r="F21" s="56">
        <v>40.084806123435506</v>
      </c>
      <c r="G21" s="56">
        <v>43.889798524828905</v>
      </c>
    </row>
    <row r="22" spans="1:7" x14ac:dyDescent="0.25">
      <c r="A22" t="s">
        <v>294</v>
      </c>
      <c r="B22" s="56">
        <v>46.551752076659362</v>
      </c>
      <c r="C22" s="56">
        <v>30.50512338808139</v>
      </c>
      <c r="D22" s="56">
        <v>48.776505838101414</v>
      </c>
      <c r="E22" s="56">
        <v>53.218555151243613</v>
      </c>
      <c r="F22" s="56">
        <v>49.276218646443184</v>
      </c>
      <c r="G22" s="56">
        <v>50.982137772074196</v>
      </c>
    </row>
    <row r="23" spans="1:7" x14ac:dyDescent="0.25">
      <c r="A23" t="s">
        <v>300</v>
      </c>
      <c r="B23" s="56">
        <v>42.555290135577948</v>
      </c>
      <c r="C23" s="56">
        <v>29.647057518982589</v>
      </c>
      <c r="D23" s="56">
        <v>45.397634779111343</v>
      </c>
      <c r="E23" s="56">
        <v>50.787132306764676</v>
      </c>
      <c r="F23" s="56">
        <v>46.367378403185029</v>
      </c>
      <c r="G23" s="56">
        <v>37.24980783043852</v>
      </c>
    </row>
    <row r="24" spans="1:7" x14ac:dyDescent="0.25">
      <c r="A24" t="s">
        <v>306</v>
      </c>
      <c r="B24" s="56">
        <v>46.96648430062875</v>
      </c>
      <c r="C24" s="56">
        <v>25.687514877838854</v>
      </c>
      <c r="D24" s="56">
        <v>46.074217544488867</v>
      </c>
      <c r="E24" s="56">
        <v>52.729519641433647</v>
      </c>
      <c r="F24" s="56">
        <v>37.259504144369707</v>
      </c>
      <c r="G24" s="56">
        <v>49.94934998004824</v>
      </c>
    </row>
    <row r="25" spans="1:7" x14ac:dyDescent="0.25">
      <c r="A25" t="s">
        <v>312</v>
      </c>
      <c r="B25" s="56">
        <v>48.320346860331632</v>
      </c>
      <c r="C25" s="56">
        <v>32.960640199857593</v>
      </c>
      <c r="D25" s="56">
        <v>44.777790170088636</v>
      </c>
      <c r="E25" s="56">
        <v>51.887229860854461</v>
      </c>
      <c r="F25" s="56">
        <v>45.826447847496297</v>
      </c>
      <c r="G25" s="56">
        <v>50.920892161856649</v>
      </c>
    </row>
    <row r="26" spans="1:7" x14ac:dyDescent="0.25">
      <c r="A26" t="s">
        <v>318</v>
      </c>
      <c r="B26" s="56">
        <v>46.329074562120276</v>
      </c>
      <c r="C26" s="56">
        <v>30.424058921446697</v>
      </c>
      <c r="D26" s="56">
        <v>44.018121554127674</v>
      </c>
      <c r="E26" s="56">
        <v>53.869254908357696</v>
      </c>
      <c r="F26" s="56">
        <v>44.199519857307159</v>
      </c>
      <c r="G26" s="56">
        <v>55.905996728267006</v>
      </c>
    </row>
    <row r="27" spans="1:7" x14ac:dyDescent="0.25">
      <c r="A27" t="s">
        <v>324</v>
      </c>
      <c r="B27" s="56">
        <v>45.08285650626334</v>
      </c>
      <c r="C27" s="56">
        <v>34.807348694285324</v>
      </c>
      <c r="D27" s="56">
        <v>53.469834086942704</v>
      </c>
      <c r="E27" s="56">
        <v>57.918179894913791</v>
      </c>
      <c r="F27" s="56">
        <v>54.959797217881636</v>
      </c>
      <c r="G27" s="56">
        <v>52.880844626011381</v>
      </c>
    </row>
    <row r="28" spans="1:7" x14ac:dyDescent="0.25">
      <c r="A28" t="s">
        <v>330</v>
      </c>
      <c r="B28" s="56">
        <v>46.086810534146672</v>
      </c>
      <c r="C28" s="56">
        <v>33.054297656150062</v>
      </c>
      <c r="D28" s="56">
        <v>48.154639845129942</v>
      </c>
      <c r="E28" s="56">
        <v>47.187605117184283</v>
      </c>
      <c r="F28" s="56">
        <v>44.333621772385001</v>
      </c>
      <c r="G28" s="56">
        <v>43.008103374398061</v>
      </c>
    </row>
    <row r="29" spans="1:7" x14ac:dyDescent="0.25">
      <c r="A29" t="s">
        <v>336</v>
      </c>
      <c r="B29" s="56">
        <v>46.617505140739667</v>
      </c>
      <c r="C29" s="56">
        <v>24.288415139420653</v>
      </c>
      <c r="D29" s="56">
        <v>49.00345846352063</v>
      </c>
      <c r="E29" s="56">
        <v>56.444776870655026</v>
      </c>
      <c r="F29" s="56">
        <v>48.945815340542268</v>
      </c>
      <c r="G29" s="56">
        <v>52.123662079964419</v>
      </c>
    </row>
    <row r="30" spans="1:7" x14ac:dyDescent="0.25">
      <c r="A30" t="s">
        <v>342</v>
      </c>
      <c r="B30" s="56">
        <v>40.215271020460122</v>
      </c>
      <c r="C30" s="56">
        <v>33.368611243032859</v>
      </c>
      <c r="D30" s="56">
        <v>44.825513418717946</v>
      </c>
      <c r="E30" s="56">
        <v>46.860001511695863</v>
      </c>
      <c r="F30" s="56">
        <v>40.440684540906439</v>
      </c>
      <c r="G30" s="56">
        <v>38.188473480206767</v>
      </c>
    </row>
    <row r="31" spans="1:7" x14ac:dyDescent="0.25">
      <c r="A31" t="s">
        <v>348</v>
      </c>
      <c r="B31" s="56">
        <v>47.37492002976925</v>
      </c>
      <c r="C31" s="56">
        <v>25.63551651832941</v>
      </c>
      <c r="D31" s="56">
        <v>42.828176968660316</v>
      </c>
      <c r="E31" s="56">
        <v>53.21000492948334</v>
      </c>
      <c r="F31" s="56">
        <v>50.812495442957619</v>
      </c>
      <c r="G31" s="56">
        <v>54.948441594012074</v>
      </c>
    </row>
    <row r="32" spans="1:7" x14ac:dyDescent="0.25">
      <c r="A32" t="s">
        <v>354</v>
      </c>
      <c r="B32" s="56">
        <v>48.09292954894719</v>
      </c>
      <c r="C32" s="56">
        <v>26.460241169422829</v>
      </c>
      <c r="D32" s="56">
        <v>40.988229655026693</v>
      </c>
      <c r="E32" s="56">
        <v>57.711046125911707</v>
      </c>
      <c r="F32" s="56">
        <v>49.432819066731547</v>
      </c>
      <c r="G32" s="56">
        <v>51.521150257444845</v>
      </c>
    </row>
    <row r="33" spans="1:7" x14ac:dyDescent="0.25">
      <c r="A33" t="s">
        <v>360</v>
      </c>
      <c r="B33" s="56">
        <v>43.589634625587436</v>
      </c>
      <c r="C33" s="56">
        <v>31.437027857055526</v>
      </c>
      <c r="D33" s="56">
        <v>46.982260389148344</v>
      </c>
      <c r="E33" s="56">
        <v>54.746674947908403</v>
      </c>
      <c r="F33" s="56">
        <v>48.114182449487302</v>
      </c>
      <c r="G33" s="56">
        <v>39.781649312004035</v>
      </c>
    </row>
    <row r="34" spans="1:7" x14ac:dyDescent="0.25">
      <c r="A34" t="s">
        <v>366</v>
      </c>
      <c r="B34" s="56"/>
      <c r="C34" s="56"/>
      <c r="D34" s="56">
        <v>55.488778434383612</v>
      </c>
      <c r="E34" s="56">
        <v>69.782425787721081</v>
      </c>
      <c r="F34" s="56">
        <v>64.98322920419875</v>
      </c>
      <c r="G34" s="56">
        <v>53.582683073599242</v>
      </c>
    </row>
    <row r="35" spans="1:7" x14ac:dyDescent="0.25">
      <c r="A35" t="s">
        <v>372</v>
      </c>
      <c r="B35" s="56">
        <v>50.011455259301499</v>
      </c>
      <c r="C35" s="56">
        <v>63.248220853315708</v>
      </c>
      <c r="D35" s="56">
        <v>59.472182699842008</v>
      </c>
      <c r="E35" s="56">
        <v>65.96091811254945</v>
      </c>
      <c r="F35" s="56">
        <v>67.01400922863931</v>
      </c>
      <c r="G35" s="56">
        <v>65.142954642250146</v>
      </c>
    </row>
    <row r="36" spans="1:7" x14ac:dyDescent="0.25">
      <c r="A36" t="s">
        <v>378</v>
      </c>
      <c r="B36" s="56"/>
      <c r="C36" s="56"/>
      <c r="D36" s="56">
        <v>53.371204490822244</v>
      </c>
      <c r="E36" s="56">
        <v>63.013647378066693</v>
      </c>
      <c r="F36" s="56">
        <v>55.908329558690234</v>
      </c>
      <c r="G36" s="56">
        <v>53.691651932446106</v>
      </c>
    </row>
    <row r="37" spans="1:7" x14ac:dyDescent="0.25">
      <c r="A37" t="s">
        <v>384</v>
      </c>
      <c r="B37" s="56">
        <v>43.681735383896388</v>
      </c>
      <c r="C37" s="56">
        <v>61.362339332018919</v>
      </c>
      <c r="D37" s="56">
        <v>58.869670877322442</v>
      </c>
      <c r="E37" s="56">
        <v>64.035631221401005</v>
      </c>
      <c r="F37" s="56">
        <v>64.817312392577477</v>
      </c>
      <c r="G37" s="56">
        <v>63.929380775450753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2847-8742-4049-A78B-1F8D4E3115F4}">
  <dimension ref="A1:B217"/>
  <sheetViews>
    <sheetView workbookViewId="0"/>
  </sheetViews>
  <sheetFormatPr defaultRowHeight="15" x14ac:dyDescent="0.25"/>
  <sheetData>
    <row r="1" spans="1:2" x14ac:dyDescent="0.25">
      <c r="A1" t="s">
        <v>388</v>
      </c>
      <c r="B1" t="s">
        <v>161</v>
      </c>
    </row>
    <row r="2" spans="1:2" x14ac:dyDescent="0.25">
      <c r="A2" t="s">
        <v>172</v>
      </c>
      <c r="B2" s="56">
        <v>4.7982283464566926</v>
      </c>
    </row>
    <row r="3" spans="1:2" x14ac:dyDescent="0.25">
      <c r="A3" t="s">
        <v>173</v>
      </c>
      <c r="B3" s="56">
        <v>5.4133858267716537</v>
      </c>
    </row>
    <row r="4" spans="1:2" x14ac:dyDescent="0.25">
      <c r="A4" t="s">
        <v>174</v>
      </c>
      <c r="B4" s="56">
        <v>5.2903543307086611</v>
      </c>
    </row>
    <row r="5" spans="1:2" x14ac:dyDescent="0.25">
      <c r="A5" t="s">
        <v>175</v>
      </c>
      <c r="B5" s="56">
        <v>4.9212598425196852</v>
      </c>
    </row>
    <row r="6" spans="1:2" x14ac:dyDescent="0.25">
      <c r="A6" t="s">
        <v>176</v>
      </c>
      <c r="B6" s="56">
        <v>5.7824803149606296</v>
      </c>
    </row>
    <row r="7" spans="1:2" x14ac:dyDescent="0.25">
      <c r="A7" t="s">
        <v>177</v>
      </c>
      <c r="B7" s="56">
        <v>4.9212598425196852</v>
      </c>
    </row>
    <row r="8" spans="1:2" x14ac:dyDescent="0.25">
      <c r="A8" t="s">
        <v>178</v>
      </c>
      <c r="B8" s="56">
        <v>12.467191601049867</v>
      </c>
    </row>
    <row r="9" spans="1:2" x14ac:dyDescent="0.25">
      <c r="A9" t="s">
        <v>179</v>
      </c>
      <c r="B9" s="56">
        <v>7.5459317585301839</v>
      </c>
    </row>
    <row r="10" spans="1:2" x14ac:dyDescent="0.25">
      <c r="A10" t="s">
        <v>180</v>
      </c>
      <c r="B10" s="56">
        <v>6.0695538057742784</v>
      </c>
    </row>
    <row r="11" spans="1:2" x14ac:dyDescent="0.25">
      <c r="A11" t="s">
        <v>181</v>
      </c>
      <c r="B11" s="56">
        <v>8.0380577427821507</v>
      </c>
    </row>
    <row r="12" spans="1:2" x14ac:dyDescent="0.25">
      <c r="A12" t="s">
        <v>182</v>
      </c>
      <c r="B12" s="56">
        <v>9.8425196850393704</v>
      </c>
    </row>
    <row r="13" spans="1:2" x14ac:dyDescent="0.25">
      <c r="A13" t="s">
        <v>183</v>
      </c>
      <c r="B13" s="56">
        <v>11.15485564304462</v>
      </c>
    </row>
    <row r="14" spans="1:2" x14ac:dyDescent="0.25">
      <c r="A14" t="s">
        <v>184</v>
      </c>
      <c r="B14" s="56">
        <v>21.653543307086615</v>
      </c>
    </row>
    <row r="15" spans="1:2" x14ac:dyDescent="0.25">
      <c r="A15" t="s">
        <v>185</v>
      </c>
      <c r="B15" s="56">
        <v>23.458005249343831</v>
      </c>
    </row>
    <row r="16" spans="1:2" x14ac:dyDescent="0.25">
      <c r="A16" t="s">
        <v>186</v>
      </c>
      <c r="B16" s="56">
        <v>22.309711286089239</v>
      </c>
    </row>
    <row r="17" spans="1:2" x14ac:dyDescent="0.25">
      <c r="A17" t="s">
        <v>187</v>
      </c>
      <c r="B17" s="56">
        <v>21.489501312335957</v>
      </c>
    </row>
    <row r="18" spans="1:2" x14ac:dyDescent="0.25">
      <c r="A18" t="s">
        <v>188</v>
      </c>
      <c r="B18" s="56">
        <v>19.19291338582677</v>
      </c>
    </row>
    <row r="19" spans="1:2" x14ac:dyDescent="0.25">
      <c r="A19" t="s">
        <v>189</v>
      </c>
      <c r="B19" s="56">
        <v>24.278215223097114</v>
      </c>
    </row>
    <row r="20" spans="1:2" x14ac:dyDescent="0.25">
      <c r="A20" t="s">
        <v>190</v>
      </c>
      <c r="B20" s="56">
        <v>12.139107611548557</v>
      </c>
    </row>
    <row r="21" spans="1:2" x14ac:dyDescent="0.25">
      <c r="A21" t="s">
        <v>191</v>
      </c>
      <c r="B21" s="56">
        <v>14.107611548556431</v>
      </c>
    </row>
    <row r="22" spans="1:2" x14ac:dyDescent="0.25">
      <c r="A22" t="s">
        <v>192</v>
      </c>
      <c r="B22" s="56">
        <v>10.662729658792651</v>
      </c>
    </row>
    <row r="23" spans="1:2" x14ac:dyDescent="0.25">
      <c r="A23" t="s">
        <v>193</v>
      </c>
      <c r="B23" s="56">
        <v>10.826771653543307</v>
      </c>
    </row>
    <row r="24" spans="1:2" x14ac:dyDescent="0.25">
      <c r="A24" t="s">
        <v>194</v>
      </c>
      <c r="B24" s="56">
        <v>10.662729658792651</v>
      </c>
    </row>
    <row r="25" spans="1:2" x14ac:dyDescent="0.25">
      <c r="A25" t="s">
        <v>195</v>
      </c>
      <c r="B25" s="56">
        <v>12.631233595800525</v>
      </c>
    </row>
    <row r="26" spans="1:2" x14ac:dyDescent="0.25">
      <c r="A26" t="s">
        <v>196</v>
      </c>
      <c r="B26" s="56">
        <v>24.278215223097114</v>
      </c>
    </row>
    <row r="27" spans="1:2" x14ac:dyDescent="0.25">
      <c r="A27" t="s">
        <v>197</v>
      </c>
      <c r="B27" s="56">
        <v>22.309711286089239</v>
      </c>
    </row>
    <row r="28" spans="1:2" x14ac:dyDescent="0.25">
      <c r="A28" t="s">
        <v>198</v>
      </c>
      <c r="B28" s="56">
        <v>22.80183727034121</v>
      </c>
    </row>
    <row r="29" spans="1:2" x14ac:dyDescent="0.25">
      <c r="A29" t="s">
        <v>199</v>
      </c>
      <c r="B29" s="56">
        <v>21.817585301837273</v>
      </c>
    </row>
    <row r="30" spans="1:2" x14ac:dyDescent="0.25">
      <c r="A30" t="s">
        <v>200</v>
      </c>
      <c r="B30" s="56">
        <v>20.833333333333336</v>
      </c>
    </row>
    <row r="31" spans="1:2" x14ac:dyDescent="0.25">
      <c r="A31" t="s">
        <v>201</v>
      </c>
      <c r="B31" s="56">
        <v>25.426509186351705</v>
      </c>
    </row>
    <row r="32" spans="1:2" x14ac:dyDescent="0.25">
      <c r="A32" t="s">
        <v>202</v>
      </c>
      <c r="B32" s="56">
        <v>12.959317585301836</v>
      </c>
    </row>
    <row r="33" spans="1:2" x14ac:dyDescent="0.25">
      <c r="A33" t="s">
        <v>203</v>
      </c>
      <c r="B33" s="56">
        <v>14.435695538057741</v>
      </c>
    </row>
    <row r="34" spans="1:2" x14ac:dyDescent="0.25">
      <c r="A34" t="s">
        <v>204</v>
      </c>
      <c r="B34" s="56">
        <v>11.811023622047244</v>
      </c>
    </row>
    <row r="35" spans="1:2" x14ac:dyDescent="0.25">
      <c r="A35" t="s">
        <v>205</v>
      </c>
      <c r="B35" s="56">
        <v>12.467191601049867</v>
      </c>
    </row>
    <row r="36" spans="1:2" x14ac:dyDescent="0.25">
      <c r="A36" t="s">
        <v>206</v>
      </c>
      <c r="B36" s="56">
        <v>9.6784776902887142</v>
      </c>
    </row>
    <row r="37" spans="1:2" x14ac:dyDescent="0.25">
      <c r="A37" t="s">
        <v>207</v>
      </c>
      <c r="B37" s="56">
        <v>10.498687664041993</v>
      </c>
    </row>
    <row r="38" spans="1:2" x14ac:dyDescent="0.25">
      <c r="A38" t="s">
        <v>208</v>
      </c>
      <c r="B38" s="56">
        <v>9.3503937007874018</v>
      </c>
    </row>
    <row r="39" spans="1:2" x14ac:dyDescent="0.25">
      <c r="A39" t="s">
        <v>209</v>
      </c>
      <c r="B39" s="56">
        <v>11.646981627296588</v>
      </c>
    </row>
    <row r="40" spans="1:2" x14ac:dyDescent="0.25">
      <c r="A40" t="s">
        <v>210</v>
      </c>
      <c r="B40" s="56">
        <v>10.170603674540683</v>
      </c>
    </row>
    <row r="41" spans="1:2" x14ac:dyDescent="0.25">
      <c r="A41" t="s">
        <v>211</v>
      </c>
      <c r="B41" s="56">
        <v>11.48293963254593</v>
      </c>
    </row>
    <row r="42" spans="1:2" x14ac:dyDescent="0.25">
      <c r="A42" t="s">
        <v>212</v>
      </c>
      <c r="B42" s="56">
        <v>11.48293963254593</v>
      </c>
    </row>
    <row r="43" spans="1:2" x14ac:dyDescent="0.25">
      <c r="A43" t="s">
        <v>213</v>
      </c>
      <c r="B43" s="56">
        <v>13.615485564304462</v>
      </c>
    </row>
    <row r="44" spans="1:2" x14ac:dyDescent="0.25">
      <c r="A44" t="s">
        <v>214</v>
      </c>
      <c r="B44" s="56">
        <v>11.811023622047244</v>
      </c>
    </row>
    <row r="45" spans="1:2" x14ac:dyDescent="0.25">
      <c r="A45" t="s">
        <v>215</v>
      </c>
      <c r="B45" s="56">
        <v>12.303149606299213</v>
      </c>
    </row>
    <row r="46" spans="1:2" x14ac:dyDescent="0.25">
      <c r="A46" t="s">
        <v>216</v>
      </c>
      <c r="B46" s="56">
        <v>12.139107611548557</v>
      </c>
    </row>
    <row r="47" spans="1:2" x14ac:dyDescent="0.25">
      <c r="A47" t="s">
        <v>217</v>
      </c>
      <c r="B47" s="56">
        <v>12.139107611548557</v>
      </c>
    </row>
    <row r="48" spans="1:2" x14ac:dyDescent="0.25">
      <c r="A48" t="s">
        <v>218</v>
      </c>
      <c r="B48" s="56">
        <v>10.498687664041993</v>
      </c>
    </row>
    <row r="49" spans="1:2" x14ac:dyDescent="0.25">
      <c r="A49" t="s">
        <v>219</v>
      </c>
      <c r="B49" s="56">
        <v>11.48293963254593</v>
      </c>
    </row>
    <row r="50" spans="1:2" x14ac:dyDescent="0.25">
      <c r="A50" t="s">
        <v>220</v>
      </c>
      <c r="B50" s="56">
        <v>20.997375328083987</v>
      </c>
    </row>
    <row r="51" spans="1:2" x14ac:dyDescent="0.25">
      <c r="A51" t="s">
        <v>221</v>
      </c>
      <c r="B51" s="56">
        <v>25.426509186351705</v>
      </c>
    </row>
    <row r="52" spans="1:2" x14ac:dyDescent="0.25">
      <c r="A52" t="s">
        <v>222</v>
      </c>
      <c r="B52" s="56">
        <v>23.622047244094489</v>
      </c>
    </row>
    <row r="53" spans="1:2" x14ac:dyDescent="0.25">
      <c r="A53" t="s">
        <v>223</v>
      </c>
      <c r="B53" s="56">
        <v>18.536745406824146</v>
      </c>
    </row>
    <row r="54" spans="1:2" x14ac:dyDescent="0.25">
      <c r="A54" t="s">
        <v>224</v>
      </c>
      <c r="B54" s="56">
        <v>17.880577427821525</v>
      </c>
    </row>
    <row r="55" spans="1:2" x14ac:dyDescent="0.25">
      <c r="A55" t="s">
        <v>225</v>
      </c>
      <c r="B55" s="56">
        <v>22.145669291338582</v>
      </c>
    </row>
    <row r="56" spans="1:2" x14ac:dyDescent="0.25">
      <c r="A56" t="s">
        <v>226</v>
      </c>
      <c r="B56" s="56">
        <v>13.28740157480315</v>
      </c>
    </row>
    <row r="57" spans="1:2" x14ac:dyDescent="0.25">
      <c r="A57" t="s">
        <v>227</v>
      </c>
      <c r="B57" s="56">
        <v>11.318897637795276</v>
      </c>
    </row>
    <row r="58" spans="1:2" x14ac:dyDescent="0.25">
      <c r="A58" t="s">
        <v>228</v>
      </c>
      <c r="B58" s="56">
        <v>14.271653543307087</v>
      </c>
    </row>
    <row r="59" spans="1:2" x14ac:dyDescent="0.25">
      <c r="A59" t="s">
        <v>229</v>
      </c>
      <c r="B59" s="56">
        <v>7.3818897637795278</v>
      </c>
    </row>
    <row r="60" spans="1:2" x14ac:dyDescent="0.25">
      <c r="A60" t="s">
        <v>230</v>
      </c>
      <c r="B60" s="56">
        <v>14.435695538057741</v>
      </c>
    </row>
    <row r="61" spans="1:2" x14ac:dyDescent="0.25">
      <c r="A61" t="s">
        <v>231</v>
      </c>
      <c r="B61" s="56">
        <v>13.28740157480315</v>
      </c>
    </row>
    <row r="62" spans="1:2" x14ac:dyDescent="0.25">
      <c r="A62" t="s">
        <v>232</v>
      </c>
      <c r="B62" s="56">
        <v>10.498687664041993</v>
      </c>
    </row>
    <row r="63" spans="1:2" x14ac:dyDescent="0.25">
      <c r="A63" t="s">
        <v>233</v>
      </c>
      <c r="B63" s="56">
        <v>13.451443569553804</v>
      </c>
    </row>
    <row r="64" spans="1:2" x14ac:dyDescent="0.25">
      <c r="A64" t="s">
        <v>234</v>
      </c>
      <c r="B64" s="56">
        <v>10.334645669291339</v>
      </c>
    </row>
    <row r="65" spans="1:2" x14ac:dyDescent="0.25">
      <c r="A65" t="s">
        <v>235</v>
      </c>
      <c r="B65" s="56">
        <v>9.0223097112860877</v>
      </c>
    </row>
    <row r="66" spans="1:2" x14ac:dyDescent="0.25">
      <c r="A66" t="s">
        <v>236</v>
      </c>
      <c r="B66" s="56">
        <v>10.498687664041993</v>
      </c>
    </row>
    <row r="67" spans="1:2" x14ac:dyDescent="0.25">
      <c r="A67" t="s">
        <v>237</v>
      </c>
      <c r="B67" s="56">
        <v>9.1863517060367457</v>
      </c>
    </row>
    <row r="68" spans="1:2" x14ac:dyDescent="0.25">
      <c r="A68" t="s">
        <v>238</v>
      </c>
      <c r="B68" s="56">
        <v>23.293963254593177</v>
      </c>
    </row>
    <row r="69" spans="1:2" x14ac:dyDescent="0.25">
      <c r="A69" t="s">
        <v>239</v>
      </c>
      <c r="B69" s="56">
        <v>23.458005249343831</v>
      </c>
    </row>
    <row r="70" spans="1:2" x14ac:dyDescent="0.25">
      <c r="A70" t="s">
        <v>240</v>
      </c>
      <c r="B70" s="56">
        <v>24.770341207349084</v>
      </c>
    </row>
    <row r="71" spans="1:2" x14ac:dyDescent="0.25">
      <c r="A71" t="s">
        <v>241</v>
      </c>
      <c r="B71" s="56">
        <v>24.606299212598426</v>
      </c>
    </row>
    <row r="72" spans="1:2" x14ac:dyDescent="0.25">
      <c r="A72" t="s">
        <v>242</v>
      </c>
      <c r="B72" s="56">
        <v>21.817585301837273</v>
      </c>
    </row>
    <row r="73" spans="1:2" x14ac:dyDescent="0.25">
      <c r="A73" t="s">
        <v>243</v>
      </c>
      <c r="B73" s="56">
        <v>23.950131233595798</v>
      </c>
    </row>
    <row r="74" spans="1:2" x14ac:dyDescent="0.25">
      <c r="A74" t="s">
        <v>244</v>
      </c>
      <c r="B74" s="56">
        <v>3.6909448818897639</v>
      </c>
    </row>
    <row r="75" spans="1:2" x14ac:dyDescent="0.25">
      <c r="A75" t="s">
        <v>245</v>
      </c>
      <c r="B75" s="56">
        <v>5.2903543307086611</v>
      </c>
    </row>
    <row r="76" spans="1:2" x14ac:dyDescent="0.25">
      <c r="A76" t="s">
        <v>246</v>
      </c>
      <c r="B76" s="56">
        <v>4.9212598425196852</v>
      </c>
    </row>
    <row r="77" spans="1:2" x14ac:dyDescent="0.25">
      <c r="A77" t="s">
        <v>247</v>
      </c>
      <c r="B77" s="56">
        <v>4.9212598425196852</v>
      </c>
    </row>
    <row r="78" spans="1:2" x14ac:dyDescent="0.25">
      <c r="A78" t="s">
        <v>248</v>
      </c>
      <c r="B78" s="56">
        <v>5.7824803149606296</v>
      </c>
    </row>
    <row r="79" spans="1:2" x14ac:dyDescent="0.25">
      <c r="A79" t="s">
        <v>249</v>
      </c>
      <c r="B79" s="56">
        <v>4.9212598425196852</v>
      </c>
    </row>
    <row r="80" spans="1:2" x14ac:dyDescent="0.25">
      <c r="A80" t="s">
        <v>250</v>
      </c>
      <c r="B80" s="56">
        <v>5.2903543307086611</v>
      </c>
    </row>
    <row r="81" spans="1:2" x14ac:dyDescent="0.25">
      <c r="A81" t="s">
        <v>251</v>
      </c>
      <c r="B81" s="56">
        <v>4.7982283464566926</v>
      </c>
    </row>
    <row r="82" spans="1:2" x14ac:dyDescent="0.25">
      <c r="A82" t="s">
        <v>252</v>
      </c>
      <c r="B82" s="56">
        <v>5.0442913385826769</v>
      </c>
    </row>
    <row r="83" spans="1:2" x14ac:dyDescent="0.25">
      <c r="A83" t="s">
        <v>253</v>
      </c>
      <c r="B83" s="56">
        <v>5.2903543307086611</v>
      </c>
    </row>
    <row r="84" spans="1:2" x14ac:dyDescent="0.25">
      <c r="A84" t="s">
        <v>254</v>
      </c>
      <c r="B84" s="56">
        <v>5.4133858267716537</v>
      </c>
    </row>
    <row r="85" spans="1:2" x14ac:dyDescent="0.25">
      <c r="A85" t="s">
        <v>255</v>
      </c>
      <c r="B85" s="56">
        <v>5.0442913385826769</v>
      </c>
    </row>
    <row r="86" spans="1:2" x14ac:dyDescent="0.25">
      <c r="A86" t="s">
        <v>256</v>
      </c>
      <c r="B86" s="56">
        <v>9.8425196850393704</v>
      </c>
    </row>
    <row r="87" spans="1:2" x14ac:dyDescent="0.25">
      <c r="A87" t="s">
        <v>257</v>
      </c>
      <c r="B87" s="56">
        <v>10.990813648293962</v>
      </c>
    </row>
    <row r="88" spans="1:2" x14ac:dyDescent="0.25">
      <c r="A88" t="s">
        <v>258</v>
      </c>
      <c r="B88" s="56">
        <v>10.990813648293962</v>
      </c>
    </row>
    <row r="89" spans="1:2" x14ac:dyDescent="0.25">
      <c r="A89" t="s">
        <v>259</v>
      </c>
      <c r="B89" s="56">
        <v>12.959317585301836</v>
      </c>
    </row>
    <row r="90" spans="1:2" x14ac:dyDescent="0.25">
      <c r="A90" t="s">
        <v>260</v>
      </c>
      <c r="B90" s="56">
        <v>13.123359580052494</v>
      </c>
    </row>
    <row r="91" spans="1:2" x14ac:dyDescent="0.25">
      <c r="A91" t="s">
        <v>261</v>
      </c>
      <c r="B91" s="56">
        <v>11.48293963254593</v>
      </c>
    </row>
    <row r="92" spans="1:2" x14ac:dyDescent="0.25">
      <c r="A92" t="s">
        <v>262</v>
      </c>
      <c r="B92" s="56">
        <v>5.4133858267716537</v>
      </c>
    </row>
    <row r="93" spans="1:2" x14ac:dyDescent="0.25">
      <c r="A93" t="s">
        <v>263</v>
      </c>
      <c r="B93" s="56">
        <v>5.1673228346456694</v>
      </c>
    </row>
    <row r="94" spans="1:2" x14ac:dyDescent="0.25">
      <c r="A94" t="s">
        <v>264</v>
      </c>
      <c r="B94" s="56">
        <v>4.9212598425196852</v>
      </c>
    </row>
    <row r="95" spans="1:2" x14ac:dyDescent="0.25">
      <c r="A95" t="s">
        <v>265</v>
      </c>
      <c r="B95" s="56">
        <v>5.0442913385826769</v>
      </c>
    </row>
    <row r="96" spans="1:2" x14ac:dyDescent="0.25">
      <c r="A96" t="s">
        <v>266</v>
      </c>
      <c r="B96" s="56">
        <v>4.3061023622047241</v>
      </c>
    </row>
    <row r="97" spans="1:2" x14ac:dyDescent="0.25">
      <c r="A97" t="s">
        <v>267</v>
      </c>
      <c r="B97" s="56">
        <v>4.7982283464566926</v>
      </c>
    </row>
    <row r="98" spans="1:2" x14ac:dyDescent="0.25">
      <c r="A98" t="s">
        <v>268</v>
      </c>
      <c r="B98" s="56">
        <v>9.6784776902887142</v>
      </c>
    </row>
    <row r="99" spans="1:2" x14ac:dyDescent="0.25">
      <c r="A99" t="s">
        <v>269</v>
      </c>
      <c r="B99" s="56">
        <v>13.451443569553804</v>
      </c>
    </row>
    <row r="100" spans="1:2" x14ac:dyDescent="0.25">
      <c r="A100" t="s">
        <v>270</v>
      </c>
      <c r="B100" s="56">
        <v>9.3503937007874018</v>
      </c>
    </row>
    <row r="101" spans="1:2" x14ac:dyDescent="0.25">
      <c r="A101" t="s">
        <v>271</v>
      </c>
      <c r="B101" s="56">
        <v>10.334645669291339</v>
      </c>
    </row>
    <row r="102" spans="1:2" x14ac:dyDescent="0.25">
      <c r="A102" t="s">
        <v>272</v>
      </c>
      <c r="B102" s="56">
        <v>12.631233595800525</v>
      </c>
    </row>
    <row r="103" spans="1:2" x14ac:dyDescent="0.25">
      <c r="A103" t="s">
        <v>273</v>
      </c>
      <c r="B103" s="56">
        <v>11.318897637795276</v>
      </c>
    </row>
    <row r="104" spans="1:2" x14ac:dyDescent="0.25">
      <c r="A104" t="s">
        <v>274</v>
      </c>
      <c r="B104" s="56">
        <v>13.779527559055119</v>
      </c>
    </row>
    <row r="105" spans="1:2" x14ac:dyDescent="0.25">
      <c r="A105" t="s">
        <v>275</v>
      </c>
      <c r="B105" s="56">
        <v>9.8425196850393704</v>
      </c>
    </row>
    <row r="106" spans="1:2" x14ac:dyDescent="0.25">
      <c r="A106" t="s">
        <v>276</v>
      </c>
      <c r="B106" s="56">
        <v>12.631233595800525</v>
      </c>
    </row>
    <row r="107" spans="1:2" x14ac:dyDescent="0.25">
      <c r="A107" t="s">
        <v>277</v>
      </c>
      <c r="B107" s="56">
        <v>10.662729658792651</v>
      </c>
    </row>
    <row r="108" spans="1:2" x14ac:dyDescent="0.25">
      <c r="A108" t="s">
        <v>278</v>
      </c>
      <c r="B108" s="56">
        <v>11.48293963254593</v>
      </c>
    </row>
    <row r="109" spans="1:2" x14ac:dyDescent="0.25">
      <c r="A109" t="s">
        <v>279</v>
      </c>
      <c r="B109" s="56">
        <v>11.811023622047244</v>
      </c>
    </row>
    <row r="110" spans="1:2" x14ac:dyDescent="0.25">
      <c r="A110" t="s">
        <v>280</v>
      </c>
      <c r="B110" s="56">
        <v>5.4133858267716537</v>
      </c>
    </row>
    <row r="111" spans="1:2" x14ac:dyDescent="0.25">
      <c r="A111" t="s">
        <v>281</v>
      </c>
      <c r="B111" s="56">
        <v>5.659448818897638</v>
      </c>
    </row>
    <row r="112" spans="1:2" x14ac:dyDescent="0.25">
      <c r="A112" t="s">
        <v>282</v>
      </c>
      <c r="B112" s="56">
        <v>5.4133858267716537</v>
      </c>
    </row>
    <row r="113" spans="1:2" x14ac:dyDescent="0.25">
      <c r="A113" t="s">
        <v>283</v>
      </c>
      <c r="B113" s="56">
        <v>5.1673228346456694</v>
      </c>
    </row>
    <row r="114" spans="1:2" x14ac:dyDescent="0.25">
      <c r="A114" t="s">
        <v>284</v>
      </c>
      <c r="B114" s="56">
        <v>4.9212598425196852</v>
      </c>
    </row>
    <row r="115" spans="1:2" x14ac:dyDescent="0.25">
      <c r="A115" t="s">
        <v>285</v>
      </c>
      <c r="B115" s="56">
        <v>5.1673228346456694</v>
      </c>
    </row>
    <row r="116" spans="1:2" x14ac:dyDescent="0.25">
      <c r="A116" t="s">
        <v>286</v>
      </c>
      <c r="B116" s="56">
        <v>4.9212598425196852</v>
      </c>
    </row>
    <row r="117" spans="1:2" x14ac:dyDescent="0.25">
      <c r="A117" t="s">
        <v>287</v>
      </c>
      <c r="B117" s="56">
        <v>4.9212598425196852</v>
      </c>
    </row>
    <row r="118" spans="1:2" x14ac:dyDescent="0.25">
      <c r="A118" t="s">
        <v>288</v>
      </c>
      <c r="B118" s="56">
        <v>4.5521653543307083</v>
      </c>
    </row>
    <row r="119" spans="1:2" x14ac:dyDescent="0.25">
      <c r="A119" t="s">
        <v>289</v>
      </c>
      <c r="B119" s="56">
        <v>5.7824803149606296</v>
      </c>
    </row>
    <row r="120" spans="1:2" x14ac:dyDescent="0.25">
      <c r="A120" t="s">
        <v>290</v>
      </c>
      <c r="B120" s="56">
        <v>4.9212598425196852</v>
      </c>
    </row>
    <row r="121" spans="1:2" x14ac:dyDescent="0.25">
      <c r="A121" t="s">
        <v>291</v>
      </c>
      <c r="B121" s="56">
        <v>5.4133858267716537</v>
      </c>
    </row>
    <row r="122" spans="1:2" x14ac:dyDescent="0.25">
      <c r="A122" t="s">
        <v>292</v>
      </c>
      <c r="B122" s="56">
        <v>25.426509186351705</v>
      </c>
    </row>
    <row r="123" spans="1:2" x14ac:dyDescent="0.25">
      <c r="A123" t="s">
        <v>293</v>
      </c>
      <c r="B123" s="56">
        <v>26.738845144356958</v>
      </c>
    </row>
    <row r="124" spans="1:2" x14ac:dyDescent="0.25">
      <c r="A124" t="s">
        <v>294</v>
      </c>
      <c r="B124" s="56">
        <v>22.637795275590552</v>
      </c>
    </row>
    <row r="125" spans="1:2" x14ac:dyDescent="0.25">
      <c r="A125" t="s">
        <v>295</v>
      </c>
      <c r="B125" s="56">
        <v>25.098425196850393</v>
      </c>
    </row>
    <row r="126" spans="1:2" x14ac:dyDescent="0.25">
      <c r="A126" t="s">
        <v>296</v>
      </c>
      <c r="B126" s="56">
        <v>24.442257217847768</v>
      </c>
    </row>
    <row r="127" spans="1:2" x14ac:dyDescent="0.25">
      <c r="A127" t="s">
        <v>297</v>
      </c>
      <c r="B127" s="56">
        <v>27.230971128608925</v>
      </c>
    </row>
    <row r="128" spans="1:2" x14ac:dyDescent="0.25">
      <c r="A128" t="s">
        <v>298</v>
      </c>
      <c r="B128" s="56">
        <v>13.451443569553804</v>
      </c>
    </row>
    <row r="129" spans="1:2" x14ac:dyDescent="0.25">
      <c r="A129" t="s">
        <v>299</v>
      </c>
      <c r="B129" s="56">
        <v>12.467191601049867</v>
      </c>
    </row>
    <row r="130" spans="1:2" x14ac:dyDescent="0.25">
      <c r="A130" t="s">
        <v>300</v>
      </c>
      <c r="B130" s="56">
        <v>10.990813648293962</v>
      </c>
    </row>
    <row r="131" spans="1:2" x14ac:dyDescent="0.25">
      <c r="A131" t="s">
        <v>301</v>
      </c>
      <c r="B131" s="56">
        <v>12.303149606299213</v>
      </c>
    </row>
    <row r="132" spans="1:2" x14ac:dyDescent="0.25">
      <c r="A132" t="s">
        <v>302</v>
      </c>
      <c r="B132" s="56">
        <v>12.959317585301836</v>
      </c>
    </row>
    <row r="133" spans="1:2" x14ac:dyDescent="0.25">
      <c r="A133" t="s">
        <v>303</v>
      </c>
      <c r="B133" s="56">
        <v>12.795275590551181</v>
      </c>
    </row>
    <row r="134" spans="1:2" x14ac:dyDescent="0.25">
      <c r="A134" t="s">
        <v>304</v>
      </c>
      <c r="B134" s="56">
        <v>10.662729658792651</v>
      </c>
    </row>
    <row r="135" spans="1:2" x14ac:dyDescent="0.25">
      <c r="A135" t="s">
        <v>305</v>
      </c>
      <c r="B135" s="56">
        <v>10.990813648293962</v>
      </c>
    </row>
    <row r="136" spans="1:2" x14ac:dyDescent="0.25">
      <c r="A136" t="s">
        <v>306</v>
      </c>
      <c r="B136" s="56">
        <v>9.6784776902887142</v>
      </c>
    </row>
    <row r="137" spans="1:2" x14ac:dyDescent="0.25">
      <c r="A137" t="s">
        <v>307</v>
      </c>
      <c r="B137" s="56">
        <v>13.451443569553804</v>
      </c>
    </row>
    <row r="138" spans="1:2" x14ac:dyDescent="0.25">
      <c r="A138" t="s">
        <v>308</v>
      </c>
      <c r="B138" s="56">
        <v>12.139107611548557</v>
      </c>
    </row>
    <row r="139" spans="1:2" x14ac:dyDescent="0.25">
      <c r="A139" t="s">
        <v>309</v>
      </c>
      <c r="B139" s="56">
        <v>13.615485564304462</v>
      </c>
    </row>
    <row r="140" spans="1:2" x14ac:dyDescent="0.25">
      <c r="A140" t="s">
        <v>310</v>
      </c>
      <c r="B140" s="56">
        <v>25.426509186351705</v>
      </c>
    </row>
    <row r="141" spans="1:2" x14ac:dyDescent="0.25">
      <c r="A141" t="s">
        <v>311</v>
      </c>
      <c r="B141" s="56">
        <v>27.887139107611546</v>
      </c>
    </row>
    <row r="142" spans="1:2" x14ac:dyDescent="0.25">
      <c r="A142" t="s">
        <v>312</v>
      </c>
      <c r="B142" s="56">
        <v>22.473753280839894</v>
      </c>
    </row>
    <row r="143" spans="1:2" x14ac:dyDescent="0.25">
      <c r="A143" t="s">
        <v>313</v>
      </c>
      <c r="B143" s="56">
        <v>21.489501312335957</v>
      </c>
    </row>
    <row r="144" spans="1:2" x14ac:dyDescent="0.25">
      <c r="A144" t="s">
        <v>314</v>
      </c>
      <c r="B144" s="56">
        <v>23.786089238845147</v>
      </c>
    </row>
    <row r="145" spans="1:2" x14ac:dyDescent="0.25">
      <c r="A145" t="s">
        <v>315</v>
      </c>
      <c r="B145" s="56">
        <v>16.73228346456693</v>
      </c>
    </row>
    <row r="146" spans="1:2" x14ac:dyDescent="0.25">
      <c r="A146" t="s">
        <v>316</v>
      </c>
      <c r="B146" s="56">
        <v>4.4291338582677167</v>
      </c>
    </row>
    <row r="147" spans="1:2" x14ac:dyDescent="0.25">
      <c r="A147" t="s">
        <v>317</v>
      </c>
      <c r="B147" s="56">
        <v>5.0442913385826769</v>
      </c>
    </row>
    <row r="148" spans="1:2" x14ac:dyDescent="0.25">
      <c r="A148" t="s">
        <v>318</v>
      </c>
      <c r="B148" s="56">
        <v>4.5521653543307083</v>
      </c>
    </row>
    <row r="149" spans="1:2" x14ac:dyDescent="0.25">
      <c r="A149" t="s">
        <v>319</v>
      </c>
      <c r="B149" s="56">
        <v>4.9212598425196852</v>
      </c>
    </row>
    <row r="150" spans="1:2" x14ac:dyDescent="0.25">
      <c r="A150" t="s">
        <v>320</v>
      </c>
      <c r="B150" s="56">
        <v>4.9212598425196852</v>
      </c>
    </row>
    <row r="151" spans="1:2" x14ac:dyDescent="0.25">
      <c r="A151" t="s">
        <v>321</v>
      </c>
      <c r="B151" s="56">
        <v>4.9212598425196852</v>
      </c>
    </row>
    <row r="152" spans="1:2" x14ac:dyDescent="0.25">
      <c r="A152" t="s">
        <v>322</v>
      </c>
      <c r="B152" s="56">
        <v>12.467191601049867</v>
      </c>
    </row>
    <row r="153" spans="1:2" x14ac:dyDescent="0.25">
      <c r="A153" t="s">
        <v>323</v>
      </c>
      <c r="B153" s="56">
        <v>13.123359580052494</v>
      </c>
    </row>
    <row r="154" spans="1:2" x14ac:dyDescent="0.25">
      <c r="A154" t="s">
        <v>324</v>
      </c>
      <c r="B154" s="56">
        <v>11.318897637795276</v>
      </c>
    </row>
    <row r="155" spans="1:2" x14ac:dyDescent="0.25">
      <c r="A155" t="s">
        <v>325</v>
      </c>
      <c r="B155" s="56">
        <v>10.498687664041993</v>
      </c>
    </row>
    <row r="156" spans="1:2" x14ac:dyDescent="0.25">
      <c r="A156" t="s">
        <v>326</v>
      </c>
      <c r="B156" s="56">
        <v>8.6942257217847771</v>
      </c>
    </row>
    <row r="157" spans="1:2" x14ac:dyDescent="0.25">
      <c r="A157" t="s">
        <v>327</v>
      </c>
      <c r="B157" s="56">
        <v>12.303149606299213</v>
      </c>
    </row>
    <row r="158" spans="1:2" x14ac:dyDescent="0.25">
      <c r="A158" t="s">
        <v>328</v>
      </c>
      <c r="B158" s="56">
        <v>25.426509186351705</v>
      </c>
    </row>
    <row r="159" spans="1:2" x14ac:dyDescent="0.25">
      <c r="A159" t="s">
        <v>329</v>
      </c>
      <c r="B159" s="56">
        <v>22.80183727034121</v>
      </c>
    </row>
    <row r="160" spans="1:2" x14ac:dyDescent="0.25">
      <c r="A160" t="s">
        <v>330</v>
      </c>
      <c r="B160" s="56">
        <v>23.129921259842519</v>
      </c>
    </row>
    <row r="161" spans="1:2" x14ac:dyDescent="0.25">
      <c r="A161" t="s">
        <v>331</v>
      </c>
      <c r="B161" s="56">
        <v>21.161417322834644</v>
      </c>
    </row>
    <row r="162" spans="1:2" x14ac:dyDescent="0.25">
      <c r="A162" t="s">
        <v>332</v>
      </c>
      <c r="B162" s="56">
        <v>19.356955380577428</v>
      </c>
    </row>
    <row r="163" spans="1:2" x14ac:dyDescent="0.25">
      <c r="A163" t="s">
        <v>333</v>
      </c>
      <c r="B163" s="56">
        <v>22.309711286089239</v>
      </c>
    </row>
    <row r="164" spans="1:2" x14ac:dyDescent="0.25">
      <c r="A164" t="s">
        <v>334</v>
      </c>
      <c r="B164" s="56">
        <v>11.811023622047244</v>
      </c>
    </row>
    <row r="165" spans="1:2" x14ac:dyDescent="0.25">
      <c r="A165" t="s">
        <v>335</v>
      </c>
      <c r="B165" s="56">
        <v>11.318897637795276</v>
      </c>
    </row>
    <row r="166" spans="1:2" x14ac:dyDescent="0.25">
      <c r="A166" t="s">
        <v>336</v>
      </c>
      <c r="B166" s="56">
        <v>10.334645669291339</v>
      </c>
    </row>
    <row r="167" spans="1:2" x14ac:dyDescent="0.25">
      <c r="A167" t="s">
        <v>337</v>
      </c>
      <c r="B167" s="56">
        <v>12.631233595800525</v>
      </c>
    </row>
    <row r="168" spans="1:2" x14ac:dyDescent="0.25">
      <c r="A168" t="s">
        <v>338</v>
      </c>
      <c r="B168" s="56">
        <v>10.006561679790025</v>
      </c>
    </row>
    <row r="169" spans="1:2" x14ac:dyDescent="0.25">
      <c r="A169" t="s">
        <v>339</v>
      </c>
      <c r="B169" s="56">
        <v>9.3503937007874018</v>
      </c>
    </row>
    <row r="170" spans="1:2" x14ac:dyDescent="0.25">
      <c r="A170" t="s">
        <v>340</v>
      </c>
      <c r="B170" s="56">
        <v>24.606299212598426</v>
      </c>
    </row>
    <row r="171" spans="1:2" x14ac:dyDescent="0.25">
      <c r="A171" t="s">
        <v>341</v>
      </c>
      <c r="B171" s="56">
        <v>26.738845144356958</v>
      </c>
    </row>
    <row r="172" spans="1:2" x14ac:dyDescent="0.25">
      <c r="A172" t="s">
        <v>342</v>
      </c>
      <c r="B172" s="56">
        <v>23.786089238845147</v>
      </c>
    </row>
    <row r="173" spans="1:2" x14ac:dyDescent="0.25">
      <c r="A173" t="s">
        <v>343</v>
      </c>
      <c r="B173" s="56">
        <v>23.622047244094489</v>
      </c>
    </row>
    <row r="174" spans="1:2" x14ac:dyDescent="0.25">
      <c r="A174" t="s">
        <v>344</v>
      </c>
      <c r="B174" s="56">
        <v>20.341207349081365</v>
      </c>
    </row>
    <row r="175" spans="1:2" x14ac:dyDescent="0.25">
      <c r="A175" t="s">
        <v>345</v>
      </c>
      <c r="B175" s="56">
        <v>24.770341207349084</v>
      </c>
    </row>
    <row r="176" spans="1:2" x14ac:dyDescent="0.25">
      <c r="A176" t="s">
        <v>346</v>
      </c>
      <c r="B176" s="56">
        <v>11.15485564304462</v>
      </c>
    </row>
    <row r="177" spans="1:2" x14ac:dyDescent="0.25">
      <c r="A177" t="s">
        <v>347</v>
      </c>
      <c r="B177" s="56">
        <v>12.959317585301836</v>
      </c>
    </row>
    <row r="178" spans="1:2" x14ac:dyDescent="0.25">
      <c r="A178" t="s">
        <v>348</v>
      </c>
      <c r="B178" s="56">
        <v>13.615485564304462</v>
      </c>
    </row>
    <row r="179" spans="1:2" x14ac:dyDescent="0.25">
      <c r="A179" t="s">
        <v>349</v>
      </c>
      <c r="B179" s="56">
        <v>8.8582677165354333</v>
      </c>
    </row>
    <row r="180" spans="1:2" x14ac:dyDescent="0.25">
      <c r="A180" t="s">
        <v>350</v>
      </c>
      <c r="B180" s="56">
        <v>11.48293963254593</v>
      </c>
    </row>
    <row r="181" spans="1:2" x14ac:dyDescent="0.25">
      <c r="A181" t="s">
        <v>351</v>
      </c>
      <c r="B181" s="56">
        <v>11.975065616797899</v>
      </c>
    </row>
    <row r="182" spans="1:2" x14ac:dyDescent="0.25">
      <c r="A182" t="s">
        <v>352</v>
      </c>
      <c r="B182" s="56">
        <v>5.0442913385826769</v>
      </c>
    </row>
    <row r="183" spans="1:2" x14ac:dyDescent="0.25">
      <c r="A183" t="s">
        <v>353</v>
      </c>
      <c r="B183" s="56">
        <v>4.7982283464566926</v>
      </c>
    </row>
    <row r="184" spans="1:2" x14ac:dyDescent="0.25">
      <c r="A184" t="s">
        <v>354</v>
      </c>
      <c r="B184" s="56">
        <v>5.0442913385826769</v>
      </c>
    </row>
    <row r="185" spans="1:2" x14ac:dyDescent="0.25">
      <c r="A185" t="s">
        <v>355</v>
      </c>
      <c r="B185" s="56">
        <v>5.5364173228346454</v>
      </c>
    </row>
    <row r="186" spans="1:2" x14ac:dyDescent="0.25">
      <c r="A186" t="s">
        <v>356</v>
      </c>
      <c r="B186" s="56">
        <v>4.9212598425196852</v>
      </c>
    </row>
    <row r="187" spans="1:2" x14ac:dyDescent="0.25">
      <c r="A187" t="s">
        <v>357</v>
      </c>
      <c r="B187" s="56">
        <v>4.5521653543307083</v>
      </c>
    </row>
    <row r="188" spans="1:2" x14ac:dyDescent="0.25">
      <c r="A188" t="s">
        <v>358</v>
      </c>
      <c r="B188" s="56">
        <v>13.615485564304462</v>
      </c>
    </row>
    <row r="189" spans="1:2" x14ac:dyDescent="0.25">
      <c r="A189" t="s">
        <v>359</v>
      </c>
      <c r="B189" s="56">
        <v>11.15485564304462</v>
      </c>
    </row>
    <row r="190" spans="1:2" x14ac:dyDescent="0.25">
      <c r="A190" t="s">
        <v>360</v>
      </c>
      <c r="B190" s="56">
        <v>11.975065616797899</v>
      </c>
    </row>
    <row r="191" spans="1:2" x14ac:dyDescent="0.25">
      <c r="A191" t="s">
        <v>361</v>
      </c>
      <c r="B191" s="56">
        <v>13.779527559055119</v>
      </c>
    </row>
    <row r="192" spans="1:2" x14ac:dyDescent="0.25">
      <c r="A192" t="s">
        <v>362</v>
      </c>
      <c r="B192" s="56">
        <v>13.28740157480315</v>
      </c>
    </row>
    <row r="193" spans="1:2" x14ac:dyDescent="0.25">
      <c r="A193" t="s">
        <v>363</v>
      </c>
      <c r="B193" s="56">
        <v>7.8740157480314963</v>
      </c>
    </row>
    <row r="194" spans="1:2" x14ac:dyDescent="0.25">
      <c r="A194" t="s">
        <v>364</v>
      </c>
      <c r="B194" s="56">
        <v>11.48293963254593</v>
      </c>
    </row>
    <row r="195" spans="1:2" x14ac:dyDescent="0.25">
      <c r="A195" t="s">
        <v>365</v>
      </c>
      <c r="B195" s="56">
        <v>13.123359580052494</v>
      </c>
    </row>
    <row r="196" spans="1:2" x14ac:dyDescent="0.25">
      <c r="A196" t="s">
        <v>366</v>
      </c>
      <c r="B196" s="56">
        <v>10.006561679790025</v>
      </c>
    </row>
    <row r="197" spans="1:2" x14ac:dyDescent="0.25">
      <c r="A197" t="s">
        <v>367</v>
      </c>
      <c r="B197" s="56">
        <v>10.170603674540683</v>
      </c>
    </row>
    <row r="198" spans="1:2" x14ac:dyDescent="0.25">
      <c r="A198" t="s">
        <v>368</v>
      </c>
      <c r="B198" s="56">
        <v>8.0380577427821507</v>
      </c>
    </row>
    <row r="199" spans="1:2" x14ac:dyDescent="0.25">
      <c r="A199" t="s">
        <v>369</v>
      </c>
      <c r="B199" s="56">
        <v>10.170603674540683</v>
      </c>
    </row>
    <row r="200" spans="1:2" x14ac:dyDescent="0.25">
      <c r="A200" t="s">
        <v>370</v>
      </c>
      <c r="B200" s="56">
        <v>11.646981627296588</v>
      </c>
    </row>
    <row r="201" spans="1:2" x14ac:dyDescent="0.25">
      <c r="A201" t="s">
        <v>371</v>
      </c>
      <c r="B201" s="56">
        <v>13.123359580052494</v>
      </c>
    </row>
    <row r="202" spans="1:2" x14ac:dyDescent="0.25">
      <c r="A202" t="s">
        <v>372</v>
      </c>
      <c r="B202" s="56">
        <v>9.3503937007874018</v>
      </c>
    </row>
    <row r="203" spans="1:2" x14ac:dyDescent="0.25">
      <c r="A203" t="s">
        <v>373</v>
      </c>
      <c r="B203" s="56">
        <v>10.006561679790025</v>
      </c>
    </row>
    <row r="204" spans="1:2" x14ac:dyDescent="0.25">
      <c r="A204" t="s">
        <v>374</v>
      </c>
      <c r="B204" s="56">
        <v>12.303149606299213</v>
      </c>
    </row>
    <row r="205" spans="1:2" x14ac:dyDescent="0.25">
      <c r="A205" t="s">
        <v>375</v>
      </c>
      <c r="B205" s="56">
        <v>7.8740157480314963</v>
      </c>
    </row>
    <row r="206" spans="1:2" x14ac:dyDescent="0.25">
      <c r="A206" t="s">
        <v>376</v>
      </c>
      <c r="B206" s="56">
        <v>11.811023622047244</v>
      </c>
    </row>
    <row r="207" spans="1:2" x14ac:dyDescent="0.25">
      <c r="A207" t="s">
        <v>377</v>
      </c>
      <c r="B207" s="56">
        <v>12.467191601049867</v>
      </c>
    </row>
    <row r="208" spans="1:2" x14ac:dyDescent="0.25">
      <c r="A208" t="s">
        <v>378</v>
      </c>
      <c r="B208" s="56">
        <v>12.139107611548557</v>
      </c>
    </row>
    <row r="209" spans="1:2" x14ac:dyDescent="0.25">
      <c r="A209" t="s">
        <v>379</v>
      </c>
      <c r="B209" s="56">
        <v>10.826771653543307</v>
      </c>
    </row>
    <row r="210" spans="1:2" x14ac:dyDescent="0.25">
      <c r="A210" t="s">
        <v>380</v>
      </c>
      <c r="B210" s="56">
        <v>9.1863517060367457</v>
      </c>
    </row>
    <row r="211" spans="1:2" x14ac:dyDescent="0.25">
      <c r="A211" t="s">
        <v>381</v>
      </c>
      <c r="B211" s="56">
        <v>10.498687664041993</v>
      </c>
    </row>
    <row r="212" spans="1:2" x14ac:dyDescent="0.25">
      <c r="A212" t="s">
        <v>382</v>
      </c>
      <c r="B212" s="56">
        <v>15.091863517060368</v>
      </c>
    </row>
    <row r="213" spans="1:2" x14ac:dyDescent="0.25">
      <c r="A213" t="s">
        <v>383</v>
      </c>
      <c r="B213" s="56">
        <v>14.435695538057741</v>
      </c>
    </row>
    <row r="214" spans="1:2" x14ac:dyDescent="0.25">
      <c r="A214" t="s">
        <v>384</v>
      </c>
      <c r="B214" s="56">
        <v>12.467191601049867</v>
      </c>
    </row>
    <row r="215" spans="1:2" x14ac:dyDescent="0.25">
      <c r="A215" t="s">
        <v>385</v>
      </c>
      <c r="B215" s="56">
        <v>11.975065616797899</v>
      </c>
    </row>
    <row r="216" spans="1:2" x14ac:dyDescent="0.25">
      <c r="A216" t="s">
        <v>386</v>
      </c>
      <c r="B216" s="56">
        <v>12.631233595800525</v>
      </c>
    </row>
    <row r="217" spans="1:2" x14ac:dyDescent="0.25">
      <c r="A217" t="s">
        <v>387</v>
      </c>
      <c r="B217" s="56">
        <v>12.467191601049867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EABDB-E50E-4CF9-846A-D9E49FE14B69}">
  <dimension ref="A1:D217"/>
  <sheetViews>
    <sheetView workbookViewId="0"/>
  </sheetViews>
  <sheetFormatPr defaultRowHeight="15" x14ac:dyDescent="0.25"/>
  <cols>
    <col min="2" max="2" width="10.42578125" bestFit="1" customWidth="1"/>
  </cols>
  <sheetData>
    <row r="1" spans="1:4" x14ac:dyDescent="0.25">
      <c r="A1" t="s">
        <v>388</v>
      </c>
      <c r="B1" s="57" t="s">
        <v>162</v>
      </c>
      <c r="C1" s="57" t="s">
        <v>163</v>
      </c>
      <c r="D1" s="57" t="s">
        <v>164</v>
      </c>
    </row>
    <row r="2" spans="1:4" x14ac:dyDescent="0.25">
      <c r="A2" t="s">
        <v>172</v>
      </c>
      <c r="B2" s="133">
        <v>37736</v>
      </c>
      <c r="C2">
        <v>2003</v>
      </c>
      <c r="D2" s="55">
        <v>114.5</v>
      </c>
    </row>
    <row r="3" spans="1:4" x14ac:dyDescent="0.25">
      <c r="A3" t="s">
        <v>173</v>
      </c>
      <c r="B3" s="133">
        <v>37736</v>
      </c>
      <c r="C3">
        <v>2003</v>
      </c>
      <c r="D3" s="55">
        <v>114.53571428571429</v>
      </c>
    </row>
    <row r="4" spans="1:4" x14ac:dyDescent="0.25">
      <c r="A4" t="s">
        <v>174</v>
      </c>
      <c r="B4" s="133">
        <v>37737</v>
      </c>
      <c r="C4">
        <v>2003</v>
      </c>
      <c r="D4" s="55">
        <v>116.43181818181819</v>
      </c>
    </row>
    <row r="5" spans="1:4" x14ac:dyDescent="0.25">
      <c r="A5" t="s">
        <v>175</v>
      </c>
      <c r="B5" s="133">
        <v>37739</v>
      </c>
      <c r="C5">
        <v>2003</v>
      </c>
      <c r="D5" s="55">
        <v>117.75</v>
      </c>
    </row>
    <row r="6" spans="1:4" x14ac:dyDescent="0.25">
      <c r="A6" t="s">
        <v>176</v>
      </c>
      <c r="B6" s="133">
        <v>37739</v>
      </c>
      <c r="C6">
        <v>2003</v>
      </c>
      <c r="D6" s="55">
        <v>118.015625</v>
      </c>
    </row>
    <row r="7" spans="1:4" x14ac:dyDescent="0.25">
      <c r="A7" t="s">
        <v>177</v>
      </c>
      <c r="B7" s="133">
        <v>37736</v>
      </c>
      <c r="C7">
        <v>2003</v>
      </c>
      <c r="D7" s="55">
        <v>114.83333333333333</v>
      </c>
    </row>
    <row r="8" spans="1:4" x14ac:dyDescent="0.25">
      <c r="A8" t="s">
        <v>178</v>
      </c>
      <c r="B8" s="133">
        <v>37736</v>
      </c>
      <c r="C8">
        <v>2003</v>
      </c>
      <c r="D8" s="55">
        <v>114.52777777777777</v>
      </c>
    </row>
    <row r="9" spans="1:4" x14ac:dyDescent="0.25">
      <c r="A9" t="s">
        <v>179</v>
      </c>
      <c r="B9" s="133">
        <v>37738</v>
      </c>
      <c r="C9">
        <v>2003</v>
      </c>
      <c r="D9" s="55">
        <v>117</v>
      </c>
    </row>
    <row r="10" spans="1:4" x14ac:dyDescent="0.25">
      <c r="A10" t="s">
        <v>180</v>
      </c>
      <c r="B10" s="133">
        <v>37739</v>
      </c>
      <c r="C10">
        <v>2003</v>
      </c>
      <c r="D10" s="55">
        <v>118.08333333333333</v>
      </c>
    </row>
    <row r="11" spans="1:4" x14ac:dyDescent="0.25">
      <c r="A11" t="s">
        <v>181</v>
      </c>
      <c r="B11" s="133">
        <v>37739</v>
      </c>
      <c r="C11">
        <v>2003</v>
      </c>
      <c r="D11" s="55">
        <v>118.23333333333333</v>
      </c>
    </row>
    <row r="12" spans="1:4" x14ac:dyDescent="0.25">
      <c r="A12" t="s">
        <v>182</v>
      </c>
      <c r="B12" s="133">
        <v>37739</v>
      </c>
      <c r="C12">
        <v>2003</v>
      </c>
      <c r="D12" s="55">
        <v>118.13461538461539</v>
      </c>
    </row>
    <row r="13" spans="1:4" x14ac:dyDescent="0.25">
      <c r="A13" t="s">
        <v>183</v>
      </c>
      <c r="B13" s="133">
        <v>37734</v>
      </c>
      <c r="C13">
        <v>2003</v>
      </c>
      <c r="D13" s="55">
        <v>113.25</v>
      </c>
    </row>
    <row r="14" spans="1:4" x14ac:dyDescent="0.25">
      <c r="A14" t="s">
        <v>184</v>
      </c>
      <c r="B14" s="133">
        <v>37734</v>
      </c>
      <c r="C14">
        <v>2003</v>
      </c>
      <c r="D14" s="55">
        <v>112.91666666666667</v>
      </c>
    </row>
    <row r="15" spans="1:4" x14ac:dyDescent="0.25">
      <c r="A15" t="s">
        <v>185</v>
      </c>
      <c r="B15" s="133">
        <v>37734</v>
      </c>
      <c r="C15">
        <v>2003</v>
      </c>
      <c r="D15" s="55">
        <v>113</v>
      </c>
    </row>
    <row r="16" spans="1:4" x14ac:dyDescent="0.25">
      <c r="A16" t="s">
        <v>186</v>
      </c>
      <c r="B16" s="133">
        <v>37734</v>
      </c>
      <c r="C16">
        <v>2003</v>
      </c>
      <c r="D16" s="55">
        <v>112.9</v>
      </c>
    </row>
    <row r="17" spans="1:4" x14ac:dyDescent="0.25">
      <c r="A17" t="s">
        <v>187</v>
      </c>
      <c r="B17" s="133">
        <v>37734</v>
      </c>
      <c r="C17">
        <v>2003</v>
      </c>
      <c r="D17" s="55">
        <v>113.1875</v>
      </c>
    </row>
    <row r="18" spans="1:4" x14ac:dyDescent="0.25">
      <c r="A18" t="s">
        <v>188</v>
      </c>
      <c r="B18" s="133"/>
      <c r="D18" s="55"/>
    </row>
    <row r="19" spans="1:4" x14ac:dyDescent="0.25">
      <c r="A19" t="s">
        <v>189</v>
      </c>
      <c r="B19" s="133"/>
      <c r="D19" s="55"/>
    </row>
    <row r="20" spans="1:4" x14ac:dyDescent="0.25">
      <c r="A20" t="s">
        <v>190</v>
      </c>
      <c r="B20" s="133">
        <v>37736</v>
      </c>
      <c r="C20">
        <v>2003</v>
      </c>
      <c r="D20" s="55">
        <v>115.27272727272727</v>
      </c>
    </row>
    <row r="21" spans="1:4" x14ac:dyDescent="0.25">
      <c r="A21" t="s">
        <v>191</v>
      </c>
      <c r="B21" s="133">
        <v>37735</v>
      </c>
      <c r="C21">
        <v>2003</v>
      </c>
      <c r="D21" s="55">
        <v>114.125</v>
      </c>
    </row>
    <row r="22" spans="1:4" x14ac:dyDescent="0.25">
      <c r="A22" t="s">
        <v>192</v>
      </c>
      <c r="B22" s="133">
        <v>37736</v>
      </c>
      <c r="C22">
        <v>2003</v>
      </c>
      <c r="D22" s="55">
        <v>114.875</v>
      </c>
    </row>
    <row r="23" spans="1:4" x14ac:dyDescent="0.25">
      <c r="A23" t="s">
        <v>193</v>
      </c>
      <c r="B23" s="133">
        <v>37737</v>
      </c>
      <c r="C23">
        <v>2003</v>
      </c>
      <c r="D23" s="55">
        <v>116.3125</v>
      </c>
    </row>
    <row r="24" spans="1:4" x14ac:dyDescent="0.25">
      <c r="A24" t="s">
        <v>194</v>
      </c>
      <c r="B24" s="133">
        <v>37735</v>
      </c>
      <c r="C24">
        <v>2003</v>
      </c>
      <c r="D24" s="55">
        <v>114.45</v>
      </c>
    </row>
    <row r="25" spans="1:4" x14ac:dyDescent="0.25">
      <c r="A25" t="s">
        <v>195</v>
      </c>
      <c r="B25" s="133">
        <v>37735</v>
      </c>
      <c r="C25">
        <v>2003</v>
      </c>
      <c r="D25" s="55">
        <v>114.125</v>
      </c>
    </row>
    <row r="26" spans="1:4" x14ac:dyDescent="0.25">
      <c r="A26" t="s">
        <v>196</v>
      </c>
      <c r="B26" s="133">
        <v>37735</v>
      </c>
      <c r="C26">
        <v>2003</v>
      </c>
      <c r="D26" s="55">
        <v>113.75</v>
      </c>
    </row>
    <row r="27" spans="1:4" x14ac:dyDescent="0.25">
      <c r="A27" t="s">
        <v>197</v>
      </c>
      <c r="B27" s="133">
        <v>37736</v>
      </c>
      <c r="C27">
        <v>2003</v>
      </c>
      <c r="D27" s="55">
        <v>115</v>
      </c>
    </row>
    <row r="28" spans="1:4" x14ac:dyDescent="0.25">
      <c r="A28" t="s">
        <v>198</v>
      </c>
      <c r="B28" s="133">
        <v>37735</v>
      </c>
      <c r="C28">
        <v>2003</v>
      </c>
      <c r="D28" s="55">
        <v>114.10714285714286</v>
      </c>
    </row>
    <row r="29" spans="1:4" x14ac:dyDescent="0.25">
      <c r="A29" t="s">
        <v>199</v>
      </c>
      <c r="B29" s="133">
        <v>37735</v>
      </c>
      <c r="C29">
        <v>2003</v>
      </c>
      <c r="D29" s="55">
        <v>114.27777777777777</v>
      </c>
    </row>
    <row r="30" spans="1:4" x14ac:dyDescent="0.25">
      <c r="A30" t="s">
        <v>200</v>
      </c>
      <c r="B30" s="133">
        <v>37735</v>
      </c>
      <c r="C30">
        <v>2003</v>
      </c>
      <c r="D30" s="55">
        <v>113.59375</v>
      </c>
    </row>
    <row r="31" spans="1:4" x14ac:dyDescent="0.25">
      <c r="A31" t="s">
        <v>201</v>
      </c>
      <c r="B31" s="133">
        <v>37734</v>
      </c>
      <c r="C31">
        <v>2003</v>
      </c>
      <c r="D31" s="55">
        <v>112.8</v>
      </c>
    </row>
    <row r="32" spans="1:4" x14ac:dyDescent="0.25">
      <c r="A32" t="s">
        <v>202</v>
      </c>
      <c r="B32" s="133">
        <v>37733</v>
      </c>
      <c r="C32">
        <v>2003</v>
      </c>
      <c r="D32" s="55">
        <v>111.875</v>
      </c>
    </row>
    <row r="33" spans="1:4" x14ac:dyDescent="0.25">
      <c r="A33" t="s">
        <v>203</v>
      </c>
      <c r="B33" s="133">
        <v>37736</v>
      </c>
      <c r="C33">
        <v>2003</v>
      </c>
      <c r="D33" s="55">
        <v>114.5</v>
      </c>
    </row>
    <row r="34" spans="1:4" x14ac:dyDescent="0.25">
      <c r="A34" t="s">
        <v>204</v>
      </c>
      <c r="B34" s="133">
        <v>37735</v>
      </c>
      <c r="C34">
        <v>2003</v>
      </c>
      <c r="D34" s="55">
        <v>114.03571428571429</v>
      </c>
    </row>
    <row r="35" spans="1:4" x14ac:dyDescent="0.25">
      <c r="A35" t="s">
        <v>205</v>
      </c>
      <c r="B35" s="133">
        <v>37735</v>
      </c>
      <c r="C35">
        <v>2003</v>
      </c>
      <c r="D35" s="55">
        <v>114.25</v>
      </c>
    </row>
    <row r="36" spans="1:4" x14ac:dyDescent="0.25">
      <c r="A36" t="s">
        <v>206</v>
      </c>
      <c r="B36" s="133">
        <v>37734</v>
      </c>
      <c r="C36">
        <v>2003</v>
      </c>
      <c r="D36" s="55">
        <v>112.875</v>
      </c>
    </row>
    <row r="37" spans="1:4" x14ac:dyDescent="0.25">
      <c r="A37" t="s">
        <v>207</v>
      </c>
      <c r="B37" s="133">
        <v>37734</v>
      </c>
      <c r="C37">
        <v>2003</v>
      </c>
      <c r="D37" s="55">
        <v>113.4375</v>
      </c>
    </row>
    <row r="38" spans="1:4" x14ac:dyDescent="0.25">
      <c r="A38" t="s">
        <v>208</v>
      </c>
      <c r="B38" s="133"/>
      <c r="D38" s="55"/>
    </row>
    <row r="39" spans="1:4" x14ac:dyDescent="0.25">
      <c r="A39" t="s">
        <v>209</v>
      </c>
      <c r="B39" s="133">
        <v>37735</v>
      </c>
      <c r="C39">
        <v>2003</v>
      </c>
      <c r="D39" s="55">
        <v>113.54166666666667</v>
      </c>
    </row>
    <row r="40" spans="1:4" x14ac:dyDescent="0.25">
      <c r="A40" t="s">
        <v>210</v>
      </c>
      <c r="B40" s="133">
        <v>37734</v>
      </c>
      <c r="C40">
        <v>2003</v>
      </c>
      <c r="D40" s="55">
        <v>112.5</v>
      </c>
    </row>
    <row r="41" spans="1:4" x14ac:dyDescent="0.25">
      <c r="A41" t="s">
        <v>211</v>
      </c>
      <c r="B41" s="133">
        <v>37734</v>
      </c>
      <c r="C41">
        <v>2003</v>
      </c>
      <c r="D41" s="55">
        <v>113.25</v>
      </c>
    </row>
    <row r="42" spans="1:4" x14ac:dyDescent="0.25">
      <c r="A42" t="s">
        <v>212</v>
      </c>
      <c r="B42" s="133">
        <v>37735</v>
      </c>
      <c r="C42">
        <v>2003</v>
      </c>
      <c r="D42" s="55">
        <v>113.58333333333333</v>
      </c>
    </row>
    <row r="43" spans="1:4" x14ac:dyDescent="0.25">
      <c r="A43" t="s">
        <v>213</v>
      </c>
      <c r="B43" s="133">
        <v>37735</v>
      </c>
      <c r="C43">
        <v>2003</v>
      </c>
      <c r="D43" s="55">
        <v>114</v>
      </c>
    </row>
    <row r="44" spans="1:4" x14ac:dyDescent="0.25">
      <c r="A44" t="s">
        <v>214</v>
      </c>
      <c r="B44" s="133">
        <v>37733</v>
      </c>
      <c r="C44">
        <v>2003</v>
      </c>
      <c r="D44" s="55">
        <v>111.625</v>
      </c>
    </row>
    <row r="45" spans="1:4" x14ac:dyDescent="0.25">
      <c r="A45" t="s">
        <v>215</v>
      </c>
      <c r="B45" s="133">
        <v>37735</v>
      </c>
      <c r="C45">
        <v>2003</v>
      </c>
      <c r="D45" s="55">
        <v>114</v>
      </c>
    </row>
    <row r="46" spans="1:4" x14ac:dyDescent="0.25">
      <c r="A46" t="s">
        <v>216</v>
      </c>
      <c r="B46" s="133">
        <v>37736</v>
      </c>
      <c r="C46">
        <v>2003</v>
      </c>
      <c r="D46" s="55">
        <v>114.55</v>
      </c>
    </row>
    <row r="47" spans="1:4" x14ac:dyDescent="0.25">
      <c r="A47" t="s">
        <v>217</v>
      </c>
      <c r="B47" s="133">
        <v>37735</v>
      </c>
      <c r="C47">
        <v>2003</v>
      </c>
      <c r="D47" s="55">
        <v>114.34375</v>
      </c>
    </row>
    <row r="48" spans="1:4" x14ac:dyDescent="0.25">
      <c r="A48" t="s">
        <v>218</v>
      </c>
      <c r="B48" s="133">
        <v>37734</v>
      </c>
      <c r="C48">
        <v>2003</v>
      </c>
      <c r="D48" s="55">
        <v>112.75</v>
      </c>
    </row>
    <row r="49" spans="1:4" x14ac:dyDescent="0.25">
      <c r="A49" t="s">
        <v>219</v>
      </c>
      <c r="B49" s="133">
        <v>37734</v>
      </c>
      <c r="C49">
        <v>2003</v>
      </c>
      <c r="D49" s="55">
        <v>112.875</v>
      </c>
    </row>
    <row r="50" spans="1:4" x14ac:dyDescent="0.25">
      <c r="A50" t="s">
        <v>220</v>
      </c>
      <c r="B50" s="133">
        <v>37735</v>
      </c>
      <c r="C50">
        <v>2003</v>
      </c>
      <c r="D50" s="55">
        <v>114.10714285714286</v>
      </c>
    </row>
    <row r="51" spans="1:4" x14ac:dyDescent="0.25">
      <c r="A51" t="s">
        <v>221</v>
      </c>
      <c r="B51" s="133">
        <v>37735</v>
      </c>
      <c r="C51">
        <v>2003</v>
      </c>
      <c r="D51" s="55">
        <v>114.17857142857143</v>
      </c>
    </row>
    <row r="52" spans="1:4" x14ac:dyDescent="0.25">
      <c r="A52" t="s">
        <v>222</v>
      </c>
      <c r="B52" s="133">
        <v>37735</v>
      </c>
      <c r="C52">
        <v>2003</v>
      </c>
      <c r="D52" s="55">
        <v>114.25</v>
      </c>
    </row>
    <row r="53" spans="1:4" x14ac:dyDescent="0.25">
      <c r="A53" t="s">
        <v>223</v>
      </c>
      <c r="B53" s="133">
        <v>37735</v>
      </c>
      <c r="C53">
        <v>2003</v>
      </c>
      <c r="D53" s="55">
        <v>114.11666666666666</v>
      </c>
    </row>
    <row r="54" spans="1:4" x14ac:dyDescent="0.25">
      <c r="A54" t="s">
        <v>224</v>
      </c>
      <c r="B54" s="133">
        <v>37736</v>
      </c>
      <c r="C54">
        <v>2003</v>
      </c>
      <c r="D54" s="55">
        <v>114.70833333333333</v>
      </c>
    </row>
    <row r="55" spans="1:4" x14ac:dyDescent="0.25">
      <c r="A55" t="s">
        <v>225</v>
      </c>
      <c r="B55" s="133">
        <v>37736</v>
      </c>
      <c r="C55">
        <v>2003</v>
      </c>
      <c r="D55" s="55">
        <v>115.16071428571429</v>
      </c>
    </row>
    <row r="56" spans="1:4" x14ac:dyDescent="0.25">
      <c r="A56" t="s">
        <v>226</v>
      </c>
      <c r="B56" s="133">
        <v>37735</v>
      </c>
      <c r="C56">
        <v>2003</v>
      </c>
      <c r="D56" s="55">
        <v>114.34615384615384</v>
      </c>
    </row>
    <row r="57" spans="1:4" x14ac:dyDescent="0.25">
      <c r="A57" t="s">
        <v>227</v>
      </c>
      <c r="B57" s="133">
        <v>37738</v>
      </c>
      <c r="C57">
        <v>2003</v>
      </c>
      <c r="D57" s="55">
        <v>116.75</v>
      </c>
    </row>
    <row r="58" spans="1:4" x14ac:dyDescent="0.25">
      <c r="A58" t="s">
        <v>228</v>
      </c>
      <c r="B58" s="133">
        <v>37736</v>
      </c>
      <c r="C58">
        <v>2003</v>
      </c>
      <c r="D58" s="55">
        <v>115.4375</v>
      </c>
    </row>
    <row r="59" spans="1:4" x14ac:dyDescent="0.25">
      <c r="A59" t="s">
        <v>229</v>
      </c>
      <c r="B59" s="133">
        <v>37738</v>
      </c>
      <c r="C59">
        <v>2003</v>
      </c>
      <c r="D59" s="55">
        <v>117.25</v>
      </c>
    </row>
    <row r="60" spans="1:4" x14ac:dyDescent="0.25">
      <c r="A60" t="s">
        <v>230</v>
      </c>
      <c r="B60" s="133">
        <v>37737</v>
      </c>
      <c r="C60">
        <v>2003</v>
      </c>
      <c r="D60" s="55">
        <v>115.82894736842105</v>
      </c>
    </row>
    <row r="61" spans="1:4" x14ac:dyDescent="0.25">
      <c r="A61" t="s">
        <v>231</v>
      </c>
      <c r="B61" s="133">
        <v>37734</v>
      </c>
      <c r="C61">
        <v>2003</v>
      </c>
      <c r="D61" s="55">
        <v>113.125</v>
      </c>
    </row>
    <row r="62" spans="1:4" x14ac:dyDescent="0.25">
      <c r="A62" t="s">
        <v>232</v>
      </c>
      <c r="B62" s="133">
        <v>37735</v>
      </c>
      <c r="C62">
        <v>2003</v>
      </c>
      <c r="D62" s="55">
        <v>114.28125</v>
      </c>
    </row>
    <row r="63" spans="1:4" x14ac:dyDescent="0.25">
      <c r="A63" t="s">
        <v>233</v>
      </c>
      <c r="B63" s="133">
        <v>37732</v>
      </c>
      <c r="C63">
        <v>2003</v>
      </c>
      <c r="D63" s="55">
        <v>111.375</v>
      </c>
    </row>
    <row r="64" spans="1:4" x14ac:dyDescent="0.25">
      <c r="A64" t="s">
        <v>234</v>
      </c>
      <c r="B64" s="133">
        <v>37735</v>
      </c>
      <c r="C64">
        <v>2003</v>
      </c>
      <c r="D64" s="55">
        <v>113.69642857142857</v>
      </c>
    </row>
    <row r="65" spans="1:4" x14ac:dyDescent="0.25">
      <c r="A65" t="s">
        <v>235</v>
      </c>
      <c r="B65" s="133">
        <v>37735</v>
      </c>
      <c r="C65">
        <v>2003</v>
      </c>
      <c r="D65" s="55">
        <v>114.33333333333333</v>
      </c>
    </row>
    <row r="66" spans="1:4" x14ac:dyDescent="0.25">
      <c r="A66" t="s">
        <v>236</v>
      </c>
      <c r="B66" s="133">
        <v>37734</v>
      </c>
      <c r="C66">
        <v>2003</v>
      </c>
      <c r="D66" s="55">
        <v>112.57142857142857</v>
      </c>
    </row>
    <row r="67" spans="1:4" x14ac:dyDescent="0.25">
      <c r="A67" t="s">
        <v>237</v>
      </c>
      <c r="B67" s="133">
        <v>37735</v>
      </c>
      <c r="C67">
        <v>2003</v>
      </c>
      <c r="D67" s="55">
        <v>113.96428571428571</v>
      </c>
    </row>
    <row r="68" spans="1:4" x14ac:dyDescent="0.25">
      <c r="A68" t="s">
        <v>238</v>
      </c>
      <c r="B68" s="133">
        <v>37734</v>
      </c>
      <c r="C68">
        <v>2003</v>
      </c>
      <c r="D68" s="55">
        <v>112.9375</v>
      </c>
    </row>
    <row r="69" spans="1:4" x14ac:dyDescent="0.25">
      <c r="A69" t="s">
        <v>239</v>
      </c>
      <c r="B69" s="133">
        <v>37733</v>
      </c>
      <c r="C69">
        <v>2003</v>
      </c>
      <c r="D69" s="55">
        <v>112.35714285714286</v>
      </c>
    </row>
    <row r="70" spans="1:4" x14ac:dyDescent="0.25">
      <c r="A70" t="s">
        <v>240</v>
      </c>
      <c r="B70" s="133"/>
      <c r="D70" s="55"/>
    </row>
    <row r="71" spans="1:4" x14ac:dyDescent="0.25">
      <c r="A71" t="s">
        <v>241</v>
      </c>
      <c r="B71" s="133">
        <v>37733</v>
      </c>
      <c r="C71">
        <v>2003</v>
      </c>
      <c r="D71" s="55">
        <v>112.07142857142857</v>
      </c>
    </row>
    <row r="72" spans="1:4" x14ac:dyDescent="0.25">
      <c r="A72" t="s">
        <v>242</v>
      </c>
      <c r="B72" s="133"/>
      <c r="D72" s="55"/>
    </row>
    <row r="73" spans="1:4" x14ac:dyDescent="0.25">
      <c r="A73" t="s">
        <v>243</v>
      </c>
      <c r="B73" s="133">
        <v>37734</v>
      </c>
      <c r="C73">
        <v>2003</v>
      </c>
      <c r="D73" s="55">
        <v>113.38888888888889</v>
      </c>
    </row>
    <row r="74" spans="1:4" x14ac:dyDescent="0.25">
      <c r="A74" t="s">
        <v>244</v>
      </c>
      <c r="B74" s="133">
        <v>37735</v>
      </c>
      <c r="C74">
        <v>2003</v>
      </c>
      <c r="D74" s="55">
        <v>114.45</v>
      </c>
    </row>
    <row r="75" spans="1:4" x14ac:dyDescent="0.25">
      <c r="A75" t="s">
        <v>245</v>
      </c>
      <c r="B75" s="133">
        <v>37735</v>
      </c>
      <c r="C75">
        <v>2003</v>
      </c>
      <c r="D75" s="55">
        <v>113.65</v>
      </c>
    </row>
    <row r="76" spans="1:4" x14ac:dyDescent="0.25">
      <c r="A76" t="s">
        <v>246</v>
      </c>
      <c r="B76" s="133">
        <v>37735</v>
      </c>
      <c r="C76">
        <v>2003</v>
      </c>
      <c r="D76" s="55">
        <v>114.46875</v>
      </c>
    </row>
    <row r="77" spans="1:4" x14ac:dyDescent="0.25">
      <c r="A77" t="s">
        <v>247</v>
      </c>
      <c r="B77" s="133">
        <v>37736</v>
      </c>
      <c r="C77">
        <v>2003</v>
      </c>
      <c r="D77" s="55">
        <v>115.06818181818181</v>
      </c>
    </row>
    <row r="78" spans="1:4" x14ac:dyDescent="0.25">
      <c r="A78" t="s">
        <v>248</v>
      </c>
      <c r="B78" s="133">
        <v>37735</v>
      </c>
      <c r="C78">
        <v>2003</v>
      </c>
      <c r="D78" s="55">
        <v>114.375</v>
      </c>
    </row>
    <row r="79" spans="1:4" x14ac:dyDescent="0.25">
      <c r="A79" t="s">
        <v>249</v>
      </c>
      <c r="B79" s="133">
        <v>37735</v>
      </c>
      <c r="C79">
        <v>2003</v>
      </c>
      <c r="D79" s="55">
        <v>114.3125</v>
      </c>
    </row>
    <row r="80" spans="1:4" x14ac:dyDescent="0.25">
      <c r="A80" t="s">
        <v>250</v>
      </c>
      <c r="B80" s="133">
        <v>37735</v>
      </c>
      <c r="C80">
        <v>2003</v>
      </c>
      <c r="D80" s="55">
        <v>113.96428571428571</v>
      </c>
    </row>
    <row r="81" spans="1:4" x14ac:dyDescent="0.25">
      <c r="A81" t="s">
        <v>251</v>
      </c>
      <c r="B81" s="133">
        <v>37734</v>
      </c>
      <c r="C81">
        <v>2003</v>
      </c>
      <c r="D81" s="55">
        <v>112.625</v>
      </c>
    </row>
    <row r="82" spans="1:4" x14ac:dyDescent="0.25">
      <c r="A82" t="s">
        <v>252</v>
      </c>
      <c r="B82" s="133">
        <v>37733</v>
      </c>
      <c r="C82">
        <v>2003</v>
      </c>
      <c r="D82" s="55">
        <v>111.5</v>
      </c>
    </row>
    <row r="83" spans="1:4" x14ac:dyDescent="0.25">
      <c r="A83" t="s">
        <v>253</v>
      </c>
      <c r="B83" s="133">
        <v>37735</v>
      </c>
      <c r="C83">
        <v>2003</v>
      </c>
      <c r="D83" s="55">
        <v>113.60714285714286</v>
      </c>
    </row>
    <row r="84" spans="1:4" x14ac:dyDescent="0.25">
      <c r="A84" t="s">
        <v>254</v>
      </c>
      <c r="B84" s="133">
        <v>37732</v>
      </c>
      <c r="C84">
        <v>2003</v>
      </c>
      <c r="D84" s="55">
        <v>111.16666666666667</v>
      </c>
    </row>
    <row r="85" spans="1:4" x14ac:dyDescent="0.25">
      <c r="A85" t="s">
        <v>255</v>
      </c>
      <c r="B85" s="133">
        <v>37733</v>
      </c>
      <c r="C85">
        <v>2003</v>
      </c>
      <c r="D85" s="55">
        <v>111.66666666666667</v>
      </c>
    </row>
    <row r="86" spans="1:4" x14ac:dyDescent="0.25">
      <c r="A86" t="s">
        <v>256</v>
      </c>
      <c r="B86" s="133"/>
      <c r="D86" s="55"/>
    </row>
    <row r="87" spans="1:4" x14ac:dyDescent="0.25">
      <c r="A87" t="s">
        <v>257</v>
      </c>
      <c r="B87" s="133">
        <v>37734</v>
      </c>
      <c r="C87">
        <v>2003</v>
      </c>
      <c r="D87" s="55">
        <v>113.08333333333333</v>
      </c>
    </row>
    <row r="88" spans="1:4" x14ac:dyDescent="0.25">
      <c r="A88" t="s">
        <v>258</v>
      </c>
      <c r="B88" s="133">
        <v>37733</v>
      </c>
      <c r="C88">
        <v>2003</v>
      </c>
      <c r="D88" s="55">
        <v>112.16666666666667</v>
      </c>
    </row>
    <row r="89" spans="1:4" x14ac:dyDescent="0.25">
      <c r="A89" t="s">
        <v>259</v>
      </c>
      <c r="B89" s="133">
        <v>37735</v>
      </c>
      <c r="C89">
        <v>2003</v>
      </c>
      <c r="D89" s="55">
        <v>113.91666666666667</v>
      </c>
    </row>
    <row r="90" spans="1:4" x14ac:dyDescent="0.25">
      <c r="A90" t="s">
        <v>260</v>
      </c>
      <c r="B90" s="133">
        <v>37734</v>
      </c>
      <c r="C90">
        <v>2003</v>
      </c>
      <c r="D90" s="55">
        <v>112.5</v>
      </c>
    </row>
    <row r="91" spans="1:4" x14ac:dyDescent="0.25">
      <c r="A91" t="s">
        <v>261</v>
      </c>
      <c r="B91" s="133">
        <v>37735</v>
      </c>
      <c r="C91">
        <v>2003</v>
      </c>
      <c r="D91" s="55">
        <v>114.38636363636364</v>
      </c>
    </row>
    <row r="92" spans="1:4" x14ac:dyDescent="0.25">
      <c r="A92" t="s">
        <v>262</v>
      </c>
      <c r="B92" s="133">
        <v>37733</v>
      </c>
      <c r="C92">
        <v>2003</v>
      </c>
      <c r="D92" s="55">
        <v>112</v>
      </c>
    </row>
    <row r="93" spans="1:4" x14ac:dyDescent="0.25">
      <c r="A93" t="s">
        <v>263</v>
      </c>
      <c r="B93" s="133">
        <v>37735</v>
      </c>
      <c r="C93">
        <v>2003</v>
      </c>
      <c r="D93" s="55">
        <v>113.825</v>
      </c>
    </row>
    <row r="94" spans="1:4" x14ac:dyDescent="0.25">
      <c r="A94" t="s">
        <v>264</v>
      </c>
      <c r="B94" s="133">
        <v>37736</v>
      </c>
      <c r="C94">
        <v>2003</v>
      </c>
      <c r="D94" s="55">
        <v>115.3</v>
      </c>
    </row>
    <row r="95" spans="1:4" x14ac:dyDescent="0.25">
      <c r="A95" t="s">
        <v>265</v>
      </c>
      <c r="B95" s="133">
        <v>37734</v>
      </c>
      <c r="C95">
        <v>2003</v>
      </c>
      <c r="D95" s="55">
        <v>113.25</v>
      </c>
    </row>
    <row r="96" spans="1:4" x14ac:dyDescent="0.25">
      <c r="A96" t="s">
        <v>266</v>
      </c>
      <c r="B96" s="133"/>
      <c r="D96" s="55"/>
    </row>
    <row r="97" spans="1:4" x14ac:dyDescent="0.25">
      <c r="A97" t="s">
        <v>267</v>
      </c>
      <c r="B97" s="133">
        <v>37735</v>
      </c>
      <c r="C97">
        <v>2003</v>
      </c>
      <c r="D97" s="55">
        <v>113.6875</v>
      </c>
    </row>
    <row r="98" spans="1:4" x14ac:dyDescent="0.25">
      <c r="A98" t="s">
        <v>268</v>
      </c>
      <c r="B98" s="133">
        <v>37738</v>
      </c>
      <c r="C98">
        <v>2003</v>
      </c>
      <c r="D98" s="55">
        <v>116.96153846153847</v>
      </c>
    </row>
    <row r="99" spans="1:4" x14ac:dyDescent="0.25">
      <c r="A99" t="s">
        <v>269</v>
      </c>
      <c r="B99" s="133">
        <v>37737</v>
      </c>
      <c r="C99">
        <v>2003</v>
      </c>
      <c r="D99" s="55">
        <v>115.7</v>
      </c>
    </row>
    <row r="100" spans="1:4" x14ac:dyDescent="0.25">
      <c r="A100" t="s">
        <v>270</v>
      </c>
      <c r="B100" s="133">
        <v>37736</v>
      </c>
      <c r="C100">
        <v>2003</v>
      </c>
      <c r="D100" s="55">
        <v>114.83333333333333</v>
      </c>
    </row>
    <row r="101" spans="1:4" x14ac:dyDescent="0.25">
      <c r="A101" t="s">
        <v>271</v>
      </c>
      <c r="B101" s="133">
        <v>37737</v>
      </c>
      <c r="C101">
        <v>2003</v>
      </c>
      <c r="D101" s="55">
        <v>116.3125</v>
      </c>
    </row>
    <row r="102" spans="1:4" x14ac:dyDescent="0.25">
      <c r="A102" t="s">
        <v>272</v>
      </c>
      <c r="B102" s="133">
        <v>37737</v>
      </c>
      <c r="C102">
        <v>2003</v>
      </c>
      <c r="D102" s="55">
        <v>115.97058823529412</v>
      </c>
    </row>
    <row r="103" spans="1:4" x14ac:dyDescent="0.25">
      <c r="A103" t="s">
        <v>273</v>
      </c>
      <c r="B103" s="133">
        <v>37737</v>
      </c>
      <c r="C103">
        <v>2003</v>
      </c>
      <c r="D103" s="55">
        <v>115.92647058823529</v>
      </c>
    </row>
    <row r="104" spans="1:4" x14ac:dyDescent="0.25">
      <c r="A104" t="s">
        <v>274</v>
      </c>
      <c r="B104" s="133">
        <v>37737</v>
      </c>
      <c r="C104">
        <v>2003</v>
      </c>
      <c r="D104" s="55">
        <v>116.078125</v>
      </c>
    </row>
    <row r="105" spans="1:4" x14ac:dyDescent="0.25">
      <c r="A105" t="s">
        <v>275</v>
      </c>
      <c r="B105" s="133">
        <v>37738</v>
      </c>
      <c r="C105">
        <v>2003</v>
      </c>
      <c r="D105" s="55">
        <v>116.5</v>
      </c>
    </row>
    <row r="106" spans="1:4" x14ac:dyDescent="0.25">
      <c r="A106" t="s">
        <v>276</v>
      </c>
      <c r="B106" s="133">
        <v>37738</v>
      </c>
      <c r="C106">
        <v>2003</v>
      </c>
      <c r="D106" s="55">
        <v>116.59375</v>
      </c>
    </row>
    <row r="107" spans="1:4" x14ac:dyDescent="0.25">
      <c r="A107" t="s">
        <v>277</v>
      </c>
      <c r="B107" s="133">
        <v>37738</v>
      </c>
      <c r="C107">
        <v>2003</v>
      </c>
      <c r="D107" s="55">
        <v>116.66071428571429</v>
      </c>
    </row>
    <row r="108" spans="1:4" x14ac:dyDescent="0.25">
      <c r="A108" t="s">
        <v>278</v>
      </c>
      <c r="B108" s="133">
        <v>37737</v>
      </c>
      <c r="C108">
        <v>2003</v>
      </c>
      <c r="D108" s="55">
        <v>115.75</v>
      </c>
    </row>
    <row r="109" spans="1:4" x14ac:dyDescent="0.25">
      <c r="A109" t="s">
        <v>279</v>
      </c>
      <c r="B109" s="133">
        <v>37733</v>
      </c>
      <c r="C109">
        <v>2003</v>
      </c>
      <c r="D109" s="55">
        <v>111.83333333333333</v>
      </c>
    </row>
    <row r="110" spans="1:4" x14ac:dyDescent="0.25">
      <c r="A110" t="s">
        <v>280</v>
      </c>
      <c r="B110" s="133">
        <v>37736</v>
      </c>
      <c r="C110">
        <v>2003</v>
      </c>
      <c r="D110" s="55">
        <v>114.75</v>
      </c>
    </row>
    <row r="111" spans="1:4" x14ac:dyDescent="0.25">
      <c r="A111" t="s">
        <v>281</v>
      </c>
      <c r="B111" s="133">
        <v>37736</v>
      </c>
      <c r="C111">
        <v>2003</v>
      </c>
      <c r="D111" s="55">
        <v>114.875</v>
      </c>
    </row>
    <row r="112" spans="1:4" x14ac:dyDescent="0.25">
      <c r="A112" t="s">
        <v>282</v>
      </c>
      <c r="B112" s="133">
        <v>37737</v>
      </c>
      <c r="C112">
        <v>2003</v>
      </c>
      <c r="D112" s="55">
        <v>115.984375</v>
      </c>
    </row>
    <row r="113" spans="1:4" x14ac:dyDescent="0.25">
      <c r="A113" t="s">
        <v>283</v>
      </c>
      <c r="B113" s="133">
        <v>37737</v>
      </c>
      <c r="C113">
        <v>2003</v>
      </c>
      <c r="D113" s="55">
        <v>115.875</v>
      </c>
    </row>
    <row r="114" spans="1:4" x14ac:dyDescent="0.25">
      <c r="A114" t="s">
        <v>284</v>
      </c>
      <c r="B114" s="133">
        <v>37735</v>
      </c>
      <c r="C114">
        <v>2003</v>
      </c>
      <c r="D114" s="55">
        <v>114.35</v>
      </c>
    </row>
    <row r="115" spans="1:4" x14ac:dyDescent="0.25">
      <c r="A115" t="s">
        <v>285</v>
      </c>
      <c r="B115" s="133">
        <v>37736</v>
      </c>
      <c r="C115">
        <v>2003</v>
      </c>
      <c r="D115" s="55">
        <v>114.7</v>
      </c>
    </row>
    <row r="116" spans="1:4" x14ac:dyDescent="0.25">
      <c r="A116" t="s">
        <v>286</v>
      </c>
      <c r="B116" s="133">
        <v>37736</v>
      </c>
      <c r="C116">
        <v>2003</v>
      </c>
      <c r="D116" s="55">
        <v>115.23076923076923</v>
      </c>
    </row>
    <row r="117" spans="1:4" x14ac:dyDescent="0.25">
      <c r="A117" t="s">
        <v>287</v>
      </c>
      <c r="B117" s="133">
        <v>37735</v>
      </c>
      <c r="C117">
        <v>2003</v>
      </c>
      <c r="D117" s="55">
        <v>113.5625</v>
      </c>
    </row>
    <row r="118" spans="1:4" x14ac:dyDescent="0.25">
      <c r="A118" t="s">
        <v>288</v>
      </c>
      <c r="B118" s="133">
        <v>37737</v>
      </c>
      <c r="C118">
        <v>2003</v>
      </c>
      <c r="D118" s="55">
        <v>115.58928571428571</v>
      </c>
    </row>
    <row r="119" spans="1:4" x14ac:dyDescent="0.25">
      <c r="A119" t="s">
        <v>289</v>
      </c>
      <c r="B119" s="133">
        <v>37735</v>
      </c>
      <c r="C119">
        <v>2003</v>
      </c>
      <c r="D119" s="55">
        <v>114.41666666666667</v>
      </c>
    </row>
    <row r="120" spans="1:4" x14ac:dyDescent="0.25">
      <c r="A120" t="s">
        <v>290</v>
      </c>
      <c r="B120" s="133">
        <v>37733</v>
      </c>
      <c r="C120">
        <v>2003</v>
      </c>
      <c r="D120" s="55">
        <v>112.375</v>
      </c>
    </row>
    <row r="121" spans="1:4" x14ac:dyDescent="0.25">
      <c r="A121" t="s">
        <v>291</v>
      </c>
      <c r="B121" s="133">
        <v>37736</v>
      </c>
      <c r="C121">
        <v>2003</v>
      </c>
      <c r="D121" s="55">
        <v>114.54166666666667</v>
      </c>
    </row>
    <row r="122" spans="1:4" x14ac:dyDescent="0.25">
      <c r="A122" t="s">
        <v>292</v>
      </c>
      <c r="B122" s="133">
        <v>37735</v>
      </c>
      <c r="C122">
        <v>2003</v>
      </c>
      <c r="D122" s="55">
        <v>114.05</v>
      </c>
    </row>
    <row r="123" spans="1:4" x14ac:dyDescent="0.25">
      <c r="A123" t="s">
        <v>293</v>
      </c>
      <c r="B123" s="133">
        <v>37734</v>
      </c>
      <c r="C123">
        <v>2003</v>
      </c>
      <c r="D123" s="55">
        <v>113.25</v>
      </c>
    </row>
    <row r="124" spans="1:4" x14ac:dyDescent="0.25">
      <c r="A124" t="s">
        <v>294</v>
      </c>
      <c r="B124" s="133">
        <v>37735</v>
      </c>
      <c r="C124">
        <v>2003</v>
      </c>
      <c r="D124" s="55">
        <v>114.10714285714286</v>
      </c>
    </row>
    <row r="125" spans="1:4" x14ac:dyDescent="0.25">
      <c r="A125" t="s">
        <v>295</v>
      </c>
      <c r="B125" s="133">
        <v>37735</v>
      </c>
      <c r="C125">
        <v>2003</v>
      </c>
      <c r="D125" s="55">
        <v>113.5</v>
      </c>
    </row>
    <row r="126" spans="1:4" x14ac:dyDescent="0.25">
      <c r="A126" t="s">
        <v>296</v>
      </c>
      <c r="B126" s="133">
        <v>37735</v>
      </c>
      <c r="C126">
        <v>2003</v>
      </c>
      <c r="D126" s="55">
        <v>113.57142857142857</v>
      </c>
    </row>
    <row r="127" spans="1:4" x14ac:dyDescent="0.25">
      <c r="A127" t="s">
        <v>297</v>
      </c>
      <c r="B127" s="133">
        <v>37733</v>
      </c>
      <c r="C127">
        <v>2003</v>
      </c>
      <c r="D127" s="55">
        <v>112.4</v>
      </c>
    </row>
    <row r="128" spans="1:4" x14ac:dyDescent="0.25">
      <c r="A128" t="s">
        <v>298</v>
      </c>
      <c r="B128" s="133">
        <v>37735</v>
      </c>
      <c r="C128">
        <v>2003</v>
      </c>
      <c r="D128" s="55">
        <v>113.91666666666667</v>
      </c>
    </row>
    <row r="129" spans="1:4" x14ac:dyDescent="0.25">
      <c r="A129" t="s">
        <v>299</v>
      </c>
      <c r="B129" s="133">
        <v>37735</v>
      </c>
      <c r="C129">
        <v>2003</v>
      </c>
      <c r="D129" s="55">
        <v>114.125</v>
      </c>
    </row>
    <row r="130" spans="1:4" x14ac:dyDescent="0.25">
      <c r="A130" t="s">
        <v>300</v>
      </c>
      <c r="B130" s="133">
        <v>37736</v>
      </c>
      <c r="C130">
        <v>2003</v>
      </c>
      <c r="D130" s="55">
        <v>114.5</v>
      </c>
    </row>
    <row r="131" spans="1:4" x14ac:dyDescent="0.25">
      <c r="A131" t="s">
        <v>301</v>
      </c>
      <c r="B131" s="133">
        <v>37736</v>
      </c>
      <c r="C131">
        <v>2003</v>
      </c>
      <c r="D131" s="55">
        <v>114.70833333333333</v>
      </c>
    </row>
    <row r="132" spans="1:4" x14ac:dyDescent="0.25">
      <c r="A132" t="s">
        <v>302</v>
      </c>
      <c r="B132" s="133"/>
      <c r="D132" s="55"/>
    </row>
    <row r="133" spans="1:4" x14ac:dyDescent="0.25">
      <c r="A133" t="s">
        <v>303</v>
      </c>
      <c r="B133" s="133"/>
      <c r="D133" s="55"/>
    </row>
    <row r="134" spans="1:4" x14ac:dyDescent="0.25">
      <c r="A134" t="s">
        <v>304</v>
      </c>
      <c r="B134" s="133">
        <v>37733</v>
      </c>
      <c r="C134">
        <v>2003</v>
      </c>
      <c r="D134" s="55">
        <v>111.83333333333333</v>
      </c>
    </row>
    <row r="135" spans="1:4" x14ac:dyDescent="0.25">
      <c r="A135" t="s">
        <v>305</v>
      </c>
      <c r="B135" s="133">
        <v>37733</v>
      </c>
      <c r="C135">
        <v>2003</v>
      </c>
      <c r="D135" s="55">
        <v>112</v>
      </c>
    </row>
    <row r="136" spans="1:4" x14ac:dyDescent="0.25">
      <c r="A136" t="s">
        <v>306</v>
      </c>
      <c r="B136" s="133">
        <v>37735</v>
      </c>
      <c r="C136">
        <v>2003</v>
      </c>
      <c r="D136" s="55">
        <v>113.5</v>
      </c>
    </row>
    <row r="137" spans="1:4" x14ac:dyDescent="0.25">
      <c r="A137" t="s">
        <v>307</v>
      </c>
      <c r="B137" s="133"/>
      <c r="D137" s="55"/>
    </row>
    <row r="138" spans="1:4" x14ac:dyDescent="0.25">
      <c r="A138" t="s">
        <v>308</v>
      </c>
      <c r="B138" s="133"/>
      <c r="D138" s="55"/>
    </row>
    <row r="139" spans="1:4" x14ac:dyDescent="0.25">
      <c r="A139" t="s">
        <v>309</v>
      </c>
      <c r="B139" s="133">
        <v>37734</v>
      </c>
      <c r="C139">
        <v>2003</v>
      </c>
      <c r="D139" s="55">
        <v>113.16666666666667</v>
      </c>
    </row>
    <row r="140" spans="1:4" x14ac:dyDescent="0.25">
      <c r="A140" t="s">
        <v>310</v>
      </c>
      <c r="B140" s="133">
        <v>37733</v>
      </c>
      <c r="C140">
        <v>2003</v>
      </c>
      <c r="D140" s="55">
        <v>111.58333333333333</v>
      </c>
    </row>
    <row r="141" spans="1:4" x14ac:dyDescent="0.25">
      <c r="A141" t="s">
        <v>311</v>
      </c>
      <c r="B141" s="133">
        <v>37733</v>
      </c>
      <c r="C141">
        <v>2003</v>
      </c>
      <c r="D141" s="55">
        <v>111.95833333333333</v>
      </c>
    </row>
    <row r="142" spans="1:4" x14ac:dyDescent="0.25">
      <c r="A142" t="s">
        <v>312</v>
      </c>
      <c r="B142" s="133">
        <v>37734</v>
      </c>
      <c r="C142">
        <v>2003</v>
      </c>
      <c r="D142" s="55">
        <v>112.66666666666667</v>
      </c>
    </row>
    <row r="143" spans="1:4" x14ac:dyDescent="0.25">
      <c r="A143" t="s">
        <v>313</v>
      </c>
      <c r="B143" s="133"/>
      <c r="D143" s="55"/>
    </row>
    <row r="144" spans="1:4" x14ac:dyDescent="0.25">
      <c r="A144" t="s">
        <v>314</v>
      </c>
      <c r="B144" s="133">
        <v>37733</v>
      </c>
      <c r="C144">
        <v>2003</v>
      </c>
      <c r="D144" s="55">
        <v>112.35</v>
      </c>
    </row>
    <row r="145" spans="1:4" x14ac:dyDescent="0.25">
      <c r="A145" t="s">
        <v>315</v>
      </c>
      <c r="B145" s="133">
        <v>37735</v>
      </c>
      <c r="C145">
        <v>2003</v>
      </c>
      <c r="D145" s="55">
        <v>113.96875</v>
      </c>
    </row>
    <row r="146" spans="1:4" x14ac:dyDescent="0.25">
      <c r="A146" t="s">
        <v>316</v>
      </c>
      <c r="B146" s="133">
        <v>37737</v>
      </c>
      <c r="C146">
        <v>2003</v>
      </c>
      <c r="D146" s="55">
        <v>115.70588235294117</v>
      </c>
    </row>
    <row r="147" spans="1:4" x14ac:dyDescent="0.25">
      <c r="A147" t="s">
        <v>317</v>
      </c>
      <c r="B147" s="133">
        <v>37737</v>
      </c>
      <c r="C147">
        <v>2003</v>
      </c>
      <c r="D147" s="55">
        <v>116.4375</v>
      </c>
    </row>
    <row r="148" spans="1:4" x14ac:dyDescent="0.25">
      <c r="A148" t="s">
        <v>318</v>
      </c>
      <c r="B148" s="133">
        <v>37736</v>
      </c>
      <c r="C148">
        <v>2003</v>
      </c>
      <c r="D148" s="55">
        <v>115</v>
      </c>
    </row>
    <row r="149" spans="1:4" x14ac:dyDescent="0.25">
      <c r="A149" t="s">
        <v>319</v>
      </c>
      <c r="B149" s="133">
        <v>37736</v>
      </c>
      <c r="C149">
        <v>2003</v>
      </c>
      <c r="D149" s="55">
        <v>115.08333333333333</v>
      </c>
    </row>
    <row r="150" spans="1:4" x14ac:dyDescent="0.25">
      <c r="A150" t="s">
        <v>320</v>
      </c>
      <c r="B150" s="133">
        <v>37737</v>
      </c>
      <c r="C150">
        <v>2003</v>
      </c>
      <c r="D150" s="55">
        <v>115.9</v>
      </c>
    </row>
    <row r="151" spans="1:4" x14ac:dyDescent="0.25">
      <c r="A151" t="s">
        <v>321</v>
      </c>
      <c r="B151" s="133">
        <v>37737</v>
      </c>
      <c r="C151">
        <v>2003</v>
      </c>
      <c r="D151" s="55">
        <v>116.05</v>
      </c>
    </row>
    <row r="152" spans="1:4" x14ac:dyDescent="0.25">
      <c r="A152" t="s">
        <v>322</v>
      </c>
      <c r="B152" s="133">
        <v>37736</v>
      </c>
      <c r="C152">
        <v>2003</v>
      </c>
      <c r="D152" s="55">
        <v>115.45</v>
      </c>
    </row>
    <row r="153" spans="1:4" x14ac:dyDescent="0.25">
      <c r="A153" t="s">
        <v>323</v>
      </c>
      <c r="B153" s="133">
        <v>37736</v>
      </c>
      <c r="C153">
        <v>2003</v>
      </c>
      <c r="D153" s="55">
        <v>115.27272727272727</v>
      </c>
    </row>
    <row r="154" spans="1:4" x14ac:dyDescent="0.25">
      <c r="A154" t="s">
        <v>324</v>
      </c>
      <c r="B154" s="133">
        <v>37737</v>
      </c>
      <c r="C154">
        <v>2003</v>
      </c>
      <c r="D154" s="55">
        <v>115.61363636363636</v>
      </c>
    </row>
    <row r="155" spans="1:4" x14ac:dyDescent="0.25">
      <c r="A155" t="s">
        <v>325</v>
      </c>
      <c r="B155" s="133">
        <v>37737</v>
      </c>
      <c r="C155">
        <v>2003</v>
      </c>
      <c r="D155" s="55">
        <v>115.6875</v>
      </c>
    </row>
    <row r="156" spans="1:4" x14ac:dyDescent="0.25">
      <c r="A156" t="s">
        <v>326</v>
      </c>
      <c r="B156" s="133">
        <v>37738</v>
      </c>
      <c r="C156">
        <v>2003</v>
      </c>
      <c r="D156" s="55">
        <v>117.1875</v>
      </c>
    </row>
    <row r="157" spans="1:4" x14ac:dyDescent="0.25">
      <c r="A157" t="s">
        <v>327</v>
      </c>
      <c r="B157" s="133">
        <v>37736</v>
      </c>
      <c r="C157">
        <v>2003</v>
      </c>
      <c r="D157" s="55">
        <v>115.26785714285714</v>
      </c>
    </row>
    <row r="158" spans="1:4" x14ac:dyDescent="0.25">
      <c r="A158" t="s">
        <v>328</v>
      </c>
      <c r="B158" s="133">
        <v>37733</v>
      </c>
      <c r="C158">
        <v>2003</v>
      </c>
      <c r="D158" s="55">
        <v>112.33333333333333</v>
      </c>
    </row>
    <row r="159" spans="1:4" x14ac:dyDescent="0.25">
      <c r="A159" t="s">
        <v>329</v>
      </c>
      <c r="B159" s="133">
        <v>37734</v>
      </c>
      <c r="C159">
        <v>2003</v>
      </c>
      <c r="D159" s="55">
        <v>113.47222222222223</v>
      </c>
    </row>
    <row r="160" spans="1:4" x14ac:dyDescent="0.25">
      <c r="A160" t="s">
        <v>330</v>
      </c>
      <c r="B160" s="133">
        <v>37735</v>
      </c>
      <c r="C160">
        <v>2003</v>
      </c>
      <c r="D160" s="55">
        <v>113.71875</v>
      </c>
    </row>
    <row r="161" spans="1:4" x14ac:dyDescent="0.25">
      <c r="A161" t="s">
        <v>331</v>
      </c>
      <c r="B161" s="133">
        <v>37736</v>
      </c>
      <c r="C161">
        <v>2003</v>
      </c>
      <c r="D161" s="55">
        <v>114.58333333333333</v>
      </c>
    </row>
    <row r="162" spans="1:4" x14ac:dyDescent="0.25">
      <c r="A162" t="s">
        <v>332</v>
      </c>
      <c r="B162" s="133"/>
      <c r="D162" s="55"/>
    </row>
    <row r="163" spans="1:4" x14ac:dyDescent="0.25">
      <c r="A163" t="s">
        <v>333</v>
      </c>
      <c r="B163" s="133">
        <v>37735</v>
      </c>
      <c r="C163">
        <v>2003</v>
      </c>
      <c r="D163" s="55">
        <v>114.25</v>
      </c>
    </row>
    <row r="164" spans="1:4" x14ac:dyDescent="0.25">
      <c r="A164" t="s">
        <v>334</v>
      </c>
      <c r="B164" s="133">
        <v>37735</v>
      </c>
      <c r="C164">
        <v>2003</v>
      </c>
      <c r="D164" s="55">
        <v>113.5</v>
      </c>
    </row>
    <row r="165" spans="1:4" x14ac:dyDescent="0.25">
      <c r="A165" t="s">
        <v>335</v>
      </c>
      <c r="B165" s="133">
        <v>37734</v>
      </c>
      <c r="C165">
        <v>2003</v>
      </c>
      <c r="D165" s="55">
        <v>113.1</v>
      </c>
    </row>
    <row r="166" spans="1:4" x14ac:dyDescent="0.25">
      <c r="A166" t="s">
        <v>336</v>
      </c>
      <c r="B166" s="133"/>
      <c r="D166" s="55"/>
    </row>
    <row r="167" spans="1:4" x14ac:dyDescent="0.25">
      <c r="A167" t="s">
        <v>337</v>
      </c>
      <c r="B167" s="133">
        <v>37735</v>
      </c>
      <c r="C167">
        <v>2003</v>
      </c>
      <c r="D167" s="55">
        <v>114.25</v>
      </c>
    </row>
    <row r="168" spans="1:4" x14ac:dyDescent="0.25">
      <c r="A168" t="s">
        <v>338</v>
      </c>
      <c r="B168" s="133"/>
      <c r="D168" s="55"/>
    </row>
    <row r="169" spans="1:4" x14ac:dyDescent="0.25">
      <c r="A169" t="s">
        <v>339</v>
      </c>
      <c r="B169" s="133">
        <v>37733</v>
      </c>
      <c r="C169">
        <v>2003</v>
      </c>
      <c r="D169" s="55">
        <v>112.33333333333333</v>
      </c>
    </row>
    <row r="170" spans="1:4" x14ac:dyDescent="0.25">
      <c r="A170" t="s">
        <v>340</v>
      </c>
      <c r="B170" s="133">
        <v>37735</v>
      </c>
      <c r="C170">
        <v>2003</v>
      </c>
      <c r="D170" s="55">
        <v>113.575</v>
      </c>
    </row>
    <row r="171" spans="1:4" x14ac:dyDescent="0.25">
      <c r="A171" t="s">
        <v>341</v>
      </c>
      <c r="B171" s="133">
        <v>37735</v>
      </c>
      <c r="C171">
        <v>2003</v>
      </c>
      <c r="D171" s="55">
        <v>114.15</v>
      </c>
    </row>
    <row r="172" spans="1:4" x14ac:dyDescent="0.25">
      <c r="A172" t="s">
        <v>342</v>
      </c>
      <c r="B172" s="133">
        <v>37735</v>
      </c>
      <c r="C172">
        <v>2003</v>
      </c>
      <c r="D172" s="55">
        <v>113.52272727272727</v>
      </c>
    </row>
    <row r="173" spans="1:4" x14ac:dyDescent="0.25">
      <c r="A173" t="s">
        <v>343</v>
      </c>
      <c r="B173" s="133">
        <v>37735</v>
      </c>
      <c r="C173">
        <v>2003</v>
      </c>
      <c r="D173" s="55">
        <v>114.425</v>
      </c>
    </row>
    <row r="174" spans="1:4" x14ac:dyDescent="0.25">
      <c r="A174" t="s">
        <v>344</v>
      </c>
      <c r="B174" s="133">
        <v>37734</v>
      </c>
      <c r="C174">
        <v>2003</v>
      </c>
      <c r="D174" s="55">
        <v>113.20833333333333</v>
      </c>
    </row>
    <row r="175" spans="1:4" x14ac:dyDescent="0.25">
      <c r="A175" t="s">
        <v>345</v>
      </c>
      <c r="B175" s="133"/>
      <c r="D175" s="55"/>
    </row>
    <row r="176" spans="1:4" x14ac:dyDescent="0.25">
      <c r="A176" t="s">
        <v>346</v>
      </c>
      <c r="B176" s="133">
        <v>37733</v>
      </c>
      <c r="C176">
        <v>2003</v>
      </c>
      <c r="D176" s="55">
        <v>112.125</v>
      </c>
    </row>
    <row r="177" spans="1:4" x14ac:dyDescent="0.25">
      <c r="A177" t="s">
        <v>347</v>
      </c>
      <c r="B177" s="133"/>
      <c r="D177" s="55"/>
    </row>
    <row r="178" spans="1:4" x14ac:dyDescent="0.25">
      <c r="A178" t="s">
        <v>348</v>
      </c>
      <c r="B178" s="133">
        <v>37736</v>
      </c>
      <c r="C178">
        <v>2003</v>
      </c>
      <c r="D178" s="55">
        <v>114.89285714285714</v>
      </c>
    </row>
    <row r="179" spans="1:4" x14ac:dyDescent="0.25">
      <c r="A179" t="s">
        <v>349</v>
      </c>
      <c r="B179" s="133">
        <v>37736</v>
      </c>
      <c r="C179">
        <v>2003</v>
      </c>
      <c r="D179" s="55">
        <v>115.125</v>
      </c>
    </row>
    <row r="180" spans="1:4" x14ac:dyDescent="0.25">
      <c r="A180" t="s">
        <v>350</v>
      </c>
      <c r="B180" s="133">
        <v>37734</v>
      </c>
      <c r="C180">
        <v>2003</v>
      </c>
      <c r="D180" s="55">
        <v>113.16666666666667</v>
      </c>
    </row>
    <row r="181" spans="1:4" x14ac:dyDescent="0.25">
      <c r="A181" t="s">
        <v>351</v>
      </c>
      <c r="B181" s="133">
        <v>37735</v>
      </c>
      <c r="C181">
        <v>2003</v>
      </c>
      <c r="D181" s="55">
        <v>114.325</v>
      </c>
    </row>
    <row r="182" spans="1:4" x14ac:dyDescent="0.25">
      <c r="A182" t="s">
        <v>352</v>
      </c>
      <c r="B182" s="133"/>
      <c r="D182" s="55"/>
    </row>
    <row r="183" spans="1:4" x14ac:dyDescent="0.25">
      <c r="A183" t="s">
        <v>353</v>
      </c>
      <c r="B183" s="133"/>
      <c r="D183" s="55"/>
    </row>
    <row r="184" spans="1:4" x14ac:dyDescent="0.25">
      <c r="A184" t="s">
        <v>354</v>
      </c>
      <c r="B184" s="133">
        <v>37733</v>
      </c>
      <c r="C184">
        <v>2003</v>
      </c>
      <c r="D184" s="55">
        <v>112</v>
      </c>
    </row>
    <row r="185" spans="1:4" x14ac:dyDescent="0.25">
      <c r="A185" t="s">
        <v>355</v>
      </c>
      <c r="B185" s="133"/>
      <c r="D185" s="55"/>
    </row>
    <row r="186" spans="1:4" x14ac:dyDescent="0.25">
      <c r="A186" t="s">
        <v>356</v>
      </c>
      <c r="B186" s="133"/>
      <c r="D186" s="55"/>
    </row>
    <row r="187" spans="1:4" x14ac:dyDescent="0.25">
      <c r="A187" t="s">
        <v>357</v>
      </c>
      <c r="B187" s="133">
        <v>37735</v>
      </c>
      <c r="C187">
        <v>2003</v>
      </c>
      <c r="D187" s="55">
        <v>113.85</v>
      </c>
    </row>
    <row r="188" spans="1:4" x14ac:dyDescent="0.25">
      <c r="A188" t="s">
        <v>358</v>
      </c>
      <c r="B188" s="133"/>
      <c r="D188" s="55"/>
    </row>
    <row r="189" spans="1:4" x14ac:dyDescent="0.25">
      <c r="A189" t="s">
        <v>359</v>
      </c>
      <c r="B189" s="133">
        <v>37735</v>
      </c>
      <c r="C189">
        <v>2003</v>
      </c>
      <c r="D189" s="55">
        <v>114.2</v>
      </c>
    </row>
    <row r="190" spans="1:4" x14ac:dyDescent="0.25">
      <c r="A190" t="s">
        <v>360</v>
      </c>
      <c r="B190" s="133">
        <v>37736</v>
      </c>
      <c r="C190">
        <v>2003</v>
      </c>
      <c r="D190" s="55">
        <v>115</v>
      </c>
    </row>
    <row r="191" spans="1:4" x14ac:dyDescent="0.25">
      <c r="A191" t="s">
        <v>361</v>
      </c>
      <c r="B191" s="133">
        <v>37736</v>
      </c>
      <c r="C191">
        <v>2003</v>
      </c>
      <c r="D191" s="55">
        <v>115.23076923076923</v>
      </c>
    </row>
    <row r="192" spans="1:4" x14ac:dyDescent="0.25">
      <c r="A192" t="s">
        <v>362</v>
      </c>
      <c r="B192" s="133"/>
      <c r="D192" s="55"/>
    </row>
    <row r="193" spans="1:4" x14ac:dyDescent="0.25">
      <c r="A193" t="s">
        <v>363</v>
      </c>
      <c r="B193" s="133">
        <v>37737</v>
      </c>
      <c r="C193">
        <v>2003</v>
      </c>
      <c r="D193" s="55">
        <v>116.05</v>
      </c>
    </row>
    <row r="194" spans="1:4" x14ac:dyDescent="0.25">
      <c r="A194" t="s">
        <v>364</v>
      </c>
      <c r="B194" s="133">
        <v>37735</v>
      </c>
      <c r="C194">
        <v>2003</v>
      </c>
      <c r="D194" s="55">
        <v>114.26470588235294</v>
      </c>
    </row>
    <row r="195" spans="1:4" x14ac:dyDescent="0.25">
      <c r="A195" t="s">
        <v>365</v>
      </c>
      <c r="B195" s="133">
        <v>37736</v>
      </c>
      <c r="C195">
        <v>2003</v>
      </c>
      <c r="D195" s="55">
        <v>114.78571428571429</v>
      </c>
    </row>
    <row r="196" spans="1:4" x14ac:dyDescent="0.25">
      <c r="A196" t="s">
        <v>366</v>
      </c>
      <c r="B196" s="133">
        <v>37736</v>
      </c>
      <c r="C196">
        <v>2003</v>
      </c>
      <c r="D196" s="55">
        <v>114.51923076923077</v>
      </c>
    </row>
    <row r="197" spans="1:4" x14ac:dyDescent="0.25">
      <c r="A197" t="s">
        <v>367</v>
      </c>
      <c r="B197" s="133">
        <v>37736</v>
      </c>
      <c r="C197">
        <v>2003</v>
      </c>
      <c r="D197" s="55">
        <v>114.77083333333333</v>
      </c>
    </row>
    <row r="198" spans="1:4" x14ac:dyDescent="0.25">
      <c r="A198" t="s">
        <v>368</v>
      </c>
      <c r="B198" s="133">
        <v>37735</v>
      </c>
      <c r="C198">
        <v>2003</v>
      </c>
      <c r="D198" s="55">
        <v>114.40789473684211</v>
      </c>
    </row>
    <row r="199" spans="1:4" x14ac:dyDescent="0.25">
      <c r="A199" t="s">
        <v>369</v>
      </c>
      <c r="B199" s="133">
        <v>37736</v>
      </c>
      <c r="C199">
        <v>2003</v>
      </c>
      <c r="D199" s="55">
        <v>115.375</v>
      </c>
    </row>
    <row r="200" spans="1:4" x14ac:dyDescent="0.25">
      <c r="A200" t="s">
        <v>370</v>
      </c>
      <c r="B200" s="133">
        <v>37736</v>
      </c>
      <c r="C200">
        <v>2003</v>
      </c>
      <c r="D200" s="55">
        <v>114.575</v>
      </c>
    </row>
    <row r="201" spans="1:4" x14ac:dyDescent="0.25">
      <c r="A201" t="s">
        <v>371</v>
      </c>
      <c r="B201" s="133">
        <v>37736</v>
      </c>
      <c r="C201">
        <v>2003</v>
      </c>
      <c r="D201" s="55">
        <v>114.76923076923077</v>
      </c>
    </row>
    <row r="202" spans="1:4" x14ac:dyDescent="0.25">
      <c r="A202" t="s">
        <v>372</v>
      </c>
      <c r="B202" s="133">
        <v>37736</v>
      </c>
      <c r="C202">
        <v>2003</v>
      </c>
      <c r="D202" s="55">
        <v>114.71153846153847</v>
      </c>
    </row>
    <row r="203" spans="1:4" x14ac:dyDescent="0.25">
      <c r="A203" t="s">
        <v>373</v>
      </c>
      <c r="B203" s="133">
        <v>37739</v>
      </c>
      <c r="C203">
        <v>2003</v>
      </c>
      <c r="D203" s="55">
        <v>118.42857142857143</v>
      </c>
    </row>
    <row r="204" spans="1:4" x14ac:dyDescent="0.25">
      <c r="A204" t="s">
        <v>374</v>
      </c>
      <c r="B204" s="133">
        <v>37737</v>
      </c>
      <c r="C204">
        <v>2003</v>
      </c>
      <c r="D204" s="55">
        <v>115.8</v>
      </c>
    </row>
    <row r="205" spans="1:4" x14ac:dyDescent="0.25">
      <c r="A205" t="s">
        <v>375</v>
      </c>
      <c r="B205" s="133">
        <v>37737</v>
      </c>
      <c r="C205">
        <v>2003</v>
      </c>
      <c r="D205" s="55">
        <v>115.68181818181819</v>
      </c>
    </row>
    <row r="206" spans="1:4" x14ac:dyDescent="0.25">
      <c r="A206" t="s">
        <v>376</v>
      </c>
      <c r="B206" s="133">
        <v>37736</v>
      </c>
      <c r="C206">
        <v>2003</v>
      </c>
      <c r="D206" s="55">
        <v>115.27272727272727</v>
      </c>
    </row>
    <row r="207" spans="1:4" x14ac:dyDescent="0.25">
      <c r="A207" t="s">
        <v>377</v>
      </c>
      <c r="B207" s="133">
        <v>37736</v>
      </c>
      <c r="C207">
        <v>2003</v>
      </c>
      <c r="D207" s="55">
        <v>114.625</v>
      </c>
    </row>
    <row r="208" spans="1:4" x14ac:dyDescent="0.25">
      <c r="A208" t="s">
        <v>378</v>
      </c>
      <c r="B208" s="133">
        <v>37737</v>
      </c>
      <c r="C208">
        <v>2003</v>
      </c>
      <c r="D208" s="55">
        <v>116.35</v>
      </c>
    </row>
    <row r="209" spans="1:4" x14ac:dyDescent="0.25">
      <c r="A209" t="s">
        <v>379</v>
      </c>
      <c r="B209" s="133">
        <v>37738</v>
      </c>
      <c r="C209">
        <v>2003</v>
      </c>
      <c r="D209" s="55">
        <v>116.65</v>
      </c>
    </row>
    <row r="210" spans="1:4" x14ac:dyDescent="0.25">
      <c r="A210" t="s">
        <v>380</v>
      </c>
      <c r="B210" s="133">
        <v>37736</v>
      </c>
      <c r="C210">
        <v>2003</v>
      </c>
      <c r="D210" s="55">
        <v>114.64285714285714</v>
      </c>
    </row>
    <row r="211" spans="1:4" x14ac:dyDescent="0.25">
      <c r="A211" t="s">
        <v>381</v>
      </c>
      <c r="B211" s="133">
        <v>37736</v>
      </c>
      <c r="C211">
        <v>2003</v>
      </c>
      <c r="D211" s="55">
        <v>115.16666666666667</v>
      </c>
    </row>
    <row r="212" spans="1:4" x14ac:dyDescent="0.25">
      <c r="A212" t="s">
        <v>382</v>
      </c>
      <c r="B212" s="133">
        <v>37736</v>
      </c>
      <c r="C212">
        <v>2003</v>
      </c>
      <c r="D212" s="55">
        <v>115.25</v>
      </c>
    </row>
    <row r="213" spans="1:4" x14ac:dyDescent="0.25">
      <c r="A213" t="s">
        <v>383</v>
      </c>
      <c r="B213" s="133">
        <v>37738</v>
      </c>
      <c r="C213">
        <v>2003</v>
      </c>
      <c r="D213" s="55">
        <v>116.53947368421052</v>
      </c>
    </row>
    <row r="214" spans="1:4" x14ac:dyDescent="0.25">
      <c r="A214" t="s">
        <v>384</v>
      </c>
      <c r="B214" s="133">
        <v>37737</v>
      </c>
      <c r="C214">
        <v>2003</v>
      </c>
      <c r="D214" s="55">
        <v>115.57692307692308</v>
      </c>
    </row>
    <row r="215" spans="1:4" x14ac:dyDescent="0.25">
      <c r="A215" t="s">
        <v>385</v>
      </c>
      <c r="B215" s="133">
        <v>37737</v>
      </c>
      <c r="C215">
        <v>2003</v>
      </c>
      <c r="D215" s="55">
        <v>115.85</v>
      </c>
    </row>
    <row r="216" spans="1:4" x14ac:dyDescent="0.25">
      <c r="A216" t="s">
        <v>386</v>
      </c>
      <c r="B216" s="133">
        <v>37738</v>
      </c>
      <c r="C216">
        <v>2003</v>
      </c>
      <c r="D216" s="55">
        <v>116.59375</v>
      </c>
    </row>
    <row r="217" spans="1:4" x14ac:dyDescent="0.25">
      <c r="A217" t="s">
        <v>387</v>
      </c>
      <c r="B217" s="133">
        <v>37737</v>
      </c>
      <c r="C217">
        <v>2003</v>
      </c>
      <c r="D217" s="55">
        <v>115.80769230769231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CB09F-F7BE-4D34-8FCD-04D0172F459C}">
  <dimension ref="A1:D37"/>
  <sheetViews>
    <sheetView tabSelected="1" workbookViewId="0"/>
  </sheetViews>
  <sheetFormatPr defaultRowHeight="15" x14ac:dyDescent="0.25"/>
  <cols>
    <col min="2" max="2" width="9.42578125" bestFit="1" customWidth="1"/>
  </cols>
  <sheetData>
    <row r="1" spans="1:4" x14ac:dyDescent="0.25">
      <c r="A1" t="s">
        <v>51</v>
      </c>
      <c r="B1" s="57" t="s">
        <v>162</v>
      </c>
      <c r="C1" s="57" t="s">
        <v>163</v>
      </c>
      <c r="D1" s="57" t="s">
        <v>164</v>
      </c>
    </row>
    <row r="2" spans="1:4" x14ac:dyDescent="0.25">
      <c r="A2" t="s">
        <v>518</v>
      </c>
      <c r="B2" s="147">
        <v>37737</v>
      </c>
      <c r="C2">
        <v>2003</v>
      </c>
      <c r="D2" s="55">
        <v>116.01108180014431</v>
      </c>
    </row>
    <row r="3" spans="1:4" x14ac:dyDescent="0.25">
      <c r="A3" t="s">
        <v>519</v>
      </c>
      <c r="B3" s="147">
        <v>37737</v>
      </c>
      <c r="C3">
        <v>2003</v>
      </c>
      <c r="D3" s="55">
        <v>116.53817663817664</v>
      </c>
    </row>
    <row r="4" spans="1:4" x14ac:dyDescent="0.25">
      <c r="A4" t="s">
        <v>520</v>
      </c>
      <c r="B4" s="147">
        <v>37734</v>
      </c>
      <c r="C4">
        <v>2003</v>
      </c>
      <c r="D4" s="55">
        <v>113.00104166666668</v>
      </c>
    </row>
    <row r="5" spans="1:4" x14ac:dyDescent="0.25">
      <c r="A5" t="s">
        <v>521</v>
      </c>
      <c r="B5" s="147">
        <v>37735</v>
      </c>
      <c r="C5">
        <v>2003</v>
      </c>
      <c r="D5" s="55">
        <v>114.86003787878788</v>
      </c>
    </row>
    <row r="6" spans="1:4" x14ac:dyDescent="0.25">
      <c r="A6" t="s">
        <v>522</v>
      </c>
      <c r="B6" s="147">
        <v>37735</v>
      </c>
      <c r="C6">
        <v>2003</v>
      </c>
      <c r="D6" s="55">
        <v>113.92144510582011</v>
      </c>
    </row>
    <row r="7" spans="1:4" x14ac:dyDescent="0.25">
      <c r="A7" t="s">
        <v>523</v>
      </c>
      <c r="B7" s="147">
        <v>37734</v>
      </c>
      <c r="C7">
        <v>2003</v>
      </c>
      <c r="D7" s="55">
        <v>113.49553571428571</v>
      </c>
    </row>
    <row r="8" spans="1:4" x14ac:dyDescent="0.25">
      <c r="A8" t="s">
        <v>524</v>
      </c>
      <c r="B8" s="147">
        <v>37734</v>
      </c>
      <c r="C8">
        <v>2003</v>
      </c>
      <c r="D8" s="55">
        <v>113.375</v>
      </c>
    </row>
    <row r="9" spans="1:4" x14ac:dyDescent="0.25">
      <c r="A9" t="s">
        <v>525</v>
      </c>
      <c r="B9" s="147">
        <v>37734</v>
      </c>
      <c r="C9">
        <v>2003</v>
      </c>
      <c r="D9" s="55">
        <v>113.35729166666665</v>
      </c>
    </row>
    <row r="10" spans="1:4" x14ac:dyDescent="0.25">
      <c r="A10" t="s">
        <v>526</v>
      </c>
      <c r="B10" s="147">
        <v>37735</v>
      </c>
      <c r="C10">
        <v>2003</v>
      </c>
      <c r="D10" s="55">
        <v>114.4202380952381</v>
      </c>
    </row>
    <row r="11" spans="1:4" x14ac:dyDescent="0.25">
      <c r="A11" t="s">
        <v>527</v>
      </c>
      <c r="B11" s="147">
        <v>37736</v>
      </c>
      <c r="C11">
        <v>2003</v>
      </c>
      <c r="D11" s="55">
        <v>115.45626686909581</v>
      </c>
    </row>
    <row r="12" spans="1:4" x14ac:dyDescent="0.25">
      <c r="A12" t="s">
        <v>528</v>
      </c>
      <c r="B12" s="147">
        <v>37734</v>
      </c>
      <c r="C12">
        <v>2003</v>
      </c>
      <c r="D12" s="55">
        <v>113.3702876984127</v>
      </c>
    </row>
    <row r="13" spans="1:4" x14ac:dyDescent="0.25">
      <c r="A13" t="s">
        <v>529</v>
      </c>
      <c r="B13" s="147">
        <v>37733</v>
      </c>
      <c r="C13">
        <v>2003</v>
      </c>
      <c r="D13" s="55">
        <v>112.68874007936509</v>
      </c>
    </row>
    <row r="14" spans="1:4" x14ac:dyDescent="0.25">
      <c r="A14" t="s">
        <v>530</v>
      </c>
      <c r="B14" s="147">
        <v>37735</v>
      </c>
      <c r="C14">
        <v>2003</v>
      </c>
      <c r="D14" s="55">
        <v>114.38740530303032</v>
      </c>
    </row>
    <row r="15" spans="1:4" x14ac:dyDescent="0.25">
      <c r="A15" t="s">
        <v>531</v>
      </c>
      <c r="B15" s="147">
        <v>37733</v>
      </c>
      <c r="C15">
        <v>2003</v>
      </c>
      <c r="D15" s="55">
        <v>112.42162698412697</v>
      </c>
    </row>
    <row r="16" spans="1:4" x14ac:dyDescent="0.25">
      <c r="A16" t="s">
        <v>532</v>
      </c>
      <c r="B16" s="147">
        <v>37734</v>
      </c>
      <c r="C16">
        <v>2003</v>
      </c>
      <c r="D16" s="55">
        <v>113.21060606060607</v>
      </c>
    </row>
    <row r="17" spans="1:4" x14ac:dyDescent="0.25">
      <c r="A17" t="s">
        <v>533</v>
      </c>
      <c r="B17" s="147">
        <v>37734</v>
      </c>
      <c r="C17">
        <v>2003</v>
      </c>
      <c r="D17" s="55">
        <v>113.6125</v>
      </c>
    </row>
    <row r="18" spans="1:4" x14ac:dyDescent="0.25">
      <c r="A18" t="s">
        <v>534</v>
      </c>
      <c r="B18" s="147">
        <v>37737</v>
      </c>
      <c r="C18">
        <v>2003</v>
      </c>
      <c r="D18" s="55">
        <v>115.95073843640019</v>
      </c>
    </row>
    <row r="19" spans="1:4" x14ac:dyDescent="0.25">
      <c r="A19" t="s">
        <v>535</v>
      </c>
      <c r="B19" s="147">
        <v>37736</v>
      </c>
      <c r="C19">
        <v>2003</v>
      </c>
      <c r="D19" s="55">
        <v>115.56932043650794</v>
      </c>
    </row>
    <row r="20" spans="1:4" x14ac:dyDescent="0.25">
      <c r="A20" t="s">
        <v>536</v>
      </c>
      <c r="B20" s="147">
        <v>37736</v>
      </c>
      <c r="C20">
        <v>2003</v>
      </c>
      <c r="D20" s="55">
        <v>115.08906250000001</v>
      </c>
    </row>
    <row r="21" spans="1:4" x14ac:dyDescent="0.25">
      <c r="A21" t="s">
        <v>537</v>
      </c>
      <c r="B21" s="147">
        <v>37735</v>
      </c>
      <c r="C21">
        <v>2003</v>
      </c>
      <c r="D21" s="55">
        <v>114.28598137973137</v>
      </c>
    </row>
    <row r="22" spans="1:4" x14ac:dyDescent="0.25">
      <c r="A22" t="s">
        <v>538</v>
      </c>
      <c r="B22" s="147">
        <v>37734</v>
      </c>
      <c r="C22">
        <v>2003</v>
      </c>
      <c r="D22" s="55">
        <v>113.4797619047619</v>
      </c>
    </row>
    <row r="23" spans="1:4" x14ac:dyDescent="0.25">
      <c r="A23" t="s">
        <v>539</v>
      </c>
      <c r="B23" s="147">
        <v>37735</v>
      </c>
      <c r="C23">
        <v>2003</v>
      </c>
      <c r="D23" s="55">
        <v>114.3125</v>
      </c>
    </row>
    <row r="24" spans="1:4" x14ac:dyDescent="0.25">
      <c r="A24" t="s">
        <v>540</v>
      </c>
      <c r="B24" s="147">
        <v>37733</v>
      </c>
      <c r="C24">
        <v>2003</v>
      </c>
      <c r="D24" s="55">
        <v>112.625</v>
      </c>
    </row>
    <row r="25" spans="1:4" x14ac:dyDescent="0.25">
      <c r="A25" t="s">
        <v>541</v>
      </c>
      <c r="B25" s="147">
        <v>37733</v>
      </c>
      <c r="C25">
        <v>2003</v>
      </c>
      <c r="D25" s="55">
        <v>112.50541666666666</v>
      </c>
    </row>
    <row r="26" spans="1:4" x14ac:dyDescent="0.25">
      <c r="A26" t="s">
        <v>542</v>
      </c>
      <c r="B26" s="147">
        <v>37736</v>
      </c>
      <c r="C26">
        <v>2003</v>
      </c>
      <c r="D26" s="55">
        <v>115.69611928104574</v>
      </c>
    </row>
    <row r="27" spans="1:4" x14ac:dyDescent="0.25">
      <c r="A27" t="s">
        <v>543</v>
      </c>
      <c r="B27" s="147">
        <v>37736</v>
      </c>
      <c r="C27">
        <v>2003</v>
      </c>
      <c r="D27" s="55">
        <v>115.74653679653677</v>
      </c>
    </row>
    <row r="28" spans="1:4" x14ac:dyDescent="0.25">
      <c r="A28" t="s">
        <v>544</v>
      </c>
      <c r="B28" s="147">
        <v>37734</v>
      </c>
      <c r="C28">
        <v>2003</v>
      </c>
      <c r="D28" s="55">
        <v>113.67152777777778</v>
      </c>
    </row>
    <row r="29" spans="1:4" x14ac:dyDescent="0.25">
      <c r="A29" t="s">
        <v>545</v>
      </c>
      <c r="B29" s="147">
        <v>37734</v>
      </c>
      <c r="C29">
        <v>2003</v>
      </c>
      <c r="D29" s="55">
        <v>113.29583333333333</v>
      </c>
    </row>
    <row r="30" spans="1:4" x14ac:dyDescent="0.25">
      <c r="A30" t="s">
        <v>546</v>
      </c>
      <c r="B30" s="147">
        <v>37734</v>
      </c>
      <c r="C30">
        <v>2003</v>
      </c>
      <c r="D30" s="55">
        <v>113.77621212121213</v>
      </c>
    </row>
    <row r="31" spans="1:4" x14ac:dyDescent="0.25">
      <c r="A31" t="s">
        <v>547</v>
      </c>
      <c r="B31" s="147">
        <v>37734</v>
      </c>
      <c r="C31">
        <v>2003</v>
      </c>
      <c r="D31" s="55">
        <v>113.92690476190475</v>
      </c>
    </row>
    <row r="32" spans="1:4" x14ac:dyDescent="0.25">
      <c r="A32" t="s">
        <v>548</v>
      </c>
      <c r="B32" s="147">
        <v>37734</v>
      </c>
      <c r="C32">
        <v>2003</v>
      </c>
      <c r="D32" s="55">
        <v>112.925</v>
      </c>
    </row>
    <row r="33" spans="1:4" x14ac:dyDescent="0.25">
      <c r="A33" t="s">
        <v>549</v>
      </c>
      <c r="B33" s="147">
        <v>37736</v>
      </c>
      <c r="C33">
        <v>2003</v>
      </c>
      <c r="D33" s="55">
        <v>115.12019230769231</v>
      </c>
    </row>
    <row r="34" spans="1:4" x14ac:dyDescent="0.25">
      <c r="A34" t="s">
        <v>550</v>
      </c>
      <c r="B34" s="147">
        <v>37735</v>
      </c>
      <c r="C34">
        <v>2003</v>
      </c>
      <c r="D34" s="55">
        <v>114.6872298345789</v>
      </c>
    </row>
    <row r="35" spans="1:4" x14ac:dyDescent="0.25">
      <c r="A35" t="s">
        <v>551</v>
      </c>
      <c r="B35" s="147">
        <v>37736</v>
      </c>
      <c r="C35">
        <v>2003</v>
      </c>
      <c r="D35" s="55">
        <v>115.66102647352648</v>
      </c>
    </row>
    <row r="36" spans="1:4" x14ac:dyDescent="0.25">
      <c r="A36" t="s">
        <v>552</v>
      </c>
      <c r="B36" s="147">
        <v>37736</v>
      </c>
      <c r="C36">
        <v>2003</v>
      </c>
      <c r="D36" s="55">
        <v>115.45120851370849</v>
      </c>
    </row>
    <row r="37" spans="1:4" x14ac:dyDescent="0.25">
      <c r="A37" t="s">
        <v>553</v>
      </c>
      <c r="B37" s="147">
        <v>37737</v>
      </c>
      <c r="C37">
        <v>2003</v>
      </c>
      <c r="D37" s="55">
        <v>115.93630651147099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F7B14-3099-4F42-9F6E-D05F7F5245F6}">
  <sheetPr>
    <pageSetUpPr fitToPage="1"/>
  </sheetPr>
  <dimension ref="A1:CI87"/>
  <sheetViews>
    <sheetView topLeftCell="A2" workbookViewId="0">
      <selection activeCell="N2" sqref="N2"/>
    </sheetView>
  </sheetViews>
  <sheetFormatPr defaultRowHeight="12.75" x14ac:dyDescent="0.2"/>
  <cols>
    <col min="1" max="1" width="9.140625" style="1"/>
    <col min="2" max="2" width="4.85546875" style="1" customWidth="1"/>
    <col min="3" max="3" width="5.7109375" style="1" customWidth="1"/>
    <col min="4" max="8" width="5.28515625" style="1" hidden="1" customWidth="1"/>
    <col min="9" max="9" width="7" style="1" hidden="1" customWidth="1"/>
    <col min="10" max="11" width="9" style="1" customWidth="1"/>
    <col min="12" max="13" width="9.140625" style="1"/>
    <col min="14" max="14" width="9.7109375" style="1" customWidth="1"/>
    <col min="15" max="25" width="9.140625" style="1"/>
    <col min="26" max="26" width="10.140625" style="1" customWidth="1"/>
    <col min="27" max="27" width="12.7109375" style="1" customWidth="1"/>
    <col min="28" max="35" width="9.140625" style="1"/>
    <col min="36" max="36" width="7.5703125" style="1" customWidth="1"/>
    <col min="37" max="46" width="7.7109375" style="1" customWidth="1"/>
    <col min="47" max="16384" width="9.140625" style="1"/>
  </cols>
  <sheetData>
    <row r="1" spans="1:87" ht="15" customHeight="1" x14ac:dyDescent="0.25">
      <c r="A1" s="44" t="s">
        <v>82</v>
      </c>
    </row>
    <row r="2" spans="1:87" ht="15" customHeight="1" thickBot="1" x14ac:dyDescent="0.3">
      <c r="A2" s="44"/>
      <c r="N2" s="43"/>
      <c r="X2" s="20" t="s">
        <v>81</v>
      </c>
      <c r="Y2" s="42">
        <v>37789</v>
      </c>
      <c r="Z2" s="39"/>
    </row>
    <row r="3" spans="1:87" ht="15" customHeight="1" thickBot="1" x14ac:dyDescent="0.25">
      <c r="B3" s="1" t="s">
        <v>80</v>
      </c>
      <c r="D3" s="41"/>
      <c r="E3" s="41"/>
      <c r="F3" s="41"/>
      <c r="G3" s="41"/>
      <c r="H3" s="41"/>
      <c r="I3" s="41"/>
      <c r="J3" s="41" t="s">
        <v>79</v>
      </c>
      <c r="K3" s="41"/>
      <c r="L3" s="41"/>
      <c r="M3" s="41"/>
      <c r="N3" s="41"/>
      <c r="O3" s="41"/>
      <c r="P3" s="41"/>
      <c r="Q3" s="41"/>
      <c r="R3" s="41"/>
      <c r="S3" s="41"/>
      <c r="T3" s="41"/>
      <c r="U3" s="41"/>
      <c r="V3" s="41"/>
    </row>
    <row r="4" spans="1:87" ht="13.5" thickBot="1" x14ac:dyDescent="0.25">
      <c r="D4" s="40"/>
      <c r="E4" s="40"/>
      <c r="F4" s="40"/>
      <c r="G4" s="40"/>
      <c r="H4" s="40"/>
      <c r="I4" s="40"/>
      <c r="J4" s="40"/>
      <c r="K4" s="40"/>
      <c r="L4" s="40"/>
      <c r="M4" s="40"/>
      <c r="N4" s="40"/>
      <c r="O4" s="40"/>
      <c r="P4" s="40"/>
      <c r="Q4" s="40"/>
      <c r="R4" s="40"/>
      <c r="S4" s="40"/>
      <c r="T4" s="40"/>
      <c r="U4" s="40"/>
      <c r="V4" s="40"/>
      <c r="X4" s="20" t="s">
        <v>78</v>
      </c>
      <c r="Y4" s="39" t="s">
        <v>77</v>
      </c>
      <c r="Z4" s="39"/>
    </row>
    <row r="5" spans="1:87" ht="18" x14ac:dyDescent="0.2">
      <c r="AS5" s="38"/>
      <c r="AT5" s="134" t="s">
        <v>76</v>
      </c>
      <c r="AU5" s="134"/>
      <c r="AV5" s="134"/>
    </row>
    <row r="6" spans="1:87" ht="25.5" customHeight="1" x14ac:dyDescent="0.2">
      <c r="B6" s="36" t="s">
        <v>51</v>
      </c>
      <c r="C6" s="37" t="s">
        <v>50</v>
      </c>
      <c r="D6" s="37" t="s">
        <v>75</v>
      </c>
      <c r="E6" s="36" t="s">
        <v>74</v>
      </c>
      <c r="F6" s="37" t="s">
        <v>73</v>
      </c>
      <c r="G6" s="36" t="s">
        <v>72</v>
      </c>
      <c r="H6" s="36" t="s">
        <v>45</v>
      </c>
      <c r="I6" s="36" t="s">
        <v>71</v>
      </c>
      <c r="J6" s="36" t="s">
        <v>43</v>
      </c>
      <c r="K6" s="35" t="s">
        <v>70</v>
      </c>
      <c r="L6" s="143" t="s">
        <v>69</v>
      </c>
      <c r="M6" s="144"/>
      <c r="N6" s="143" t="s">
        <v>68</v>
      </c>
      <c r="O6" s="144"/>
      <c r="P6" s="143" t="s">
        <v>67</v>
      </c>
      <c r="Q6" s="145"/>
      <c r="R6" s="145"/>
      <c r="S6" s="145"/>
      <c r="T6" s="144"/>
      <c r="U6" s="143" t="s">
        <v>66</v>
      </c>
      <c r="V6" s="144"/>
      <c r="W6" s="143" t="s">
        <v>65</v>
      </c>
      <c r="X6" s="144"/>
      <c r="Y6" s="143" t="s">
        <v>64</v>
      </c>
      <c r="Z6" s="144"/>
      <c r="AA6" s="139" t="s">
        <v>63</v>
      </c>
      <c r="AB6" s="139" t="s">
        <v>62</v>
      </c>
      <c r="AC6" s="141" t="s">
        <v>61</v>
      </c>
      <c r="AS6" s="34"/>
      <c r="AT6" s="2" t="s">
        <v>60</v>
      </c>
      <c r="AU6" s="2"/>
    </row>
    <row r="7" spans="1:87" ht="15.75" customHeight="1" x14ac:dyDescent="0.2">
      <c r="B7" s="137"/>
      <c r="C7" s="138"/>
      <c r="D7" s="138"/>
      <c r="E7" s="138"/>
      <c r="F7" s="138"/>
      <c r="G7" s="138"/>
      <c r="H7" s="138"/>
      <c r="I7" s="33"/>
      <c r="J7" s="135" t="s">
        <v>59</v>
      </c>
      <c r="K7" s="136"/>
      <c r="L7" s="32" t="s">
        <v>55</v>
      </c>
      <c r="M7" s="31" t="s">
        <v>54</v>
      </c>
      <c r="N7" s="32" t="s">
        <v>55</v>
      </c>
      <c r="O7" s="31" t="s">
        <v>54</v>
      </c>
      <c r="P7" s="32" t="s">
        <v>58</v>
      </c>
      <c r="Q7" s="31" t="s">
        <v>55</v>
      </c>
      <c r="R7" s="31" t="s">
        <v>57</v>
      </c>
      <c r="S7" s="31" t="s">
        <v>54</v>
      </c>
      <c r="T7" s="31" t="s">
        <v>56</v>
      </c>
      <c r="U7" s="32" t="s">
        <v>55</v>
      </c>
      <c r="V7" s="31" t="s">
        <v>54</v>
      </c>
      <c r="W7" s="32" t="s">
        <v>55</v>
      </c>
      <c r="X7" s="31" t="s">
        <v>54</v>
      </c>
      <c r="Y7" s="32" t="s">
        <v>55</v>
      </c>
      <c r="Z7" s="31" t="s">
        <v>54</v>
      </c>
      <c r="AA7" s="140"/>
      <c r="AB7" s="140"/>
      <c r="AC7" s="142"/>
      <c r="AT7" s="12" t="s">
        <v>7</v>
      </c>
      <c r="AU7" s="12" t="s">
        <v>53</v>
      </c>
      <c r="AV7" s="12" t="s">
        <v>52</v>
      </c>
    </row>
    <row r="8" spans="1:87" ht="15.75" customHeight="1" x14ac:dyDescent="0.2">
      <c r="B8" s="28" t="s">
        <v>51</v>
      </c>
      <c r="C8" s="30" t="s">
        <v>50</v>
      </c>
      <c r="D8" s="30" t="s">
        <v>49</v>
      </c>
      <c r="E8" s="28" t="s">
        <v>48</v>
      </c>
      <c r="F8" s="30" t="s">
        <v>47</v>
      </c>
      <c r="G8" s="28" t="s">
        <v>46</v>
      </c>
      <c r="H8" s="28" t="s">
        <v>45</v>
      </c>
      <c r="I8" s="28" t="s">
        <v>44</v>
      </c>
      <c r="J8" s="27" t="s">
        <v>43</v>
      </c>
      <c r="K8" s="27" t="s">
        <v>42</v>
      </c>
      <c r="L8" s="29" t="s">
        <v>41</v>
      </c>
      <c r="M8" s="29" t="s">
        <v>40</v>
      </c>
      <c r="N8" s="29" t="s">
        <v>39</v>
      </c>
      <c r="O8" s="29" t="s">
        <v>38</v>
      </c>
      <c r="P8" s="29" t="s">
        <v>37</v>
      </c>
      <c r="Q8" s="29" t="s">
        <v>36</v>
      </c>
      <c r="R8" s="29" t="s">
        <v>35</v>
      </c>
      <c r="S8" s="29" t="s">
        <v>34</v>
      </c>
      <c r="T8" s="29" t="s">
        <v>33</v>
      </c>
      <c r="U8" s="29" t="s">
        <v>32</v>
      </c>
      <c r="V8" s="29" t="s">
        <v>31</v>
      </c>
      <c r="W8" s="29" t="s">
        <v>30</v>
      </c>
      <c r="X8" s="29" t="s">
        <v>29</v>
      </c>
      <c r="Y8" s="29" t="s">
        <v>28</v>
      </c>
      <c r="Z8" s="29" t="s">
        <v>27</v>
      </c>
      <c r="AA8" s="28" t="s">
        <v>26</v>
      </c>
      <c r="AB8" s="28" t="s">
        <v>25</v>
      </c>
      <c r="AC8" s="27" t="s">
        <v>24</v>
      </c>
      <c r="AT8" s="12"/>
      <c r="AU8" s="12"/>
      <c r="AV8" s="12"/>
    </row>
    <row r="9" spans="1:87" ht="24" customHeight="1" x14ac:dyDescent="0.2">
      <c r="B9" s="7">
        <v>108</v>
      </c>
      <c r="C9" s="7" t="s">
        <v>111</v>
      </c>
      <c r="D9" s="7">
        <v>3</v>
      </c>
      <c r="E9" s="7">
        <v>1</v>
      </c>
      <c r="F9" s="7">
        <v>2</v>
      </c>
      <c r="G9" s="7">
        <v>2</v>
      </c>
      <c r="H9" s="7">
        <v>2</v>
      </c>
      <c r="I9" s="7" t="s">
        <v>112</v>
      </c>
      <c r="J9" s="8">
        <v>0.4513888888888889</v>
      </c>
      <c r="K9" s="7" t="s">
        <v>2</v>
      </c>
      <c r="L9" s="6">
        <v>42</v>
      </c>
      <c r="M9" s="5"/>
      <c r="N9" s="6">
        <v>46</v>
      </c>
      <c r="O9" s="5"/>
      <c r="P9" s="6">
        <v>44</v>
      </c>
      <c r="Q9" s="6">
        <v>44</v>
      </c>
      <c r="R9" s="6">
        <v>41</v>
      </c>
      <c r="S9" s="6">
        <v>48</v>
      </c>
      <c r="T9" s="5">
        <v>47</v>
      </c>
      <c r="U9" s="6">
        <v>56</v>
      </c>
      <c r="V9" s="5"/>
      <c r="W9" s="6">
        <v>56</v>
      </c>
      <c r="X9" s="5"/>
      <c r="Y9" s="6">
        <v>39</v>
      </c>
      <c r="Z9" s="5"/>
      <c r="AA9" s="4">
        <f t="shared" ref="AA9:AA25" si="0">AVERAGE(P9:U9)</f>
        <v>46.666666666666664</v>
      </c>
      <c r="AB9" s="4">
        <f t="shared" ref="AB9:AB25" si="1">AVERAGE(AVERAGE(L9:M9),AVERAGE(N9:O9),AVERAGE(P9:U9),AVERAGE(U9:V9),AVERAGE(W9:X9),AVERAGE(Y9:Z9))</f>
        <v>47.611111111111107</v>
      </c>
      <c r="AC9" s="4">
        <f t="shared" ref="AC9:AC25" si="2">STDEV(AVERAGE(L9:M9),AVERAGE(N9:O9),AVERAGE(P9:U9),AVERAGE(U9:V9),AVERAGE(W9:X9),AVERAGE(Y9:Z9))/SQRT(6)</f>
        <v>2.886002831890353</v>
      </c>
      <c r="AD9" s="3"/>
      <c r="AE9" s="3"/>
      <c r="AF9" s="3"/>
      <c r="AG9" s="3"/>
      <c r="AH9" s="3"/>
      <c r="AT9" s="12">
        <v>1</v>
      </c>
      <c r="AU9" s="12" t="s">
        <v>23</v>
      </c>
      <c r="AV9" s="11"/>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24" customHeight="1" thickBot="1" x14ac:dyDescent="0.25">
      <c r="B10" s="15">
        <v>108</v>
      </c>
      <c r="C10" s="15" t="s">
        <v>111</v>
      </c>
      <c r="D10" s="15">
        <v>3</v>
      </c>
      <c r="E10" s="15">
        <v>1</v>
      </c>
      <c r="F10" s="15">
        <v>2</v>
      </c>
      <c r="G10" s="15">
        <v>2</v>
      </c>
      <c r="H10" s="15">
        <v>2</v>
      </c>
      <c r="I10" s="15" t="s">
        <v>112</v>
      </c>
      <c r="J10" s="16"/>
      <c r="K10" s="15" t="s">
        <v>0</v>
      </c>
      <c r="L10" s="14">
        <v>41</v>
      </c>
      <c r="M10" s="13"/>
      <c r="N10" s="14">
        <v>37</v>
      </c>
      <c r="O10" s="13"/>
      <c r="P10" s="14">
        <v>32</v>
      </c>
      <c r="Q10" s="14">
        <v>32</v>
      </c>
      <c r="R10" s="14">
        <v>35</v>
      </c>
      <c r="S10" s="14">
        <v>39</v>
      </c>
      <c r="T10" s="13">
        <v>40</v>
      </c>
      <c r="U10" s="14">
        <v>36.5</v>
      </c>
      <c r="V10" s="13"/>
      <c r="W10" s="14">
        <v>36.5</v>
      </c>
      <c r="X10" s="13"/>
      <c r="Y10" s="14">
        <v>45</v>
      </c>
      <c r="Z10" s="13"/>
      <c r="AA10" s="4">
        <f t="shared" si="0"/>
        <v>35.75</v>
      </c>
      <c r="AB10" s="4">
        <f t="shared" si="1"/>
        <v>38.625</v>
      </c>
      <c r="AC10" s="4">
        <f t="shared" si="2"/>
        <v>1.4856956844073643</v>
      </c>
      <c r="AD10" s="3"/>
      <c r="AE10" s="3"/>
      <c r="AF10" s="3"/>
      <c r="AG10" s="3"/>
      <c r="AH10" s="3"/>
      <c r="AT10" s="12">
        <v>2</v>
      </c>
      <c r="AU10" s="12" t="s">
        <v>22</v>
      </c>
      <c r="AV10" s="11"/>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24" customHeight="1" x14ac:dyDescent="0.2">
      <c r="B11" s="25">
        <f t="shared" ref="B11:B24" si="3">B9-1</f>
        <v>107</v>
      </c>
      <c r="C11" s="25" t="s">
        <v>113</v>
      </c>
      <c r="D11" s="25">
        <v>10</v>
      </c>
      <c r="E11" s="25">
        <v>2</v>
      </c>
      <c r="F11" s="25">
        <v>2</v>
      </c>
      <c r="G11" s="25">
        <v>1</v>
      </c>
      <c r="H11" s="25">
        <v>2</v>
      </c>
      <c r="I11" s="25" t="s">
        <v>114</v>
      </c>
      <c r="J11" s="26"/>
      <c r="K11" s="25" t="s">
        <v>2</v>
      </c>
      <c r="L11" s="24">
        <v>45</v>
      </c>
      <c r="M11" s="23"/>
      <c r="N11" s="24">
        <v>50</v>
      </c>
      <c r="O11" s="23"/>
      <c r="P11" s="24">
        <v>52</v>
      </c>
      <c r="Q11" s="24">
        <v>42</v>
      </c>
      <c r="R11" s="24">
        <v>45</v>
      </c>
      <c r="S11" s="24">
        <v>50</v>
      </c>
      <c r="T11" s="23">
        <v>59</v>
      </c>
      <c r="U11" s="24">
        <v>48</v>
      </c>
      <c r="V11" s="23"/>
      <c r="W11" s="24">
        <v>48</v>
      </c>
      <c r="X11" s="23"/>
      <c r="Y11" s="24">
        <v>49</v>
      </c>
      <c r="Z11" s="23"/>
      <c r="AA11" s="4">
        <f t="shared" si="0"/>
        <v>49.333333333333336</v>
      </c>
      <c r="AB11" s="4">
        <f t="shared" si="1"/>
        <v>48.222222222222229</v>
      </c>
      <c r="AC11" s="4">
        <f t="shared" si="2"/>
        <v>0.71836577223309406</v>
      </c>
      <c r="AD11" s="3"/>
      <c r="AE11" s="22"/>
      <c r="AF11" s="3"/>
      <c r="AG11" s="21"/>
      <c r="AH11" s="3"/>
      <c r="AT11" s="12">
        <v>3</v>
      </c>
      <c r="AU11" s="12" t="s">
        <v>21</v>
      </c>
      <c r="AV11" s="12" t="s">
        <v>19</v>
      </c>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row>
    <row r="12" spans="1:87" ht="24" customHeight="1" thickBot="1" x14ac:dyDescent="0.25">
      <c r="B12" s="15">
        <f t="shared" si="3"/>
        <v>107</v>
      </c>
      <c r="C12" s="15" t="s">
        <v>113</v>
      </c>
      <c r="D12" s="15">
        <v>10</v>
      </c>
      <c r="E12" s="15">
        <v>2</v>
      </c>
      <c r="F12" s="15">
        <v>2</v>
      </c>
      <c r="G12" s="15">
        <v>1</v>
      </c>
      <c r="H12" s="15">
        <v>2</v>
      </c>
      <c r="I12" s="15" t="s">
        <v>114</v>
      </c>
      <c r="J12" s="16"/>
      <c r="K12" s="15" t="s">
        <v>0</v>
      </c>
      <c r="L12" s="14">
        <v>35</v>
      </c>
      <c r="M12" s="13"/>
      <c r="N12" s="14">
        <v>47</v>
      </c>
      <c r="O12" s="13"/>
      <c r="P12" s="14">
        <v>32</v>
      </c>
      <c r="Q12" s="14">
        <v>32</v>
      </c>
      <c r="R12" s="14">
        <v>29</v>
      </c>
      <c r="S12" s="14">
        <v>31</v>
      </c>
      <c r="T12" s="13">
        <v>32</v>
      </c>
      <c r="U12" s="14">
        <v>42</v>
      </c>
      <c r="V12" s="13"/>
      <c r="W12" s="14">
        <v>42</v>
      </c>
      <c r="X12" s="13"/>
      <c r="Y12" s="14">
        <v>34</v>
      </c>
      <c r="Z12" s="13"/>
      <c r="AA12" s="4">
        <f t="shared" si="0"/>
        <v>33</v>
      </c>
      <c r="AB12" s="4">
        <f t="shared" si="1"/>
        <v>38.833333333333336</v>
      </c>
      <c r="AC12" s="4">
        <f t="shared" si="2"/>
        <v>2.3009659807229799</v>
      </c>
      <c r="AD12" s="3"/>
      <c r="AE12" s="3"/>
      <c r="AF12" s="3"/>
      <c r="AG12" s="3"/>
      <c r="AH12" s="3"/>
      <c r="AT12" s="12">
        <v>4</v>
      </c>
      <c r="AU12" s="12" t="s">
        <v>20</v>
      </c>
      <c r="AV12" s="11" t="s">
        <v>19</v>
      </c>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24" customHeight="1" x14ac:dyDescent="0.2">
      <c r="B13" s="7">
        <f t="shared" si="3"/>
        <v>106</v>
      </c>
      <c r="C13" s="7" t="s">
        <v>115</v>
      </c>
      <c r="D13" s="7">
        <v>9</v>
      </c>
      <c r="E13" s="7">
        <v>2</v>
      </c>
      <c r="F13" s="7">
        <v>2</v>
      </c>
      <c r="G13" s="7">
        <v>2</v>
      </c>
      <c r="H13" s="7">
        <v>2</v>
      </c>
      <c r="I13" s="7" t="s">
        <v>116</v>
      </c>
      <c r="J13" s="9"/>
      <c r="K13" s="7" t="s">
        <v>2</v>
      </c>
      <c r="L13" s="6">
        <v>50</v>
      </c>
      <c r="M13" s="5"/>
      <c r="N13" s="6">
        <v>42</v>
      </c>
      <c r="O13" s="5"/>
      <c r="P13" s="6">
        <v>59</v>
      </c>
      <c r="Q13" s="6">
        <v>44</v>
      </c>
      <c r="R13" s="6">
        <v>40</v>
      </c>
      <c r="S13" s="6">
        <v>52</v>
      </c>
      <c r="T13" s="5">
        <v>52</v>
      </c>
      <c r="U13" s="6">
        <v>45</v>
      </c>
      <c r="V13" s="5"/>
      <c r="W13" s="6">
        <v>45</v>
      </c>
      <c r="X13" s="5"/>
      <c r="Y13" s="6">
        <v>42</v>
      </c>
      <c r="Z13" s="5"/>
      <c r="AA13" s="4">
        <f t="shared" si="0"/>
        <v>48.666666666666664</v>
      </c>
      <c r="AB13" s="4">
        <f t="shared" si="1"/>
        <v>45.444444444444436</v>
      </c>
      <c r="AC13" s="4">
        <f t="shared" si="2"/>
        <v>1.3571939097424419</v>
      </c>
      <c r="AD13" s="3"/>
      <c r="AE13" s="3"/>
      <c r="AF13" s="3"/>
      <c r="AG13" s="3"/>
      <c r="AH13" s="3"/>
      <c r="AT13" s="12">
        <v>8</v>
      </c>
      <c r="AU13" s="12" t="s">
        <v>18</v>
      </c>
      <c r="AV13" s="12" t="s">
        <v>17</v>
      </c>
    </row>
    <row r="14" spans="1:87" ht="24" customHeight="1" thickBot="1" x14ac:dyDescent="0.25">
      <c r="B14" s="15">
        <f t="shared" si="3"/>
        <v>106</v>
      </c>
      <c r="C14" s="15" t="s">
        <v>115</v>
      </c>
      <c r="D14" s="15">
        <v>9</v>
      </c>
      <c r="E14" s="15">
        <v>2</v>
      </c>
      <c r="F14" s="15">
        <v>2</v>
      </c>
      <c r="G14" s="15">
        <v>2</v>
      </c>
      <c r="H14" s="15">
        <v>2</v>
      </c>
      <c r="I14" s="15" t="s">
        <v>116</v>
      </c>
      <c r="J14" s="16"/>
      <c r="K14" s="15" t="s">
        <v>0</v>
      </c>
      <c r="L14" s="14">
        <v>37</v>
      </c>
      <c r="M14" s="13"/>
      <c r="N14" s="14">
        <v>42</v>
      </c>
      <c r="O14" s="13"/>
      <c r="P14" s="14">
        <v>38</v>
      </c>
      <c r="Q14" s="14">
        <v>33</v>
      </c>
      <c r="R14" s="14">
        <v>25</v>
      </c>
      <c r="S14" s="14">
        <v>37</v>
      </c>
      <c r="T14" s="13">
        <v>34</v>
      </c>
      <c r="U14" s="14">
        <v>40</v>
      </c>
      <c r="V14" s="13"/>
      <c r="W14" s="14">
        <v>40</v>
      </c>
      <c r="X14" s="13"/>
      <c r="Y14" s="14">
        <v>37.5</v>
      </c>
      <c r="Z14" s="13"/>
      <c r="AA14" s="4">
        <f t="shared" si="0"/>
        <v>34.5</v>
      </c>
      <c r="AB14" s="4">
        <f t="shared" si="1"/>
        <v>38.5</v>
      </c>
      <c r="AC14" s="4">
        <f t="shared" si="2"/>
        <v>1.0954451150103324</v>
      </c>
      <c r="AD14" s="3"/>
      <c r="AE14" s="3"/>
      <c r="AF14" s="3"/>
      <c r="AG14" s="3"/>
      <c r="AH14" s="3"/>
      <c r="AT14" s="12">
        <v>9</v>
      </c>
      <c r="AU14" s="12" t="s">
        <v>16</v>
      </c>
      <c r="AV14" s="11" t="s">
        <v>15</v>
      </c>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24" customHeight="1" x14ac:dyDescent="0.2">
      <c r="B15" s="7">
        <f t="shared" si="3"/>
        <v>105</v>
      </c>
      <c r="C15" s="7" t="s">
        <v>117</v>
      </c>
      <c r="D15" s="7">
        <v>12</v>
      </c>
      <c r="E15" s="7">
        <v>2</v>
      </c>
      <c r="F15" s="7">
        <v>3</v>
      </c>
      <c r="G15" s="7">
        <v>1</v>
      </c>
      <c r="H15" s="7">
        <v>2</v>
      </c>
      <c r="I15" s="7" t="s">
        <v>118</v>
      </c>
      <c r="J15" s="9"/>
      <c r="K15" s="7" t="s">
        <v>2</v>
      </c>
      <c r="L15" s="6">
        <v>68</v>
      </c>
      <c r="M15" s="5"/>
      <c r="N15" s="6">
        <v>67</v>
      </c>
      <c r="O15" s="5"/>
      <c r="P15" s="6">
        <v>70</v>
      </c>
      <c r="Q15" s="6">
        <v>72</v>
      </c>
      <c r="R15" s="6">
        <v>73</v>
      </c>
      <c r="S15" s="6"/>
      <c r="T15" s="5"/>
      <c r="U15" s="6">
        <v>60</v>
      </c>
      <c r="V15" s="5"/>
      <c r="W15" s="6">
        <v>60</v>
      </c>
      <c r="X15" s="5"/>
      <c r="Y15" s="6">
        <v>68</v>
      </c>
      <c r="Z15" s="5"/>
      <c r="AA15" s="4">
        <f t="shared" si="0"/>
        <v>68.75</v>
      </c>
      <c r="AB15" s="4">
        <f t="shared" si="1"/>
        <v>65.291666666666671</v>
      </c>
      <c r="AC15" s="4">
        <f t="shared" si="2"/>
        <v>1.6887084150649312</v>
      </c>
      <c r="AD15" s="3"/>
      <c r="AE15" s="3"/>
      <c r="AF15" s="3"/>
      <c r="AG15" s="3"/>
      <c r="AH15" s="3"/>
    </row>
    <row r="16" spans="1:87" ht="24" customHeight="1" thickBot="1" x14ac:dyDescent="0.25">
      <c r="B16" s="15">
        <f t="shared" si="3"/>
        <v>105</v>
      </c>
      <c r="C16" s="15" t="s">
        <v>117</v>
      </c>
      <c r="D16" s="15">
        <v>12</v>
      </c>
      <c r="E16" s="15">
        <v>2</v>
      </c>
      <c r="F16" s="15">
        <v>3</v>
      </c>
      <c r="G16" s="15">
        <v>1</v>
      </c>
      <c r="H16" s="15">
        <v>2</v>
      </c>
      <c r="I16" s="15" t="s">
        <v>118</v>
      </c>
      <c r="J16" s="16"/>
      <c r="K16" s="15" t="s">
        <v>0</v>
      </c>
      <c r="L16" s="14">
        <v>34</v>
      </c>
      <c r="M16" s="13"/>
      <c r="N16" s="14">
        <v>38</v>
      </c>
      <c r="O16" s="13"/>
      <c r="P16" s="14">
        <v>38</v>
      </c>
      <c r="Q16" s="14">
        <v>33</v>
      </c>
      <c r="R16" s="14">
        <v>32</v>
      </c>
      <c r="S16" s="14"/>
      <c r="T16" s="13"/>
      <c r="U16" s="14">
        <v>35.5</v>
      </c>
      <c r="V16" s="13"/>
      <c r="W16" s="14">
        <v>35.5</v>
      </c>
      <c r="X16" s="13"/>
      <c r="Y16" s="14">
        <v>32</v>
      </c>
      <c r="Z16" s="13"/>
      <c r="AA16" s="4">
        <f t="shared" si="0"/>
        <v>34.625</v>
      </c>
      <c r="AB16" s="4">
        <f t="shared" si="1"/>
        <v>34.9375</v>
      </c>
      <c r="AC16" s="4">
        <f t="shared" si="2"/>
        <v>0.80864469948179352</v>
      </c>
      <c r="AD16" s="3"/>
      <c r="AE16" s="3"/>
      <c r="AF16" s="3"/>
      <c r="AG16" s="3"/>
      <c r="AH16" s="3"/>
      <c r="AT16" s="12" t="s">
        <v>14</v>
      </c>
      <c r="AU16" s="12"/>
      <c r="AV16" s="11"/>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2:87" ht="24" customHeight="1" x14ac:dyDescent="0.2">
      <c r="B17" s="7">
        <f t="shared" si="3"/>
        <v>104</v>
      </c>
      <c r="C17" s="7" t="s">
        <v>113</v>
      </c>
      <c r="D17" s="7">
        <v>10</v>
      </c>
      <c r="E17" s="7">
        <v>2</v>
      </c>
      <c r="F17" s="7">
        <v>2</v>
      </c>
      <c r="G17" s="7">
        <v>1</v>
      </c>
      <c r="H17" s="7">
        <v>1</v>
      </c>
      <c r="I17" s="7" t="s">
        <v>119</v>
      </c>
      <c r="J17" s="9"/>
      <c r="K17" s="7" t="s">
        <v>2</v>
      </c>
      <c r="L17" s="19">
        <v>45</v>
      </c>
      <c r="M17" s="5"/>
      <c r="N17" s="19">
        <v>60</v>
      </c>
      <c r="O17" s="5"/>
      <c r="P17" s="18">
        <v>56</v>
      </c>
      <c r="Q17" s="18">
        <v>45</v>
      </c>
      <c r="R17" s="18">
        <v>53</v>
      </c>
      <c r="S17" s="18">
        <v>60</v>
      </c>
      <c r="T17" s="5">
        <v>41</v>
      </c>
      <c r="U17" s="18">
        <v>49</v>
      </c>
      <c r="V17" s="5"/>
      <c r="W17" s="18">
        <v>49</v>
      </c>
      <c r="X17" s="5"/>
      <c r="Y17" s="18">
        <v>49</v>
      </c>
      <c r="Z17" s="5"/>
      <c r="AA17" s="4">
        <f t="shared" si="0"/>
        <v>50.666666666666664</v>
      </c>
      <c r="AB17" s="4">
        <f t="shared" si="1"/>
        <v>50.444444444444436</v>
      </c>
      <c r="AC17" s="4">
        <f t="shared" si="2"/>
        <v>2.0596056196859571</v>
      </c>
      <c r="AD17" s="3"/>
      <c r="AE17" s="3"/>
      <c r="AF17" s="3"/>
      <c r="AG17" s="3"/>
      <c r="AH17" s="3"/>
      <c r="AT17" s="12" t="s">
        <v>7</v>
      </c>
      <c r="AU17" s="12" t="s">
        <v>13</v>
      </c>
      <c r="AV17" s="12" t="s">
        <v>12</v>
      </c>
    </row>
    <row r="18" spans="2:87" ht="24" customHeight="1" thickBot="1" x14ac:dyDescent="0.25">
      <c r="B18" s="15">
        <f t="shared" si="3"/>
        <v>104</v>
      </c>
      <c r="C18" s="15" t="s">
        <v>113</v>
      </c>
      <c r="D18" s="15">
        <v>10</v>
      </c>
      <c r="E18" s="15">
        <v>2</v>
      </c>
      <c r="F18" s="15">
        <v>2</v>
      </c>
      <c r="G18" s="15">
        <v>1</v>
      </c>
      <c r="H18" s="15">
        <v>1</v>
      </c>
      <c r="I18" s="15" t="s">
        <v>119</v>
      </c>
      <c r="J18" s="16"/>
      <c r="K18" s="15" t="s">
        <v>0</v>
      </c>
      <c r="L18" s="14">
        <v>36</v>
      </c>
      <c r="M18" s="13"/>
      <c r="N18" s="14">
        <v>40</v>
      </c>
      <c r="O18" s="13"/>
      <c r="P18" s="14">
        <v>37.5</v>
      </c>
      <c r="Q18" s="14">
        <v>29</v>
      </c>
      <c r="R18" s="14">
        <v>30</v>
      </c>
      <c r="S18" s="14">
        <v>45</v>
      </c>
      <c r="T18" s="13">
        <v>37</v>
      </c>
      <c r="U18" s="14">
        <v>35</v>
      </c>
      <c r="V18" s="13"/>
      <c r="W18" s="14">
        <v>35</v>
      </c>
      <c r="X18" s="13"/>
      <c r="Y18" s="14">
        <v>38</v>
      </c>
      <c r="Z18" s="13"/>
      <c r="AA18" s="4">
        <f t="shared" si="0"/>
        <v>35.583333333333336</v>
      </c>
      <c r="AB18" s="4">
        <f t="shared" si="1"/>
        <v>36.597222222222221</v>
      </c>
      <c r="AC18" s="4">
        <f t="shared" si="2"/>
        <v>0.81718143262506926</v>
      </c>
      <c r="AD18" s="3"/>
      <c r="AE18" s="3"/>
      <c r="AF18" s="3"/>
      <c r="AG18" s="3"/>
      <c r="AH18" s="3"/>
      <c r="AT18" s="12">
        <v>0</v>
      </c>
      <c r="AU18" s="12">
        <v>0</v>
      </c>
      <c r="AV18" s="11" t="s">
        <v>11</v>
      </c>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2:87" ht="24" customHeight="1" x14ac:dyDescent="0.2">
      <c r="B19" s="7">
        <f t="shared" si="3"/>
        <v>103</v>
      </c>
      <c r="C19" s="7" t="s">
        <v>120</v>
      </c>
      <c r="D19" s="7">
        <v>5</v>
      </c>
      <c r="E19" s="7">
        <v>1</v>
      </c>
      <c r="F19" s="7">
        <v>3</v>
      </c>
      <c r="G19" s="7">
        <v>2</v>
      </c>
      <c r="H19" s="7">
        <v>1</v>
      </c>
      <c r="I19" s="7" t="s">
        <v>121</v>
      </c>
      <c r="J19" s="9"/>
      <c r="K19" s="7" t="s">
        <v>2</v>
      </c>
      <c r="L19" s="19">
        <v>70</v>
      </c>
      <c r="M19" s="5"/>
      <c r="N19" s="19">
        <v>71</v>
      </c>
      <c r="O19" s="5"/>
      <c r="P19" s="18">
        <v>67</v>
      </c>
      <c r="Q19" s="18">
        <v>70</v>
      </c>
      <c r="R19" s="18">
        <v>61</v>
      </c>
      <c r="S19" s="18">
        <v>66</v>
      </c>
      <c r="T19" s="5">
        <v>65</v>
      </c>
      <c r="U19" s="18">
        <v>63</v>
      </c>
      <c r="V19" s="5"/>
      <c r="W19" s="18">
        <v>63</v>
      </c>
      <c r="X19" s="5"/>
      <c r="Y19" s="18">
        <v>60</v>
      </c>
      <c r="Z19" s="5"/>
      <c r="AA19" s="4">
        <f t="shared" si="0"/>
        <v>65.333333333333329</v>
      </c>
      <c r="AB19" s="4">
        <f t="shared" si="1"/>
        <v>65.388888888888886</v>
      </c>
      <c r="AC19" s="4">
        <f t="shared" si="2"/>
        <v>1.7626088969073062</v>
      </c>
      <c r="AD19" s="3"/>
      <c r="AE19" s="3"/>
      <c r="AF19" s="3"/>
      <c r="AG19" s="3"/>
      <c r="AH19" s="3"/>
      <c r="AT19" s="12">
        <v>1</v>
      </c>
      <c r="AU19" s="12">
        <v>5</v>
      </c>
      <c r="AV19" s="12" t="s">
        <v>10</v>
      </c>
    </row>
    <row r="20" spans="2:87" ht="24" customHeight="1" thickBot="1" x14ac:dyDescent="0.25">
      <c r="B20" s="15">
        <f t="shared" si="3"/>
        <v>103</v>
      </c>
      <c r="C20" s="15" t="s">
        <v>120</v>
      </c>
      <c r="D20" s="15">
        <v>5</v>
      </c>
      <c r="E20" s="15">
        <v>1</v>
      </c>
      <c r="F20" s="15">
        <v>3</v>
      </c>
      <c r="G20" s="15">
        <v>2</v>
      </c>
      <c r="H20" s="15">
        <v>1</v>
      </c>
      <c r="I20" s="15" t="s">
        <v>121</v>
      </c>
      <c r="J20" s="16"/>
      <c r="K20" s="15" t="s">
        <v>0</v>
      </c>
      <c r="L20" s="14">
        <v>35</v>
      </c>
      <c r="M20" s="13"/>
      <c r="N20" s="14">
        <v>35</v>
      </c>
      <c r="O20" s="13"/>
      <c r="P20" s="14">
        <v>39</v>
      </c>
      <c r="Q20" s="14">
        <v>38</v>
      </c>
      <c r="R20" s="14">
        <v>37</v>
      </c>
      <c r="S20" s="14">
        <v>36</v>
      </c>
      <c r="T20" s="13">
        <v>42</v>
      </c>
      <c r="U20" s="14">
        <v>34</v>
      </c>
      <c r="V20" s="13"/>
      <c r="W20" s="14">
        <v>34</v>
      </c>
      <c r="X20" s="13"/>
      <c r="Y20" s="14">
        <v>38</v>
      </c>
      <c r="Z20" s="13"/>
      <c r="AA20" s="4">
        <f t="shared" si="0"/>
        <v>37.666666666666664</v>
      </c>
      <c r="AB20" s="4">
        <f t="shared" si="1"/>
        <v>35.611111111111107</v>
      </c>
      <c r="AC20" s="4">
        <f t="shared" si="2"/>
        <v>0.72733234884680609</v>
      </c>
      <c r="AD20" s="3"/>
      <c r="AE20" s="3"/>
      <c r="AF20" s="3"/>
      <c r="AG20" s="3"/>
      <c r="AH20" s="3"/>
      <c r="AT20" s="12">
        <v>2</v>
      </c>
      <c r="AU20" s="12">
        <v>10</v>
      </c>
      <c r="AV20" s="11" t="s">
        <v>10</v>
      </c>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2:87" ht="24" customHeight="1" x14ac:dyDescent="0.2">
      <c r="B21" s="7">
        <f t="shared" si="3"/>
        <v>102</v>
      </c>
      <c r="C21" s="7" t="s">
        <v>122</v>
      </c>
      <c r="D21" s="7">
        <v>4</v>
      </c>
      <c r="E21" s="7">
        <v>1</v>
      </c>
      <c r="F21" s="7">
        <v>2</v>
      </c>
      <c r="G21" s="7">
        <v>1</v>
      </c>
      <c r="H21" s="7">
        <v>1</v>
      </c>
      <c r="I21" s="7" t="s">
        <v>123</v>
      </c>
      <c r="J21" s="9"/>
      <c r="K21" s="7" t="s">
        <v>2</v>
      </c>
      <c r="L21" s="6">
        <v>46</v>
      </c>
      <c r="M21" s="5"/>
      <c r="N21" s="6">
        <v>45</v>
      </c>
      <c r="O21" s="5"/>
      <c r="P21" s="6">
        <v>37</v>
      </c>
      <c r="Q21" s="6">
        <v>40</v>
      </c>
      <c r="R21" s="6">
        <v>25</v>
      </c>
      <c r="S21" s="6">
        <v>0</v>
      </c>
      <c r="T21" s="5">
        <v>32</v>
      </c>
      <c r="U21" s="6">
        <v>38</v>
      </c>
      <c r="V21" s="5"/>
      <c r="W21" s="6">
        <v>38</v>
      </c>
      <c r="X21" s="5"/>
      <c r="Y21" s="6">
        <v>51</v>
      </c>
      <c r="Z21" s="5"/>
      <c r="AA21" s="4">
        <f t="shared" si="0"/>
        <v>28.666666666666668</v>
      </c>
      <c r="AB21" s="4">
        <f t="shared" si="1"/>
        <v>41.111111111111114</v>
      </c>
      <c r="AC21" s="4">
        <f t="shared" si="2"/>
        <v>3.2199225510201055</v>
      </c>
      <c r="AD21" s="3"/>
      <c r="AE21" s="3"/>
      <c r="AF21" s="3"/>
      <c r="AG21" s="3"/>
      <c r="AH21" s="3"/>
      <c r="AT21" s="12">
        <v>3</v>
      </c>
      <c r="AU21" s="12">
        <v>20</v>
      </c>
      <c r="AV21" s="12" t="s">
        <v>9</v>
      </c>
    </row>
    <row r="22" spans="2:87" ht="24" customHeight="1" thickBot="1" x14ac:dyDescent="0.25">
      <c r="B22" s="15">
        <f t="shared" si="3"/>
        <v>102</v>
      </c>
      <c r="C22" s="15" t="s">
        <v>122</v>
      </c>
      <c r="D22" s="15">
        <v>4</v>
      </c>
      <c r="E22" s="15">
        <v>1</v>
      </c>
      <c r="F22" s="15">
        <v>2</v>
      </c>
      <c r="G22" s="15">
        <v>1</v>
      </c>
      <c r="H22" s="15">
        <v>1</v>
      </c>
      <c r="I22" s="15" t="s">
        <v>123</v>
      </c>
      <c r="J22" s="16"/>
      <c r="K22" s="15" t="s">
        <v>0</v>
      </c>
      <c r="L22" s="14">
        <v>34</v>
      </c>
      <c r="M22" s="13"/>
      <c r="N22" s="14">
        <v>32</v>
      </c>
      <c r="O22" s="13"/>
      <c r="P22" s="14">
        <v>31</v>
      </c>
      <c r="Q22" s="14">
        <v>31</v>
      </c>
      <c r="R22" s="14">
        <v>17</v>
      </c>
      <c r="S22" s="14">
        <v>0</v>
      </c>
      <c r="T22" s="13">
        <v>20</v>
      </c>
      <c r="U22" s="14">
        <v>33</v>
      </c>
      <c r="V22" s="13"/>
      <c r="W22" s="14">
        <v>33</v>
      </c>
      <c r="X22" s="13"/>
      <c r="Y22" s="14">
        <v>32</v>
      </c>
      <c r="Z22" s="13"/>
      <c r="AA22" s="4">
        <f t="shared" si="0"/>
        <v>22</v>
      </c>
      <c r="AB22" s="4">
        <f t="shared" si="1"/>
        <v>31</v>
      </c>
      <c r="AC22" s="4">
        <f t="shared" si="2"/>
        <v>1.825741858350554</v>
      </c>
      <c r="AD22" s="3"/>
      <c r="AE22" s="3"/>
      <c r="AF22" s="3"/>
      <c r="AG22" s="3"/>
      <c r="AH22" s="3"/>
      <c r="AT22" s="12"/>
      <c r="AU22" s="12"/>
      <c r="AV22" s="11"/>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2:87" ht="24" customHeight="1" x14ac:dyDescent="0.2">
      <c r="B23" s="7">
        <f t="shared" si="3"/>
        <v>101</v>
      </c>
      <c r="C23" s="7" t="s">
        <v>124</v>
      </c>
      <c r="D23" s="7">
        <v>1</v>
      </c>
      <c r="E23" s="7">
        <v>1</v>
      </c>
      <c r="F23" s="7">
        <v>1</v>
      </c>
      <c r="G23" s="7">
        <v>2</v>
      </c>
      <c r="H23" s="7">
        <v>1</v>
      </c>
      <c r="I23" s="7" t="s">
        <v>125</v>
      </c>
      <c r="J23" s="9"/>
      <c r="K23" s="7" t="s">
        <v>2</v>
      </c>
      <c r="L23" s="6">
        <v>39</v>
      </c>
      <c r="M23" s="5"/>
      <c r="N23" s="6">
        <v>53</v>
      </c>
      <c r="O23" s="5"/>
      <c r="P23" s="6">
        <v>40</v>
      </c>
      <c r="Q23" s="6">
        <v>38</v>
      </c>
      <c r="R23" s="6">
        <v>41</v>
      </c>
      <c r="S23" s="6">
        <v>43</v>
      </c>
      <c r="T23" s="5">
        <v>52</v>
      </c>
      <c r="U23" s="6">
        <v>35</v>
      </c>
      <c r="V23" s="5"/>
      <c r="W23" s="6">
        <v>35</v>
      </c>
      <c r="X23" s="5"/>
      <c r="Y23" s="6">
        <v>44</v>
      </c>
      <c r="Z23" s="5"/>
      <c r="AA23" s="4">
        <f t="shared" si="0"/>
        <v>41.5</v>
      </c>
      <c r="AB23" s="4">
        <f t="shared" si="1"/>
        <v>41.25</v>
      </c>
      <c r="AC23" s="4">
        <f t="shared" si="2"/>
        <v>2.7620946158063933</v>
      </c>
      <c r="AD23" s="3"/>
      <c r="AE23" s="3"/>
      <c r="AF23" s="3"/>
      <c r="AG23" s="3"/>
      <c r="AH23" s="3"/>
      <c r="AT23" s="2" t="s">
        <v>8</v>
      </c>
      <c r="AU23" s="2"/>
      <c r="AV23" s="2"/>
    </row>
    <row r="24" spans="2:87" ht="24" customHeight="1" thickBot="1" x14ac:dyDescent="0.25">
      <c r="B24" s="15">
        <f t="shared" si="3"/>
        <v>101</v>
      </c>
      <c r="C24" s="15" t="s">
        <v>124</v>
      </c>
      <c r="D24" s="15">
        <v>1</v>
      </c>
      <c r="E24" s="15">
        <v>1</v>
      </c>
      <c r="F24" s="15">
        <v>1</v>
      </c>
      <c r="G24" s="15">
        <v>2</v>
      </c>
      <c r="H24" s="15">
        <v>1</v>
      </c>
      <c r="I24" s="15" t="s">
        <v>125</v>
      </c>
      <c r="J24" s="16"/>
      <c r="K24" s="15" t="s">
        <v>0</v>
      </c>
      <c r="L24" s="14">
        <v>35</v>
      </c>
      <c r="M24" s="13"/>
      <c r="N24" s="14">
        <v>35</v>
      </c>
      <c r="O24" s="13"/>
      <c r="P24" s="14">
        <v>33</v>
      </c>
      <c r="Q24" s="14">
        <v>30</v>
      </c>
      <c r="R24" s="14">
        <v>34</v>
      </c>
      <c r="S24" s="14">
        <v>26</v>
      </c>
      <c r="T24" s="13">
        <v>33</v>
      </c>
      <c r="U24" s="14">
        <v>26</v>
      </c>
      <c r="V24" s="13"/>
      <c r="W24" s="14">
        <v>26</v>
      </c>
      <c r="X24" s="13"/>
      <c r="Y24" s="14">
        <v>32</v>
      </c>
      <c r="Z24" s="13"/>
      <c r="AA24" s="4">
        <f t="shared" si="0"/>
        <v>30.333333333333332</v>
      </c>
      <c r="AB24" s="4">
        <f t="shared" si="1"/>
        <v>30.722222222222218</v>
      </c>
      <c r="AC24" s="4">
        <f t="shared" si="2"/>
        <v>1.6631444262949893</v>
      </c>
      <c r="AD24" s="3"/>
      <c r="AE24" s="3"/>
      <c r="AF24" s="3"/>
      <c r="AG24" s="3"/>
      <c r="AH24" s="3"/>
      <c r="AT24" s="12" t="s">
        <v>7</v>
      </c>
      <c r="AU24" s="12" t="s">
        <v>6</v>
      </c>
      <c r="AV24" s="11" t="s">
        <v>5</v>
      </c>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2:87" ht="24" customHeight="1" x14ac:dyDescent="0.2">
      <c r="B25" s="7">
        <f>B23+100</f>
        <v>201</v>
      </c>
      <c r="C25" s="7" t="s">
        <v>117</v>
      </c>
      <c r="D25" s="7">
        <v>12</v>
      </c>
      <c r="E25" s="7">
        <v>2</v>
      </c>
      <c r="F25" s="7">
        <v>3</v>
      </c>
      <c r="G25" s="7">
        <v>1</v>
      </c>
      <c r="H25" s="7">
        <v>1</v>
      </c>
      <c r="I25" s="7" t="s">
        <v>126</v>
      </c>
      <c r="J25" s="8">
        <v>0.46666666666666662</v>
      </c>
      <c r="K25" s="7" t="s">
        <v>2</v>
      </c>
      <c r="L25" s="6">
        <v>69</v>
      </c>
      <c r="M25" s="6"/>
      <c r="N25" s="6">
        <v>74</v>
      </c>
      <c r="O25" s="6" t="s">
        <v>1</v>
      </c>
      <c r="P25" s="6">
        <v>71</v>
      </c>
      <c r="Q25" s="6">
        <v>70</v>
      </c>
      <c r="R25" s="6">
        <v>69</v>
      </c>
      <c r="S25" s="6"/>
      <c r="T25" s="6"/>
      <c r="U25" s="6">
        <v>65</v>
      </c>
      <c r="V25" s="6"/>
      <c r="W25" s="6">
        <v>65</v>
      </c>
      <c r="X25" s="6"/>
      <c r="Y25" s="6">
        <v>61</v>
      </c>
      <c r="Z25" s="6"/>
      <c r="AA25" s="4">
        <f t="shared" si="0"/>
        <v>68.75</v>
      </c>
      <c r="AB25" s="4">
        <f t="shared" si="1"/>
        <v>67.125</v>
      </c>
      <c r="AC25" s="4">
        <f t="shared" si="2"/>
        <v>1.8254565638948157</v>
      </c>
      <c r="AD25" s="3"/>
      <c r="AE25" s="3"/>
      <c r="AF25" s="3"/>
      <c r="AG25" s="3"/>
      <c r="AH25" s="3"/>
      <c r="AT25" s="12">
        <v>1</v>
      </c>
      <c r="AU25" s="12" t="s">
        <v>4</v>
      </c>
      <c r="AV25" s="12">
        <v>0</v>
      </c>
    </row>
    <row r="26" spans="2:87" ht="24" customHeight="1" thickBot="1" x14ac:dyDescent="0.25">
      <c r="B26" s="15">
        <f>B24+100</f>
        <v>201</v>
      </c>
      <c r="C26" s="15" t="s">
        <v>117</v>
      </c>
      <c r="D26" s="15">
        <v>12</v>
      </c>
      <c r="E26" s="15">
        <v>2</v>
      </c>
      <c r="F26" s="15">
        <v>3</v>
      </c>
      <c r="G26" s="15">
        <v>1</v>
      </c>
      <c r="H26" s="15">
        <v>1</v>
      </c>
      <c r="I26" s="15" t="s">
        <v>126</v>
      </c>
      <c r="J26" s="16"/>
      <c r="K26" s="15" t="s">
        <v>0</v>
      </c>
      <c r="L26" s="14">
        <v>38</v>
      </c>
      <c r="M26" s="13"/>
      <c r="N26" s="14">
        <v>38</v>
      </c>
      <c r="O26" s="17">
        <v>0.51527777777777783</v>
      </c>
      <c r="P26" s="14">
        <v>31</v>
      </c>
      <c r="Q26" s="14">
        <v>38</v>
      </c>
      <c r="R26" s="14">
        <v>33</v>
      </c>
      <c r="S26" s="14"/>
      <c r="T26" s="13"/>
      <c r="U26" s="14">
        <v>42</v>
      </c>
      <c r="V26" s="13"/>
      <c r="W26" s="14">
        <v>42</v>
      </c>
      <c r="X26" s="13"/>
      <c r="Y26" s="14">
        <v>37</v>
      </c>
      <c r="Z26" s="13"/>
      <c r="AA26" s="4">
        <f>AVERAGE(P26:T26)</f>
        <v>34</v>
      </c>
      <c r="AB26" s="4">
        <f>AVERAGE(AVERAGE(L26:M26),AVERAGE(N26:O26),AVERAGE(P26:T26),AVERAGE(U26:V26),AVERAGE(W26:X26),AVERAGE(Y26:Z26))</f>
        <v>35.376273148148151</v>
      </c>
      <c r="AC26" s="4">
        <f>STDEV(AVERAGE(L26:M26),AVERAGE(N26:O26),AVERAGE(P26:T26),AVERAGE(U26:V26),AVERAGE(W26:X26),AVERAGE(Y26:Z26))/SQRT(6)</f>
        <v>3.4591542533810156</v>
      </c>
      <c r="AD26" s="3"/>
      <c r="AE26" s="3"/>
      <c r="AF26" s="3"/>
      <c r="AG26" s="3"/>
      <c r="AH26" s="3"/>
      <c r="AT26" s="12">
        <v>2</v>
      </c>
      <c r="AU26" s="12" t="s">
        <v>3</v>
      </c>
      <c r="AV26" s="11">
        <v>150</v>
      </c>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2:87" ht="24" customHeight="1" x14ac:dyDescent="0.2">
      <c r="B27" s="7">
        <f t="shared" ref="B27:B40" si="4">B25+1</f>
        <v>202</v>
      </c>
      <c r="C27" s="7" t="s">
        <v>115</v>
      </c>
      <c r="D27" s="7">
        <v>9</v>
      </c>
      <c r="E27" s="7">
        <v>2</v>
      </c>
      <c r="F27" s="7">
        <v>2</v>
      </c>
      <c r="G27" s="7">
        <v>2</v>
      </c>
      <c r="H27" s="7">
        <v>1</v>
      </c>
      <c r="I27" s="7" t="s">
        <v>127</v>
      </c>
      <c r="J27" s="9"/>
      <c r="K27" s="7" t="s">
        <v>2</v>
      </c>
      <c r="L27" s="6">
        <v>44</v>
      </c>
      <c r="M27" s="6"/>
      <c r="N27" s="6">
        <v>50</v>
      </c>
      <c r="O27" s="6"/>
      <c r="P27" s="6">
        <v>47</v>
      </c>
      <c r="Q27" s="6">
        <v>51</v>
      </c>
      <c r="R27" s="6">
        <v>51</v>
      </c>
      <c r="S27" s="6">
        <v>45</v>
      </c>
      <c r="T27" s="6">
        <v>58</v>
      </c>
      <c r="U27" s="6">
        <v>53</v>
      </c>
      <c r="V27" s="6"/>
      <c r="W27" s="6">
        <v>53</v>
      </c>
      <c r="X27" s="6"/>
      <c r="Y27" s="6">
        <v>49</v>
      </c>
      <c r="Z27" s="6"/>
      <c r="AA27" s="4">
        <f t="shared" ref="AA27:AA58" si="5">AVERAGE(P27:U27)</f>
        <v>50.833333333333336</v>
      </c>
      <c r="AB27" s="4">
        <f t="shared" ref="AB27:AB58" si="6">AVERAGE(AVERAGE(L27:M27),AVERAGE(N27:O27),AVERAGE(P27:U27),AVERAGE(U27:V27),AVERAGE(W27:X27),AVERAGE(Y27:Z27))</f>
        <v>49.972222222222229</v>
      </c>
      <c r="AC27" s="4">
        <f t="shared" ref="AC27:AC58" si="7">STDEV(AVERAGE(L27:M27),AVERAGE(N27:O27),AVERAGE(P27:U27),AVERAGE(U27:V27),AVERAGE(W27:X27),AVERAGE(Y27:Z27))/SQRT(6)</f>
        <v>1.3624709760188756</v>
      </c>
      <c r="AD27" s="3"/>
      <c r="AE27" s="3"/>
      <c r="AF27" s="3"/>
      <c r="AG27" s="3"/>
      <c r="AH27" s="3"/>
    </row>
    <row r="28" spans="2:87" ht="24" customHeight="1" thickBot="1" x14ac:dyDescent="0.25">
      <c r="B28" s="15">
        <f t="shared" si="4"/>
        <v>202</v>
      </c>
      <c r="C28" s="15" t="s">
        <v>115</v>
      </c>
      <c r="D28" s="15">
        <v>9</v>
      </c>
      <c r="E28" s="15">
        <v>2</v>
      </c>
      <c r="F28" s="15">
        <v>2</v>
      </c>
      <c r="G28" s="15">
        <v>2</v>
      </c>
      <c r="H28" s="15">
        <v>1</v>
      </c>
      <c r="I28" s="15" t="s">
        <v>127</v>
      </c>
      <c r="J28" s="16"/>
      <c r="K28" s="15" t="s">
        <v>0</v>
      </c>
      <c r="L28" s="14">
        <v>40</v>
      </c>
      <c r="M28" s="13"/>
      <c r="N28" s="14">
        <v>35</v>
      </c>
      <c r="O28" s="13"/>
      <c r="P28" s="14">
        <v>28</v>
      </c>
      <c r="Q28" s="14">
        <v>30</v>
      </c>
      <c r="R28" s="14">
        <v>27</v>
      </c>
      <c r="S28" s="14">
        <v>38</v>
      </c>
      <c r="T28" s="13">
        <v>33</v>
      </c>
      <c r="U28" s="14">
        <v>41</v>
      </c>
      <c r="V28" s="13"/>
      <c r="W28" s="14">
        <v>41</v>
      </c>
      <c r="X28" s="13"/>
      <c r="Y28" s="14">
        <v>41</v>
      </c>
      <c r="Z28" s="13"/>
      <c r="AA28" s="4">
        <f t="shared" si="5"/>
        <v>32.833333333333336</v>
      </c>
      <c r="AB28" s="4">
        <f t="shared" si="6"/>
        <v>38.472222222222221</v>
      </c>
      <c r="AC28" s="4">
        <f t="shared" si="7"/>
        <v>1.4759909832773535</v>
      </c>
      <c r="AD28" s="3"/>
      <c r="AE28" s="3"/>
      <c r="AF28" s="3"/>
      <c r="AG28" s="3"/>
      <c r="AH28" s="3"/>
      <c r="AT28" s="12"/>
      <c r="AU28" s="12"/>
      <c r="AV28" s="11"/>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2:87" ht="24" customHeight="1" x14ac:dyDescent="0.2">
      <c r="B29" s="7">
        <f t="shared" si="4"/>
        <v>203</v>
      </c>
      <c r="C29" s="7" t="s">
        <v>111</v>
      </c>
      <c r="D29" s="7">
        <v>3</v>
      </c>
      <c r="E29" s="7">
        <v>1</v>
      </c>
      <c r="F29" s="7">
        <v>2</v>
      </c>
      <c r="G29" s="7">
        <v>2</v>
      </c>
      <c r="H29" s="7">
        <v>1</v>
      </c>
      <c r="I29" s="7" t="s">
        <v>128</v>
      </c>
      <c r="J29" s="9"/>
      <c r="K29" s="7" t="s">
        <v>2</v>
      </c>
      <c r="L29" s="6">
        <v>41</v>
      </c>
      <c r="M29" s="6"/>
      <c r="N29" s="6">
        <v>59</v>
      </c>
      <c r="O29" s="6"/>
      <c r="P29" s="6">
        <v>55</v>
      </c>
      <c r="Q29" s="6">
        <v>53</v>
      </c>
      <c r="R29" s="6">
        <v>53</v>
      </c>
      <c r="S29" s="6">
        <v>48</v>
      </c>
      <c r="T29" s="6">
        <v>43</v>
      </c>
      <c r="U29" s="6">
        <v>56</v>
      </c>
      <c r="V29" s="6"/>
      <c r="W29" s="6">
        <v>56</v>
      </c>
      <c r="X29" s="6"/>
      <c r="Y29" s="6">
        <v>50</v>
      </c>
      <c r="Z29" s="6"/>
      <c r="AA29" s="4">
        <f t="shared" si="5"/>
        <v>51.333333333333336</v>
      </c>
      <c r="AB29" s="4">
        <f t="shared" si="6"/>
        <v>52.222222222222229</v>
      </c>
      <c r="AC29" s="4">
        <f t="shared" si="7"/>
        <v>2.6213746276088568</v>
      </c>
      <c r="AD29" s="3"/>
      <c r="AE29" s="3"/>
      <c r="AF29" s="3"/>
      <c r="AG29" s="3"/>
      <c r="AH29" s="3"/>
    </row>
    <row r="30" spans="2:87" ht="24" customHeight="1" thickBot="1" x14ac:dyDescent="0.25">
      <c r="B30" s="15">
        <f t="shared" si="4"/>
        <v>203</v>
      </c>
      <c r="C30" s="15" t="s">
        <v>111</v>
      </c>
      <c r="D30" s="15">
        <v>3</v>
      </c>
      <c r="E30" s="15">
        <v>1</v>
      </c>
      <c r="F30" s="15">
        <v>2</v>
      </c>
      <c r="G30" s="15">
        <v>2</v>
      </c>
      <c r="H30" s="15">
        <v>1</v>
      </c>
      <c r="I30" s="15" t="s">
        <v>128</v>
      </c>
      <c r="J30" s="16"/>
      <c r="K30" s="15" t="s">
        <v>0</v>
      </c>
      <c r="L30" s="14">
        <v>27.5</v>
      </c>
      <c r="M30" s="13"/>
      <c r="N30" s="14">
        <v>35</v>
      </c>
      <c r="O30" s="13"/>
      <c r="P30" s="14">
        <v>38</v>
      </c>
      <c r="Q30" s="14">
        <v>42</v>
      </c>
      <c r="R30" s="14">
        <v>40</v>
      </c>
      <c r="S30" s="14">
        <v>36</v>
      </c>
      <c r="T30" s="13">
        <v>37</v>
      </c>
      <c r="U30" s="14">
        <v>46</v>
      </c>
      <c r="V30" s="13"/>
      <c r="W30" s="14">
        <v>46</v>
      </c>
      <c r="X30" s="13"/>
      <c r="Y30" s="14">
        <v>32</v>
      </c>
      <c r="Z30" s="13"/>
      <c r="AA30" s="4">
        <f t="shared" si="5"/>
        <v>39.833333333333336</v>
      </c>
      <c r="AB30" s="4">
        <f t="shared" si="6"/>
        <v>37.722222222222221</v>
      </c>
      <c r="AC30" s="4">
        <f t="shared" si="7"/>
        <v>3.0884092353407864</v>
      </c>
      <c r="AD30" s="3"/>
      <c r="AE30" s="3"/>
      <c r="AF30" s="3"/>
      <c r="AG30" s="3"/>
      <c r="AH30" s="3"/>
      <c r="AT30" s="12"/>
      <c r="AU30" s="12"/>
      <c r="AV30" s="11"/>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2:87" ht="24" customHeight="1" x14ac:dyDescent="0.2">
      <c r="B31" s="7">
        <f t="shared" si="4"/>
        <v>204</v>
      </c>
      <c r="C31" s="7" t="s">
        <v>129</v>
      </c>
      <c r="D31" s="7">
        <v>11</v>
      </c>
      <c r="E31" s="7">
        <v>2</v>
      </c>
      <c r="F31" s="7">
        <v>3</v>
      </c>
      <c r="G31" s="7">
        <v>2</v>
      </c>
      <c r="H31" s="7">
        <v>1</v>
      </c>
      <c r="I31" s="7" t="s">
        <v>130</v>
      </c>
      <c r="J31" s="9"/>
      <c r="K31" s="7" t="s">
        <v>2</v>
      </c>
      <c r="L31" s="6">
        <v>72</v>
      </c>
      <c r="M31" s="6"/>
      <c r="N31" s="6">
        <v>73</v>
      </c>
      <c r="O31" s="6" t="s">
        <v>1</v>
      </c>
      <c r="P31" s="6">
        <v>78</v>
      </c>
      <c r="Q31" s="6">
        <v>71</v>
      </c>
      <c r="R31" s="6">
        <v>61</v>
      </c>
      <c r="S31" s="6"/>
      <c r="T31" s="6"/>
      <c r="U31" s="6">
        <v>46</v>
      </c>
      <c r="V31" s="6"/>
      <c r="W31" s="6">
        <v>69</v>
      </c>
      <c r="X31" s="6"/>
      <c r="Y31" s="6">
        <v>77</v>
      </c>
      <c r="Z31" s="6"/>
      <c r="AA31" s="4">
        <f t="shared" si="5"/>
        <v>64</v>
      </c>
      <c r="AB31" s="4">
        <f t="shared" si="6"/>
        <v>66.833333333333329</v>
      </c>
      <c r="AC31" s="4">
        <f t="shared" si="7"/>
        <v>4.5270790190192622</v>
      </c>
      <c r="AD31" s="3"/>
      <c r="AE31" s="3"/>
      <c r="AF31" s="3"/>
      <c r="AG31" s="3"/>
      <c r="AH31" s="3"/>
    </row>
    <row r="32" spans="2:87" ht="24" customHeight="1" thickBot="1" x14ac:dyDescent="0.25">
      <c r="B32" s="15">
        <f t="shared" si="4"/>
        <v>204</v>
      </c>
      <c r="C32" s="15" t="s">
        <v>129</v>
      </c>
      <c r="D32" s="15">
        <v>11</v>
      </c>
      <c r="E32" s="15">
        <v>2</v>
      </c>
      <c r="F32" s="15">
        <v>3</v>
      </c>
      <c r="G32" s="15">
        <v>2</v>
      </c>
      <c r="H32" s="15">
        <v>1</v>
      </c>
      <c r="I32" s="15" t="s">
        <v>130</v>
      </c>
      <c r="J32" s="16"/>
      <c r="K32" s="15" t="s">
        <v>0</v>
      </c>
      <c r="L32" s="14">
        <v>41</v>
      </c>
      <c r="M32" s="13"/>
      <c r="N32" s="14">
        <v>38</v>
      </c>
      <c r="O32" s="13"/>
      <c r="P32" s="14">
        <v>30</v>
      </c>
      <c r="Q32" s="14">
        <v>34</v>
      </c>
      <c r="R32" s="14">
        <v>30</v>
      </c>
      <c r="S32" s="14"/>
      <c r="T32" s="13"/>
      <c r="U32" s="14">
        <v>69</v>
      </c>
      <c r="V32" s="13"/>
      <c r="W32" s="14">
        <v>43</v>
      </c>
      <c r="X32" s="13"/>
      <c r="Y32" s="14">
        <v>43</v>
      </c>
      <c r="Z32" s="13"/>
      <c r="AA32" s="4">
        <f t="shared" si="5"/>
        <v>40.75</v>
      </c>
      <c r="AB32" s="4">
        <f t="shared" si="6"/>
        <v>45.791666666666664</v>
      </c>
      <c r="AC32" s="4">
        <f t="shared" si="7"/>
        <v>4.7021345625624615</v>
      </c>
      <c r="AD32" s="3"/>
      <c r="AE32" s="3"/>
      <c r="AF32" s="3"/>
      <c r="AG32" s="3"/>
      <c r="AH32" s="3"/>
      <c r="AT32" s="12"/>
      <c r="AU32" s="12"/>
      <c r="AV32" s="11"/>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2:87" ht="24" customHeight="1" x14ac:dyDescent="0.2">
      <c r="B33" s="7">
        <f t="shared" si="4"/>
        <v>205</v>
      </c>
      <c r="C33" s="7" t="s">
        <v>124</v>
      </c>
      <c r="D33" s="7">
        <v>1</v>
      </c>
      <c r="E33" s="7">
        <v>1</v>
      </c>
      <c r="F33" s="7">
        <v>1</v>
      </c>
      <c r="G33" s="7">
        <v>2</v>
      </c>
      <c r="H33" s="7">
        <v>2</v>
      </c>
      <c r="I33" s="7" t="s">
        <v>131</v>
      </c>
      <c r="J33" s="9"/>
      <c r="K33" s="7" t="s">
        <v>2</v>
      </c>
      <c r="L33" s="6">
        <v>38</v>
      </c>
      <c r="M33" s="6"/>
      <c r="N33" s="6">
        <v>41</v>
      </c>
      <c r="O33" s="6"/>
      <c r="P33" s="6">
        <v>35</v>
      </c>
      <c r="Q33" s="6">
        <v>51</v>
      </c>
      <c r="R33" s="6">
        <v>52</v>
      </c>
      <c r="S33" s="6">
        <v>36</v>
      </c>
      <c r="T33" s="6">
        <v>49</v>
      </c>
      <c r="U33" s="6">
        <v>38</v>
      </c>
      <c r="V33" s="6"/>
      <c r="W33" s="6">
        <v>59</v>
      </c>
      <c r="X33" s="6"/>
      <c r="Y33" s="6">
        <v>48</v>
      </c>
      <c r="Z33" s="6"/>
      <c r="AA33" s="4">
        <f t="shared" si="5"/>
        <v>43.5</v>
      </c>
      <c r="AB33" s="4">
        <f t="shared" si="6"/>
        <v>44.583333333333336</v>
      </c>
      <c r="AC33" s="4">
        <f t="shared" si="7"/>
        <v>3.2670492973187799</v>
      </c>
      <c r="AD33" s="3"/>
      <c r="AE33" s="3"/>
      <c r="AF33" s="3"/>
      <c r="AG33" s="3"/>
      <c r="AH33" s="3"/>
    </row>
    <row r="34" spans="2:87" ht="24" customHeight="1" thickBot="1" x14ac:dyDescent="0.25">
      <c r="B34" s="15">
        <f t="shared" si="4"/>
        <v>205</v>
      </c>
      <c r="C34" s="15" t="s">
        <v>124</v>
      </c>
      <c r="D34" s="15">
        <v>1</v>
      </c>
      <c r="E34" s="15">
        <v>1</v>
      </c>
      <c r="F34" s="15">
        <v>1</v>
      </c>
      <c r="G34" s="15">
        <v>2</v>
      </c>
      <c r="H34" s="15">
        <v>2</v>
      </c>
      <c r="I34" s="15" t="s">
        <v>131</v>
      </c>
      <c r="J34" s="16"/>
      <c r="K34" s="15" t="s">
        <v>0</v>
      </c>
      <c r="L34" s="14">
        <v>27</v>
      </c>
      <c r="M34" s="13"/>
      <c r="N34" s="14">
        <v>38</v>
      </c>
      <c r="O34" s="13"/>
      <c r="P34" s="14">
        <v>29</v>
      </c>
      <c r="Q34" s="14">
        <v>28</v>
      </c>
      <c r="R34" s="14">
        <v>32</v>
      </c>
      <c r="S34" s="14">
        <v>31</v>
      </c>
      <c r="T34" s="13">
        <v>36</v>
      </c>
      <c r="U34" s="14">
        <v>26</v>
      </c>
      <c r="V34" s="13"/>
      <c r="W34" s="14">
        <v>43</v>
      </c>
      <c r="X34" s="13"/>
      <c r="Y34" s="14">
        <v>33</v>
      </c>
      <c r="Z34" s="13"/>
      <c r="AA34" s="4">
        <f t="shared" si="5"/>
        <v>30.333333333333332</v>
      </c>
      <c r="AB34" s="4">
        <f t="shared" si="6"/>
        <v>32.888888888888886</v>
      </c>
      <c r="AC34" s="4">
        <f t="shared" si="7"/>
        <v>2.6897152082022755</v>
      </c>
      <c r="AD34" s="3"/>
      <c r="AE34" s="3"/>
      <c r="AF34" s="3"/>
      <c r="AG34" s="3"/>
      <c r="AH34" s="3"/>
      <c r="AT34" s="12"/>
      <c r="AU34" s="12"/>
      <c r="AV34" s="11"/>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2:87" ht="24" customHeight="1" x14ac:dyDescent="0.2">
      <c r="B35" s="7">
        <f t="shared" si="4"/>
        <v>206</v>
      </c>
      <c r="C35" s="7" t="s">
        <v>132</v>
      </c>
      <c r="D35" s="7">
        <v>8</v>
      </c>
      <c r="E35" s="7">
        <v>2</v>
      </c>
      <c r="F35" s="7">
        <v>1</v>
      </c>
      <c r="G35" s="7">
        <v>1</v>
      </c>
      <c r="H35" s="7">
        <v>2</v>
      </c>
      <c r="I35" s="7" t="s">
        <v>133</v>
      </c>
      <c r="J35" s="9"/>
      <c r="K35" s="7" t="s">
        <v>2</v>
      </c>
      <c r="L35" s="6">
        <v>33</v>
      </c>
      <c r="M35" s="6"/>
      <c r="N35" s="6">
        <v>39</v>
      </c>
      <c r="O35" s="6" t="s">
        <v>1</v>
      </c>
      <c r="P35" s="6">
        <v>35</v>
      </c>
      <c r="Q35" s="6">
        <v>44</v>
      </c>
      <c r="R35" s="6">
        <v>46</v>
      </c>
      <c r="S35" s="6"/>
      <c r="T35" s="6"/>
      <c r="U35" s="6">
        <v>48</v>
      </c>
      <c r="V35" s="6"/>
      <c r="W35" s="6">
        <v>42</v>
      </c>
      <c r="X35" s="6"/>
      <c r="Y35" s="6">
        <v>41</v>
      </c>
      <c r="Z35" s="6"/>
      <c r="AA35" s="4">
        <f t="shared" si="5"/>
        <v>43.25</v>
      </c>
      <c r="AB35" s="4">
        <f t="shared" si="6"/>
        <v>41.041666666666664</v>
      </c>
      <c r="AC35" s="4">
        <f t="shared" si="7"/>
        <v>2.0252743298405607</v>
      </c>
      <c r="AD35" s="3"/>
      <c r="AE35" s="3"/>
      <c r="AF35" s="3"/>
      <c r="AG35" s="3"/>
      <c r="AH35" s="3"/>
    </row>
    <row r="36" spans="2:87" ht="24" customHeight="1" thickBot="1" x14ac:dyDescent="0.25">
      <c r="B36" s="15">
        <f t="shared" si="4"/>
        <v>206</v>
      </c>
      <c r="C36" s="15" t="s">
        <v>132</v>
      </c>
      <c r="D36" s="15">
        <v>8</v>
      </c>
      <c r="E36" s="15">
        <v>2</v>
      </c>
      <c r="F36" s="15">
        <v>1</v>
      </c>
      <c r="G36" s="15">
        <v>1</v>
      </c>
      <c r="H36" s="15">
        <v>2</v>
      </c>
      <c r="I36" s="15" t="s">
        <v>133</v>
      </c>
      <c r="J36" s="16"/>
      <c r="K36" s="15" t="s">
        <v>0</v>
      </c>
      <c r="L36" s="14">
        <v>28</v>
      </c>
      <c r="M36" s="13"/>
      <c r="N36" s="14">
        <v>32</v>
      </c>
      <c r="O36" s="13"/>
      <c r="P36" s="14">
        <v>25</v>
      </c>
      <c r="Q36" s="14">
        <v>32</v>
      </c>
      <c r="R36" s="14">
        <v>41</v>
      </c>
      <c r="S36" s="14"/>
      <c r="T36" s="13"/>
      <c r="U36" s="14">
        <v>34</v>
      </c>
      <c r="V36" s="13"/>
      <c r="W36" s="14">
        <v>36</v>
      </c>
      <c r="X36" s="13"/>
      <c r="Y36" s="14">
        <v>30</v>
      </c>
      <c r="Z36" s="13"/>
      <c r="AA36" s="4">
        <f t="shared" si="5"/>
        <v>33</v>
      </c>
      <c r="AB36" s="4">
        <f t="shared" si="6"/>
        <v>32.166666666666664</v>
      </c>
      <c r="AC36" s="4">
        <f t="shared" si="7"/>
        <v>1.166666666666667</v>
      </c>
      <c r="AD36" s="3"/>
      <c r="AE36" s="3"/>
      <c r="AF36" s="3"/>
      <c r="AG36" s="3"/>
      <c r="AH36" s="3"/>
      <c r="AT36" s="12"/>
      <c r="AU36" s="12"/>
      <c r="AV36" s="11"/>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2:87" ht="24" customHeight="1" x14ac:dyDescent="0.2">
      <c r="B37" s="7">
        <f t="shared" si="4"/>
        <v>207</v>
      </c>
      <c r="C37" s="7" t="s">
        <v>122</v>
      </c>
      <c r="D37" s="7">
        <v>4</v>
      </c>
      <c r="E37" s="7">
        <v>1</v>
      </c>
      <c r="F37" s="7">
        <v>2</v>
      </c>
      <c r="G37" s="7">
        <v>1</v>
      </c>
      <c r="H37" s="7">
        <v>2</v>
      </c>
      <c r="I37" s="7" t="s">
        <v>134</v>
      </c>
      <c r="J37" s="9"/>
      <c r="K37" s="7" t="s">
        <v>2</v>
      </c>
      <c r="L37" s="6">
        <v>54</v>
      </c>
      <c r="M37" s="6"/>
      <c r="N37" s="6">
        <v>55</v>
      </c>
      <c r="O37" s="6"/>
      <c r="P37" s="6">
        <v>60</v>
      </c>
      <c r="Q37" s="6">
        <v>49</v>
      </c>
      <c r="R37" s="6">
        <v>53</v>
      </c>
      <c r="S37" s="6">
        <v>50</v>
      </c>
      <c r="T37" s="6">
        <v>53</v>
      </c>
      <c r="U37" s="6">
        <v>62</v>
      </c>
      <c r="V37" s="6"/>
      <c r="W37" s="6">
        <v>53</v>
      </c>
      <c r="X37" s="6"/>
      <c r="Y37" s="6">
        <v>58</v>
      </c>
      <c r="Z37" s="6"/>
      <c r="AA37" s="4">
        <f t="shared" si="5"/>
        <v>54.5</v>
      </c>
      <c r="AB37" s="4">
        <f t="shared" si="6"/>
        <v>56.083333333333336</v>
      </c>
      <c r="AC37" s="4">
        <f t="shared" si="7"/>
        <v>1.3687991492951443</v>
      </c>
      <c r="AD37" s="3"/>
      <c r="AE37" s="3"/>
      <c r="AF37" s="3"/>
      <c r="AG37" s="3"/>
      <c r="AH37" s="3"/>
    </row>
    <row r="38" spans="2:87" ht="24" customHeight="1" thickBot="1" x14ac:dyDescent="0.25">
      <c r="B38" s="15">
        <f t="shared" si="4"/>
        <v>207</v>
      </c>
      <c r="C38" s="15" t="s">
        <v>122</v>
      </c>
      <c r="D38" s="15">
        <v>4</v>
      </c>
      <c r="E38" s="15">
        <v>1</v>
      </c>
      <c r="F38" s="15">
        <v>2</v>
      </c>
      <c r="G38" s="15">
        <v>1</v>
      </c>
      <c r="H38" s="15">
        <v>2</v>
      </c>
      <c r="I38" s="15" t="s">
        <v>134</v>
      </c>
      <c r="J38" s="16"/>
      <c r="K38" s="15" t="s">
        <v>0</v>
      </c>
      <c r="L38" s="14">
        <v>38</v>
      </c>
      <c r="M38" s="13"/>
      <c r="N38" s="14">
        <v>43</v>
      </c>
      <c r="O38" s="13"/>
      <c r="P38" s="14">
        <v>36</v>
      </c>
      <c r="Q38" s="14">
        <v>33</v>
      </c>
      <c r="R38" s="14">
        <v>38</v>
      </c>
      <c r="S38" s="14">
        <v>39</v>
      </c>
      <c r="T38" s="13">
        <v>38</v>
      </c>
      <c r="U38" s="14">
        <v>46</v>
      </c>
      <c r="V38" s="13"/>
      <c r="W38" s="14">
        <v>42</v>
      </c>
      <c r="X38" s="13"/>
      <c r="Y38" s="14">
        <v>41</v>
      </c>
      <c r="Z38" s="13"/>
      <c r="AA38" s="4">
        <f t="shared" si="5"/>
        <v>38.333333333333336</v>
      </c>
      <c r="AB38" s="4">
        <f t="shared" si="6"/>
        <v>41.388888888888893</v>
      </c>
      <c r="AC38" s="4">
        <f t="shared" si="7"/>
        <v>1.227513797664527</v>
      </c>
      <c r="AD38" s="3"/>
      <c r="AE38" s="3"/>
      <c r="AF38" s="3"/>
      <c r="AG38" s="3"/>
      <c r="AH38" s="3"/>
      <c r="AT38" s="12"/>
      <c r="AU38" s="12"/>
      <c r="AV38" s="11"/>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2:87" ht="24" customHeight="1" x14ac:dyDescent="0.2">
      <c r="B39" s="7">
        <f t="shared" si="4"/>
        <v>208</v>
      </c>
      <c r="C39" s="7" t="s">
        <v>135</v>
      </c>
      <c r="D39" s="7">
        <v>2</v>
      </c>
      <c r="E39" s="7">
        <v>1</v>
      </c>
      <c r="F39" s="7">
        <v>1</v>
      </c>
      <c r="G39" s="7">
        <v>1</v>
      </c>
      <c r="H39" s="7">
        <v>2</v>
      </c>
      <c r="I39" s="7" t="s">
        <v>136</v>
      </c>
      <c r="J39" s="9"/>
      <c r="K39" s="7" t="s">
        <v>2</v>
      </c>
      <c r="L39" s="6">
        <v>41</v>
      </c>
      <c r="M39" s="5"/>
      <c r="N39" s="6">
        <v>47</v>
      </c>
      <c r="O39" s="5"/>
      <c r="P39" s="6">
        <v>37</v>
      </c>
      <c r="Q39" s="6">
        <v>0</v>
      </c>
      <c r="R39" s="6">
        <v>36</v>
      </c>
      <c r="S39" s="6">
        <v>22</v>
      </c>
      <c r="T39" s="5">
        <v>19</v>
      </c>
      <c r="U39" s="6">
        <v>44</v>
      </c>
      <c r="V39" s="5"/>
      <c r="W39" s="6">
        <v>40</v>
      </c>
      <c r="X39" s="5"/>
      <c r="Y39" s="6">
        <v>39</v>
      </c>
      <c r="Z39" s="5"/>
      <c r="AA39" s="4">
        <f t="shared" si="5"/>
        <v>26.333333333333332</v>
      </c>
      <c r="AB39" s="4">
        <f t="shared" si="6"/>
        <v>39.55555555555555</v>
      </c>
      <c r="AC39" s="4">
        <f t="shared" si="7"/>
        <v>2.9016810793779233</v>
      </c>
      <c r="AD39" s="3"/>
      <c r="AE39" s="3"/>
      <c r="AF39" s="3"/>
      <c r="AG39" s="3"/>
      <c r="AH39" s="3"/>
    </row>
    <row r="40" spans="2:87" ht="24" customHeight="1" thickBot="1" x14ac:dyDescent="0.25">
      <c r="B40" s="15">
        <f t="shared" si="4"/>
        <v>208</v>
      </c>
      <c r="C40" s="15" t="s">
        <v>135</v>
      </c>
      <c r="D40" s="15">
        <v>2</v>
      </c>
      <c r="E40" s="15">
        <v>1</v>
      </c>
      <c r="F40" s="15">
        <v>1</v>
      </c>
      <c r="G40" s="15">
        <v>1</v>
      </c>
      <c r="H40" s="15">
        <v>2</v>
      </c>
      <c r="I40" s="15" t="s">
        <v>136</v>
      </c>
      <c r="J40" s="16"/>
      <c r="K40" s="15" t="s">
        <v>0</v>
      </c>
      <c r="L40" s="14">
        <v>29</v>
      </c>
      <c r="M40" s="13"/>
      <c r="N40" s="14">
        <v>36</v>
      </c>
      <c r="O40" s="13"/>
      <c r="P40" s="14">
        <v>29</v>
      </c>
      <c r="Q40" s="14">
        <v>0</v>
      </c>
      <c r="R40" s="14">
        <v>26</v>
      </c>
      <c r="S40" s="14">
        <v>18</v>
      </c>
      <c r="T40" s="13">
        <v>13</v>
      </c>
      <c r="U40" s="14">
        <v>32</v>
      </c>
      <c r="V40" s="13"/>
      <c r="W40" s="14">
        <v>41</v>
      </c>
      <c r="X40" s="13"/>
      <c r="Y40" s="14">
        <v>28</v>
      </c>
      <c r="Z40" s="13"/>
      <c r="AA40" s="4">
        <f t="shared" si="5"/>
        <v>19.666666666666668</v>
      </c>
      <c r="AB40" s="4">
        <f t="shared" si="6"/>
        <v>30.944444444444446</v>
      </c>
      <c r="AC40" s="4">
        <f t="shared" si="7"/>
        <v>2.9856653414045158</v>
      </c>
      <c r="AD40" s="3"/>
      <c r="AE40" s="3"/>
      <c r="AF40" s="3"/>
      <c r="AG40" s="3"/>
      <c r="AH40" s="3"/>
      <c r="AT40" s="12"/>
      <c r="AU40" s="12"/>
      <c r="AV40" s="11"/>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2:87" ht="24" customHeight="1" x14ac:dyDescent="0.2">
      <c r="B41" s="7">
        <f>B39+700</f>
        <v>908</v>
      </c>
      <c r="C41" s="7" t="s">
        <v>137</v>
      </c>
      <c r="D41" s="7">
        <v>21</v>
      </c>
      <c r="E41" s="7">
        <v>3</v>
      </c>
      <c r="F41" s="7">
        <v>2</v>
      </c>
      <c r="G41" s="7">
        <v>2</v>
      </c>
      <c r="H41" s="7">
        <v>2</v>
      </c>
      <c r="I41" s="7" t="s">
        <v>138</v>
      </c>
      <c r="J41" s="8">
        <v>0.4861111111111111</v>
      </c>
      <c r="K41" s="7" t="s">
        <v>2</v>
      </c>
      <c r="L41" s="6">
        <v>36</v>
      </c>
      <c r="M41" s="5"/>
      <c r="N41" s="6">
        <v>34</v>
      </c>
      <c r="O41" s="5"/>
      <c r="P41" s="6">
        <v>43</v>
      </c>
      <c r="Q41" s="6">
        <v>39</v>
      </c>
      <c r="R41" s="6">
        <v>35</v>
      </c>
      <c r="S41" s="6">
        <v>46</v>
      </c>
      <c r="T41" s="5">
        <v>45</v>
      </c>
      <c r="U41" s="6">
        <v>45</v>
      </c>
      <c r="V41" s="5"/>
      <c r="W41" s="6">
        <v>38</v>
      </c>
      <c r="X41" s="5"/>
      <c r="Y41" s="6">
        <v>49</v>
      </c>
      <c r="Z41" s="5"/>
      <c r="AA41" s="4">
        <f t="shared" si="5"/>
        <v>42.166666666666664</v>
      </c>
      <c r="AB41" s="4">
        <f t="shared" si="6"/>
        <v>40.694444444444443</v>
      </c>
      <c r="AC41" s="4">
        <f t="shared" si="7"/>
        <v>2.3366708934288343</v>
      </c>
      <c r="AD41" s="3"/>
      <c r="AE41" s="3"/>
      <c r="AF41" s="3"/>
      <c r="AG41" s="3"/>
      <c r="AH41" s="3"/>
    </row>
    <row r="42" spans="2:87" ht="24" customHeight="1" thickBot="1" x14ac:dyDescent="0.25">
      <c r="B42" s="15">
        <f>B40+700</f>
        <v>908</v>
      </c>
      <c r="C42" s="15" t="s">
        <v>137</v>
      </c>
      <c r="D42" s="15">
        <v>21</v>
      </c>
      <c r="E42" s="15">
        <v>3</v>
      </c>
      <c r="F42" s="15">
        <v>2</v>
      </c>
      <c r="G42" s="15">
        <v>2</v>
      </c>
      <c r="H42" s="15">
        <v>2</v>
      </c>
      <c r="I42" s="15" t="s">
        <v>138</v>
      </c>
      <c r="J42" s="16"/>
      <c r="K42" s="15" t="s">
        <v>0</v>
      </c>
      <c r="L42" s="14">
        <v>27.5</v>
      </c>
      <c r="M42" s="13"/>
      <c r="N42" s="14">
        <v>24</v>
      </c>
      <c r="O42" s="13"/>
      <c r="P42" s="14">
        <v>33</v>
      </c>
      <c r="Q42" s="14">
        <v>32.5</v>
      </c>
      <c r="R42" s="14">
        <v>33.5</v>
      </c>
      <c r="S42" s="14">
        <v>38.5</v>
      </c>
      <c r="T42" s="13">
        <v>36</v>
      </c>
      <c r="U42" s="14">
        <v>35</v>
      </c>
      <c r="V42" s="13"/>
      <c r="W42" s="14">
        <v>31</v>
      </c>
      <c r="X42" s="13"/>
      <c r="Y42" s="14">
        <v>34</v>
      </c>
      <c r="Z42" s="13"/>
      <c r="AA42" s="4">
        <f t="shared" si="5"/>
        <v>34.75</v>
      </c>
      <c r="AB42" s="4">
        <f t="shared" si="6"/>
        <v>31.041666666666668</v>
      </c>
      <c r="AC42" s="4">
        <f t="shared" si="7"/>
        <v>1.8284974098362208</v>
      </c>
      <c r="AD42" s="3"/>
      <c r="AE42" s="3"/>
      <c r="AF42" s="3"/>
      <c r="AG42" s="3"/>
      <c r="AH42" s="3"/>
      <c r="AT42" s="12"/>
      <c r="AU42" s="12"/>
      <c r="AV42" s="11"/>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2:87" ht="24" customHeight="1" x14ac:dyDescent="0.2">
      <c r="B43" s="7">
        <v>906</v>
      </c>
      <c r="C43" s="7" t="s">
        <v>139</v>
      </c>
      <c r="D43" s="7">
        <v>22</v>
      </c>
      <c r="E43" s="7">
        <v>4</v>
      </c>
      <c r="F43" s="7">
        <v>2</v>
      </c>
      <c r="G43" s="7">
        <v>2</v>
      </c>
      <c r="H43" s="7">
        <v>2</v>
      </c>
      <c r="I43" s="7" t="s">
        <v>140</v>
      </c>
      <c r="J43" s="9"/>
      <c r="K43" s="7" t="s">
        <v>2</v>
      </c>
      <c r="L43" s="6">
        <v>44</v>
      </c>
      <c r="M43" s="6"/>
      <c r="N43" s="6">
        <v>44</v>
      </c>
      <c r="O43" s="6"/>
      <c r="P43" s="6">
        <v>47</v>
      </c>
      <c r="Q43" s="6">
        <v>47</v>
      </c>
      <c r="R43" s="6">
        <v>42</v>
      </c>
      <c r="S43" s="6">
        <v>50</v>
      </c>
      <c r="T43" s="6">
        <v>45</v>
      </c>
      <c r="U43" s="6">
        <v>49</v>
      </c>
      <c r="V43" s="6"/>
      <c r="W43" s="6">
        <v>44</v>
      </c>
      <c r="X43" s="6"/>
      <c r="Y43" s="6">
        <v>44</v>
      </c>
      <c r="Z43" s="6"/>
      <c r="AA43" s="4">
        <f t="shared" si="5"/>
        <v>46.666666666666664</v>
      </c>
      <c r="AB43" s="4">
        <f t="shared" si="6"/>
        <v>45.277777777777771</v>
      </c>
      <c r="AC43" s="4">
        <f t="shared" si="7"/>
        <v>0.86245414979222357</v>
      </c>
      <c r="AD43" s="3"/>
      <c r="AE43" s="3"/>
      <c r="AF43" s="3"/>
      <c r="AG43" s="3"/>
      <c r="AH43" s="3"/>
    </row>
    <row r="44" spans="2:87" ht="24" customHeight="1" thickBot="1" x14ac:dyDescent="0.25">
      <c r="B44" s="15">
        <v>906</v>
      </c>
      <c r="C44" s="15" t="s">
        <v>139</v>
      </c>
      <c r="D44" s="15">
        <v>22</v>
      </c>
      <c r="E44" s="15">
        <v>4</v>
      </c>
      <c r="F44" s="15">
        <v>2</v>
      </c>
      <c r="G44" s="15">
        <v>2</v>
      </c>
      <c r="H44" s="15">
        <v>2</v>
      </c>
      <c r="I44" s="15" t="s">
        <v>140</v>
      </c>
      <c r="J44" s="16"/>
      <c r="K44" s="15" t="s">
        <v>0</v>
      </c>
      <c r="L44" s="14">
        <v>33</v>
      </c>
      <c r="M44" s="13"/>
      <c r="N44" s="14">
        <v>37</v>
      </c>
      <c r="O44" s="13"/>
      <c r="P44" s="14">
        <v>34</v>
      </c>
      <c r="Q44" s="14">
        <v>22</v>
      </c>
      <c r="R44" s="14">
        <v>30</v>
      </c>
      <c r="S44" s="14">
        <v>33</v>
      </c>
      <c r="T44" s="13">
        <v>38</v>
      </c>
      <c r="U44" s="14">
        <v>38</v>
      </c>
      <c r="V44" s="13"/>
      <c r="W44" s="14">
        <v>37</v>
      </c>
      <c r="X44" s="13"/>
      <c r="Y44" s="14">
        <v>33</v>
      </c>
      <c r="Z44" s="13"/>
      <c r="AA44" s="4">
        <f t="shared" si="5"/>
        <v>32.5</v>
      </c>
      <c r="AB44" s="4">
        <f t="shared" si="6"/>
        <v>35.083333333333336</v>
      </c>
      <c r="AC44" s="4">
        <f t="shared" si="7"/>
        <v>1.0199400853862828</v>
      </c>
      <c r="AD44" s="3"/>
      <c r="AE44" s="3"/>
      <c r="AF44" s="3"/>
      <c r="AG44" s="3"/>
      <c r="AH44" s="3"/>
      <c r="AT44" s="12"/>
      <c r="AU44" s="12"/>
      <c r="AV44" s="11"/>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2:87" ht="24" customHeight="1" x14ac:dyDescent="0.2">
      <c r="B45" s="7">
        <v>904</v>
      </c>
      <c r="C45" s="7" t="s">
        <v>137</v>
      </c>
      <c r="D45" s="7">
        <v>21</v>
      </c>
      <c r="E45" s="7">
        <v>3</v>
      </c>
      <c r="F45" s="7">
        <v>2</v>
      </c>
      <c r="G45" s="7">
        <v>2</v>
      </c>
      <c r="H45" s="7">
        <v>1</v>
      </c>
      <c r="I45" s="7" t="s">
        <v>141</v>
      </c>
      <c r="J45" s="9"/>
      <c r="K45" s="7" t="s">
        <v>2</v>
      </c>
      <c r="L45" s="6">
        <v>57</v>
      </c>
      <c r="M45" s="6"/>
      <c r="N45" s="6">
        <v>56</v>
      </c>
      <c r="O45" s="6"/>
      <c r="P45" s="6">
        <v>39</v>
      </c>
      <c r="Q45" s="6">
        <v>44</v>
      </c>
      <c r="R45" s="6">
        <v>51</v>
      </c>
      <c r="S45" s="6">
        <v>43</v>
      </c>
      <c r="T45" s="6">
        <v>43</v>
      </c>
      <c r="U45" s="6">
        <v>41</v>
      </c>
      <c r="V45" s="6"/>
      <c r="W45" s="6">
        <v>44</v>
      </c>
      <c r="X45" s="6"/>
      <c r="Y45" s="6">
        <v>45</v>
      </c>
      <c r="Z45" s="6"/>
      <c r="AA45" s="4">
        <f t="shared" si="5"/>
        <v>43.5</v>
      </c>
      <c r="AB45" s="4">
        <f t="shared" si="6"/>
        <v>47.75</v>
      </c>
      <c r="AC45" s="4">
        <f t="shared" si="7"/>
        <v>2.8217902119044926</v>
      </c>
      <c r="AD45" s="3"/>
      <c r="AE45" s="3"/>
      <c r="AF45" s="3"/>
      <c r="AG45" s="3"/>
      <c r="AH45" s="3"/>
    </row>
    <row r="46" spans="2:87" ht="24" customHeight="1" thickBot="1" x14ac:dyDescent="0.25">
      <c r="B46" s="15">
        <v>904</v>
      </c>
      <c r="C46" s="15" t="s">
        <v>137</v>
      </c>
      <c r="D46" s="15">
        <v>21</v>
      </c>
      <c r="E46" s="15">
        <v>3</v>
      </c>
      <c r="F46" s="15">
        <v>2</v>
      </c>
      <c r="G46" s="15">
        <v>2</v>
      </c>
      <c r="H46" s="15">
        <v>1</v>
      </c>
      <c r="I46" s="15" t="s">
        <v>141</v>
      </c>
      <c r="J46" s="16"/>
      <c r="K46" s="15" t="s">
        <v>0</v>
      </c>
      <c r="L46" s="14">
        <v>38</v>
      </c>
      <c r="M46" s="13"/>
      <c r="N46" s="14">
        <v>40</v>
      </c>
      <c r="O46" s="13"/>
      <c r="P46" s="14">
        <v>33</v>
      </c>
      <c r="Q46" s="14">
        <v>33</v>
      </c>
      <c r="R46" s="14">
        <v>37</v>
      </c>
      <c r="S46" s="14">
        <v>29</v>
      </c>
      <c r="T46" s="13">
        <v>25</v>
      </c>
      <c r="U46" s="14">
        <v>30</v>
      </c>
      <c r="V46" s="13"/>
      <c r="W46" s="14">
        <v>33</v>
      </c>
      <c r="X46" s="13"/>
      <c r="Y46" s="14">
        <v>30</v>
      </c>
      <c r="Z46" s="13"/>
      <c r="AA46" s="4">
        <f t="shared" si="5"/>
        <v>31.166666666666668</v>
      </c>
      <c r="AB46" s="4">
        <f t="shared" si="6"/>
        <v>33.69444444444445</v>
      </c>
      <c r="AC46" s="4">
        <f t="shared" si="7"/>
        <v>1.7556346676970522</v>
      </c>
      <c r="AD46" s="3"/>
      <c r="AE46" s="3"/>
      <c r="AF46" s="3"/>
      <c r="AG46" s="3"/>
      <c r="AH46" s="3"/>
      <c r="AT46" s="12"/>
      <c r="AU46" s="12"/>
      <c r="AV46" s="11"/>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2:87" ht="24" customHeight="1" x14ac:dyDescent="0.2">
      <c r="B47" s="7">
        <v>902</v>
      </c>
      <c r="C47" s="7" t="s">
        <v>139</v>
      </c>
      <c r="D47" s="7">
        <v>22</v>
      </c>
      <c r="E47" s="7">
        <v>4</v>
      </c>
      <c r="F47" s="7">
        <v>2</v>
      </c>
      <c r="G47" s="7">
        <v>2</v>
      </c>
      <c r="H47" s="7">
        <v>1</v>
      </c>
      <c r="I47" s="7" t="s">
        <v>142</v>
      </c>
      <c r="J47" s="9"/>
      <c r="K47" s="7" t="s">
        <v>2</v>
      </c>
      <c r="L47" s="6">
        <v>44</v>
      </c>
      <c r="M47" s="6"/>
      <c r="N47" s="6">
        <v>50</v>
      </c>
      <c r="O47" s="6"/>
      <c r="P47" s="6">
        <v>53</v>
      </c>
      <c r="Q47" s="6">
        <v>48</v>
      </c>
      <c r="R47" s="6">
        <v>51</v>
      </c>
      <c r="S47" s="6">
        <v>46</v>
      </c>
      <c r="T47" s="6">
        <v>50</v>
      </c>
      <c r="U47" s="6">
        <v>50</v>
      </c>
      <c r="V47" s="6"/>
      <c r="W47" s="6">
        <v>41</v>
      </c>
      <c r="X47" s="6"/>
      <c r="Y47" s="6">
        <v>49</v>
      </c>
      <c r="Z47" s="6"/>
      <c r="AA47" s="4">
        <f t="shared" si="5"/>
        <v>49.666666666666664</v>
      </c>
      <c r="AB47" s="4">
        <f t="shared" si="6"/>
        <v>47.277777777777771</v>
      </c>
      <c r="AC47" s="4">
        <f t="shared" si="7"/>
        <v>1.5668242631529989</v>
      </c>
      <c r="AD47" s="3"/>
      <c r="AE47" s="3"/>
      <c r="AF47" s="3"/>
      <c r="AG47" s="3"/>
      <c r="AH47" s="3"/>
    </row>
    <row r="48" spans="2:87" ht="24" customHeight="1" thickBot="1" x14ac:dyDescent="0.25">
      <c r="B48" s="15">
        <v>902</v>
      </c>
      <c r="C48" s="15" t="s">
        <v>139</v>
      </c>
      <c r="D48" s="15">
        <v>22</v>
      </c>
      <c r="E48" s="15">
        <v>4</v>
      </c>
      <c r="F48" s="15">
        <v>2</v>
      </c>
      <c r="G48" s="15">
        <v>2</v>
      </c>
      <c r="H48" s="15">
        <v>1</v>
      </c>
      <c r="I48" s="15" t="s">
        <v>142</v>
      </c>
      <c r="J48" s="16"/>
      <c r="K48" s="15" t="s">
        <v>0</v>
      </c>
      <c r="L48" s="14">
        <v>38</v>
      </c>
      <c r="M48" s="13"/>
      <c r="N48" s="14">
        <v>40</v>
      </c>
      <c r="O48" s="13"/>
      <c r="P48" s="14">
        <v>38</v>
      </c>
      <c r="Q48" s="14">
        <v>26</v>
      </c>
      <c r="R48" s="14">
        <v>33</v>
      </c>
      <c r="S48" s="14">
        <v>32</v>
      </c>
      <c r="T48" s="13">
        <v>32</v>
      </c>
      <c r="U48" s="14">
        <v>32</v>
      </c>
      <c r="V48" s="13"/>
      <c r="W48" s="14">
        <v>32</v>
      </c>
      <c r="X48" s="13"/>
      <c r="Y48" s="14">
        <v>36</v>
      </c>
      <c r="Z48" s="13"/>
      <c r="AA48" s="4">
        <f t="shared" si="5"/>
        <v>32.166666666666664</v>
      </c>
      <c r="AB48" s="4">
        <f t="shared" si="6"/>
        <v>35.027777777777779</v>
      </c>
      <c r="AC48" s="4">
        <f t="shared" si="7"/>
        <v>1.4262205082916195</v>
      </c>
      <c r="AD48" s="3"/>
      <c r="AE48" s="3"/>
      <c r="AF48" s="3"/>
      <c r="AG48" s="3"/>
      <c r="AH48" s="3"/>
      <c r="AT48" s="12"/>
      <c r="AU48" s="12"/>
      <c r="AV48" s="11"/>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2:87" ht="24" customHeight="1" x14ac:dyDescent="0.2">
      <c r="B49" s="7">
        <f>B47-601</f>
        <v>301</v>
      </c>
      <c r="C49" s="7" t="s">
        <v>113</v>
      </c>
      <c r="D49" s="7">
        <v>10</v>
      </c>
      <c r="E49" s="7">
        <v>2</v>
      </c>
      <c r="F49" s="7">
        <v>2</v>
      </c>
      <c r="G49" s="7">
        <v>1</v>
      </c>
      <c r="H49" s="7">
        <v>3</v>
      </c>
      <c r="I49" s="7" t="s">
        <v>143</v>
      </c>
      <c r="J49" s="8">
        <v>0.4916666666666667</v>
      </c>
      <c r="K49" s="7" t="s">
        <v>2</v>
      </c>
      <c r="L49" s="6">
        <v>43</v>
      </c>
      <c r="M49" s="6"/>
      <c r="N49" s="6">
        <v>46</v>
      </c>
      <c r="O49" s="6"/>
      <c r="P49" s="6">
        <v>55</v>
      </c>
      <c r="Q49" s="6">
        <v>60</v>
      </c>
      <c r="R49" s="6">
        <v>57</v>
      </c>
      <c r="S49" s="6">
        <v>21</v>
      </c>
      <c r="T49" s="6">
        <v>43</v>
      </c>
      <c r="U49" s="6">
        <v>56</v>
      </c>
      <c r="V49" s="6"/>
      <c r="W49" s="6">
        <v>54</v>
      </c>
      <c r="X49" s="6"/>
      <c r="Y49" s="6">
        <v>57</v>
      </c>
      <c r="Z49" s="6"/>
      <c r="AA49" s="4">
        <f t="shared" si="5"/>
        <v>48.666666666666664</v>
      </c>
      <c r="AB49" s="4">
        <f t="shared" si="6"/>
        <v>50.777777777777771</v>
      </c>
      <c r="AC49" s="4">
        <f t="shared" si="7"/>
        <v>2.3391461985672843</v>
      </c>
      <c r="AT49" s="12">
        <v>2</v>
      </c>
      <c r="AU49" s="12" t="s">
        <v>3</v>
      </c>
      <c r="AV49" s="12">
        <v>150</v>
      </c>
    </row>
    <row r="50" spans="2:87" ht="24" customHeight="1" thickBot="1" x14ac:dyDescent="0.25">
      <c r="B50" s="15">
        <f>B48-601</f>
        <v>301</v>
      </c>
      <c r="C50" s="15" t="s">
        <v>113</v>
      </c>
      <c r="D50" s="15">
        <v>10</v>
      </c>
      <c r="E50" s="15">
        <v>2</v>
      </c>
      <c r="F50" s="15">
        <v>2</v>
      </c>
      <c r="G50" s="15">
        <v>1</v>
      </c>
      <c r="H50" s="15">
        <v>3</v>
      </c>
      <c r="I50" s="15" t="s">
        <v>143</v>
      </c>
      <c r="J50" s="16"/>
      <c r="K50" s="15" t="s">
        <v>0</v>
      </c>
      <c r="L50" s="14">
        <v>36</v>
      </c>
      <c r="M50" s="13"/>
      <c r="N50" s="14">
        <v>39</v>
      </c>
      <c r="O50" s="13"/>
      <c r="P50" s="14">
        <v>45</v>
      </c>
      <c r="Q50" s="14">
        <v>36</v>
      </c>
      <c r="R50" s="14">
        <v>43</v>
      </c>
      <c r="S50" s="14">
        <v>16</v>
      </c>
      <c r="T50" s="13">
        <v>33</v>
      </c>
      <c r="U50" s="14">
        <v>44</v>
      </c>
      <c r="V50" s="13"/>
      <c r="W50" s="14">
        <v>44</v>
      </c>
      <c r="X50" s="13"/>
      <c r="Y50" s="14">
        <v>39</v>
      </c>
      <c r="Z50" s="13"/>
      <c r="AA50" s="4">
        <f t="shared" si="5"/>
        <v>36.166666666666664</v>
      </c>
      <c r="AB50" s="4">
        <f t="shared" si="6"/>
        <v>39.694444444444443</v>
      </c>
      <c r="AC50" s="4">
        <f t="shared" si="7"/>
        <v>1.4621247012397092</v>
      </c>
      <c r="AD50" s="3"/>
      <c r="AE50" s="3"/>
      <c r="AF50" s="3"/>
      <c r="AG50" s="3"/>
      <c r="AH50" s="3"/>
      <c r="AT50" s="12"/>
      <c r="AU50" s="12"/>
      <c r="AV50" s="11"/>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2:87" ht="24" customHeight="1" x14ac:dyDescent="0.2">
      <c r="B51" s="7">
        <f t="shared" ref="B51:B64" si="8">B49+1</f>
        <v>302</v>
      </c>
      <c r="C51" s="7" t="s">
        <v>122</v>
      </c>
      <c r="D51" s="7">
        <v>4</v>
      </c>
      <c r="E51" s="7">
        <v>1</v>
      </c>
      <c r="F51" s="7">
        <v>2</v>
      </c>
      <c r="G51" s="7">
        <v>1</v>
      </c>
      <c r="H51" s="7">
        <v>3</v>
      </c>
      <c r="I51" s="7" t="s">
        <v>144</v>
      </c>
      <c r="J51" s="9"/>
      <c r="K51" s="7" t="s">
        <v>2</v>
      </c>
      <c r="L51" s="6">
        <v>42</v>
      </c>
      <c r="M51" s="6"/>
      <c r="N51" s="6">
        <v>53</v>
      </c>
      <c r="O51" s="6"/>
      <c r="P51" s="6">
        <v>61</v>
      </c>
      <c r="Q51" s="6">
        <v>35</v>
      </c>
      <c r="R51" s="6">
        <v>54</v>
      </c>
      <c r="S51" s="6">
        <v>59</v>
      </c>
      <c r="T51" s="6">
        <v>49</v>
      </c>
      <c r="U51" s="6">
        <v>54</v>
      </c>
      <c r="V51" s="6"/>
      <c r="W51" s="6">
        <v>48</v>
      </c>
      <c r="X51" s="6"/>
      <c r="Y51" s="6">
        <v>41</v>
      </c>
      <c r="Z51" s="6"/>
      <c r="AA51" s="4">
        <f t="shared" si="5"/>
        <v>52</v>
      </c>
      <c r="AB51" s="4">
        <f t="shared" si="6"/>
        <v>48.333333333333336</v>
      </c>
      <c r="AC51" s="4">
        <f t="shared" si="7"/>
        <v>2.3190036174568158</v>
      </c>
      <c r="AD51" s="3"/>
      <c r="AE51" s="3"/>
      <c r="AF51" s="3"/>
      <c r="AG51" s="3"/>
      <c r="AH51" s="3"/>
    </row>
    <row r="52" spans="2:87" ht="24" customHeight="1" thickBot="1" x14ac:dyDescent="0.25">
      <c r="B52" s="15">
        <f t="shared" si="8"/>
        <v>302</v>
      </c>
      <c r="C52" s="15" t="s">
        <v>122</v>
      </c>
      <c r="D52" s="15">
        <v>4</v>
      </c>
      <c r="E52" s="15">
        <v>1</v>
      </c>
      <c r="F52" s="15">
        <v>2</v>
      </c>
      <c r="G52" s="15">
        <v>1</v>
      </c>
      <c r="H52" s="15">
        <v>3</v>
      </c>
      <c r="I52" s="15" t="s">
        <v>144</v>
      </c>
      <c r="J52" s="16"/>
      <c r="K52" s="15" t="s">
        <v>0</v>
      </c>
      <c r="L52" s="14">
        <v>32</v>
      </c>
      <c r="M52" s="13"/>
      <c r="N52" s="14">
        <v>33</v>
      </c>
      <c r="O52" s="13"/>
      <c r="P52" s="14">
        <v>37</v>
      </c>
      <c r="Q52" s="14">
        <v>26</v>
      </c>
      <c r="R52" s="14">
        <v>43</v>
      </c>
      <c r="S52" s="14">
        <v>35</v>
      </c>
      <c r="T52" s="13">
        <v>33</v>
      </c>
      <c r="U52" s="14">
        <v>40</v>
      </c>
      <c r="V52" s="13"/>
      <c r="W52" s="14">
        <v>36</v>
      </c>
      <c r="X52" s="13"/>
      <c r="Y52" s="14">
        <v>37</v>
      </c>
      <c r="Z52" s="13"/>
      <c r="AA52" s="4">
        <f t="shared" si="5"/>
        <v>35.666666666666664</v>
      </c>
      <c r="AB52" s="4">
        <f t="shared" si="6"/>
        <v>35.611111111111107</v>
      </c>
      <c r="AC52" s="4">
        <f t="shared" si="7"/>
        <v>1.171945728318277</v>
      </c>
      <c r="AD52" s="3"/>
      <c r="AE52" s="3"/>
      <c r="AF52" s="3"/>
      <c r="AG52" s="3"/>
      <c r="AH52" s="3"/>
      <c r="AT52" s="12"/>
      <c r="AU52" s="12"/>
      <c r="AV52" s="11"/>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2:87" ht="24" customHeight="1" x14ac:dyDescent="0.2">
      <c r="B53" s="7">
        <f t="shared" si="8"/>
        <v>303</v>
      </c>
      <c r="C53" s="7" t="s">
        <v>132</v>
      </c>
      <c r="D53" s="7">
        <v>8</v>
      </c>
      <c r="E53" s="7">
        <v>2</v>
      </c>
      <c r="F53" s="7">
        <v>1</v>
      </c>
      <c r="G53" s="7">
        <v>1</v>
      </c>
      <c r="H53" s="7">
        <v>3</v>
      </c>
      <c r="I53" s="7" t="s">
        <v>145</v>
      </c>
      <c r="J53" s="9"/>
      <c r="K53" s="7" t="s">
        <v>2</v>
      </c>
      <c r="L53" s="6">
        <v>51</v>
      </c>
      <c r="M53" s="6"/>
      <c r="N53" s="6">
        <v>42</v>
      </c>
      <c r="O53" s="6" t="s">
        <v>1</v>
      </c>
      <c r="P53" s="6">
        <v>54</v>
      </c>
      <c r="Q53" s="6">
        <v>37</v>
      </c>
      <c r="R53" s="6">
        <v>35</v>
      </c>
      <c r="S53" s="6"/>
      <c r="T53" s="6"/>
      <c r="U53" s="6">
        <v>51</v>
      </c>
      <c r="V53" s="6"/>
      <c r="W53" s="6">
        <v>42</v>
      </c>
      <c r="X53" s="6"/>
      <c r="Y53" s="6">
        <v>39</v>
      </c>
      <c r="Z53" s="6"/>
      <c r="AA53" s="4">
        <f t="shared" si="5"/>
        <v>44.25</v>
      </c>
      <c r="AB53" s="4">
        <f t="shared" si="6"/>
        <v>44.875</v>
      </c>
      <c r="AC53" s="4">
        <f t="shared" si="7"/>
        <v>2.0531987239427165</v>
      </c>
      <c r="AD53" s="3"/>
      <c r="AE53" s="3"/>
      <c r="AF53" s="3"/>
      <c r="AG53" s="3"/>
      <c r="AH53" s="3"/>
    </row>
    <row r="54" spans="2:87" ht="24" customHeight="1" thickBot="1" x14ac:dyDescent="0.25">
      <c r="B54" s="15">
        <f t="shared" si="8"/>
        <v>303</v>
      </c>
      <c r="C54" s="15" t="s">
        <v>132</v>
      </c>
      <c r="D54" s="15">
        <v>8</v>
      </c>
      <c r="E54" s="15">
        <v>2</v>
      </c>
      <c r="F54" s="15">
        <v>1</v>
      </c>
      <c r="G54" s="15">
        <v>1</v>
      </c>
      <c r="H54" s="15">
        <v>3</v>
      </c>
      <c r="I54" s="15" t="s">
        <v>145</v>
      </c>
      <c r="J54" s="16"/>
      <c r="K54" s="15" t="s">
        <v>0</v>
      </c>
      <c r="L54" s="14">
        <v>34</v>
      </c>
      <c r="M54" s="13"/>
      <c r="N54" s="14">
        <v>32</v>
      </c>
      <c r="O54" s="13"/>
      <c r="P54" s="14">
        <v>33</v>
      </c>
      <c r="Q54" s="14">
        <v>33</v>
      </c>
      <c r="R54" s="14">
        <v>28</v>
      </c>
      <c r="S54" s="14"/>
      <c r="T54" s="13"/>
      <c r="U54" s="14">
        <v>36</v>
      </c>
      <c r="V54" s="13"/>
      <c r="W54" s="14">
        <v>37</v>
      </c>
      <c r="X54" s="13"/>
      <c r="Y54" s="14">
        <v>35</v>
      </c>
      <c r="Z54" s="13"/>
      <c r="AA54" s="4">
        <f t="shared" si="5"/>
        <v>32.5</v>
      </c>
      <c r="AB54" s="4">
        <f t="shared" si="6"/>
        <v>34.416666666666664</v>
      </c>
      <c r="AC54" s="4">
        <f t="shared" si="7"/>
        <v>0.80017359227718698</v>
      </c>
      <c r="AD54" s="3"/>
      <c r="AE54" s="3"/>
      <c r="AF54" s="3"/>
      <c r="AG54" s="3"/>
      <c r="AH54" s="3"/>
      <c r="AT54" s="12"/>
      <c r="AU54" s="12"/>
      <c r="AV54" s="11"/>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2:87" ht="24" customHeight="1" x14ac:dyDescent="0.2">
      <c r="B55" s="7">
        <f t="shared" si="8"/>
        <v>304</v>
      </c>
      <c r="C55" s="7" t="s">
        <v>135</v>
      </c>
      <c r="D55" s="7">
        <v>2</v>
      </c>
      <c r="E55" s="7">
        <v>1</v>
      </c>
      <c r="F55" s="7">
        <v>1</v>
      </c>
      <c r="G55" s="7">
        <v>1</v>
      </c>
      <c r="H55" s="7">
        <v>3</v>
      </c>
      <c r="I55" s="7" t="s">
        <v>146</v>
      </c>
      <c r="J55" s="9"/>
      <c r="K55" s="7" t="s">
        <v>2</v>
      </c>
      <c r="L55" s="6">
        <v>50</v>
      </c>
      <c r="M55" s="6"/>
      <c r="N55" s="6">
        <v>50</v>
      </c>
      <c r="O55" s="6"/>
      <c r="P55" s="6">
        <v>42</v>
      </c>
      <c r="Q55" s="6">
        <v>38</v>
      </c>
      <c r="R55" s="6">
        <v>55</v>
      </c>
      <c r="S55" s="6">
        <v>51</v>
      </c>
      <c r="T55" s="6">
        <v>44</v>
      </c>
      <c r="U55" s="6">
        <v>51</v>
      </c>
      <c r="V55" s="6"/>
      <c r="W55" s="6">
        <v>46</v>
      </c>
      <c r="X55" s="6"/>
      <c r="Y55" s="6">
        <v>26</v>
      </c>
      <c r="Z55" s="6"/>
      <c r="AA55" s="4">
        <f t="shared" si="5"/>
        <v>46.833333333333336</v>
      </c>
      <c r="AB55" s="4">
        <f t="shared" si="6"/>
        <v>44.972222222222229</v>
      </c>
      <c r="AC55" s="4">
        <f t="shared" si="7"/>
        <v>3.8788163206553881</v>
      </c>
      <c r="AD55" s="3"/>
      <c r="AE55" s="3"/>
      <c r="AF55" s="3"/>
      <c r="AG55" s="3"/>
      <c r="AH55" s="3"/>
    </row>
    <row r="56" spans="2:87" ht="24" customHeight="1" thickBot="1" x14ac:dyDescent="0.25">
      <c r="B56" s="15">
        <f t="shared" si="8"/>
        <v>304</v>
      </c>
      <c r="C56" s="15" t="s">
        <v>135</v>
      </c>
      <c r="D56" s="15">
        <v>2</v>
      </c>
      <c r="E56" s="15">
        <v>1</v>
      </c>
      <c r="F56" s="15">
        <v>1</v>
      </c>
      <c r="G56" s="15">
        <v>1</v>
      </c>
      <c r="H56" s="15">
        <v>3</v>
      </c>
      <c r="I56" s="15" t="s">
        <v>146</v>
      </c>
      <c r="J56" s="16"/>
      <c r="K56" s="15" t="s">
        <v>0</v>
      </c>
      <c r="L56" s="14">
        <v>29</v>
      </c>
      <c r="M56" s="13"/>
      <c r="N56" s="14">
        <v>38</v>
      </c>
      <c r="O56" s="13"/>
      <c r="P56" s="14">
        <v>35</v>
      </c>
      <c r="Q56" s="14">
        <v>31</v>
      </c>
      <c r="R56" s="14">
        <v>33</v>
      </c>
      <c r="S56" s="14">
        <v>43</v>
      </c>
      <c r="T56" s="13">
        <v>39</v>
      </c>
      <c r="U56" s="14">
        <v>36</v>
      </c>
      <c r="V56" s="13"/>
      <c r="W56" s="14">
        <v>37</v>
      </c>
      <c r="X56" s="13"/>
      <c r="Y56" s="14">
        <v>20</v>
      </c>
      <c r="Z56" s="13"/>
      <c r="AA56" s="4">
        <f t="shared" si="5"/>
        <v>36.166666666666664</v>
      </c>
      <c r="AB56" s="4">
        <f t="shared" si="6"/>
        <v>32.694444444444443</v>
      </c>
      <c r="AC56" s="4">
        <f t="shared" si="7"/>
        <v>2.8546312814593775</v>
      </c>
      <c r="AD56" s="3"/>
      <c r="AE56" s="3"/>
      <c r="AF56" s="3"/>
      <c r="AG56" s="3"/>
      <c r="AH56" s="3"/>
      <c r="AT56" s="12"/>
      <c r="AU56" s="12"/>
      <c r="AV56" s="11"/>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2:87" ht="24" customHeight="1" thickBot="1" x14ac:dyDescent="0.25">
      <c r="B57" s="7">
        <f t="shared" si="8"/>
        <v>305</v>
      </c>
      <c r="C57" s="7" t="s">
        <v>129</v>
      </c>
      <c r="D57" s="7">
        <v>11</v>
      </c>
      <c r="E57" s="7">
        <v>2</v>
      </c>
      <c r="F57" s="7">
        <v>3</v>
      </c>
      <c r="G57" s="7">
        <v>2</v>
      </c>
      <c r="H57" s="7">
        <v>4</v>
      </c>
      <c r="I57" s="7" t="s">
        <v>147</v>
      </c>
      <c r="J57" s="16"/>
      <c r="K57" s="7" t="s">
        <v>2</v>
      </c>
      <c r="L57" s="6">
        <v>69</v>
      </c>
      <c r="M57" s="6"/>
      <c r="N57" s="6">
        <v>64</v>
      </c>
      <c r="O57" s="6" t="s">
        <v>1</v>
      </c>
      <c r="P57" s="6">
        <v>61</v>
      </c>
      <c r="Q57" s="6">
        <v>60</v>
      </c>
      <c r="R57" s="6">
        <v>59</v>
      </c>
      <c r="S57" s="6"/>
      <c r="T57" s="6"/>
      <c r="U57" s="6">
        <v>73</v>
      </c>
      <c r="V57" s="6"/>
      <c r="W57" s="6">
        <v>79</v>
      </c>
      <c r="X57" s="6"/>
      <c r="Y57" s="6">
        <v>69</v>
      </c>
      <c r="Z57" s="6"/>
      <c r="AA57" s="4">
        <f t="shared" si="5"/>
        <v>63.25</v>
      </c>
      <c r="AB57" s="4">
        <f t="shared" si="6"/>
        <v>69.541666666666671</v>
      </c>
      <c r="AC57" s="4">
        <f t="shared" si="7"/>
        <v>2.3965397509279454</v>
      </c>
      <c r="AD57" s="3"/>
      <c r="AE57" s="3"/>
      <c r="AF57" s="3"/>
      <c r="AG57" s="3"/>
      <c r="AH57" s="3"/>
    </row>
    <row r="58" spans="2:87" ht="24" customHeight="1" thickBot="1" x14ac:dyDescent="0.25">
      <c r="B58" s="15">
        <f t="shared" si="8"/>
        <v>305</v>
      </c>
      <c r="C58" s="15" t="s">
        <v>129</v>
      </c>
      <c r="D58" s="15">
        <v>11</v>
      </c>
      <c r="E58" s="15">
        <v>2</v>
      </c>
      <c r="F58" s="15">
        <v>3</v>
      </c>
      <c r="G58" s="15">
        <v>2</v>
      </c>
      <c r="H58" s="15">
        <v>4</v>
      </c>
      <c r="I58" s="15" t="s">
        <v>147</v>
      </c>
      <c r="J58" s="16"/>
      <c r="K58" s="15" t="s">
        <v>0</v>
      </c>
      <c r="L58" s="14">
        <v>37</v>
      </c>
      <c r="M58" s="13"/>
      <c r="N58" s="14">
        <v>40</v>
      </c>
      <c r="O58" s="13"/>
      <c r="P58" s="14">
        <v>39</v>
      </c>
      <c r="Q58" s="14">
        <v>29</v>
      </c>
      <c r="R58" s="14">
        <v>19</v>
      </c>
      <c r="S58" s="14"/>
      <c r="T58" s="13"/>
      <c r="U58" s="14">
        <v>38</v>
      </c>
      <c r="V58" s="13"/>
      <c r="W58" s="14">
        <v>40</v>
      </c>
      <c r="X58" s="13"/>
      <c r="Y58" s="14">
        <v>36</v>
      </c>
      <c r="Z58" s="13"/>
      <c r="AA58" s="4">
        <f t="shared" si="5"/>
        <v>31.25</v>
      </c>
      <c r="AB58" s="4">
        <f t="shared" si="6"/>
        <v>37.041666666666664</v>
      </c>
      <c r="AC58" s="4">
        <f t="shared" si="7"/>
        <v>1.3298130612149131</v>
      </c>
      <c r="AD58" s="3"/>
      <c r="AE58" s="3"/>
      <c r="AF58" s="3"/>
      <c r="AG58" s="3"/>
      <c r="AH58" s="3"/>
      <c r="AT58" s="12"/>
      <c r="AU58" s="12"/>
      <c r="AV58" s="11"/>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2:87" ht="24" customHeight="1" x14ac:dyDescent="0.2">
      <c r="B59" s="7">
        <f t="shared" si="8"/>
        <v>306</v>
      </c>
      <c r="C59" s="7" t="s">
        <v>122</v>
      </c>
      <c r="D59" s="7">
        <v>4</v>
      </c>
      <c r="E59" s="7">
        <v>1</v>
      </c>
      <c r="F59" s="7">
        <v>2</v>
      </c>
      <c r="G59" s="7">
        <v>1</v>
      </c>
      <c r="H59" s="7">
        <v>4</v>
      </c>
      <c r="I59" s="7" t="s">
        <v>148</v>
      </c>
      <c r="J59" s="9"/>
      <c r="K59" s="7" t="s">
        <v>2</v>
      </c>
      <c r="L59" s="6">
        <v>50</v>
      </c>
      <c r="M59" s="6"/>
      <c r="N59" s="6">
        <v>47</v>
      </c>
      <c r="O59" s="6"/>
      <c r="P59" s="6">
        <v>53</v>
      </c>
      <c r="Q59" s="6">
        <v>55</v>
      </c>
      <c r="R59" s="6">
        <v>57</v>
      </c>
      <c r="S59" s="6">
        <v>53</v>
      </c>
      <c r="T59" s="6">
        <v>52</v>
      </c>
      <c r="U59" s="6">
        <v>50</v>
      </c>
      <c r="V59" s="6"/>
      <c r="W59" s="6">
        <v>59</v>
      </c>
      <c r="X59" s="6"/>
      <c r="Y59" s="6">
        <v>47</v>
      </c>
      <c r="Z59" s="6"/>
      <c r="AA59" s="4">
        <f t="shared" ref="AA59:AA80" si="9">AVERAGE(P59:U59)</f>
        <v>53.333333333333336</v>
      </c>
      <c r="AB59" s="4">
        <f t="shared" ref="AB59:AB80" si="10">AVERAGE(AVERAGE(L59:M59),AVERAGE(N59:O59),AVERAGE(P59:U59),AVERAGE(U59:V59),AVERAGE(W59:X59),AVERAGE(Y59:Z59))</f>
        <v>51.055555555555564</v>
      </c>
      <c r="AC59" s="4">
        <f t="shared" ref="AC59:AC80" si="11">STDEV(AVERAGE(L59:M59),AVERAGE(N59:O59),AVERAGE(P59:U59),AVERAGE(U59:V59),AVERAGE(W59:X59),AVERAGE(Y59:Z59))/SQRT(6)</f>
        <v>1.856752774118712</v>
      </c>
      <c r="AD59" s="3"/>
      <c r="AE59" s="3"/>
      <c r="AF59" s="3"/>
      <c r="AG59" s="3"/>
      <c r="AH59" s="3"/>
    </row>
    <row r="60" spans="2:87" ht="24" customHeight="1" thickBot="1" x14ac:dyDescent="0.25">
      <c r="B60" s="15">
        <f t="shared" si="8"/>
        <v>306</v>
      </c>
      <c r="C60" s="15" t="s">
        <v>122</v>
      </c>
      <c r="D60" s="15">
        <v>4</v>
      </c>
      <c r="E60" s="15">
        <v>1</v>
      </c>
      <c r="F60" s="15">
        <v>2</v>
      </c>
      <c r="G60" s="15">
        <v>1</v>
      </c>
      <c r="H60" s="15">
        <v>4</v>
      </c>
      <c r="I60" s="15" t="s">
        <v>148</v>
      </c>
      <c r="J60" s="16"/>
      <c r="K60" s="15" t="s">
        <v>0</v>
      </c>
      <c r="L60" s="14">
        <v>38</v>
      </c>
      <c r="M60" s="13"/>
      <c r="N60" s="14">
        <v>36</v>
      </c>
      <c r="O60" s="13"/>
      <c r="P60" s="14">
        <v>38</v>
      </c>
      <c r="Q60" s="14">
        <v>33</v>
      </c>
      <c r="R60" s="14">
        <v>40</v>
      </c>
      <c r="S60" s="14">
        <v>37</v>
      </c>
      <c r="T60" s="13">
        <v>31</v>
      </c>
      <c r="U60" s="14">
        <v>39</v>
      </c>
      <c r="V60" s="13"/>
      <c r="W60" s="14">
        <v>44</v>
      </c>
      <c r="X60" s="13"/>
      <c r="Y60" s="14">
        <v>38</v>
      </c>
      <c r="Z60" s="13"/>
      <c r="AA60" s="4">
        <f t="shared" si="9"/>
        <v>36.333333333333336</v>
      </c>
      <c r="AB60" s="4">
        <f t="shared" si="10"/>
        <v>38.555555555555557</v>
      </c>
      <c r="AC60" s="4">
        <f t="shared" si="11"/>
        <v>1.1821720958462565</v>
      </c>
      <c r="AD60" s="3"/>
      <c r="AE60" s="3"/>
      <c r="AF60" s="3"/>
      <c r="AG60" s="3"/>
      <c r="AH60" s="3"/>
      <c r="AT60" s="12"/>
      <c r="AU60" s="12"/>
      <c r="AV60" s="11"/>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2:87" ht="24" customHeight="1" x14ac:dyDescent="0.2">
      <c r="B61" s="7">
        <f t="shared" si="8"/>
        <v>307</v>
      </c>
      <c r="C61" s="7" t="s">
        <v>115</v>
      </c>
      <c r="D61" s="7">
        <v>9</v>
      </c>
      <c r="E61" s="7">
        <v>2</v>
      </c>
      <c r="F61" s="7">
        <v>2</v>
      </c>
      <c r="G61" s="7">
        <v>2</v>
      </c>
      <c r="H61" s="7">
        <v>4</v>
      </c>
      <c r="I61" s="7" t="s">
        <v>149</v>
      </c>
      <c r="J61" s="9"/>
      <c r="K61" s="7" t="s">
        <v>2</v>
      </c>
      <c r="L61" s="6">
        <v>49</v>
      </c>
      <c r="M61" s="5"/>
      <c r="N61" s="6">
        <v>51</v>
      </c>
      <c r="O61" s="5"/>
      <c r="P61" s="6">
        <v>47</v>
      </c>
      <c r="Q61" s="6">
        <v>44</v>
      </c>
      <c r="R61" s="6">
        <v>55</v>
      </c>
      <c r="S61" s="6">
        <v>43</v>
      </c>
      <c r="T61" s="5">
        <v>57</v>
      </c>
      <c r="U61" s="6">
        <v>61</v>
      </c>
      <c r="V61" s="5"/>
      <c r="W61" s="6">
        <v>52</v>
      </c>
      <c r="X61" s="5"/>
      <c r="Y61" s="6">
        <v>43</v>
      </c>
      <c r="Z61" s="5"/>
      <c r="AA61" s="4">
        <f t="shared" si="9"/>
        <v>51.166666666666664</v>
      </c>
      <c r="AB61" s="4">
        <f t="shared" si="10"/>
        <v>51.194444444444436</v>
      </c>
      <c r="AC61" s="4">
        <f t="shared" si="11"/>
        <v>2.3720660890591336</v>
      </c>
      <c r="AD61" s="3"/>
      <c r="AE61" s="3"/>
      <c r="AF61" s="3"/>
      <c r="AG61" s="3"/>
      <c r="AH61" s="3"/>
    </row>
    <row r="62" spans="2:87" ht="24" customHeight="1" thickBot="1" x14ac:dyDescent="0.25">
      <c r="B62" s="15">
        <f t="shared" si="8"/>
        <v>307</v>
      </c>
      <c r="C62" s="15" t="s">
        <v>115</v>
      </c>
      <c r="D62" s="15">
        <v>9</v>
      </c>
      <c r="E62" s="15">
        <v>2</v>
      </c>
      <c r="F62" s="15">
        <v>2</v>
      </c>
      <c r="G62" s="15">
        <v>2</v>
      </c>
      <c r="H62" s="15">
        <v>4</v>
      </c>
      <c r="I62" s="15" t="s">
        <v>149</v>
      </c>
      <c r="J62" s="16"/>
      <c r="K62" s="15" t="s">
        <v>0</v>
      </c>
      <c r="L62" s="14">
        <v>38</v>
      </c>
      <c r="M62" s="13"/>
      <c r="N62" s="14">
        <v>37</v>
      </c>
      <c r="O62" s="13"/>
      <c r="P62" s="14">
        <v>36</v>
      </c>
      <c r="Q62" s="14">
        <v>32</v>
      </c>
      <c r="R62" s="14">
        <v>42</v>
      </c>
      <c r="S62" s="14">
        <v>33</v>
      </c>
      <c r="T62" s="13">
        <v>36</v>
      </c>
      <c r="U62" s="14">
        <v>43</v>
      </c>
      <c r="V62" s="13"/>
      <c r="W62" s="14">
        <v>39</v>
      </c>
      <c r="X62" s="13"/>
      <c r="Y62" s="14">
        <v>36</v>
      </c>
      <c r="Z62" s="13"/>
      <c r="AA62" s="4">
        <f t="shared" si="9"/>
        <v>37</v>
      </c>
      <c r="AB62" s="4">
        <f t="shared" si="10"/>
        <v>38.333333333333336</v>
      </c>
      <c r="AC62" s="4">
        <f t="shared" si="11"/>
        <v>1.0219806477837261</v>
      </c>
      <c r="AD62" s="3"/>
      <c r="AE62" s="3"/>
      <c r="AF62" s="3"/>
      <c r="AG62" s="3"/>
      <c r="AH62" s="3"/>
      <c r="AT62" s="12"/>
      <c r="AU62" s="12"/>
      <c r="AV62" s="11"/>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2:87" ht="24" customHeight="1" x14ac:dyDescent="0.2">
      <c r="B63" s="7">
        <f t="shared" si="8"/>
        <v>308</v>
      </c>
      <c r="C63" s="7" t="s">
        <v>120</v>
      </c>
      <c r="D63" s="7">
        <v>5</v>
      </c>
      <c r="E63" s="7">
        <v>1</v>
      </c>
      <c r="F63" s="7">
        <v>3</v>
      </c>
      <c r="G63" s="7">
        <v>2</v>
      </c>
      <c r="H63" s="7">
        <v>4</v>
      </c>
      <c r="I63" s="7" t="s">
        <v>150</v>
      </c>
      <c r="J63" s="9"/>
      <c r="K63" s="7" t="s">
        <v>2</v>
      </c>
      <c r="L63" s="6">
        <v>67</v>
      </c>
      <c r="M63" s="5"/>
      <c r="N63" s="6">
        <v>68</v>
      </c>
      <c r="O63" s="5"/>
      <c r="P63" s="6">
        <v>62</v>
      </c>
      <c r="Q63" s="6">
        <v>63</v>
      </c>
      <c r="R63" s="6">
        <v>61</v>
      </c>
      <c r="S63" s="6">
        <v>58</v>
      </c>
      <c r="T63" s="5">
        <v>64</v>
      </c>
      <c r="U63" s="6">
        <v>58</v>
      </c>
      <c r="V63" s="5"/>
      <c r="W63" s="6">
        <v>65</v>
      </c>
      <c r="X63" s="5"/>
      <c r="Y63" s="6">
        <v>68</v>
      </c>
      <c r="Z63" s="5"/>
      <c r="AA63" s="4">
        <f t="shared" si="9"/>
        <v>61</v>
      </c>
      <c r="AB63" s="4">
        <f t="shared" si="10"/>
        <v>64.5</v>
      </c>
      <c r="AC63" s="4">
        <f t="shared" si="11"/>
        <v>1.6881943016134136</v>
      </c>
      <c r="AD63" s="3"/>
      <c r="AE63" s="3"/>
      <c r="AF63" s="3"/>
      <c r="AG63" s="3"/>
      <c r="AH63" s="3"/>
    </row>
    <row r="64" spans="2:87" ht="24" customHeight="1" x14ac:dyDescent="0.2">
      <c r="B64" s="7">
        <f t="shared" si="8"/>
        <v>308</v>
      </c>
      <c r="C64" s="7" t="s">
        <v>120</v>
      </c>
      <c r="D64" s="7">
        <v>5</v>
      </c>
      <c r="E64" s="7">
        <v>1</v>
      </c>
      <c r="F64" s="7">
        <v>3</v>
      </c>
      <c r="G64" s="7">
        <v>2</v>
      </c>
      <c r="H64" s="7">
        <v>4</v>
      </c>
      <c r="I64" s="7" t="s">
        <v>150</v>
      </c>
      <c r="J64" s="9"/>
      <c r="K64" s="7" t="s">
        <v>0</v>
      </c>
      <c r="L64" s="6">
        <v>33</v>
      </c>
      <c r="M64" s="6"/>
      <c r="N64" s="6">
        <v>36</v>
      </c>
      <c r="O64" s="6"/>
      <c r="P64" s="6">
        <v>33</v>
      </c>
      <c r="Q64" s="6">
        <v>25</v>
      </c>
      <c r="R64" s="6">
        <v>30</v>
      </c>
      <c r="S64" s="6">
        <v>30</v>
      </c>
      <c r="T64" s="6">
        <v>27</v>
      </c>
      <c r="U64" s="6">
        <v>33</v>
      </c>
      <c r="V64" s="6"/>
      <c r="W64" s="6">
        <v>43</v>
      </c>
      <c r="X64" s="6"/>
      <c r="Y64" s="6">
        <v>42</v>
      </c>
      <c r="Z64" s="6"/>
      <c r="AA64" s="4">
        <f t="shared" si="9"/>
        <v>29.666666666666668</v>
      </c>
      <c r="AB64" s="4">
        <f t="shared" si="10"/>
        <v>36.111111111111114</v>
      </c>
      <c r="AC64" s="4">
        <f t="shared" si="11"/>
        <v>2.1835524345817423</v>
      </c>
      <c r="AD64" s="3"/>
      <c r="AE64" s="3"/>
      <c r="AF64" s="3"/>
      <c r="AG64" s="3"/>
      <c r="AH64" s="3"/>
    </row>
    <row r="65" spans="2:87" ht="24" customHeight="1" x14ac:dyDescent="0.2">
      <c r="B65" s="7">
        <f>B63+100</f>
        <v>408</v>
      </c>
      <c r="C65" s="7" t="s">
        <v>113</v>
      </c>
      <c r="D65" s="7">
        <v>10</v>
      </c>
      <c r="E65" s="7">
        <v>2</v>
      </c>
      <c r="F65" s="7">
        <v>2</v>
      </c>
      <c r="G65" s="7">
        <v>1</v>
      </c>
      <c r="H65" s="7">
        <v>4</v>
      </c>
      <c r="I65" s="7" t="s">
        <v>151</v>
      </c>
      <c r="J65" s="8">
        <v>0.50486111111111109</v>
      </c>
      <c r="K65" s="7" t="s">
        <v>2</v>
      </c>
      <c r="L65" s="6">
        <v>52</v>
      </c>
      <c r="M65" s="6"/>
      <c r="N65" s="6">
        <v>52</v>
      </c>
      <c r="O65" s="6"/>
      <c r="P65" s="6">
        <v>47</v>
      </c>
      <c r="Q65" s="6">
        <v>55</v>
      </c>
      <c r="R65" s="6">
        <v>58</v>
      </c>
      <c r="S65" s="6">
        <v>52</v>
      </c>
      <c r="T65" s="6">
        <v>44</v>
      </c>
      <c r="U65" s="6">
        <v>49</v>
      </c>
      <c r="V65" s="6"/>
      <c r="W65" s="6">
        <v>46</v>
      </c>
      <c r="X65" s="6"/>
      <c r="Y65" s="6">
        <v>47</v>
      </c>
      <c r="Z65" s="6"/>
      <c r="AA65" s="4">
        <f t="shared" si="9"/>
        <v>50.833333333333336</v>
      </c>
      <c r="AB65" s="4">
        <f t="shared" si="10"/>
        <v>49.472222222222229</v>
      </c>
      <c r="AC65" s="4">
        <f t="shared" si="11"/>
        <v>1.0491766319063116</v>
      </c>
      <c r="AT65" s="12">
        <v>2</v>
      </c>
      <c r="AU65" s="12" t="s">
        <v>3</v>
      </c>
      <c r="AV65" s="12">
        <v>150</v>
      </c>
    </row>
    <row r="66" spans="2:87" ht="24" customHeight="1" thickBot="1" x14ac:dyDescent="0.25">
      <c r="B66" s="7">
        <f>B64+100</f>
        <v>408</v>
      </c>
      <c r="C66" s="15" t="s">
        <v>113</v>
      </c>
      <c r="D66" s="15">
        <v>10</v>
      </c>
      <c r="E66" s="15">
        <v>2</v>
      </c>
      <c r="F66" s="15">
        <v>2</v>
      </c>
      <c r="G66" s="15">
        <v>1</v>
      </c>
      <c r="H66" s="15">
        <v>4</v>
      </c>
      <c r="I66" s="15" t="s">
        <v>151</v>
      </c>
      <c r="J66" s="16"/>
      <c r="K66" s="15" t="s">
        <v>0</v>
      </c>
      <c r="L66" s="14">
        <v>36</v>
      </c>
      <c r="M66" s="13"/>
      <c r="N66" s="14">
        <v>30</v>
      </c>
      <c r="O66" s="13"/>
      <c r="P66" s="14">
        <v>30</v>
      </c>
      <c r="Q66" s="14">
        <v>34</v>
      </c>
      <c r="R66" s="14">
        <v>37</v>
      </c>
      <c r="S66" s="14">
        <v>38</v>
      </c>
      <c r="T66" s="13">
        <v>39</v>
      </c>
      <c r="U66" s="14">
        <v>36</v>
      </c>
      <c r="V66" s="13"/>
      <c r="W66" s="14">
        <v>40</v>
      </c>
      <c r="X66" s="13"/>
      <c r="Y66" s="14">
        <v>33</v>
      </c>
      <c r="Z66" s="13"/>
      <c r="AA66" s="4">
        <f t="shared" si="9"/>
        <v>35.666666666666664</v>
      </c>
      <c r="AB66" s="4">
        <f t="shared" si="10"/>
        <v>35.111111111111107</v>
      </c>
      <c r="AC66" s="4">
        <f t="shared" si="11"/>
        <v>1.3707707122925457</v>
      </c>
      <c r="AD66" s="3"/>
      <c r="AE66" s="3"/>
      <c r="AF66" s="3"/>
      <c r="AG66" s="3"/>
      <c r="AH66" s="3"/>
      <c r="AT66" s="12"/>
      <c r="AU66" s="12"/>
      <c r="AV66" s="11"/>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2:87" ht="24" customHeight="1" x14ac:dyDescent="0.2">
      <c r="B67" s="7">
        <f t="shared" ref="B67:B80" si="12">B65-1</f>
        <v>407</v>
      </c>
      <c r="C67" s="7" t="s">
        <v>152</v>
      </c>
      <c r="D67" s="7">
        <v>7</v>
      </c>
      <c r="E67" s="7">
        <v>2</v>
      </c>
      <c r="F67" s="7">
        <v>1</v>
      </c>
      <c r="G67" s="7">
        <v>2</v>
      </c>
      <c r="H67" s="7">
        <v>4</v>
      </c>
      <c r="I67" s="7" t="s">
        <v>153</v>
      </c>
      <c r="J67" s="9"/>
      <c r="K67" s="7" t="s">
        <v>2</v>
      </c>
      <c r="L67" s="6">
        <v>28</v>
      </c>
      <c r="M67" s="6"/>
      <c r="N67" s="6">
        <v>41</v>
      </c>
      <c r="O67" s="6" t="s">
        <v>1</v>
      </c>
      <c r="P67" s="6">
        <v>41</v>
      </c>
      <c r="Q67" s="6">
        <v>34</v>
      </c>
      <c r="R67" s="6">
        <v>29</v>
      </c>
      <c r="S67" s="6"/>
      <c r="T67" s="6"/>
      <c r="U67" s="6">
        <v>55</v>
      </c>
      <c r="V67" s="6"/>
      <c r="W67" s="6">
        <v>42</v>
      </c>
      <c r="X67" s="6"/>
      <c r="Y67" s="6">
        <v>47</v>
      </c>
      <c r="Z67" s="6"/>
      <c r="AA67" s="4">
        <f t="shared" si="9"/>
        <v>39.75</v>
      </c>
      <c r="AB67" s="4">
        <f t="shared" si="10"/>
        <v>42.125</v>
      </c>
      <c r="AC67" s="4">
        <f t="shared" si="11"/>
        <v>3.6330370674317836</v>
      </c>
      <c r="AD67" s="3"/>
      <c r="AE67" s="3"/>
      <c r="AF67" s="3"/>
      <c r="AG67" s="3"/>
      <c r="AH67" s="3"/>
    </row>
    <row r="68" spans="2:87" ht="24" customHeight="1" thickBot="1" x14ac:dyDescent="0.25">
      <c r="B68" s="7">
        <f t="shared" si="12"/>
        <v>407</v>
      </c>
      <c r="C68" s="15" t="s">
        <v>152</v>
      </c>
      <c r="D68" s="15">
        <v>7</v>
      </c>
      <c r="E68" s="15">
        <v>2</v>
      </c>
      <c r="F68" s="15">
        <v>1</v>
      </c>
      <c r="G68" s="15">
        <v>2</v>
      </c>
      <c r="H68" s="15">
        <v>4</v>
      </c>
      <c r="I68" s="15" t="s">
        <v>153</v>
      </c>
      <c r="J68" s="16"/>
      <c r="K68" s="15" t="s">
        <v>0</v>
      </c>
      <c r="L68" s="14">
        <v>25</v>
      </c>
      <c r="M68" s="13"/>
      <c r="N68" s="14">
        <v>31</v>
      </c>
      <c r="O68" s="13"/>
      <c r="P68" s="14">
        <v>32</v>
      </c>
      <c r="Q68" s="14">
        <v>30</v>
      </c>
      <c r="R68" s="14">
        <v>19</v>
      </c>
      <c r="S68" s="14"/>
      <c r="T68" s="13"/>
      <c r="U68" s="14">
        <v>30</v>
      </c>
      <c r="V68" s="13"/>
      <c r="W68" s="14">
        <v>23</v>
      </c>
      <c r="X68" s="13"/>
      <c r="Y68" s="14">
        <v>32</v>
      </c>
      <c r="Z68" s="13"/>
      <c r="AA68" s="4">
        <f t="shared" si="9"/>
        <v>27.75</v>
      </c>
      <c r="AB68" s="4">
        <f t="shared" si="10"/>
        <v>28.125</v>
      </c>
      <c r="AC68" s="4">
        <f t="shared" si="11"/>
        <v>1.4487782208928093</v>
      </c>
      <c r="AD68" s="3"/>
      <c r="AE68" s="3"/>
      <c r="AF68" s="3"/>
      <c r="AG68" s="3"/>
      <c r="AH68" s="3"/>
      <c r="AT68" s="12"/>
      <c r="AU68" s="12"/>
      <c r="AV68" s="11"/>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2:87" ht="24" customHeight="1" x14ac:dyDescent="0.2">
      <c r="B69" s="7">
        <f t="shared" si="12"/>
        <v>406</v>
      </c>
      <c r="C69" s="7" t="s">
        <v>111</v>
      </c>
      <c r="D69" s="7">
        <v>3</v>
      </c>
      <c r="E69" s="7">
        <v>1</v>
      </c>
      <c r="F69" s="7">
        <v>2</v>
      </c>
      <c r="G69" s="7">
        <v>2</v>
      </c>
      <c r="H69" s="7">
        <v>4</v>
      </c>
      <c r="I69" s="7" t="s">
        <v>154</v>
      </c>
      <c r="J69" s="9"/>
      <c r="K69" s="7" t="s">
        <v>2</v>
      </c>
      <c r="L69" s="6">
        <v>43</v>
      </c>
      <c r="M69" s="6"/>
      <c r="N69" s="6">
        <v>66</v>
      </c>
      <c r="O69" s="6"/>
      <c r="P69" s="6">
        <v>56</v>
      </c>
      <c r="Q69" s="6">
        <v>56</v>
      </c>
      <c r="R69" s="6">
        <v>57</v>
      </c>
      <c r="S69" s="6">
        <v>47</v>
      </c>
      <c r="T69" s="6">
        <v>47</v>
      </c>
      <c r="U69" s="6">
        <v>55</v>
      </c>
      <c r="V69" s="6"/>
      <c r="W69" s="6">
        <v>57</v>
      </c>
      <c r="X69" s="6"/>
      <c r="Y69" s="6">
        <v>63</v>
      </c>
      <c r="Z69" s="6"/>
      <c r="AA69" s="4">
        <f t="shared" si="9"/>
        <v>53</v>
      </c>
      <c r="AB69" s="4">
        <f t="shared" si="10"/>
        <v>56.166666666666664</v>
      </c>
      <c r="AC69" s="4">
        <f t="shared" si="11"/>
        <v>3.3107568788890358</v>
      </c>
      <c r="AD69" s="3"/>
      <c r="AE69" s="3"/>
      <c r="AF69" s="3"/>
      <c r="AG69" s="3"/>
      <c r="AH69" s="3"/>
    </row>
    <row r="70" spans="2:87" ht="24" customHeight="1" thickBot="1" x14ac:dyDescent="0.25">
      <c r="B70" s="7">
        <f t="shared" si="12"/>
        <v>406</v>
      </c>
      <c r="C70" s="15" t="s">
        <v>111</v>
      </c>
      <c r="D70" s="15">
        <v>3</v>
      </c>
      <c r="E70" s="15">
        <v>1</v>
      </c>
      <c r="F70" s="15">
        <v>2</v>
      </c>
      <c r="G70" s="15">
        <v>2</v>
      </c>
      <c r="H70" s="15">
        <v>4</v>
      </c>
      <c r="I70" s="15" t="s">
        <v>154</v>
      </c>
      <c r="J70" s="16"/>
      <c r="K70" s="15" t="s">
        <v>0</v>
      </c>
      <c r="L70" s="14">
        <v>27</v>
      </c>
      <c r="M70" s="13"/>
      <c r="N70" s="14">
        <v>38</v>
      </c>
      <c r="O70" s="13"/>
      <c r="P70" s="14">
        <v>37</v>
      </c>
      <c r="Q70" s="14">
        <v>41</v>
      </c>
      <c r="R70" s="14">
        <v>36</v>
      </c>
      <c r="S70" s="14">
        <v>32</v>
      </c>
      <c r="T70" s="13">
        <v>27</v>
      </c>
      <c r="U70" s="14">
        <v>33</v>
      </c>
      <c r="V70" s="13"/>
      <c r="W70" s="14">
        <v>33</v>
      </c>
      <c r="X70" s="13"/>
      <c r="Y70" s="14">
        <v>38</v>
      </c>
      <c r="Z70" s="13"/>
      <c r="AA70" s="4">
        <f t="shared" si="9"/>
        <v>34.333333333333336</v>
      </c>
      <c r="AB70" s="4">
        <f t="shared" si="10"/>
        <v>33.888888888888893</v>
      </c>
      <c r="AC70" s="4">
        <f t="shared" si="11"/>
        <v>1.6637010652661985</v>
      </c>
      <c r="AD70" s="3"/>
      <c r="AE70" s="3"/>
      <c r="AF70" s="3"/>
      <c r="AG70" s="3"/>
      <c r="AH70" s="3"/>
      <c r="AT70" s="12"/>
      <c r="AU70" s="12"/>
      <c r="AV70" s="11"/>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2:87" ht="24" customHeight="1" x14ac:dyDescent="0.2">
      <c r="B71" s="7">
        <f t="shared" si="12"/>
        <v>405</v>
      </c>
      <c r="C71" s="7" t="s">
        <v>155</v>
      </c>
      <c r="D71" s="7">
        <v>6</v>
      </c>
      <c r="E71" s="7">
        <v>1</v>
      </c>
      <c r="F71" s="7">
        <v>3</v>
      </c>
      <c r="G71" s="7">
        <v>1</v>
      </c>
      <c r="H71" s="7">
        <v>4</v>
      </c>
      <c r="I71" s="7" t="s">
        <v>156</v>
      </c>
      <c r="J71" s="9"/>
      <c r="K71" s="7" t="s">
        <v>2</v>
      </c>
      <c r="L71" s="6">
        <v>72</v>
      </c>
      <c r="M71" s="6"/>
      <c r="N71" s="6">
        <v>73</v>
      </c>
      <c r="O71" s="6"/>
      <c r="P71" s="6">
        <v>69</v>
      </c>
      <c r="Q71" s="6">
        <v>68</v>
      </c>
      <c r="R71" s="6">
        <v>73</v>
      </c>
      <c r="S71" s="6">
        <v>67</v>
      </c>
      <c r="T71" s="6">
        <v>68</v>
      </c>
      <c r="U71" s="6">
        <v>70</v>
      </c>
      <c r="V71" s="6"/>
      <c r="W71" s="6">
        <v>64</v>
      </c>
      <c r="X71" s="6"/>
      <c r="Y71" s="6">
        <v>67</v>
      </c>
      <c r="Z71" s="6"/>
      <c r="AA71" s="4">
        <f t="shared" si="9"/>
        <v>69.166666666666671</v>
      </c>
      <c r="AB71" s="4">
        <f t="shared" si="10"/>
        <v>69.194444444444443</v>
      </c>
      <c r="AC71" s="4">
        <f t="shared" si="11"/>
        <v>1.3515537469387586</v>
      </c>
      <c r="AD71" s="3"/>
      <c r="AE71" s="3"/>
      <c r="AF71" s="3"/>
      <c r="AG71" s="3"/>
      <c r="AH71" s="3"/>
    </row>
    <row r="72" spans="2:87" ht="24" customHeight="1" thickBot="1" x14ac:dyDescent="0.25">
      <c r="B72" s="7">
        <f t="shared" si="12"/>
        <v>405</v>
      </c>
      <c r="C72" s="15" t="s">
        <v>155</v>
      </c>
      <c r="D72" s="15">
        <v>6</v>
      </c>
      <c r="E72" s="15">
        <v>1</v>
      </c>
      <c r="F72" s="15">
        <v>3</v>
      </c>
      <c r="G72" s="15">
        <v>1</v>
      </c>
      <c r="H72" s="15">
        <v>4</v>
      </c>
      <c r="I72" s="15" t="s">
        <v>156</v>
      </c>
      <c r="J72" s="16"/>
      <c r="K72" s="15" t="s">
        <v>0</v>
      </c>
      <c r="L72" s="14">
        <v>35</v>
      </c>
      <c r="M72" s="13"/>
      <c r="N72" s="14">
        <v>37</v>
      </c>
      <c r="O72" s="13"/>
      <c r="P72" s="14">
        <v>31</v>
      </c>
      <c r="Q72" s="14">
        <v>30</v>
      </c>
      <c r="R72" s="14">
        <v>33</v>
      </c>
      <c r="S72" s="14">
        <v>32</v>
      </c>
      <c r="T72" s="13">
        <v>33</v>
      </c>
      <c r="U72" s="14">
        <v>38</v>
      </c>
      <c r="V72" s="13"/>
      <c r="W72" s="14">
        <v>30</v>
      </c>
      <c r="X72" s="13"/>
      <c r="Y72" s="14">
        <v>32</v>
      </c>
      <c r="Z72" s="13"/>
      <c r="AA72" s="4">
        <f t="shared" si="9"/>
        <v>32.833333333333336</v>
      </c>
      <c r="AB72" s="4">
        <f t="shared" si="10"/>
        <v>34.138888888888893</v>
      </c>
      <c r="AC72" s="4">
        <f t="shared" si="11"/>
        <v>1.2549285553418352</v>
      </c>
      <c r="AD72" s="3"/>
      <c r="AE72" s="3"/>
      <c r="AF72" s="3"/>
      <c r="AG72" s="3"/>
      <c r="AH72" s="3"/>
      <c r="AT72" s="12"/>
      <c r="AU72" s="12"/>
      <c r="AV72" s="11"/>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2:87" ht="24" customHeight="1" thickBot="1" x14ac:dyDescent="0.25">
      <c r="B73" s="7">
        <f t="shared" si="12"/>
        <v>404</v>
      </c>
      <c r="C73" s="7" t="s">
        <v>111</v>
      </c>
      <c r="D73" s="7">
        <v>3</v>
      </c>
      <c r="E73" s="7">
        <v>1</v>
      </c>
      <c r="F73" s="7">
        <v>2</v>
      </c>
      <c r="G73" s="7">
        <v>2</v>
      </c>
      <c r="H73" s="7">
        <v>3</v>
      </c>
      <c r="I73" s="7" t="s">
        <v>157</v>
      </c>
      <c r="J73" s="16"/>
      <c r="K73" s="7" t="s">
        <v>2</v>
      </c>
      <c r="L73" s="6">
        <v>51</v>
      </c>
      <c r="M73" s="6"/>
      <c r="N73" s="6">
        <v>59</v>
      </c>
      <c r="O73" s="6"/>
      <c r="P73" s="6">
        <v>54</v>
      </c>
      <c r="Q73" s="6">
        <v>52</v>
      </c>
      <c r="R73" s="6">
        <v>37</v>
      </c>
      <c r="S73" s="6">
        <v>45</v>
      </c>
      <c r="T73" s="6">
        <v>46</v>
      </c>
      <c r="U73" s="6">
        <v>56</v>
      </c>
      <c r="V73" s="6"/>
      <c r="W73" s="6">
        <v>53</v>
      </c>
      <c r="X73" s="6"/>
      <c r="Y73" s="6">
        <v>35</v>
      </c>
      <c r="Z73" s="6"/>
      <c r="AA73" s="4">
        <f t="shared" si="9"/>
        <v>48.333333333333336</v>
      </c>
      <c r="AB73" s="4">
        <f t="shared" si="10"/>
        <v>50.388888888888893</v>
      </c>
      <c r="AC73" s="4">
        <f t="shared" si="11"/>
        <v>3.4344838058062757</v>
      </c>
      <c r="AD73" s="3"/>
      <c r="AE73" s="3"/>
      <c r="AF73" s="3"/>
      <c r="AG73" s="3"/>
      <c r="AH73" s="3"/>
    </row>
    <row r="74" spans="2:87" ht="24" customHeight="1" thickBot="1" x14ac:dyDescent="0.25">
      <c r="B74" s="7">
        <f t="shared" si="12"/>
        <v>404</v>
      </c>
      <c r="C74" s="15" t="s">
        <v>111</v>
      </c>
      <c r="D74" s="15">
        <v>3</v>
      </c>
      <c r="E74" s="15">
        <v>1</v>
      </c>
      <c r="F74" s="15">
        <v>2</v>
      </c>
      <c r="G74" s="15">
        <v>2</v>
      </c>
      <c r="H74" s="15">
        <v>3</v>
      </c>
      <c r="I74" s="15" t="s">
        <v>157</v>
      </c>
      <c r="J74" s="16"/>
      <c r="K74" s="15" t="s">
        <v>0</v>
      </c>
      <c r="L74" s="14">
        <v>40</v>
      </c>
      <c r="M74" s="13"/>
      <c r="N74" s="14">
        <v>36</v>
      </c>
      <c r="O74" s="13"/>
      <c r="P74" s="14">
        <v>35</v>
      </c>
      <c r="Q74" s="14">
        <v>31</v>
      </c>
      <c r="R74" s="14">
        <v>26</v>
      </c>
      <c r="S74" s="14">
        <v>39</v>
      </c>
      <c r="T74" s="13">
        <v>35</v>
      </c>
      <c r="U74" s="14">
        <v>42</v>
      </c>
      <c r="V74" s="13"/>
      <c r="W74" s="14">
        <v>38</v>
      </c>
      <c r="X74" s="13"/>
      <c r="Y74" s="14">
        <v>27</v>
      </c>
      <c r="Z74" s="13"/>
      <c r="AA74" s="4">
        <f t="shared" si="9"/>
        <v>34.666666666666664</v>
      </c>
      <c r="AB74" s="4">
        <f t="shared" si="10"/>
        <v>36.277777777777779</v>
      </c>
      <c r="AC74" s="4">
        <f t="shared" si="11"/>
        <v>2.1472060513980704</v>
      </c>
      <c r="AD74" s="3"/>
      <c r="AE74" s="3"/>
      <c r="AF74" s="3"/>
      <c r="AG74" s="3"/>
      <c r="AH74" s="3"/>
      <c r="AT74" s="12"/>
      <c r="AU74" s="12"/>
      <c r="AV74" s="11"/>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2:87" ht="24" customHeight="1" x14ac:dyDescent="0.2">
      <c r="B75" s="7">
        <f t="shared" si="12"/>
        <v>403</v>
      </c>
      <c r="C75" s="7" t="s">
        <v>155</v>
      </c>
      <c r="D75" s="7">
        <v>6</v>
      </c>
      <c r="E75" s="7">
        <v>1</v>
      </c>
      <c r="F75" s="7">
        <v>3</v>
      </c>
      <c r="G75" s="7">
        <v>1</v>
      </c>
      <c r="H75" s="7">
        <v>3</v>
      </c>
      <c r="I75" s="7" t="s">
        <v>158</v>
      </c>
      <c r="J75" s="9"/>
      <c r="K75" s="7" t="s">
        <v>2</v>
      </c>
      <c r="L75" s="6">
        <v>68</v>
      </c>
      <c r="M75" s="6"/>
      <c r="N75" s="6">
        <v>76</v>
      </c>
      <c r="O75" s="6"/>
      <c r="P75" s="6">
        <v>72</v>
      </c>
      <c r="Q75" s="6">
        <v>58</v>
      </c>
      <c r="R75" s="6">
        <v>59</v>
      </c>
      <c r="S75" s="6">
        <v>65</v>
      </c>
      <c r="T75" s="6">
        <v>53</v>
      </c>
      <c r="U75" s="6">
        <v>56</v>
      </c>
      <c r="V75" s="6"/>
      <c r="W75" s="6">
        <v>61</v>
      </c>
      <c r="X75" s="6"/>
      <c r="Y75" s="6">
        <v>70</v>
      </c>
      <c r="Z75" s="6"/>
      <c r="AA75" s="4">
        <f t="shared" si="9"/>
        <v>60.5</v>
      </c>
      <c r="AB75" s="4">
        <f t="shared" si="10"/>
        <v>65.25</v>
      </c>
      <c r="AC75" s="4">
        <f t="shared" si="11"/>
        <v>3.0103986446980739</v>
      </c>
      <c r="AD75" s="3"/>
      <c r="AE75" s="3"/>
      <c r="AF75" s="3"/>
      <c r="AG75" s="3"/>
      <c r="AH75" s="3"/>
    </row>
    <row r="76" spans="2:87" ht="24" customHeight="1" thickBot="1" x14ac:dyDescent="0.25">
      <c r="B76" s="7">
        <f t="shared" si="12"/>
        <v>403</v>
      </c>
      <c r="C76" s="15" t="s">
        <v>155</v>
      </c>
      <c r="D76" s="15">
        <v>6</v>
      </c>
      <c r="E76" s="15">
        <v>1</v>
      </c>
      <c r="F76" s="15">
        <v>3</v>
      </c>
      <c r="G76" s="15">
        <v>1</v>
      </c>
      <c r="H76" s="15">
        <v>3</v>
      </c>
      <c r="I76" s="15" t="s">
        <v>158</v>
      </c>
      <c r="J76" s="16"/>
      <c r="K76" s="15" t="s">
        <v>0</v>
      </c>
      <c r="L76" s="14">
        <v>31</v>
      </c>
      <c r="M76" s="13"/>
      <c r="N76" s="14">
        <v>33</v>
      </c>
      <c r="O76" s="13"/>
      <c r="P76" s="14">
        <v>30</v>
      </c>
      <c r="Q76" s="14">
        <v>28</v>
      </c>
      <c r="R76" s="14">
        <v>24</v>
      </c>
      <c r="S76" s="14">
        <v>28</v>
      </c>
      <c r="T76" s="13">
        <v>20</v>
      </c>
      <c r="U76" s="14">
        <v>27</v>
      </c>
      <c r="V76" s="13"/>
      <c r="W76" s="14">
        <v>28</v>
      </c>
      <c r="X76" s="13"/>
      <c r="Y76" s="14">
        <v>30</v>
      </c>
      <c r="Z76" s="13"/>
      <c r="AA76" s="4">
        <f t="shared" si="9"/>
        <v>26.166666666666668</v>
      </c>
      <c r="AB76" s="4">
        <f t="shared" si="10"/>
        <v>29.194444444444446</v>
      </c>
      <c r="AC76" s="4">
        <f t="shared" si="11"/>
        <v>1.0614600938632586</v>
      </c>
      <c r="AD76" s="3"/>
      <c r="AE76" s="3"/>
      <c r="AF76" s="3"/>
      <c r="AG76" s="3"/>
      <c r="AH76" s="3"/>
      <c r="AT76" s="12"/>
      <c r="AU76" s="12"/>
      <c r="AV76" s="11"/>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2:87" ht="24" customHeight="1" x14ac:dyDescent="0.2">
      <c r="B77" s="7">
        <f t="shared" si="12"/>
        <v>402</v>
      </c>
      <c r="C77" s="7" t="s">
        <v>115</v>
      </c>
      <c r="D77" s="7">
        <v>9</v>
      </c>
      <c r="E77" s="7">
        <v>2</v>
      </c>
      <c r="F77" s="7">
        <v>2</v>
      </c>
      <c r="G77" s="7">
        <v>2</v>
      </c>
      <c r="H77" s="7">
        <v>3</v>
      </c>
      <c r="I77" s="7" t="s">
        <v>159</v>
      </c>
      <c r="J77" s="9"/>
      <c r="K77" s="7" t="s">
        <v>2</v>
      </c>
      <c r="L77" s="6">
        <v>50</v>
      </c>
      <c r="M77" s="5"/>
      <c r="N77" s="6">
        <v>54</v>
      </c>
      <c r="O77" s="5"/>
      <c r="P77" s="6">
        <v>47</v>
      </c>
      <c r="Q77" s="6">
        <v>42</v>
      </c>
      <c r="R77" s="6">
        <v>51</v>
      </c>
      <c r="S77" s="6">
        <v>42</v>
      </c>
      <c r="T77" s="5">
        <v>50</v>
      </c>
      <c r="U77" s="6">
        <v>55</v>
      </c>
      <c r="V77" s="5"/>
      <c r="W77" s="6">
        <v>60</v>
      </c>
      <c r="X77" s="5"/>
      <c r="Y77" s="6">
        <v>54</v>
      </c>
      <c r="Z77" s="5"/>
      <c r="AA77" s="4">
        <f t="shared" si="9"/>
        <v>47.833333333333336</v>
      </c>
      <c r="AB77" s="4">
        <f t="shared" si="10"/>
        <v>53.472222222222229</v>
      </c>
      <c r="AC77" s="4">
        <f t="shared" si="11"/>
        <v>1.7258474390038214</v>
      </c>
      <c r="AD77" s="3"/>
      <c r="AE77" s="3"/>
      <c r="AF77" s="3"/>
      <c r="AG77" s="3"/>
      <c r="AH77" s="3"/>
    </row>
    <row r="78" spans="2:87" ht="24" customHeight="1" thickBot="1" x14ac:dyDescent="0.25">
      <c r="B78" s="7">
        <f t="shared" si="12"/>
        <v>402</v>
      </c>
      <c r="C78" s="15" t="s">
        <v>115</v>
      </c>
      <c r="D78" s="15">
        <v>9</v>
      </c>
      <c r="E78" s="15">
        <v>2</v>
      </c>
      <c r="F78" s="15">
        <v>2</v>
      </c>
      <c r="G78" s="15">
        <v>2</v>
      </c>
      <c r="H78" s="15">
        <v>3</v>
      </c>
      <c r="I78" s="15" t="s">
        <v>159</v>
      </c>
      <c r="J78" s="16"/>
      <c r="K78" s="15" t="s">
        <v>0</v>
      </c>
      <c r="L78" s="14">
        <v>30</v>
      </c>
      <c r="M78" s="13"/>
      <c r="N78" s="14">
        <v>33</v>
      </c>
      <c r="O78" s="13"/>
      <c r="P78" s="14">
        <v>26</v>
      </c>
      <c r="Q78" s="14">
        <v>29</v>
      </c>
      <c r="R78" s="14">
        <v>38</v>
      </c>
      <c r="S78" s="14">
        <v>32</v>
      </c>
      <c r="T78" s="13">
        <v>35</v>
      </c>
      <c r="U78" s="14">
        <v>33</v>
      </c>
      <c r="V78" s="13"/>
      <c r="W78" s="14">
        <v>29</v>
      </c>
      <c r="X78" s="13"/>
      <c r="Y78" s="14">
        <v>26</v>
      </c>
      <c r="Z78" s="13"/>
      <c r="AA78" s="4">
        <f t="shared" si="9"/>
        <v>32.166666666666664</v>
      </c>
      <c r="AB78" s="4">
        <f t="shared" si="10"/>
        <v>30.527777777777775</v>
      </c>
      <c r="AC78" s="4">
        <f t="shared" si="11"/>
        <v>1.1258056100432874</v>
      </c>
      <c r="AD78" s="3"/>
      <c r="AE78" s="3"/>
      <c r="AF78" s="3"/>
      <c r="AG78" s="3"/>
      <c r="AH78" s="3"/>
      <c r="AT78" s="12"/>
      <c r="AU78" s="12"/>
      <c r="AV78" s="11"/>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2:87" ht="24" customHeight="1" x14ac:dyDescent="0.2">
      <c r="B79" s="7">
        <f t="shared" si="12"/>
        <v>401</v>
      </c>
      <c r="C79" s="7" t="s">
        <v>152</v>
      </c>
      <c r="D79" s="7">
        <v>7</v>
      </c>
      <c r="E79" s="7">
        <v>2</v>
      </c>
      <c r="F79" s="7">
        <v>1</v>
      </c>
      <c r="G79" s="7">
        <v>2</v>
      </c>
      <c r="H79" s="7">
        <v>3</v>
      </c>
      <c r="I79" s="7" t="s">
        <v>160</v>
      </c>
      <c r="J79" s="9"/>
      <c r="K79" s="7" t="s">
        <v>2</v>
      </c>
      <c r="L79" s="6">
        <v>39</v>
      </c>
      <c r="M79" s="5"/>
      <c r="N79" s="6">
        <v>33</v>
      </c>
      <c r="O79" s="5" t="s">
        <v>1</v>
      </c>
      <c r="P79" s="6">
        <v>0</v>
      </c>
      <c r="Q79" s="6">
        <v>40</v>
      </c>
      <c r="R79" s="6">
        <v>52</v>
      </c>
      <c r="S79" s="6"/>
      <c r="T79" s="5"/>
      <c r="U79" s="6">
        <v>36</v>
      </c>
      <c r="V79" s="5"/>
      <c r="W79" s="6">
        <v>48</v>
      </c>
      <c r="X79" s="5"/>
      <c r="Y79" s="6">
        <v>38</v>
      </c>
      <c r="Z79" s="5"/>
      <c r="AA79" s="4">
        <f t="shared" si="9"/>
        <v>32</v>
      </c>
      <c r="AB79" s="4">
        <f t="shared" si="10"/>
        <v>37.666666666666664</v>
      </c>
      <c r="AC79" s="4">
        <f t="shared" si="11"/>
        <v>2.3475755815545392</v>
      </c>
      <c r="AD79" s="3"/>
      <c r="AE79" s="3"/>
      <c r="AF79" s="3"/>
      <c r="AG79" s="3"/>
      <c r="AH79" s="3"/>
    </row>
    <row r="80" spans="2:87" ht="24" customHeight="1" x14ac:dyDescent="0.2">
      <c r="B80" s="7">
        <f t="shared" si="12"/>
        <v>401</v>
      </c>
      <c r="C80" s="7" t="s">
        <v>152</v>
      </c>
      <c r="D80" s="7">
        <v>7</v>
      </c>
      <c r="E80" s="7">
        <v>2</v>
      </c>
      <c r="F80" s="7">
        <v>1</v>
      </c>
      <c r="G80" s="7">
        <v>2</v>
      </c>
      <c r="H80" s="7">
        <v>3</v>
      </c>
      <c r="I80" s="7" t="s">
        <v>160</v>
      </c>
      <c r="J80" s="8">
        <v>0.52083333333333337</v>
      </c>
      <c r="K80" s="7" t="s">
        <v>0</v>
      </c>
      <c r="L80" s="6">
        <v>28</v>
      </c>
      <c r="M80" s="5"/>
      <c r="N80" s="6">
        <v>29</v>
      </c>
      <c r="O80" s="5"/>
      <c r="P80" s="6">
        <v>0</v>
      </c>
      <c r="Q80" s="6">
        <v>23</v>
      </c>
      <c r="R80" s="6">
        <v>30</v>
      </c>
      <c r="S80" s="6"/>
      <c r="T80" s="5"/>
      <c r="U80" s="6">
        <v>33</v>
      </c>
      <c r="V80" s="5"/>
      <c r="W80" s="6">
        <v>33</v>
      </c>
      <c r="X80" s="5"/>
      <c r="Y80" s="6">
        <v>27</v>
      </c>
      <c r="Z80" s="5"/>
      <c r="AA80" s="4">
        <f t="shared" si="9"/>
        <v>21.5</v>
      </c>
      <c r="AB80" s="4">
        <f t="shared" si="10"/>
        <v>28.583333333333332</v>
      </c>
      <c r="AC80" s="4">
        <f t="shared" si="11"/>
        <v>1.7531717289276316</v>
      </c>
      <c r="AD80" s="3"/>
      <c r="AE80" s="3"/>
      <c r="AF80" s="3"/>
      <c r="AG80" s="3"/>
      <c r="AH80" s="3"/>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sheetData>
  <mergeCells count="12">
    <mergeCell ref="AT5:AV5"/>
    <mergeCell ref="J7:K7"/>
    <mergeCell ref="B7:H7"/>
    <mergeCell ref="AA6:AA7"/>
    <mergeCell ref="AB6:AB7"/>
    <mergeCell ref="AC6:AC7"/>
    <mergeCell ref="L6:M6"/>
    <mergeCell ref="N6:O6"/>
    <mergeCell ref="W6:X6"/>
    <mergeCell ref="Y6:Z6"/>
    <mergeCell ref="P6:T6"/>
    <mergeCell ref="U6:V6"/>
  </mergeCells>
  <pageMargins left="0.51" right="0" top="0.85" bottom="0" header="0.64" footer="0"/>
  <pageSetup paperSize="512" scale="30" orientation="landscape" r:id="rId1"/>
  <headerFooter alignWithMargins="0">
    <oddHeader xml:space="preserve">&amp;L&amp;"Comic Sans MS,Bold"&amp;14FISE2003 ---Cotton Plant Cover and Heights in North 1 m of Harvest Area&amp;C&amp;"Comic Sans MS,Bold"&amp;12       </oddHeader>
    <oddFooter>&amp;L&amp;F   USWCL Remote Sensing&amp;R&amp;D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6D20F-8A80-41DC-86DD-EE6380B31EA5}">
  <sheetPr>
    <pageSetUpPr fitToPage="1"/>
  </sheetPr>
  <dimension ref="A1:CI87"/>
  <sheetViews>
    <sheetView workbookViewId="0">
      <selection activeCell="N2" sqref="N2"/>
    </sheetView>
  </sheetViews>
  <sheetFormatPr defaultRowHeight="12.75" x14ac:dyDescent="0.2"/>
  <cols>
    <col min="1" max="1" width="9.140625" style="1"/>
    <col min="2" max="2" width="4.85546875" style="1" customWidth="1"/>
    <col min="3" max="3" width="5.7109375" style="1" customWidth="1"/>
    <col min="4" max="8" width="5.28515625" style="1" hidden="1" customWidth="1"/>
    <col min="9" max="9" width="7" style="1" hidden="1" customWidth="1"/>
    <col min="10" max="11" width="9" style="1" customWidth="1"/>
    <col min="12" max="13" width="9.140625" style="1"/>
    <col min="14" max="14" width="9.7109375" style="1" customWidth="1"/>
    <col min="15" max="25" width="9.140625" style="1"/>
    <col min="26" max="26" width="10.140625" style="1" customWidth="1"/>
    <col min="27" max="27" width="12.7109375" style="1" customWidth="1"/>
    <col min="28" max="35" width="9.140625" style="1"/>
    <col min="36" max="36" width="7.5703125" style="1" customWidth="1"/>
    <col min="37" max="46" width="7.7109375" style="1" customWidth="1"/>
    <col min="47" max="16384" width="9.140625" style="1"/>
  </cols>
  <sheetData>
    <row r="1" spans="1:87" ht="15" customHeight="1" x14ac:dyDescent="0.25">
      <c r="A1" s="44" t="s">
        <v>82</v>
      </c>
    </row>
    <row r="2" spans="1:87" ht="15" customHeight="1" thickBot="1" x14ac:dyDescent="0.3">
      <c r="A2" s="44"/>
      <c r="N2" s="43"/>
      <c r="X2" s="20" t="s">
        <v>81</v>
      </c>
      <c r="Y2" s="42">
        <v>37797</v>
      </c>
      <c r="Z2" s="39"/>
    </row>
    <row r="3" spans="1:87" ht="15" customHeight="1" thickBot="1" x14ac:dyDescent="0.25">
      <c r="B3" s="1" t="s">
        <v>80</v>
      </c>
      <c r="D3" s="41"/>
      <c r="E3" s="41"/>
      <c r="F3" s="41"/>
      <c r="G3" s="41"/>
      <c r="H3" s="41"/>
      <c r="I3" s="41"/>
      <c r="J3" s="41" t="s">
        <v>85</v>
      </c>
      <c r="K3" s="41"/>
      <c r="L3" s="41"/>
      <c r="M3" s="41"/>
      <c r="N3" s="41"/>
      <c r="O3" s="41"/>
      <c r="P3" s="41"/>
      <c r="Q3" s="41"/>
      <c r="R3" s="41"/>
      <c r="S3" s="41"/>
      <c r="T3" s="41"/>
      <c r="U3" s="41"/>
      <c r="V3" s="41"/>
    </row>
    <row r="4" spans="1:87" ht="13.5" thickBot="1" x14ac:dyDescent="0.25">
      <c r="D4" s="40"/>
      <c r="E4" s="40"/>
      <c r="F4" s="40"/>
      <c r="G4" s="40"/>
      <c r="H4" s="40"/>
      <c r="I4" s="40"/>
      <c r="J4" s="40" t="s">
        <v>84</v>
      </c>
      <c r="K4" s="40"/>
      <c r="L4" s="40"/>
      <c r="M4" s="40"/>
      <c r="N4" s="40"/>
      <c r="O4" s="40"/>
      <c r="P4" s="40"/>
      <c r="Q4" s="40"/>
      <c r="R4" s="40"/>
      <c r="S4" s="40"/>
      <c r="T4" s="40"/>
      <c r="U4" s="40"/>
      <c r="V4" s="40"/>
      <c r="X4" s="20" t="s">
        <v>78</v>
      </c>
      <c r="Y4" s="39">
        <v>176</v>
      </c>
      <c r="Z4" s="39"/>
    </row>
    <row r="5" spans="1:87" ht="18" x14ac:dyDescent="0.2">
      <c r="AS5" s="38"/>
      <c r="AT5" s="134" t="s">
        <v>76</v>
      </c>
      <c r="AU5" s="134"/>
      <c r="AV5" s="134"/>
    </row>
    <row r="6" spans="1:87" ht="25.5" customHeight="1" x14ac:dyDescent="0.2">
      <c r="B6" s="36" t="s">
        <v>51</v>
      </c>
      <c r="C6" s="37" t="s">
        <v>50</v>
      </c>
      <c r="D6" s="37" t="s">
        <v>75</v>
      </c>
      <c r="E6" s="36" t="s">
        <v>74</v>
      </c>
      <c r="F6" s="37" t="s">
        <v>73</v>
      </c>
      <c r="G6" s="36" t="s">
        <v>72</v>
      </c>
      <c r="H6" s="36" t="s">
        <v>45</v>
      </c>
      <c r="I6" s="36" t="s">
        <v>71</v>
      </c>
      <c r="J6" s="36" t="s">
        <v>43</v>
      </c>
      <c r="K6" s="35" t="s">
        <v>70</v>
      </c>
      <c r="L6" s="143" t="s">
        <v>69</v>
      </c>
      <c r="M6" s="144"/>
      <c r="N6" s="143" t="s">
        <v>68</v>
      </c>
      <c r="O6" s="144"/>
      <c r="P6" s="143" t="s">
        <v>67</v>
      </c>
      <c r="Q6" s="145"/>
      <c r="R6" s="145"/>
      <c r="S6" s="145"/>
      <c r="T6" s="144"/>
      <c r="U6" s="143" t="s">
        <v>66</v>
      </c>
      <c r="V6" s="144"/>
      <c r="W6" s="143" t="s">
        <v>65</v>
      </c>
      <c r="X6" s="144"/>
      <c r="Y6" s="143" t="s">
        <v>64</v>
      </c>
      <c r="Z6" s="144"/>
      <c r="AA6" s="139" t="s">
        <v>63</v>
      </c>
      <c r="AB6" s="139" t="s">
        <v>62</v>
      </c>
      <c r="AC6" s="141" t="s">
        <v>61</v>
      </c>
      <c r="AS6" s="34"/>
      <c r="AT6" s="2" t="s">
        <v>60</v>
      </c>
      <c r="AU6" s="2"/>
    </row>
    <row r="7" spans="1:87" ht="15.75" customHeight="1" x14ac:dyDescent="0.2">
      <c r="B7" s="137"/>
      <c r="C7" s="138"/>
      <c r="D7" s="138"/>
      <c r="E7" s="138"/>
      <c r="F7" s="138"/>
      <c r="G7" s="138"/>
      <c r="H7" s="138"/>
      <c r="I7" s="33"/>
      <c r="J7" s="135" t="s">
        <v>59</v>
      </c>
      <c r="K7" s="136"/>
      <c r="L7" s="32" t="s">
        <v>55</v>
      </c>
      <c r="M7" s="31" t="s">
        <v>54</v>
      </c>
      <c r="N7" s="32" t="s">
        <v>55</v>
      </c>
      <c r="O7" s="31" t="s">
        <v>54</v>
      </c>
      <c r="P7" s="32" t="s">
        <v>58</v>
      </c>
      <c r="Q7" s="31" t="s">
        <v>55</v>
      </c>
      <c r="R7" s="31" t="s">
        <v>57</v>
      </c>
      <c r="S7" s="31" t="s">
        <v>54</v>
      </c>
      <c r="T7" s="31" t="s">
        <v>56</v>
      </c>
      <c r="U7" s="32" t="s">
        <v>55</v>
      </c>
      <c r="V7" s="31" t="s">
        <v>54</v>
      </c>
      <c r="W7" s="32" t="s">
        <v>55</v>
      </c>
      <c r="X7" s="31" t="s">
        <v>54</v>
      </c>
      <c r="Y7" s="32" t="s">
        <v>55</v>
      </c>
      <c r="Z7" s="31" t="s">
        <v>54</v>
      </c>
      <c r="AA7" s="140"/>
      <c r="AB7" s="140"/>
      <c r="AC7" s="142"/>
      <c r="AT7" s="12" t="s">
        <v>7</v>
      </c>
      <c r="AU7" s="12" t="s">
        <v>53</v>
      </c>
      <c r="AV7" s="12" t="s">
        <v>52</v>
      </c>
    </row>
    <row r="8" spans="1:87" ht="15.75" hidden="1" customHeight="1" x14ac:dyDescent="0.2">
      <c r="B8" s="28" t="s">
        <v>51</v>
      </c>
      <c r="C8" s="30" t="s">
        <v>50</v>
      </c>
      <c r="D8" s="30" t="s">
        <v>49</v>
      </c>
      <c r="E8" s="28" t="s">
        <v>48</v>
      </c>
      <c r="F8" s="30" t="s">
        <v>47</v>
      </c>
      <c r="G8" s="28" t="s">
        <v>46</v>
      </c>
      <c r="H8" s="28" t="s">
        <v>45</v>
      </c>
      <c r="I8" s="28" t="s">
        <v>44</v>
      </c>
      <c r="J8" s="27" t="s">
        <v>43</v>
      </c>
      <c r="K8" s="27" t="s">
        <v>42</v>
      </c>
      <c r="L8" s="29" t="s">
        <v>41</v>
      </c>
      <c r="M8" s="29" t="s">
        <v>40</v>
      </c>
      <c r="N8" s="29" t="s">
        <v>39</v>
      </c>
      <c r="O8" s="29" t="s">
        <v>38</v>
      </c>
      <c r="P8" s="29" t="s">
        <v>37</v>
      </c>
      <c r="Q8" s="29" t="s">
        <v>36</v>
      </c>
      <c r="R8" s="29" t="s">
        <v>35</v>
      </c>
      <c r="S8" s="29" t="s">
        <v>34</v>
      </c>
      <c r="T8" s="29" t="s">
        <v>33</v>
      </c>
      <c r="U8" s="29" t="s">
        <v>32</v>
      </c>
      <c r="V8" s="29" t="s">
        <v>31</v>
      </c>
      <c r="W8" s="29" t="s">
        <v>30</v>
      </c>
      <c r="X8" s="29" t="s">
        <v>29</v>
      </c>
      <c r="Y8" s="29" t="s">
        <v>28</v>
      </c>
      <c r="Z8" s="29" t="s">
        <v>27</v>
      </c>
      <c r="AA8" s="28" t="s">
        <v>26</v>
      </c>
      <c r="AB8" s="28" t="s">
        <v>25</v>
      </c>
      <c r="AC8" s="27" t="s">
        <v>24</v>
      </c>
      <c r="AT8" s="12"/>
      <c r="AU8" s="12"/>
      <c r="AV8" s="12"/>
    </row>
    <row r="9" spans="1:87" ht="24" customHeight="1" x14ac:dyDescent="0.2">
      <c r="B9" s="7">
        <v>108</v>
      </c>
      <c r="C9" s="7" t="s">
        <v>111</v>
      </c>
      <c r="D9" s="7">
        <v>3</v>
      </c>
      <c r="E9" s="7">
        <v>1</v>
      </c>
      <c r="F9" s="7">
        <v>2</v>
      </c>
      <c r="G9" s="7">
        <v>2</v>
      </c>
      <c r="H9" s="7">
        <v>2</v>
      </c>
      <c r="I9" s="7" t="s">
        <v>112</v>
      </c>
      <c r="J9" s="7"/>
      <c r="K9" s="7" t="s">
        <v>2</v>
      </c>
      <c r="L9" s="6">
        <v>56</v>
      </c>
      <c r="M9" s="5"/>
      <c r="N9" s="6">
        <v>58</v>
      </c>
      <c r="O9" s="5"/>
      <c r="P9" s="6">
        <v>56</v>
      </c>
      <c r="Q9" s="6">
        <v>53</v>
      </c>
      <c r="R9" s="6">
        <v>53</v>
      </c>
      <c r="S9" s="6"/>
      <c r="T9" s="5"/>
      <c r="U9" s="6">
        <v>62</v>
      </c>
      <c r="V9" s="5"/>
      <c r="W9" s="6">
        <v>63</v>
      </c>
      <c r="X9" s="5"/>
      <c r="Y9" s="6">
        <v>56</v>
      </c>
      <c r="Z9" s="5"/>
      <c r="AA9" s="4">
        <f>AVERAGE(P9:U9)</f>
        <v>56</v>
      </c>
      <c r="AB9" s="4">
        <f>AVERAGE(AVERAGE(L9:M9),AVERAGE(N9:O9),AVERAGE(P9:U9),AVERAGE(U9:V9),AVERAGE(W9:X9),AVERAGE(Y9:Z9))</f>
        <v>58.5</v>
      </c>
      <c r="AC9" s="4">
        <f>STDEV(AVERAGE(L9:M9),AVERAGE(N9:O9),AVERAGE(P9:U9),AVERAGE(U9:V9),AVERAGE(W9:X9),AVERAGE(Y9:Z9))/SQRT(6)</f>
        <v>1.3102162671355699</v>
      </c>
      <c r="AD9" s="3"/>
      <c r="AE9" s="3"/>
      <c r="AF9" s="3"/>
      <c r="AG9" s="3"/>
      <c r="AH9" s="3"/>
      <c r="AT9" s="12">
        <v>1</v>
      </c>
      <c r="AU9" s="12" t="s">
        <v>23</v>
      </c>
      <c r="AV9" s="11"/>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24" customHeight="1" thickBot="1" x14ac:dyDescent="0.25">
      <c r="B10" s="15">
        <v>108</v>
      </c>
      <c r="C10" s="15" t="s">
        <v>111</v>
      </c>
      <c r="D10" s="15">
        <v>3</v>
      </c>
      <c r="E10" s="15">
        <v>1</v>
      </c>
      <c r="F10" s="15">
        <v>2</v>
      </c>
      <c r="G10" s="15">
        <v>2</v>
      </c>
      <c r="H10" s="15">
        <v>2</v>
      </c>
      <c r="I10" s="15" t="s">
        <v>112</v>
      </c>
      <c r="J10" s="16"/>
      <c r="K10" s="15" t="s">
        <v>0</v>
      </c>
      <c r="L10" s="14">
        <v>52</v>
      </c>
      <c r="M10" s="13"/>
      <c r="N10" s="14">
        <v>49</v>
      </c>
      <c r="O10" s="13"/>
      <c r="P10" s="14">
        <v>42</v>
      </c>
      <c r="Q10" s="14">
        <v>45</v>
      </c>
      <c r="R10" s="14">
        <v>43</v>
      </c>
      <c r="S10" s="14"/>
      <c r="T10" s="13"/>
      <c r="U10" s="14">
        <v>50</v>
      </c>
      <c r="V10" s="13"/>
      <c r="W10" s="14">
        <v>46</v>
      </c>
      <c r="X10" s="13"/>
      <c r="Y10" s="14">
        <v>50</v>
      </c>
      <c r="Z10" s="13"/>
      <c r="AA10" s="4">
        <f>AVERAGE(P10:U10)</f>
        <v>45</v>
      </c>
      <c r="AB10" s="4">
        <f>AVERAGE(AVERAGE(L10:M10),AVERAGE(N10:O10),AVERAGE(P10:U10),AVERAGE(U10:V10),AVERAGE(W10:X10),AVERAGE(Y10:Z10))</f>
        <v>48.666666666666664</v>
      </c>
      <c r="AC10" s="4">
        <f>STDEV(AVERAGE(L10:M10),AVERAGE(N10:O10),AVERAGE(P10:U10),AVERAGE(U10:V10),AVERAGE(W10:X10),AVERAGE(Y10:Z10))/SQRT(6)</f>
        <v>1.0852547064066471</v>
      </c>
      <c r="AD10" s="3"/>
      <c r="AE10" s="3"/>
      <c r="AF10" s="3"/>
      <c r="AG10" s="3"/>
      <c r="AH10" s="3"/>
      <c r="AT10" s="12">
        <v>2</v>
      </c>
      <c r="AU10" s="12" t="s">
        <v>22</v>
      </c>
      <c r="AV10" s="11"/>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24" customHeight="1" x14ac:dyDescent="0.2">
      <c r="B11" s="25">
        <f t="shared" ref="B11:B24" si="0">B9-1</f>
        <v>107</v>
      </c>
      <c r="C11" s="25" t="s">
        <v>113</v>
      </c>
      <c r="D11" s="25">
        <v>10</v>
      </c>
      <c r="E11" s="25">
        <v>2</v>
      </c>
      <c r="F11" s="25">
        <v>2</v>
      </c>
      <c r="G11" s="25">
        <v>1</v>
      </c>
      <c r="H11" s="25">
        <v>2</v>
      </c>
      <c r="I11" s="25" t="s">
        <v>114</v>
      </c>
      <c r="J11" s="26"/>
      <c r="K11" s="25" t="s">
        <v>2</v>
      </c>
      <c r="L11" s="24">
        <v>58</v>
      </c>
      <c r="M11" s="23"/>
      <c r="N11" s="24">
        <v>62</v>
      </c>
      <c r="O11" s="23"/>
      <c r="P11" s="24"/>
      <c r="Q11" s="24">
        <v>61</v>
      </c>
      <c r="R11" s="24"/>
      <c r="S11" s="24"/>
      <c r="T11" s="23"/>
      <c r="U11" s="24">
        <v>61</v>
      </c>
      <c r="V11" s="23"/>
      <c r="W11" s="24">
        <v>57</v>
      </c>
      <c r="X11" s="23"/>
      <c r="Y11" s="24">
        <v>55</v>
      </c>
      <c r="Z11" s="23"/>
      <c r="AA11" s="4">
        <f t="shared" ref="AA11:AA18" si="1">AVERAGE(P11:T11)</f>
        <v>61</v>
      </c>
      <c r="AB11" s="4">
        <f t="shared" ref="AB11:AB18" si="2">AVERAGE(AVERAGE(L11:M11),AVERAGE(N11:O11),AVERAGE(P11:T11),AVERAGE(U11:V11),AVERAGE(W11:X11),AVERAGE(Y11:Z11))</f>
        <v>59</v>
      </c>
      <c r="AC11" s="4">
        <f t="shared" ref="AC11:AC18" si="3">STDEV(AVERAGE(L11:M11),AVERAGE(N11:O11),AVERAGE(P11:T11),AVERAGE(U11:V11),AVERAGE(W11:X11),AVERAGE(Y11:Z11))/SQRT(6)</f>
        <v>1.1254628677422756</v>
      </c>
      <c r="AD11" s="3"/>
      <c r="AE11" s="22"/>
      <c r="AF11" s="3"/>
      <c r="AG11" s="21"/>
      <c r="AH11" s="3"/>
      <c r="AT11" s="12">
        <v>3</v>
      </c>
      <c r="AU11" s="12" t="s">
        <v>21</v>
      </c>
      <c r="AV11" s="12" t="s">
        <v>19</v>
      </c>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row>
    <row r="12" spans="1:87" ht="24" customHeight="1" thickBot="1" x14ac:dyDescent="0.25">
      <c r="B12" s="15">
        <f t="shared" si="0"/>
        <v>107</v>
      </c>
      <c r="C12" s="15" t="s">
        <v>113</v>
      </c>
      <c r="D12" s="15">
        <v>10</v>
      </c>
      <c r="E12" s="15">
        <v>2</v>
      </c>
      <c r="F12" s="15">
        <v>2</v>
      </c>
      <c r="G12" s="15">
        <v>1</v>
      </c>
      <c r="H12" s="15">
        <v>2</v>
      </c>
      <c r="I12" s="15" t="s">
        <v>114</v>
      </c>
      <c r="J12" s="16"/>
      <c r="K12" s="15" t="s">
        <v>0</v>
      </c>
      <c r="L12" s="14">
        <v>48</v>
      </c>
      <c r="M12" s="13"/>
      <c r="N12" s="14">
        <v>57</v>
      </c>
      <c r="O12" s="13"/>
      <c r="P12" s="14"/>
      <c r="Q12" s="14">
        <v>45</v>
      </c>
      <c r="R12" s="14"/>
      <c r="S12" s="14"/>
      <c r="T12" s="13"/>
      <c r="U12" s="14">
        <v>52</v>
      </c>
      <c r="V12" s="13"/>
      <c r="W12" s="14">
        <v>55</v>
      </c>
      <c r="X12" s="13"/>
      <c r="Y12" s="14">
        <v>43</v>
      </c>
      <c r="Z12" s="13"/>
      <c r="AA12" s="4">
        <f t="shared" si="1"/>
        <v>45</v>
      </c>
      <c r="AB12" s="4">
        <f t="shared" si="2"/>
        <v>50</v>
      </c>
      <c r="AC12" s="4">
        <f t="shared" si="3"/>
        <v>2.2803508501982761</v>
      </c>
      <c r="AD12" s="3"/>
      <c r="AE12" s="3"/>
      <c r="AF12" s="3"/>
      <c r="AG12" s="3"/>
      <c r="AH12" s="3"/>
      <c r="AT12" s="12">
        <v>4</v>
      </c>
      <c r="AU12" s="12" t="s">
        <v>20</v>
      </c>
      <c r="AV12" s="11" t="s">
        <v>19</v>
      </c>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24" customHeight="1" x14ac:dyDescent="0.2">
      <c r="B13" s="7">
        <f t="shared" si="0"/>
        <v>106</v>
      </c>
      <c r="C13" s="7" t="s">
        <v>115</v>
      </c>
      <c r="D13" s="7">
        <v>9</v>
      </c>
      <c r="E13" s="7">
        <v>2</v>
      </c>
      <c r="F13" s="7">
        <v>2</v>
      </c>
      <c r="G13" s="7">
        <v>2</v>
      </c>
      <c r="H13" s="7">
        <v>2</v>
      </c>
      <c r="I13" s="7" t="s">
        <v>116</v>
      </c>
      <c r="J13" s="9"/>
      <c r="K13" s="7" t="s">
        <v>2</v>
      </c>
      <c r="L13" s="6">
        <v>65</v>
      </c>
      <c r="M13" s="5"/>
      <c r="N13" s="6">
        <v>51</v>
      </c>
      <c r="O13" s="5"/>
      <c r="P13" s="6"/>
      <c r="Q13" s="6">
        <v>58</v>
      </c>
      <c r="R13" s="6"/>
      <c r="S13" s="6"/>
      <c r="T13" s="5"/>
      <c r="U13" s="6">
        <v>62</v>
      </c>
      <c r="V13" s="5"/>
      <c r="W13" s="6">
        <v>63</v>
      </c>
      <c r="X13" s="5"/>
      <c r="Y13" s="6">
        <v>66</v>
      </c>
      <c r="Z13" s="5"/>
      <c r="AA13" s="4">
        <f t="shared" si="1"/>
        <v>58</v>
      </c>
      <c r="AB13" s="4">
        <f t="shared" si="2"/>
        <v>60.833333333333336</v>
      </c>
      <c r="AC13" s="4">
        <f t="shared" si="3"/>
        <v>2.2718078948518317</v>
      </c>
      <c r="AD13" s="3"/>
      <c r="AE13" s="3"/>
      <c r="AF13" s="3"/>
      <c r="AG13" s="3"/>
      <c r="AH13" s="3"/>
      <c r="AT13" s="12">
        <v>8</v>
      </c>
      <c r="AU13" s="12" t="s">
        <v>18</v>
      </c>
      <c r="AV13" s="12" t="s">
        <v>17</v>
      </c>
    </row>
    <row r="14" spans="1:87" ht="24" customHeight="1" thickBot="1" x14ac:dyDescent="0.25">
      <c r="B14" s="15">
        <f t="shared" si="0"/>
        <v>106</v>
      </c>
      <c r="C14" s="15" t="s">
        <v>115</v>
      </c>
      <c r="D14" s="15">
        <v>9</v>
      </c>
      <c r="E14" s="15">
        <v>2</v>
      </c>
      <c r="F14" s="15">
        <v>2</v>
      </c>
      <c r="G14" s="15">
        <v>2</v>
      </c>
      <c r="H14" s="15">
        <v>2</v>
      </c>
      <c r="I14" s="15" t="s">
        <v>116</v>
      </c>
      <c r="J14" s="16"/>
      <c r="K14" s="15" t="s">
        <v>0</v>
      </c>
      <c r="L14" s="14">
        <v>46</v>
      </c>
      <c r="M14" s="13"/>
      <c r="N14" s="14">
        <v>45</v>
      </c>
      <c r="O14" s="13"/>
      <c r="P14" s="14"/>
      <c r="Q14" s="14">
        <v>50</v>
      </c>
      <c r="R14" s="14"/>
      <c r="S14" s="14"/>
      <c r="T14" s="13"/>
      <c r="U14" s="14">
        <v>43</v>
      </c>
      <c r="V14" s="13"/>
      <c r="W14" s="14">
        <v>50</v>
      </c>
      <c r="X14" s="13"/>
      <c r="Y14" s="14">
        <v>45</v>
      </c>
      <c r="Z14" s="13"/>
      <c r="AA14" s="4">
        <f t="shared" si="1"/>
        <v>50</v>
      </c>
      <c r="AB14" s="4">
        <f t="shared" si="2"/>
        <v>46.5</v>
      </c>
      <c r="AC14" s="4">
        <f t="shared" si="3"/>
        <v>1.1761519176251567</v>
      </c>
      <c r="AD14" s="3"/>
      <c r="AE14" s="3"/>
      <c r="AF14" s="3"/>
      <c r="AG14" s="3"/>
      <c r="AH14" s="3"/>
      <c r="AT14" s="12">
        <v>9</v>
      </c>
      <c r="AU14" s="12" t="s">
        <v>16</v>
      </c>
      <c r="AV14" s="11" t="s">
        <v>15</v>
      </c>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24" customHeight="1" x14ac:dyDescent="0.2">
      <c r="B15" s="7">
        <f t="shared" si="0"/>
        <v>105</v>
      </c>
      <c r="C15" s="7" t="s">
        <v>117</v>
      </c>
      <c r="D15" s="7">
        <v>12</v>
      </c>
      <c r="E15" s="7">
        <v>2</v>
      </c>
      <c r="F15" s="7">
        <v>3</v>
      </c>
      <c r="G15" s="7">
        <v>1</v>
      </c>
      <c r="H15" s="7">
        <v>2</v>
      </c>
      <c r="I15" s="7" t="s">
        <v>118</v>
      </c>
      <c r="J15" s="9"/>
      <c r="K15" s="7" t="s">
        <v>2</v>
      </c>
      <c r="L15" s="6">
        <v>77</v>
      </c>
      <c r="M15" s="5"/>
      <c r="N15" s="6">
        <v>61</v>
      </c>
      <c r="O15" s="5"/>
      <c r="P15" s="6"/>
      <c r="Q15" s="6">
        <v>72</v>
      </c>
      <c r="R15" s="6"/>
      <c r="S15" s="6"/>
      <c r="T15" s="5"/>
      <c r="U15" s="6">
        <v>82</v>
      </c>
      <c r="V15" s="5"/>
      <c r="W15" s="6">
        <v>78</v>
      </c>
      <c r="X15" s="5"/>
      <c r="Y15" s="6">
        <v>72</v>
      </c>
      <c r="Z15" s="5"/>
      <c r="AA15" s="4">
        <f t="shared" si="1"/>
        <v>72</v>
      </c>
      <c r="AB15" s="4">
        <f t="shared" si="2"/>
        <v>73.666666666666671</v>
      </c>
      <c r="AC15" s="4">
        <f t="shared" si="3"/>
        <v>2.9739610697593952</v>
      </c>
      <c r="AD15" s="3"/>
      <c r="AE15" s="3"/>
      <c r="AF15" s="3"/>
      <c r="AG15" s="3"/>
      <c r="AH15" s="3"/>
    </row>
    <row r="16" spans="1:87" ht="24" customHeight="1" thickBot="1" x14ac:dyDescent="0.25">
      <c r="B16" s="15">
        <f t="shared" si="0"/>
        <v>105</v>
      </c>
      <c r="C16" s="15" t="s">
        <v>117</v>
      </c>
      <c r="D16" s="15">
        <v>12</v>
      </c>
      <c r="E16" s="15">
        <v>2</v>
      </c>
      <c r="F16" s="15">
        <v>3</v>
      </c>
      <c r="G16" s="15">
        <v>1</v>
      </c>
      <c r="H16" s="15">
        <v>2</v>
      </c>
      <c r="I16" s="15" t="s">
        <v>118</v>
      </c>
      <c r="J16" s="16"/>
      <c r="K16" s="15" t="s">
        <v>0</v>
      </c>
      <c r="L16" s="14">
        <v>50</v>
      </c>
      <c r="M16" s="13"/>
      <c r="N16" s="14">
        <v>48</v>
      </c>
      <c r="O16" s="13"/>
      <c r="P16" s="14"/>
      <c r="Q16" s="14">
        <v>43</v>
      </c>
      <c r="R16" s="14"/>
      <c r="S16" s="14"/>
      <c r="T16" s="13"/>
      <c r="U16" s="14">
        <v>45</v>
      </c>
      <c r="V16" s="13"/>
      <c r="W16" s="14">
        <v>46</v>
      </c>
      <c r="X16" s="13"/>
      <c r="Y16" s="14">
        <v>45</v>
      </c>
      <c r="Z16" s="13"/>
      <c r="AA16" s="4">
        <f t="shared" si="1"/>
        <v>43</v>
      </c>
      <c r="AB16" s="4">
        <f t="shared" si="2"/>
        <v>46.166666666666664</v>
      </c>
      <c r="AC16" s="4">
        <f t="shared" si="3"/>
        <v>1.0137937550497034</v>
      </c>
      <c r="AD16" s="3"/>
      <c r="AE16" s="3"/>
      <c r="AF16" s="3"/>
      <c r="AG16" s="3"/>
      <c r="AH16" s="3"/>
      <c r="AT16" s="12" t="s">
        <v>14</v>
      </c>
      <c r="AU16" s="12"/>
      <c r="AV16" s="11"/>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2:87" ht="24" customHeight="1" x14ac:dyDescent="0.2">
      <c r="B17" s="7">
        <f t="shared" si="0"/>
        <v>104</v>
      </c>
      <c r="C17" s="7" t="s">
        <v>113</v>
      </c>
      <c r="D17" s="7">
        <v>10</v>
      </c>
      <c r="E17" s="7">
        <v>2</v>
      </c>
      <c r="F17" s="7">
        <v>2</v>
      </c>
      <c r="G17" s="7">
        <v>1</v>
      </c>
      <c r="H17" s="7">
        <v>1</v>
      </c>
      <c r="I17" s="7" t="s">
        <v>119</v>
      </c>
      <c r="J17" s="9"/>
      <c r="K17" s="7" t="s">
        <v>2</v>
      </c>
      <c r="L17" s="18">
        <v>53</v>
      </c>
      <c r="M17" s="5"/>
      <c r="N17" s="18">
        <v>65</v>
      </c>
      <c r="O17" s="5"/>
      <c r="P17" s="18"/>
      <c r="Q17" s="18">
        <v>68</v>
      </c>
      <c r="R17" s="18"/>
      <c r="S17" s="18"/>
      <c r="T17" s="5"/>
      <c r="U17" s="18">
        <v>50</v>
      </c>
      <c r="V17" s="5"/>
      <c r="W17" s="18">
        <v>62</v>
      </c>
      <c r="X17" s="5"/>
      <c r="Y17" s="18">
        <v>59</v>
      </c>
      <c r="Z17" s="5"/>
      <c r="AA17" s="4">
        <f t="shared" si="1"/>
        <v>68</v>
      </c>
      <c r="AB17" s="4">
        <f t="shared" si="2"/>
        <v>59.5</v>
      </c>
      <c r="AC17" s="4">
        <f t="shared" si="3"/>
        <v>2.8372521918222215</v>
      </c>
      <c r="AD17" s="3"/>
      <c r="AE17" s="3"/>
      <c r="AF17" s="3"/>
      <c r="AG17" s="3"/>
      <c r="AH17" s="3"/>
      <c r="AT17" s="12" t="s">
        <v>7</v>
      </c>
      <c r="AU17" s="12" t="s">
        <v>13</v>
      </c>
      <c r="AV17" s="12" t="s">
        <v>12</v>
      </c>
    </row>
    <row r="18" spans="2:87" ht="24" customHeight="1" thickBot="1" x14ac:dyDescent="0.25">
      <c r="B18" s="15">
        <f t="shared" si="0"/>
        <v>104</v>
      </c>
      <c r="C18" s="15" t="s">
        <v>113</v>
      </c>
      <c r="D18" s="15">
        <v>10</v>
      </c>
      <c r="E18" s="15">
        <v>2</v>
      </c>
      <c r="F18" s="15">
        <v>2</v>
      </c>
      <c r="G18" s="15">
        <v>1</v>
      </c>
      <c r="H18" s="15">
        <v>1</v>
      </c>
      <c r="I18" s="15" t="s">
        <v>119</v>
      </c>
      <c r="J18" s="16"/>
      <c r="K18" s="15" t="s">
        <v>0</v>
      </c>
      <c r="L18" s="14">
        <v>45</v>
      </c>
      <c r="M18" s="13"/>
      <c r="N18" s="14">
        <v>50</v>
      </c>
      <c r="O18" s="13"/>
      <c r="P18" s="14"/>
      <c r="Q18" s="14">
        <v>51</v>
      </c>
      <c r="R18" s="14"/>
      <c r="S18" s="14"/>
      <c r="T18" s="13"/>
      <c r="U18" s="14">
        <v>46</v>
      </c>
      <c r="V18" s="13"/>
      <c r="W18" s="14">
        <v>45</v>
      </c>
      <c r="X18" s="13"/>
      <c r="Y18" s="14">
        <v>46</v>
      </c>
      <c r="Z18" s="13"/>
      <c r="AA18" s="4">
        <f t="shared" si="1"/>
        <v>51</v>
      </c>
      <c r="AB18" s="4">
        <f t="shared" si="2"/>
        <v>47.166666666666664</v>
      </c>
      <c r="AC18" s="4">
        <f t="shared" si="3"/>
        <v>1.077548658349641</v>
      </c>
      <c r="AD18" s="3"/>
      <c r="AE18" s="3"/>
      <c r="AF18" s="3"/>
      <c r="AG18" s="3"/>
      <c r="AH18" s="3"/>
      <c r="AT18" s="12">
        <v>0</v>
      </c>
      <c r="AU18" s="12">
        <v>0</v>
      </c>
      <c r="AV18" s="11" t="s">
        <v>11</v>
      </c>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2:87" ht="24" customHeight="1" x14ac:dyDescent="0.2">
      <c r="B19" s="7">
        <f t="shared" si="0"/>
        <v>103</v>
      </c>
      <c r="C19" s="7" t="s">
        <v>120</v>
      </c>
      <c r="D19" s="7">
        <v>5</v>
      </c>
      <c r="E19" s="7">
        <v>1</v>
      </c>
      <c r="F19" s="7">
        <v>3</v>
      </c>
      <c r="G19" s="7">
        <v>2</v>
      </c>
      <c r="H19" s="7">
        <v>1</v>
      </c>
      <c r="I19" s="7" t="s">
        <v>121</v>
      </c>
      <c r="J19" s="9"/>
      <c r="K19" s="7" t="s">
        <v>2</v>
      </c>
      <c r="L19" s="18">
        <v>76</v>
      </c>
      <c r="M19" s="5"/>
      <c r="N19" s="18">
        <v>72</v>
      </c>
      <c r="O19" s="5"/>
      <c r="P19" s="18">
        <v>73</v>
      </c>
      <c r="Q19" s="18">
        <v>71</v>
      </c>
      <c r="R19" s="18">
        <v>67</v>
      </c>
      <c r="S19" s="18"/>
      <c r="T19" s="5"/>
      <c r="U19" s="18">
        <v>73</v>
      </c>
      <c r="V19" s="5"/>
      <c r="W19" s="18">
        <v>72</v>
      </c>
      <c r="X19" s="5"/>
      <c r="Y19" s="18">
        <v>67</v>
      </c>
      <c r="Z19" s="5"/>
      <c r="AA19" s="4">
        <f t="shared" ref="AA19:AA24" si="4">AVERAGE(P19:U19)</f>
        <v>71</v>
      </c>
      <c r="AB19" s="4">
        <f t="shared" ref="AB19:AB24" si="5">AVERAGE(AVERAGE(L19:M19),AVERAGE(N19:O19),AVERAGE(P19:U19),AVERAGE(U19:V19),AVERAGE(W19:X19),AVERAGE(Y19:Z19))</f>
        <v>71.833333333333329</v>
      </c>
      <c r="AC19" s="4">
        <f t="shared" ref="AC19:AC24" si="6">STDEV(AVERAGE(L19:M19),AVERAGE(N19:O19),AVERAGE(P19:U19),AVERAGE(U19:V19),AVERAGE(W19:X19),AVERAGE(Y19:Z19))/SQRT(6)</f>
        <v>1.1948965552623281</v>
      </c>
      <c r="AD19" s="3"/>
      <c r="AE19" s="3"/>
      <c r="AF19" s="3"/>
      <c r="AG19" s="3"/>
      <c r="AH19" s="3"/>
      <c r="AT19" s="12">
        <v>1</v>
      </c>
      <c r="AU19" s="12">
        <v>5</v>
      </c>
      <c r="AV19" s="12" t="s">
        <v>10</v>
      </c>
    </row>
    <row r="20" spans="2:87" ht="24" customHeight="1" thickBot="1" x14ac:dyDescent="0.25">
      <c r="B20" s="15">
        <f t="shared" si="0"/>
        <v>103</v>
      </c>
      <c r="C20" s="15" t="s">
        <v>120</v>
      </c>
      <c r="D20" s="15">
        <v>5</v>
      </c>
      <c r="E20" s="15">
        <v>1</v>
      </c>
      <c r="F20" s="15">
        <v>3</v>
      </c>
      <c r="G20" s="15">
        <v>2</v>
      </c>
      <c r="H20" s="15">
        <v>1</v>
      </c>
      <c r="I20" s="15" t="s">
        <v>121</v>
      </c>
      <c r="J20" s="16"/>
      <c r="K20" s="15" t="s">
        <v>0</v>
      </c>
      <c r="L20" s="14">
        <v>45</v>
      </c>
      <c r="M20" s="13"/>
      <c r="N20" s="14">
        <v>40</v>
      </c>
      <c r="O20" s="13"/>
      <c r="P20" s="14">
        <v>40</v>
      </c>
      <c r="Q20" s="14">
        <v>42</v>
      </c>
      <c r="R20" s="14">
        <v>49</v>
      </c>
      <c r="S20" s="14"/>
      <c r="T20" s="13"/>
      <c r="U20" s="14">
        <v>39</v>
      </c>
      <c r="V20" s="13"/>
      <c r="W20" s="14">
        <v>38</v>
      </c>
      <c r="X20" s="13"/>
      <c r="Y20" s="14">
        <v>41</v>
      </c>
      <c r="Z20" s="13"/>
      <c r="AA20" s="4">
        <f t="shared" si="4"/>
        <v>42.5</v>
      </c>
      <c r="AB20" s="4">
        <f t="shared" si="5"/>
        <v>40.916666666666664</v>
      </c>
      <c r="AC20" s="4">
        <f t="shared" si="6"/>
        <v>1.0361520694913036</v>
      </c>
      <c r="AD20" s="3"/>
      <c r="AE20" s="3"/>
      <c r="AF20" s="3"/>
      <c r="AG20" s="3"/>
      <c r="AH20" s="3"/>
      <c r="AT20" s="12">
        <v>2</v>
      </c>
      <c r="AU20" s="12">
        <v>10</v>
      </c>
      <c r="AV20" s="11" t="s">
        <v>10</v>
      </c>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2:87" ht="24" customHeight="1" x14ac:dyDescent="0.2">
      <c r="B21" s="7">
        <f t="shared" si="0"/>
        <v>102</v>
      </c>
      <c r="C21" s="7" t="s">
        <v>122</v>
      </c>
      <c r="D21" s="7">
        <v>4</v>
      </c>
      <c r="E21" s="7">
        <v>1</v>
      </c>
      <c r="F21" s="7">
        <v>2</v>
      </c>
      <c r="G21" s="7">
        <v>1</v>
      </c>
      <c r="H21" s="7">
        <v>1</v>
      </c>
      <c r="I21" s="7" t="s">
        <v>123</v>
      </c>
      <c r="J21" s="9"/>
      <c r="K21" s="7" t="s">
        <v>2</v>
      </c>
      <c r="L21" s="6">
        <v>62</v>
      </c>
      <c r="M21" s="5"/>
      <c r="N21" s="6">
        <v>57</v>
      </c>
      <c r="O21" s="5"/>
      <c r="P21" s="6">
        <v>38</v>
      </c>
      <c r="Q21" s="6">
        <v>55</v>
      </c>
      <c r="R21" s="6">
        <v>33</v>
      </c>
      <c r="S21" s="6"/>
      <c r="T21" s="5"/>
      <c r="U21" s="6">
        <v>46</v>
      </c>
      <c r="V21" s="5"/>
      <c r="W21" s="6">
        <v>51</v>
      </c>
      <c r="X21" s="5"/>
      <c r="Y21" s="6">
        <v>68</v>
      </c>
      <c r="Z21" s="5"/>
      <c r="AA21" s="4">
        <f t="shared" si="4"/>
        <v>43</v>
      </c>
      <c r="AB21" s="4">
        <f t="shared" si="5"/>
        <v>54.5</v>
      </c>
      <c r="AC21" s="4">
        <f t="shared" si="6"/>
        <v>3.9221592692461296</v>
      </c>
      <c r="AD21" s="3"/>
      <c r="AE21" s="3"/>
      <c r="AF21" s="3"/>
      <c r="AG21" s="3"/>
      <c r="AH21" s="3"/>
      <c r="AT21" s="12">
        <v>3</v>
      </c>
      <c r="AU21" s="12">
        <v>20</v>
      </c>
      <c r="AV21" s="12" t="s">
        <v>9</v>
      </c>
    </row>
    <row r="22" spans="2:87" ht="24" customHeight="1" thickBot="1" x14ac:dyDescent="0.25">
      <c r="B22" s="15">
        <f t="shared" si="0"/>
        <v>102</v>
      </c>
      <c r="C22" s="15" t="s">
        <v>122</v>
      </c>
      <c r="D22" s="15">
        <v>4</v>
      </c>
      <c r="E22" s="15">
        <v>1</v>
      </c>
      <c r="F22" s="15">
        <v>2</v>
      </c>
      <c r="G22" s="15">
        <v>1</v>
      </c>
      <c r="H22" s="15">
        <v>1</v>
      </c>
      <c r="I22" s="15" t="s">
        <v>123</v>
      </c>
      <c r="J22" s="16"/>
      <c r="K22" s="15" t="s">
        <v>0</v>
      </c>
      <c r="L22" s="14">
        <v>45</v>
      </c>
      <c r="M22" s="13"/>
      <c r="N22" s="14">
        <v>46</v>
      </c>
      <c r="O22" s="13"/>
      <c r="P22" s="14">
        <v>27</v>
      </c>
      <c r="Q22" s="14">
        <v>42</v>
      </c>
      <c r="R22" s="14">
        <v>25</v>
      </c>
      <c r="S22" s="14"/>
      <c r="T22" s="13"/>
      <c r="U22" s="14">
        <v>31</v>
      </c>
      <c r="V22" s="13"/>
      <c r="W22" s="14">
        <v>44</v>
      </c>
      <c r="X22" s="13"/>
      <c r="Y22" s="14">
        <v>44</v>
      </c>
      <c r="Z22" s="13"/>
      <c r="AA22" s="4">
        <f t="shared" si="4"/>
        <v>31.25</v>
      </c>
      <c r="AB22" s="4">
        <f t="shared" si="5"/>
        <v>40.208333333333336</v>
      </c>
      <c r="AC22" s="4">
        <f t="shared" si="6"/>
        <v>2.8884948983471994</v>
      </c>
      <c r="AD22" s="3"/>
      <c r="AE22" s="3"/>
      <c r="AF22" s="3"/>
      <c r="AG22" s="3"/>
      <c r="AH22" s="3"/>
      <c r="AT22" s="12"/>
      <c r="AU22" s="12"/>
      <c r="AV22" s="11"/>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2:87" ht="24" customHeight="1" x14ac:dyDescent="0.2">
      <c r="B23" s="7">
        <f t="shared" si="0"/>
        <v>101</v>
      </c>
      <c r="C23" s="7" t="s">
        <v>124</v>
      </c>
      <c r="D23" s="7">
        <v>1</v>
      </c>
      <c r="E23" s="7">
        <v>1</v>
      </c>
      <c r="F23" s="7">
        <v>1</v>
      </c>
      <c r="G23" s="7">
        <v>2</v>
      </c>
      <c r="H23" s="7">
        <v>1</v>
      </c>
      <c r="I23" s="7" t="s">
        <v>125</v>
      </c>
      <c r="J23" s="9"/>
      <c r="K23" s="7" t="s">
        <v>2</v>
      </c>
      <c r="L23" s="6">
        <v>54</v>
      </c>
      <c r="M23" s="5"/>
      <c r="N23" s="6">
        <v>63</v>
      </c>
      <c r="O23" s="5"/>
      <c r="P23" s="6">
        <v>57</v>
      </c>
      <c r="Q23" s="6">
        <v>50</v>
      </c>
      <c r="R23" s="6">
        <v>48</v>
      </c>
      <c r="S23" s="6"/>
      <c r="T23" s="5"/>
      <c r="U23" s="6">
        <v>55</v>
      </c>
      <c r="V23" s="5"/>
      <c r="W23" s="6">
        <v>49</v>
      </c>
      <c r="X23" s="5"/>
      <c r="Y23" s="6">
        <v>59</v>
      </c>
      <c r="Z23" s="5"/>
      <c r="AA23" s="4">
        <f t="shared" si="4"/>
        <v>52.5</v>
      </c>
      <c r="AB23" s="4">
        <f t="shared" si="5"/>
        <v>55.416666666666664</v>
      </c>
      <c r="AC23" s="4">
        <f t="shared" si="6"/>
        <v>2.0183188824145484</v>
      </c>
      <c r="AD23" s="3"/>
      <c r="AE23" s="3"/>
      <c r="AF23" s="3"/>
      <c r="AG23" s="3"/>
      <c r="AH23" s="3"/>
      <c r="AT23" s="2" t="s">
        <v>8</v>
      </c>
      <c r="AU23" s="2"/>
      <c r="AV23" s="2"/>
    </row>
    <row r="24" spans="2:87" ht="24" customHeight="1" thickBot="1" x14ac:dyDescent="0.25">
      <c r="B24" s="15">
        <f t="shared" si="0"/>
        <v>101</v>
      </c>
      <c r="C24" s="15" t="s">
        <v>124</v>
      </c>
      <c r="D24" s="15">
        <v>1</v>
      </c>
      <c r="E24" s="15">
        <v>1</v>
      </c>
      <c r="F24" s="15">
        <v>1</v>
      </c>
      <c r="G24" s="15">
        <v>2</v>
      </c>
      <c r="H24" s="15">
        <v>1</v>
      </c>
      <c r="I24" s="15" t="s">
        <v>125</v>
      </c>
      <c r="J24" s="16"/>
      <c r="K24" s="15" t="s">
        <v>0</v>
      </c>
      <c r="L24" s="14">
        <v>41</v>
      </c>
      <c r="M24" s="13"/>
      <c r="N24" s="14">
        <v>45</v>
      </c>
      <c r="O24" s="13"/>
      <c r="P24" s="14">
        <v>45</v>
      </c>
      <c r="Q24" s="14">
        <v>47</v>
      </c>
      <c r="R24" s="14">
        <v>39</v>
      </c>
      <c r="S24" s="14"/>
      <c r="T24" s="13"/>
      <c r="U24" s="14">
        <v>32</v>
      </c>
      <c r="V24" s="13"/>
      <c r="W24" s="14">
        <v>34</v>
      </c>
      <c r="X24" s="13"/>
      <c r="Y24" s="14">
        <v>42</v>
      </c>
      <c r="Z24" s="13"/>
      <c r="AA24" s="4">
        <f t="shared" si="4"/>
        <v>40.75</v>
      </c>
      <c r="AB24" s="4">
        <f t="shared" si="5"/>
        <v>39.125</v>
      </c>
      <c r="AC24" s="4">
        <f t="shared" si="6"/>
        <v>2.0491359967882401</v>
      </c>
      <c r="AD24" s="3"/>
      <c r="AE24" s="3"/>
      <c r="AF24" s="3"/>
      <c r="AG24" s="3"/>
      <c r="AH24" s="3"/>
      <c r="AT24" s="12" t="s">
        <v>7</v>
      </c>
      <c r="AU24" s="12" t="s">
        <v>6</v>
      </c>
      <c r="AV24" s="11" t="s">
        <v>5</v>
      </c>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2:87" ht="24" customHeight="1" x14ac:dyDescent="0.2">
      <c r="B25" s="7">
        <f>B23+100</f>
        <v>201</v>
      </c>
      <c r="C25" s="7" t="s">
        <v>117</v>
      </c>
      <c r="D25" s="7">
        <v>12</v>
      </c>
      <c r="E25" s="7">
        <v>2</v>
      </c>
      <c r="F25" s="7">
        <v>3</v>
      </c>
      <c r="G25" s="7">
        <v>1</v>
      </c>
      <c r="H25" s="7">
        <v>1</v>
      </c>
      <c r="I25" s="7" t="s">
        <v>126</v>
      </c>
      <c r="J25" s="7"/>
      <c r="K25" s="7" t="s">
        <v>2</v>
      </c>
      <c r="L25" s="6">
        <v>50</v>
      </c>
      <c r="M25" s="6"/>
      <c r="N25" s="6">
        <v>57</v>
      </c>
      <c r="O25" s="6"/>
      <c r="P25" s="6"/>
      <c r="Q25" s="6">
        <v>77</v>
      </c>
      <c r="R25" s="6"/>
      <c r="S25" s="6"/>
      <c r="T25" s="6"/>
      <c r="U25" s="6">
        <v>79</v>
      </c>
      <c r="V25" s="6"/>
      <c r="W25" s="6">
        <v>75</v>
      </c>
      <c r="X25" s="6"/>
      <c r="Y25" s="6">
        <v>83</v>
      </c>
      <c r="Z25" s="6"/>
      <c r="AA25" s="4">
        <f>AVERAGE(P25:T25)</f>
        <v>77</v>
      </c>
      <c r="AB25" s="4">
        <f>AVERAGE(AVERAGE(L25:M25),AVERAGE(N25:O25),AVERAGE(P25:T25),AVERAGE(U25:V25),AVERAGE(W25:X25),AVERAGE(Y25:Z25))</f>
        <v>70.166666666666671</v>
      </c>
      <c r="AC25" s="4">
        <f>STDEV(AVERAGE(L25:M25),AVERAGE(N25:O25),AVERAGE(P25:T25),AVERAGE(U25:V25),AVERAGE(W25:X25),AVERAGE(Y25:Z25))/SQRT(6)</f>
        <v>5.455374516118126</v>
      </c>
      <c r="AD25" s="3"/>
      <c r="AE25" s="3"/>
      <c r="AF25" s="3"/>
      <c r="AG25" s="3"/>
      <c r="AH25" s="3"/>
      <c r="AT25" s="12">
        <v>1</v>
      </c>
      <c r="AU25" s="12" t="s">
        <v>4</v>
      </c>
      <c r="AV25" s="12">
        <v>0</v>
      </c>
    </row>
    <row r="26" spans="2:87" ht="24" customHeight="1" thickBot="1" x14ac:dyDescent="0.25">
      <c r="B26" s="15">
        <f>B24+100</f>
        <v>201</v>
      </c>
      <c r="C26" s="15" t="s">
        <v>117</v>
      </c>
      <c r="D26" s="15">
        <v>12</v>
      </c>
      <c r="E26" s="15">
        <v>2</v>
      </c>
      <c r="F26" s="15">
        <v>3</v>
      </c>
      <c r="G26" s="15">
        <v>1</v>
      </c>
      <c r="H26" s="15">
        <v>1</v>
      </c>
      <c r="I26" s="15" t="s">
        <v>126</v>
      </c>
      <c r="J26" s="16"/>
      <c r="K26" s="15" t="s">
        <v>0</v>
      </c>
      <c r="L26" s="14">
        <v>75</v>
      </c>
      <c r="M26" s="13"/>
      <c r="N26" s="14">
        <v>82</v>
      </c>
      <c r="O26" s="13"/>
      <c r="P26" s="14"/>
      <c r="Q26" s="14">
        <v>52</v>
      </c>
      <c r="R26" s="14"/>
      <c r="S26" s="14"/>
      <c r="T26" s="13"/>
      <c r="U26" s="14">
        <v>52</v>
      </c>
      <c r="V26" s="13"/>
      <c r="W26" s="14">
        <v>55</v>
      </c>
      <c r="X26" s="13"/>
      <c r="Y26" s="14">
        <v>62</v>
      </c>
      <c r="Z26" s="13"/>
      <c r="AA26" s="4">
        <f>AVERAGE(P26:T26)</f>
        <v>52</v>
      </c>
      <c r="AB26" s="4">
        <f>AVERAGE(AVERAGE(L26:M26),AVERAGE(N26:O26),AVERAGE(P26:T26),AVERAGE(U26:V26),AVERAGE(W26:X26),AVERAGE(Y26:Z26))</f>
        <v>63</v>
      </c>
      <c r="AC26" s="4">
        <f>STDEV(AVERAGE(L26:M26),AVERAGE(N26:O26),AVERAGE(P26:T26),AVERAGE(U26:V26),AVERAGE(W26:X26),AVERAGE(Y26:Z26))/SQRT(6)</f>
        <v>5.2025634707004462</v>
      </c>
      <c r="AD26" s="3"/>
      <c r="AE26" s="3"/>
      <c r="AF26" s="3"/>
      <c r="AG26" s="3"/>
      <c r="AH26" s="3"/>
      <c r="AT26" s="12">
        <v>2</v>
      </c>
      <c r="AU26" s="12" t="s">
        <v>3</v>
      </c>
      <c r="AV26" s="11">
        <v>150</v>
      </c>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2:87" ht="24" customHeight="1" x14ac:dyDescent="0.2">
      <c r="B27" s="7">
        <f t="shared" ref="B27:B40" si="7">B25+1</f>
        <v>202</v>
      </c>
      <c r="C27" s="7" t="s">
        <v>115</v>
      </c>
      <c r="D27" s="7">
        <v>9</v>
      </c>
      <c r="E27" s="7">
        <v>2</v>
      </c>
      <c r="F27" s="7">
        <v>2</v>
      </c>
      <c r="G27" s="7">
        <v>2</v>
      </c>
      <c r="H27" s="7">
        <v>1</v>
      </c>
      <c r="I27" s="7" t="s">
        <v>127</v>
      </c>
      <c r="J27" s="9"/>
      <c r="K27" s="7" t="s">
        <v>2</v>
      </c>
      <c r="L27" s="6">
        <v>58</v>
      </c>
      <c r="M27" s="6"/>
      <c r="N27" s="6">
        <v>59</v>
      </c>
      <c r="O27" s="6"/>
      <c r="P27" s="6"/>
      <c r="Q27" s="6">
        <v>54</v>
      </c>
      <c r="R27" s="6"/>
      <c r="S27" s="6"/>
      <c r="T27" s="6"/>
      <c r="U27" s="6">
        <v>49</v>
      </c>
      <c r="V27" s="6"/>
      <c r="W27" s="6">
        <v>56</v>
      </c>
      <c r="X27" s="6"/>
      <c r="Y27" s="6">
        <v>59</v>
      </c>
      <c r="Z27" s="6"/>
      <c r="AA27" s="4">
        <f>AVERAGE(P27:T27)</f>
        <v>54</v>
      </c>
      <c r="AB27" s="4">
        <f>AVERAGE(AVERAGE(L27:M27),AVERAGE(N27:O27),AVERAGE(P27:T27),AVERAGE(U27:V27),AVERAGE(W27:X27),AVERAGE(Y27:Z27))</f>
        <v>55.833333333333336</v>
      </c>
      <c r="AC27" s="4">
        <f>STDEV(AVERAGE(L27:M27),AVERAGE(N27:O27),AVERAGE(P27:T27),AVERAGE(U27:V27),AVERAGE(W27:X27),AVERAGE(Y27:Z27))/SQRT(6)</f>
        <v>1.5793810320642847</v>
      </c>
      <c r="AD27" s="3"/>
      <c r="AE27" s="3"/>
      <c r="AF27" s="3"/>
      <c r="AG27" s="3"/>
      <c r="AH27" s="3"/>
    </row>
    <row r="28" spans="2:87" ht="24" customHeight="1" thickBot="1" x14ac:dyDescent="0.25">
      <c r="B28" s="15">
        <f t="shared" si="7"/>
        <v>202</v>
      </c>
      <c r="C28" s="15" t="s">
        <v>115</v>
      </c>
      <c r="D28" s="15">
        <v>9</v>
      </c>
      <c r="E28" s="15">
        <v>2</v>
      </c>
      <c r="F28" s="15">
        <v>2</v>
      </c>
      <c r="G28" s="15">
        <v>2</v>
      </c>
      <c r="H28" s="15">
        <v>1</v>
      </c>
      <c r="I28" s="15" t="s">
        <v>127</v>
      </c>
      <c r="J28" s="16"/>
      <c r="K28" s="15" t="s">
        <v>0</v>
      </c>
      <c r="L28" s="14">
        <v>49</v>
      </c>
      <c r="M28" s="13"/>
      <c r="N28" s="14">
        <v>42</v>
      </c>
      <c r="O28" s="13"/>
      <c r="P28" s="14"/>
      <c r="Q28" s="14">
        <v>39</v>
      </c>
      <c r="R28" s="14"/>
      <c r="S28" s="14"/>
      <c r="T28" s="13"/>
      <c r="U28" s="14">
        <v>42</v>
      </c>
      <c r="V28" s="13"/>
      <c r="W28" s="14">
        <v>54</v>
      </c>
      <c r="X28" s="13"/>
      <c r="Y28" s="14">
        <v>48</v>
      </c>
      <c r="Z28" s="13"/>
      <c r="AA28" s="4">
        <f>AVERAGE(P28:T28)</f>
        <v>39</v>
      </c>
      <c r="AB28" s="4">
        <f>AVERAGE(AVERAGE(L28:M28),AVERAGE(N28:O28),AVERAGE(P28:T28),AVERAGE(U28:V28),AVERAGE(W28:X28),AVERAGE(Y28:Z28))</f>
        <v>45.666666666666664</v>
      </c>
      <c r="AC28" s="4">
        <f>STDEV(AVERAGE(L28:M28),AVERAGE(N28:O28),AVERAGE(P28:T28),AVERAGE(U28:V28),AVERAGE(W28:X28),AVERAGE(Y28:Z28))/SQRT(6)</f>
        <v>2.2900752049756941</v>
      </c>
      <c r="AD28" s="3"/>
      <c r="AE28" s="3"/>
      <c r="AF28" s="3"/>
      <c r="AG28" s="3"/>
      <c r="AH28" s="3"/>
      <c r="AT28" s="12"/>
      <c r="AU28" s="12"/>
      <c r="AV28" s="11"/>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2:87" ht="24" customHeight="1" x14ac:dyDescent="0.2">
      <c r="B29" s="7">
        <f t="shared" si="7"/>
        <v>203</v>
      </c>
      <c r="C29" s="7" t="s">
        <v>111</v>
      </c>
      <c r="D29" s="7">
        <v>3</v>
      </c>
      <c r="E29" s="7">
        <v>1</v>
      </c>
      <c r="F29" s="7">
        <v>2</v>
      </c>
      <c r="G29" s="7">
        <v>2</v>
      </c>
      <c r="H29" s="7">
        <v>1</v>
      </c>
      <c r="I29" s="7" t="s">
        <v>128</v>
      </c>
      <c r="J29" s="9"/>
      <c r="K29" s="7" t="s">
        <v>2</v>
      </c>
      <c r="L29" s="6">
        <v>46</v>
      </c>
      <c r="M29" s="6"/>
      <c r="N29" s="6">
        <v>66</v>
      </c>
      <c r="O29" s="6"/>
      <c r="P29" s="6">
        <v>66</v>
      </c>
      <c r="Q29" s="6">
        <v>60</v>
      </c>
      <c r="R29" s="6">
        <v>55</v>
      </c>
      <c r="S29" s="6"/>
      <c r="T29" s="6"/>
      <c r="U29" s="6">
        <v>52</v>
      </c>
      <c r="V29" s="6"/>
      <c r="W29" s="6">
        <v>67</v>
      </c>
      <c r="X29" s="6"/>
      <c r="Y29" s="6">
        <v>61</v>
      </c>
      <c r="Z29" s="6"/>
      <c r="AA29" s="4">
        <f>AVERAGE(P29:U29)</f>
        <v>58.25</v>
      </c>
      <c r="AB29" s="4">
        <f>AVERAGE(AVERAGE(L29:M29),AVERAGE(N29:O29),AVERAGE(P29:U29),AVERAGE(U29:V29),AVERAGE(W29:X29),AVERAGE(Y29:Z29))</f>
        <v>58.375</v>
      </c>
      <c r="AC29" s="4">
        <f>STDEV(AVERAGE(L29:M29),AVERAGE(N29:O29),AVERAGE(P29:U29),AVERAGE(U29:V29),AVERAGE(W29:X29),AVERAGE(Y29:Z29))/SQRT(6)</f>
        <v>3.3327603674231772</v>
      </c>
      <c r="AD29" s="3"/>
      <c r="AE29" s="3"/>
      <c r="AF29" s="3"/>
      <c r="AG29" s="3"/>
      <c r="AH29" s="3"/>
    </row>
    <row r="30" spans="2:87" ht="24" customHeight="1" thickBot="1" x14ac:dyDescent="0.25">
      <c r="B30" s="15">
        <f t="shared" si="7"/>
        <v>203</v>
      </c>
      <c r="C30" s="15" t="s">
        <v>111</v>
      </c>
      <c r="D30" s="15">
        <v>3</v>
      </c>
      <c r="E30" s="15">
        <v>1</v>
      </c>
      <c r="F30" s="15">
        <v>2</v>
      </c>
      <c r="G30" s="15">
        <v>2</v>
      </c>
      <c r="H30" s="15">
        <v>1</v>
      </c>
      <c r="I30" s="15" t="s">
        <v>128</v>
      </c>
      <c r="J30" s="16"/>
      <c r="K30" s="15" t="s">
        <v>0</v>
      </c>
      <c r="L30" s="14">
        <v>39</v>
      </c>
      <c r="M30" s="13"/>
      <c r="N30" s="14">
        <v>55</v>
      </c>
      <c r="O30" s="13"/>
      <c r="P30" s="14">
        <v>49</v>
      </c>
      <c r="Q30" s="14">
        <v>57</v>
      </c>
      <c r="R30" s="14">
        <v>51</v>
      </c>
      <c r="S30" s="14"/>
      <c r="T30" s="13"/>
      <c r="U30" s="14">
        <v>52</v>
      </c>
      <c r="V30" s="13"/>
      <c r="W30" s="14">
        <v>53</v>
      </c>
      <c r="X30" s="13"/>
      <c r="Y30" s="14">
        <v>41</v>
      </c>
      <c r="Z30" s="13"/>
      <c r="AA30" s="4">
        <f>AVERAGE(P30:U30)</f>
        <v>52.25</v>
      </c>
      <c r="AB30" s="4">
        <f>AVERAGE(AVERAGE(L30:M30),AVERAGE(N30:O30),AVERAGE(P30:U30),AVERAGE(U30:V30),AVERAGE(W30:X30),AVERAGE(Y30:Z30))</f>
        <v>48.708333333333336</v>
      </c>
      <c r="AC30" s="4">
        <f>STDEV(AVERAGE(L30:M30),AVERAGE(N30:O30),AVERAGE(P30:U30),AVERAGE(U30:V30),AVERAGE(W30:X30),AVERAGE(Y30:Z30))/SQRT(6)</f>
        <v>2.7991194051780761</v>
      </c>
      <c r="AD30" s="3"/>
      <c r="AE30" s="3"/>
      <c r="AF30" s="3"/>
      <c r="AG30" s="3"/>
      <c r="AH30" s="3"/>
      <c r="AT30" s="12"/>
      <c r="AU30" s="12"/>
      <c r="AV30" s="11"/>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2:87" ht="24" customHeight="1" x14ac:dyDescent="0.2">
      <c r="B31" s="7">
        <f t="shared" si="7"/>
        <v>204</v>
      </c>
      <c r="C31" s="7" t="s">
        <v>129</v>
      </c>
      <c r="D31" s="7">
        <v>11</v>
      </c>
      <c r="E31" s="7">
        <v>2</v>
      </c>
      <c r="F31" s="7">
        <v>3</v>
      </c>
      <c r="G31" s="7">
        <v>2</v>
      </c>
      <c r="H31" s="7">
        <v>1</v>
      </c>
      <c r="I31" s="7" t="s">
        <v>130</v>
      </c>
      <c r="J31" s="9"/>
      <c r="K31" s="7" t="s">
        <v>2</v>
      </c>
      <c r="L31" s="6">
        <v>79</v>
      </c>
      <c r="M31" s="6"/>
      <c r="N31" s="6">
        <v>76</v>
      </c>
      <c r="O31" s="6"/>
      <c r="P31" s="6"/>
      <c r="Q31" s="6">
        <v>82</v>
      </c>
      <c r="R31" s="6"/>
      <c r="S31" s="6"/>
      <c r="T31" s="6"/>
      <c r="U31" s="6">
        <v>73</v>
      </c>
      <c r="V31" s="6"/>
      <c r="W31" s="6">
        <v>78</v>
      </c>
      <c r="X31" s="6"/>
      <c r="Y31" s="6">
        <v>82</v>
      </c>
      <c r="Z31" s="6"/>
      <c r="AA31" s="4">
        <f>AVERAGE(P31:T31)</f>
        <v>82</v>
      </c>
      <c r="AB31" s="4">
        <f>AVERAGE(AVERAGE(L31:M31),AVERAGE(N31:O31),AVERAGE(P31:T31),AVERAGE(U31:V31),AVERAGE(W31:X31),AVERAGE(Y31:Z31))</f>
        <v>78.333333333333329</v>
      </c>
      <c r="AC31" s="4">
        <f>STDEV(AVERAGE(L31:M31),AVERAGE(N31:O31),AVERAGE(P31:T31),AVERAGE(U31:V31),AVERAGE(W31:X31),AVERAGE(Y31:Z31))/SQRT(6)</f>
        <v>1.4298407059684812</v>
      </c>
      <c r="AD31" s="3"/>
      <c r="AE31" s="3"/>
      <c r="AF31" s="3"/>
      <c r="AG31" s="3"/>
      <c r="AH31" s="3"/>
    </row>
    <row r="32" spans="2:87" ht="24" customHeight="1" thickBot="1" x14ac:dyDescent="0.25">
      <c r="B32" s="15">
        <f t="shared" si="7"/>
        <v>204</v>
      </c>
      <c r="C32" s="15" t="s">
        <v>129</v>
      </c>
      <c r="D32" s="15">
        <v>11</v>
      </c>
      <c r="E32" s="15">
        <v>2</v>
      </c>
      <c r="F32" s="15">
        <v>3</v>
      </c>
      <c r="G32" s="15">
        <v>2</v>
      </c>
      <c r="H32" s="15">
        <v>1</v>
      </c>
      <c r="I32" s="15" t="s">
        <v>130</v>
      </c>
      <c r="J32" s="16"/>
      <c r="K32" s="15" t="s">
        <v>0</v>
      </c>
      <c r="L32" s="14">
        <v>48</v>
      </c>
      <c r="M32" s="13"/>
      <c r="N32" s="14">
        <v>49</v>
      </c>
      <c r="O32" s="13"/>
      <c r="P32" s="14"/>
      <c r="Q32" s="14">
        <v>51</v>
      </c>
      <c r="R32" s="14"/>
      <c r="S32" s="14"/>
      <c r="T32" s="13"/>
      <c r="U32" s="14">
        <v>61</v>
      </c>
      <c r="V32" s="13"/>
      <c r="W32" s="14">
        <v>56</v>
      </c>
      <c r="X32" s="13"/>
      <c r="Y32" s="14">
        <v>55</v>
      </c>
      <c r="Z32" s="13"/>
      <c r="AA32" s="4">
        <f>AVERAGE(P32:T32)</f>
        <v>51</v>
      </c>
      <c r="AB32" s="4">
        <f>AVERAGE(AVERAGE(L32:M32),AVERAGE(N32:O32),AVERAGE(P32:T32),AVERAGE(U32:V32),AVERAGE(W32:X32),AVERAGE(Y32:Z32))</f>
        <v>53.333333333333336</v>
      </c>
      <c r="AC32" s="4">
        <f>STDEV(AVERAGE(L32:M32),AVERAGE(N32:O32),AVERAGE(P32:T32),AVERAGE(U32:V32),AVERAGE(W32:X32),AVERAGE(Y32:Z32))/SQRT(6)</f>
        <v>2.0110804171997811</v>
      </c>
      <c r="AD32" s="3"/>
      <c r="AE32" s="3"/>
      <c r="AF32" s="3"/>
      <c r="AG32" s="3"/>
      <c r="AH32" s="3"/>
      <c r="AT32" s="12"/>
      <c r="AU32" s="12"/>
      <c r="AV32" s="11"/>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2:87" ht="24" customHeight="1" x14ac:dyDescent="0.2">
      <c r="B33" s="7">
        <f t="shared" si="7"/>
        <v>205</v>
      </c>
      <c r="C33" s="7" t="s">
        <v>124</v>
      </c>
      <c r="D33" s="7">
        <v>1</v>
      </c>
      <c r="E33" s="7">
        <v>1</v>
      </c>
      <c r="F33" s="7">
        <v>1</v>
      </c>
      <c r="G33" s="7">
        <v>2</v>
      </c>
      <c r="H33" s="7">
        <v>2</v>
      </c>
      <c r="I33" s="7" t="s">
        <v>131</v>
      </c>
      <c r="J33" s="9"/>
      <c r="K33" s="7" t="s">
        <v>2</v>
      </c>
      <c r="L33" s="6">
        <v>58</v>
      </c>
      <c r="M33" s="6"/>
      <c r="N33" s="6">
        <v>51</v>
      </c>
      <c r="O33" s="6"/>
      <c r="P33" s="6">
        <v>59</v>
      </c>
      <c r="Q33" s="6">
        <v>62</v>
      </c>
      <c r="R33" s="6">
        <v>62</v>
      </c>
      <c r="S33" s="6"/>
      <c r="T33" s="6"/>
      <c r="U33" s="6">
        <v>53</v>
      </c>
      <c r="V33" s="6"/>
      <c r="W33" s="6">
        <v>60</v>
      </c>
      <c r="X33" s="6"/>
      <c r="Y33" s="6">
        <v>57</v>
      </c>
      <c r="Z33" s="6"/>
      <c r="AA33" s="4">
        <f t="shared" ref="AA33:AA56" si="8">AVERAGE(P33:U33)</f>
        <v>59</v>
      </c>
      <c r="AB33" s="4">
        <f t="shared" ref="AB33:AB56" si="9">AVERAGE(AVERAGE(L33:M33),AVERAGE(N33:O33),AVERAGE(P33:U33),AVERAGE(U33:V33),AVERAGE(W33:X33),AVERAGE(Y33:Z33))</f>
        <v>56.333333333333336</v>
      </c>
      <c r="AC33" s="4">
        <f t="shared" ref="AC33:AC56" si="10">STDEV(AVERAGE(L33:M33),AVERAGE(N33:O33),AVERAGE(P33:U33),AVERAGE(U33:V33),AVERAGE(W33:X33),AVERAGE(Y33:Z33))/SQRT(6)</f>
        <v>1.4529663145135581</v>
      </c>
      <c r="AD33" s="3"/>
      <c r="AE33" s="3"/>
      <c r="AF33" s="3"/>
      <c r="AG33" s="3"/>
      <c r="AH33" s="3"/>
    </row>
    <row r="34" spans="2:87" ht="24" customHeight="1" thickBot="1" x14ac:dyDescent="0.25">
      <c r="B34" s="15">
        <f t="shared" si="7"/>
        <v>205</v>
      </c>
      <c r="C34" s="15" t="s">
        <v>124</v>
      </c>
      <c r="D34" s="15">
        <v>1</v>
      </c>
      <c r="E34" s="15">
        <v>1</v>
      </c>
      <c r="F34" s="15">
        <v>1</v>
      </c>
      <c r="G34" s="15">
        <v>2</v>
      </c>
      <c r="H34" s="15">
        <v>2</v>
      </c>
      <c r="I34" s="15" t="s">
        <v>131</v>
      </c>
      <c r="J34" s="16"/>
      <c r="K34" s="15" t="s">
        <v>0</v>
      </c>
      <c r="L34" s="14">
        <v>42</v>
      </c>
      <c r="M34" s="13"/>
      <c r="N34" s="14">
        <v>44</v>
      </c>
      <c r="O34" s="13"/>
      <c r="P34" s="14">
        <v>38</v>
      </c>
      <c r="Q34" s="14">
        <v>42</v>
      </c>
      <c r="R34" s="14">
        <v>45</v>
      </c>
      <c r="S34" s="14"/>
      <c r="T34" s="13"/>
      <c r="U34" s="14">
        <v>36</v>
      </c>
      <c r="V34" s="13"/>
      <c r="W34" s="14">
        <v>55</v>
      </c>
      <c r="X34" s="13"/>
      <c r="Y34" s="14">
        <v>49</v>
      </c>
      <c r="Z34" s="13"/>
      <c r="AA34" s="4">
        <f t="shared" si="8"/>
        <v>40.25</v>
      </c>
      <c r="AB34" s="4">
        <f t="shared" si="9"/>
        <v>44.375</v>
      </c>
      <c r="AC34" s="4">
        <f t="shared" si="10"/>
        <v>2.7520825447891881</v>
      </c>
      <c r="AD34" s="3"/>
      <c r="AE34" s="3"/>
      <c r="AF34" s="3"/>
      <c r="AG34" s="3"/>
      <c r="AH34" s="3"/>
      <c r="AT34" s="12"/>
      <c r="AU34" s="12"/>
      <c r="AV34" s="11"/>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2:87" ht="24" customHeight="1" x14ac:dyDescent="0.2">
      <c r="B35" s="7">
        <f t="shared" si="7"/>
        <v>206</v>
      </c>
      <c r="C35" s="7" t="s">
        <v>132</v>
      </c>
      <c r="D35" s="7">
        <v>8</v>
      </c>
      <c r="E35" s="7">
        <v>2</v>
      </c>
      <c r="F35" s="7">
        <v>1</v>
      </c>
      <c r="G35" s="7">
        <v>1</v>
      </c>
      <c r="H35" s="7">
        <v>2</v>
      </c>
      <c r="I35" s="7" t="s">
        <v>133</v>
      </c>
      <c r="J35" s="9"/>
      <c r="K35" s="7" t="s">
        <v>2</v>
      </c>
      <c r="L35" s="6">
        <v>55</v>
      </c>
      <c r="M35" s="6"/>
      <c r="N35" s="6">
        <v>53</v>
      </c>
      <c r="O35" s="6"/>
      <c r="P35" s="6">
        <v>51</v>
      </c>
      <c r="Q35" s="6">
        <v>59</v>
      </c>
      <c r="R35" s="6">
        <v>52</v>
      </c>
      <c r="S35" s="6">
        <v>57</v>
      </c>
      <c r="T35" s="6">
        <v>61</v>
      </c>
      <c r="U35" s="6">
        <v>59</v>
      </c>
      <c r="V35" s="6"/>
      <c r="W35" s="6">
        <v>55</v>
      </c>
      <c r="X35" s="6"/>
      <c r="Y35" s="6">
        <v>60</v>
      </c>
      <c r="Z35" s="6"/>
      <c r="AA35" s="4">
        <f t="shared" si="8"/>
        <v>56.5</v>
      </c>
      <c r="AB35" s="4">
        <f t="shared" si="9"/>
        <v>56.416666666666664</v>
      </c>
      <c r="AC35" s="4">
        <f t="shared" si="10"/>
        <v>1.0833333333333333</v>
      </c>
      <c r="AD35" s="3"/>
      <c r="AE35" s="3"/>
      <c r="AF35" s="3"/>
      <c r="AG35" s="3"/>
      <c r="AH35" s="3"/>
    </row>
    <row r="36" spans="2:87" ht="24" customHeight="1" thickBot="1" x14ac:dyDescent="0.25">
      <c r="B36" s="15">
        <f t="shared" si="7"/>
        <v>206</v>
      </c>
      <c r="C36" s="15" t="s">
        <v>132</v>
      </c>
      <c r="D36" s="15">
        <v>8</v>
      </c>
      <c r="E36" s="15">
        <v>2</v>
      </c>
      <c r="F36" s="15">
        <v>1</v>
      </c>
      <c r="G36" s="15">
        <v>1</v>
      </c>
      <c r="H36" s="15">
        <v>2</v>
      </c>
      <c r="I36" s="15" t="s">
        <v>133</v>
      </c>
      <c r="J36" s="16"/>
      <c r="K36" s="15" t="s">
        <v>0</v>
      </c>
      <c r="L36" s="14">
        <v>44</v>
      </c>
      <c r="M36" s="13"/>
      <c r="N36" s="14">
        <v>46</v>
      </c>
      <c r="O36" s="13"/>
      <c r="P36" s="14">
        <v>34</v>
      </c>
      <c r="Q36" s="14">
        <v>51</v>
      </c>
      <c r="R36" s="14">
        <v>53</v>
      </c>
      <c r="S36" s="14">
        <v>43</v>
      </c>
      <c r="T36" s="13">
        <v>40</v>
      </c>
      <c r="U36" s="14">
        <v>48</v>
      </c>
      <c r="V36" s="13"/>
      <c r="W36" s="14">
        <v>46</v>
      </c>
      <c r="X36" s="13"/>
      <c r="Y36" s="14">
        <v>46</v>
      </c>
      <c r="Z36" s="13"/>
      <c r="AA36" s="4">
        <f t="shared" si="8"/>
        <v>44.833333333333336</v>
      </c>
      <c r="AB36" s="4">
        <f t="shared" si="9"/>
        <v>45.805555555555564</v>
      </c>
      <c r="AC36" s="4">
        <f t="shared" si="10"/>
        <v>0.55179281314817352</v>
      </c>
      <c r="AD36" s="3"/>
      <c r="AE36" s="3"/>
      <c r="AF36" s="3"/>
      <c r="AG36" s="3"/>
      <c r="AH36" s="3"/>
      <c r="AT36" s="12"/>
      <c r="AU36" s="12"/>
      <c r="AV36" s="11"/>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2:87" ht="24" customHeight="1" x14ac:dyDescent="0.2">
      <c r="B37" s="7">
        <f t="shared" si="7"/>
        <v>207</v>
      </c>
      <c r="C37" s="7" t="s">
        <v>122</v>
      </c>
      <c r="D37" s="7">
        <v>4</v>
      </c>
      <c r="E37" s="7">
        <v>1</v>
      </c>
      <c r="F37" s="7">
        <v>2</v>
      </c>
      <c r="G37" s="7">
        <v>1</v>
      </c>
      <c r="H37" s="7">
        <v>2</v>
      </c>
      <c r="I37" s="7" t="s">
        <v>134</v>
      </c>
      <c r="J37" s="9"/>
      <c r="K37" s="7" t="s">
        <v>2</v>
      </c>
      <c r="L37" s="6">
        <v>63</v>
      </c>
      <c r="M37" s="6"/>
      <c r="N37" s="6">
        <v>66</v>
      </c>
      <c r="O37" s="6"/>
      <c r="P37" s="6">
        <v>65</v>
      </c>
      <c r="Q37" s="6">
        <v>57</v>
      </c>
      <c r="R37" s="6">
        <v>62</v>
      </c>
      <c r="S37" s="6"/>
      <c r="T37" s="6"/>
      <c r="U37" s="6">
        <v>73</v>
      </c>
      <c r="V37" s="6"/>
      <c r="W37" s="6">
        <v>67</v>
      </c>
      <c r="X37" s="6"/>
      <c r="Y37" s="6">
        <v>66</v>
      </c>
      <c r="Z37" s="6"/>
      <c r="AA37" s="4">
        <f t="shared" si="8"/>
        <v>64.25</v>
      </c>
      <c r="AB37" s="4">
        <f t="shared" si="9"/>
        <v>66.541666666666671</v>
      </c>
      <c r="AC37" s="4">
        <f t="shared" si="10"/>
        <v>1.4177691788314644</v>
      </c>
      <c r="AD37" s="3"/>
      <c r="AE37" s="3"/>
      <c r="AF37" s="3"/>
      <c r="AG37" s="3"/>
      <c r="AH37" s="3"/>
    </row>
    <row r="38" spans="2:87" ht="24" customHeight="1" thickBot="1" x14ac:dyDescent="0.25">
      <c r="B38" s="15">
        <f t="shared" si="7"/>
        <v>207</v>
      </c>
      <c r="C38" s="15" t="s">
        <v>122</v>
      </c>
      <c r="D38" s="15">
        <v>4</v>
      </c>
      <c r="E38" s="15">
        <v>1</v>
      </c>
      <c r="F38" s="15">
        <v>2</v>
      </c>
      <c r="G38" s="15">
        <v>1</v>
      </c>
      <c r="H38" s="15">
        <v>2</v>
      </c>
      <c r="I38" s="15" t="s">
        <v>134</v>
      </c>
      <c r="J38" s="16"/>
      <c r="K38" s="15" t="s">
        <v>0</v>
      </c>
      <c r="L38" s="14">
        <v>49</v>
      </c>
      <c r="M38" s="13"/>
      <c r="N38" s="14">
        <v>57</v>
      </c>
      <c r="O38" s="13"/>
      <c r="P38" s="14">
        <v>48</v>
      </c>
      <c r="Q38" s="14">
        <v>50</v>
      </c>
      <c r="R38" s="14">
        <v>51</v>
      </c>
      <c r="S38" s="14"/>
      <c r="T38" s="13"/>
      <c r="U38" s="14">
        <v>60</v>
      </c>
      <c r="V38" s="13"/>
      <c r="W38" s="14">
        <v>46</v>
      </c>
      <c r="X38" s="13"/>
      <c r="Y38" s="14">
        <v>50</v>
      </c>
      <c r="Z38" s="13"/>
      <c r="AA38" s="4">
        <f t="shared" si="8"/>
        <v>52.25</v>
      </c>
      <c r="AB38" s="4">
        <f t="shared" si="9"/>
        <v>52.375</v>
      </c>
      <c r="AC38" s="4">
        <f t="shared" si="10"/>
        <v>2.1386814473720333</v>
      </c>
      <c r="AD38" s="3"/>
      <c r="AE38" s="3"/>
      <c r="AF38" s="3"/>
      <c r="AG38" s="3"/>
      <c r="AH38" s="3"/>
      <c r="AT38" s="12"/>
      <c r="AU38" s="12"/>
      <c r="AV38" s="11"/>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2:87" ht="24" customHeight="1" x14ac:dyDescent="0.2">
      <c r="B39" s="7">
        <f t="shared" si="7"/>
        <v>208</v>
      </c>
      <c r="C39" s="7" t="s">
        <v>135</v>
      </c>
      <c r="D39" s="7">
        <v>2</v>
      </c>
      <c r="E39" s="7">
        <v>1</v>
      </c>
      <c r="F39" s="7">
        <v>1</v>
      </c>
      <c r="G39" s="7">
        <v>1</v>
      </c>
      <c r="H39" s="7">
        <v>2</v>
      </c>
      <c r="I39" s="7" t="s">
        <v>136</v>
      </c>
      <c r="J39" s="9"/>
      <c r="K39" s="7" t="s">
        <v>2</v>
      </c>
      <c r="L39" s="6">
        <v>55</v>
      </c>
      <c r="M39" s="5"/>
      <c r="N39" s="6">
        <v>59</v>
      </c>
      <c r="O39" s="5"/>
      <c r="P39" s="6">
        <v>46</v>
      </c>
      <c r="Q39" s="6">
        <v>49</v>
      </c>
      <c r="R39" s="6">
        <v>55</v>
      </c>
      <c r="S39" s="6"/>
      <c r="T39" s="5"/>
      <c r="U39" s="6">
        <v>53</v>
      </c>
      <c r="V39" s="5"/>
      <c r="W39" s="6">
        <v>49</v>
      </c>
      <c r="X39" s="5"/>
      <c r="Y39" s="6">
        <v>48</v>
      </c>
      <c r="Z39" s="5"/>
      <c r="AA39" s="4">
        <f t="shared" si="8"/>
        <v>50.75</v>
      </c>
      <c r="AB39" s="4">
        <f t="shared" si="9"/>
        <v>52.458333333333336</v>
      </c>
      <c r="AC39" s="4">
        <f t="shared" si="10"/>
        <v>1.6763261748372378</v>
      </c>
      <c r="AD39" s="3"/>
      <c r="AE39" s="3"/>
      <c r="AF39" s="3"/>
      <c r="AG39" s="3"/>
      <c r="AH39" s="3"/>
    </row>
    <row r="40" spans="2:87" ht="24" customHeight="1" thickBot="1" x14ac:dyDescent="0.25">
      <c r="B40" s="15">
        <f t="shared" si="7"/>
        <v>208</v>
      </c>
      <c r="C40" s="15" t="s">
        <v>135</v>
      </c>
      <c r="D40" s="15">
        <v>2</v>
      </c>
      <c r="E40" s="15">
        <v>1</v>
      </c>
      <c r="F40" s="15">
        <v>1</v>
      </c>
      <c r="G40" s="15">
        <v>1</v>
      </c>
      <c r="H40" s="15">
        <v>2</v>
      </c>
      <c r="I40" s="15" t="s">
        <v>136</v>
      </c>
      <c r="J40" s="16"/>
      <c r="K40" s="15" t="s">
        <v>0</v>
      </c>
      <c r="L40" s="14">
        <v>46</v>
      </c>
      <c r="M40" s="13"/>
      <c r="N40" s="14">
        <v>38</v>
      </c>
      <c r="O40" s="13"/>
      <c r="P40" s="14">
        <v>38</v>
      </c>
      <c r="Q40" s="14">
        <v>38</v>
      </c>
      <c r="R40" s="14">
        <v>41</v>
      </c>
      <c r="S40" s="14"/>
      <c r="T40" s="13"/>
      <c r="U40" s="14">
        <v>42</v>
      </c>
      <c r="V40" s="13"/>
      <c r="W40" s="14">
        <v>49</v>
      </c>
      <c r="X40" s="13"/>
      <c r="Y40" s="14">
        <v>39</v>
      </c>
      <c r="Z40" s="13"/>
      <c r="AA40" s="4">
        <f t="shared" si="8"/>
        <v>39.75</v>
      </c>
      <c r="AB40" s="4">
        <f t="shared" si="9"/>
        <v>42.291666666666664</v>
      </c>
      <c r="AC40" s="4">
        <f t="shared" si="10"/>
        <v>1.7753129614552785</v>
      </c>
      <c r="AD40" s="3"/>
      <c r="AE40" s="3"/>
      <c r="AF40" s="3"/>
      <c r="AG40" s="3"/>
      <c r="AH40" s="3"/>
      <c r="AT40" s="12"/>
      <c r="AU40" s="12"/>
      <c r="AV40" s="11"/>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2:87" ht="24" customHeight="1" x14ac:dyDescent="0.2">
      <c r="B41" s="7">
        <f>B39+700</f>
        <v>908</v>
      </c>
      <c r="C41" s="7" t="s">
        <v>137</v>
      </c>
      <c r="D41" s="7">
        <v>21</v>
      </c>
      <c r="E41" s="7">
        <v>3</v>
      </c>
      <c r="F41" s="7">
        <v>2</v>
      </c>
      <c r="G41" s="7">
        <v>2</v>
      </c>
      <c r="H41" s="7">
        <v>2</v>
      </c>
      <c r="I41" s="7" t="s">
        <v>138</v>
      </c>
      <c r="J41" s="7"/>
      <c r="K41" s="7" t="s">
        <v>2</v>
      </c>
      <c r="L41" s="6">
        <v>62</v>
      </c>
      <c r="M41" s="5"/>
      <c r="N41" s="6">
        <v>58</v>
      </c>
      <c r="O41" s="5"/>
      <c r="P41" s="6">
        <v>58</v>
      </c>
      <c r="Q41" s="6">
        <v>52</v>
      </c>
      <c r="R41" s="6">
        <v>58</v>
      </c>
      <c r="S41" s="6">
        <v>55</v>
      </c>
      <c r="T41" s="5">
        <v>51</v>
      </c>
      <c r="U41" s="6">
        <v>55</v>
      </c>
      <c r="V41" s="5"/>
      <c r="W41" s="6">
        <v>47</v>
      </c>
      <c r="X41" s="5"/>
      <c r="Y41" s="6">
        <v>60</v>
      </c>
      <c r="Z41" s="5"/>
      <c r="AA41" s="4">
        <f t="shared" si="8"/>
        <v>54.833333333333336</v>
      </c>
      <c r="AB41" s="4">
        <f t="shared" si="9"/>
        <v>56.138888888888893</v>
      </c>
      <c r="AC41" s="4">
        <f t="shared" si="10"/>
        <v>2.1544169386817891</v>
      </c>
      <c r="AD41" s="3"/>
      <c r="AE41" s="3"/>
      <c r="AF41" s="3"/>
      <c r="AG41" s="3"/>
      <c r="AH41" s="3"/>
    </row>
    <row r="42" spans="2:87" ht="24" customHeight="1" thickBot="1" x14ac:dyDescent="0.25">
      <c r="B42" s="15">
        <f>B40+700</f>
        <v>908</v>
      </c>
      <c r="C42" s="15" t="s">
        <v>137</v>
      </c>
      <c r="D42" s="15">
        <v>21</v>
      </c>
      <c r="E42" s="15">
        <v>3</v>
      </c>
      <c r="F42" s="15">
        <v>2</v>
      </c>
      <c r="G42" s="15">
        <v>2</v>
      </c>
      <c r="H42" s="15">
        <v>2</v>
      </c>
      <c r="I42" s="15" t="s">
        <v>138</v>
      </c>
      <c r="J42" s="16"/>
      <c r="K42" s="15" t="s">
        <v>0</v>
      </c>
      <c r="L42" s="14">
        <v>43</v>
      </c>
      <c r="M42" s="13"/>
      <c r="N42" s="14">
        <v>44</v>
      </c>
      <c r="O42" s="13"/>
      <c r="P42" s="14">
        <v>45</v>
      </c>
      <c r="Q42" s="14">
        <v>43</v>
      </c>
      <c r="R42" s="14">
        <v>43</v>
      </c>
      <c r="S42" s="14">
        <v>53</v>
      </c>
      <c r="T42" s="13">
        <v>40</v>
      </c>
      <c r="U42" s="14">
        <v>46</v>
      </c>
      <c r="V42" s="13"/>
      <c r="W42" s="14">
        <v>36</v>
      </c>
      <c r="X42" s="13"/>
      <c r="Y42" s="14">
        <v>42</v>
      </c>
      <c r="Z42" s="13"/>
      <c r="AA42" s="4">
        <f t="shared" si="8"/>
        <v>45</v>
      </c>
      <c r="AB42" s="4">
        <f t="shared" si="9"/>
        <v>42.666666666666664</v>
      </c>
      <c r="AC42" s="4">
        <f t="shared" si="10"/>
        <v>1.4529663145135581</v>
      </c>
      <c r="AD42" s="3"/>
      <c r="AE42" s="3"/>
      <c r="AF42" s="3"/>
      <c r="AG42" s="3"/>
      <c r="AH42" s="3"/>
      <c r="AT42" s="12"/>
      <c r="AU42" s="12"/>
      <c r="AV42" s="11"/>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2:87" ht="24" customHeight="1" x14ac:dyDescent="0.2">
      <c r="B43" s="7">
        <v>906</v>
      </c>
      <c r="C43" s="7" t="s">
        <v>139</v>
      </c>
      <c r="D43" s="7">
        <v>22</v>
      </c>
      <c r="E43" s="7">
        <v>4</v>
      </c>
      <c r="F43" s="7">
        <v>2</v>
      </c>
      <c r="G43" s="7">
        <v>2</v>
      </c>
      <c r="H43" s="7">
        <v>2</v>
      </c>
      <c r="I43" s="7" t="s">
        <v>140</v>
      </c>
      <c r="J43" s="9"/>
      <c r="K43" s="7" t="s">
        <v>2</v>
      </c>
      <c r="L43" s="6">
        <v>57</v>
      </c>
      <c r="M43" s="6"/>
      <c r="N43" s="6">
        <v>58</v>
      </c>
      <c r="O43" s="6"/>
      <c r="P43" s="6">
        <v>60</v>
      </c>
      <c r="Q43" s="6">
        <v>55</v>
      </c>
      <c r="R43" s="6">
        <v>52</v>
      </c>
      <c r="S43" s="6"/>
      <c r="T43" s="6"/>
      <c r="U43" s="6">
        <v>56</v>
      </c>
      <c r="V43" s="6"/>
      <c r="W43" s="6">
        <v>50</v>
      </c>
      <c r="X43" s="6"/>
      <c r="Y43" s="6">
        <v>62</v>
      </c>
      <c r="Z43" s="6"/>
      <c r="AA43" s="4">
        <f t="shared" si="8"/>
        <v>55.75</v>
      </c>
      <c r="AB43" s="4">
        <f t="shared" si="9"/>
        <v>56.458333333333336</v>
      </c>
      <c r="AC43" s="4">
        <f t="shared" si="10"/>
        <v>1.5895710462609438</v>
      </c>
      <c r="AD43" s="3"/>
      <c r="AE43" s="3"/>
      <c r="AF43" s="3"/>
      <c r="AG43" s="3"/>
      <c r="AH43" s="3"/>
    </row>
    <row r="44" spans="2:87" ht="24" customHeight="1" thickBot="1" x14ac:dyDescent="0.25">
      <c r="B44" s="15">
        <v>906</v>
      </c>
      <c r="C44" s="15" t="s">
        <v>139</v>
      </c>
      <c r="D44" s="15">
        <v>22</v>
      </c>
      <c r="E44" s="15">
        <v>4</v>
      </c>
      <c r="F44" s="15">
        <v>2</v>
      </c>
      <c r="G44" s="15">
        <v>2</v>
      </c>
      <c r="H44" s="15">
        <v>2</v>
      </c>
      <c r="I44" s="15" t="s">
        <v>140</v>
      </c>
      <c r="J44" s="16"/>
      <c r="K44" s="15" t="s">
        <v>0</v>
      </c>
      <c r="L44" s="14">
        <v>46</v>
      </c>
      <c r="M44" s="13"/>
      <c r="N44" s="14">
        <v>45</v>
      </c>
      <c r="O44" s="13"/>
      <c r="P44" s="14">
        <v>41</v>
      </c>
      <c r="Q44" s="14">
        <v>45</v>
      </c>
      <c r="R44" s="14">
        <v>47</v>
      </c>
      <c r="S44" s="14"/>
      <c r="T44" s="13"/>
      <c r="U44" s="14">
        <v>47</v>
      </c>
      <c r="V44" s="13"/>
      <c r="W44" s="14">
        <v>32</v>
      </c>
      <c r="X44" s="13"/>
      <c r="Y44" s="14">
        <v>45</v>
      </c>
      <c r="Z44" s="13"/>
      <c r="AA44" s="4">
        <f t="shared" si="8"/>
        <v>45</v>
      </c>
      <c r="AB44" s="4">
        <f t="shared" si="9"/>
        <v>43.333333333333336</v>
      </c>
      <c r="AC44" s="4">
        <f t="shared" si="10"/>
        <v>2.2900752049756941</v>
      </c>
      <c r="AD44" s="3"/>
      <c r="AE44" s="3"/>
      <c r="AF44" s="3"/>
      <c r="AG44" s="3"/>
      <c r="AH44" s="3"/>
      <c r="AT44" s="12"/>
      <c r="AU44" s="12"/>
      <c r="AV44" s="11"/>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2:87" ht="24" customHeight="1" x14ac:dyDescent="0.2">
      <c r="B45" s="7">
        <v>904</v>
      </c>
      <c r="C45" s="7" t="s">
        <v>137</v>
      </c>
      <c r="D45" s="7">
        <v>21</v>
      </c>
      <c r="E45" s="7">
        <v>3</v>
      </c>
      <c r="F45" s="7">
        <v>2</v>
      </c>
      <c r="G45" s="7">
        <v>2</v>
      </c>
      <c r="H45" s="7">
        <v>1</v>
      </c>
      <c r="I45" s="7" t="s">
        <v>141</v>
      </c>
      <c r="J45" s="9"/>
      <c r="K45" s="7" t="s">
        <v>2</v>
      </c>
      <c r="L45" s="6">
        <v>55</v>
      </c>
      <c r="M45" s="6"/>
      <c r="N45" s="6">
        <v>62</v>
      </c>
      <c r="O45" s="6"/>
      <c r="P45" s="6">
        <v>49</v>
      </c>
      <c r="Q45" s="6">
        <v>53</v>
      </c>
      <c r="R45" s="6">
        <v>54</v>
      </c>
      <c r="S45" s="6">
        <v>58</v>
      </c>
      <c r="T45" s="6">
        <v>52</v>
      </c>
      <c r="U45" s="6">
        <v>53</v>
      </c>
      <c r="V45" s="6"/>
      <c r="W45" s="6">
        <v>59</v>
      </c>
      <c r="X45" s="6"/>
      <c r="Y45" s="6">
        <v>53</v>
      </c>
      <c r="Z45" s="6"/>
      <c r="AA45" s="4">
        <f t="shared" si="8"/>
        <v>53.166666666666664</v>
      </c>
      <c r="AB45" s="4">
        <f t="shared" si="9"/>
        <v>55.861111111111107</v>
      </c>
      <c r="AC45" s="4">
        <f t="shared" si="10"/>
        <v>1.5482467184640079</v>
      </c>
      <c r="AD45" s="3"/>
      <c r="AE45" s="3"/>
      <c r="AF45" s="3"/>
      <c r="AG45" s="3"/>
      <c r="AH45" s="3"/>
    </row>
    <row r="46" spans="2:87" ht="24" customHeight="1" thickBot="1" x14ac:dyDescent="0.25">
      <c r="B46" s="15">
        <v>904</v>
      </c>
      <c r="C46" s="15" t="s">
        <v>137</v>
      </c>
      <c r="D46" s="15">
        <v>21</v>
      </c>
      <c r="E46" s="15">
        <v>3</v>
      </c>
      <c r="F46" s="15">
        <v>2</v>
      </c>
      <c r="G46" s="15">
        <v>2</v>
      </c>
      <c r="H46" s="15">
        <v>1</v>
      </c>
      <c r="I46" s="15" t="s">
        <v>141</v>
      </c>
      <c r="J46" s="16"/>
      <c r="K46" s="15" t="s">
        <v>0</v>
      </c>
      <c r="L46" s="14">
        <v>41</v>
      </c>
      <c r="M46" s="13"/>
      <c r="N46" s="14">
        <v>52</v>
      </c>
      <c r="O46" s="13"/>
      <c r="P46" s="14">
        <v>42</v>
      </c>
      <c r="Q46" s="14">
        <v>41</v>
      </c>
      <c r="R46" s="14">
        <v>47</v>
      </c>
      <c r="S46" s="14">
        <v>41</v>
      </c>
      <c r="T46" s="13">
        <v>34</v>
      </c>
      <c r="U46" s="14">
        <v>41</v>
      </c>
      <c r="V46" s="13"/>
      <c r="W46" s="14">
        <v>52</v>
      </c>
      <c r="X46" s="13"/>
      <c r="Y46" s="14">
        <v>37</v>
      </c>
      <c r="Z46" s="13"/>
      <c r="AA46" s="4">
        <f t="shared" si="8"/>
        <v>41</v>
      </c>
      <c r="AB46" s="4">
        <f t="shared" si="9"/>
        <v>44</v>
      </c>
      <c r="AC46" s="4">
        <f t="shared" si="10"/>
        <v>2.6076809620810595</v>
      </c>
      <c r="AD46" s="3"/>
      <c r="AE46" s="3"/>
      <c r="AF46" s="3"/>
      <c r="AG46" s="3"/>
      <c r="AH46" s="3"/>
      <c r="AT46" s="12"/>
      <c r="AU46" s="12"/>
      <c r="AV46" s="11"/>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2:87" ht="24" customHeight="1" x14ac:dyDescent="0.2">
      <c r="B47" s="7">
        <v>902</v>
      </c>
      <c r="C47" s="7" t="s">
        <v>139</v>
      </c>
      <c r="D47" s="7">
        <v>22</v>
      </c>
      <c r="E47" s="7">
        <v>4</v>
      </c>
      <c r="F47" s="7">
        <v>2</v>
      </c>
      <c r="G47" s="7">
        <v>2</v>
      </c>
      <c r="H47" s="7">
        <v>1</v>
      </c>
      <c r="I47" s="7" t="s">
        <v>142</v>
      </c>
      <c r="J47" s="9"/>
      <c r="K47" s="7" t="s">
        <v>2</v>
      </c>
      <c r="L47" s="6">
        <v>58</v>
      </c>
      <c r="M47" s="6"/>
      <c r="N47" s="6">
        <v>62</v>
      </c>
      <c r="O47" s="6"/>
      <c r="P47" s="6">
        <v>59</v>
      </c>
      <c r="Q47" s="6">
        <v>55</v>
      </c>
      <c r="R47" s="6">
        <v>49</v>
      </c>
      <c r="S47" s="6"/>
      <c r="T47" s="6"/>
      <c r="U47" s="6">
        <v>65</v>
      </c>
      <c r="V47" s="6"/>
      <c r="W47" s="6">
        <v>48</v>
      </c>
      <c r="X47" s="6"/>
      <c r="Y47" s="6">
        <v>60</v>
      </c>
      <c r="Z47" s="6"/>
      <c r="AA47" s="4">
        <f t="shared" si="8"/>
        <v>57</v>
      </c>
      <c r="AB47" s="4">
        <f t="shared" si="9"/>
        <v>58.333333333333336</v>
      </c>
      <c r="AC47" s="4">
        <f t="shared" si="10"/>
        <v>2.3758039574940617</v>
      </c>
      <c r="AD47" s="3"/>
      <c r="AE47" s="3"/>
      <c r="AF47" s="3"/>
      <c r="AG47" s="3"/>
      <c r="AH47" s="3"/>
    </row>
    <row r="48" spans="2:87" ht="24" customHeight="1" thickBot="1" x14ac:dyDescent="0.25">
      <c r="B48" s="15">
        <v>902</v>
      </c>
      <c r="C48" s="15" t="s">
        <v>139</v>
      </c>
      <c r="D48" s="15">
        <v>22</v>
      </c>
      <c r="E48" s="15">
        <v>4</v>
      </c>
      <c r="F48" s="15">
        <v>2</v>
      </c>
      <c r="G48" s="15">
        <v>2</v>
      </c>
      <c r="H48" s="15">
        <v>1</v>
      </c>
      <c r="I48" s="15" t="s">
        <v>142</v>
      </c>
      <c r="J48" s="16"/>
      <c r="K48" s="15" t="s">
        <v>0</v>
      </c>
      <c r="L48" s="14">
        <v>45</v>
      </c>
      <c r="M48" s="13"/>
      <c r="N48" s="14">
        <v>48</v>
      </c>
      <c r="O48" s="13"/>
      <c r="P48" s="14">
        <v>48</v>
      </c>
      <c r="Q48" s="14">
        <v>34</v>
      </c>
      <c r="R48" s="14">
        <v>39</v>
      </c>
      <c r="S48" s="14"/>
      <c r="T48" s="13"/>
      <c r="U48" s="14">
        <v>42</v>
      </c>
      <c r="V48" s="13"/>
      <c r="W48" s="14">
        <v>38</v>
      </c>
      <c r="X48" s="13"/>
      <c r="Y48" s="14">
        <v>43</v>
      </c>
      <c r="Z48" s="13"/>
      <c r="AA48" s="4">
        <f t="shared" si="8"/>
        <v>40.75</v>
      </c>
      <c r="AB48" s="4">
        <f t="shared" si="9"/>
        <v>42.791666666666664</v>
      </c>
      <c r="AC48" s="4">
        <f t="shared" si="10"/>
        <v>1.4118791654308729</v>
      </c>
      <c r="AD48" s="3"/>
      <c r="AE48" s="3"/>
      <c r="AF48" s="3"/>
      <c r="AG48" s="3"/>
      <c r="AH48" s="3"/>
      <c r="AT48" s="12"/>
      <c r="AU48" s="12"/>
      <c r="AV48" s="11"/>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2:87" ht="24" customHeight="1" x14ac:dyDescent="0.2">
      <c r="B49" s="7">
        <f>B47-601</f>
        <v>301</v>
      </c>
      <c r="C49" s="7" t="s">
        <v>113</v>
      </c>
      <c r="D49" s="7">
        <v>10</v>
      </c>
      <c r="E49" s="7">
        <v>2</v>
      </c>
      <c r="F49" s="7">
        <v>2</v>
      </c>
      <c r="G49" s="7">
        <v>1</v>
      </c>
      <c r="H49" s="7">
        <v>3</v>
      </c>
      <c r="I49" s="7" t="s">
        <v>143</v>
      </c>
      <c r="J49" s="7"/>
      <c r="K49" s="7" t="s">
        <v>2</v>
      </c>
      <c r="L49" s="6">
        <v>52</v>
      </c>
      <c r="M49" s="6"/>
      <c r="N49" s="6">
        <v>59</v>
      </c>
      <c r="O49" s="6"/>
      <c r="P49" s="6">
        <v>68</v>
      </c>
      <c r="Q49" s="6">
        <v>72</v>
      </c>
      <c r="R49" s="6">
        <v>67</v>
      </c>
      <c r="S49" s="6">
        <v>49</v>
      </c>
      <c r="T49" s="6">
        <v>50</v>
      </c>
      <c r="U49" s="6">
        <v>61</v>
      </c>
      <c r="V49" s="6"/>
      <c r="W49" s="6">
        <v>59</v>
      </c>
      <c r="X49" s="6"/>
      <c r="Y49" s="6">
        <v>62</v>
      </c>
      <c r="Z49" s="6"/>
      <c r="AA49" s="4">
        <f t="shared" si="8"/>
        <v>61.166666666666664</v>
      </c>
      <c r="AB49" s="4">
        <f t="shared" si="9"/>
        <v>59.027777777777771</v>
      </c>
      <c r="AC49" s="4">
        <f t="shared" si="10"/>
        <v>1.4909707667021825</v>
      </c>
      <c r="AT49" s="12">
        <v>2</v>
      </c>
      <c r="AU49" s="12" t="s">
        <v>3</v>
      </c>
      <c r="AV49" s="12">
        <v>150</v>
      </c>
    </row>
    <row r="50" spans="2:87" ht="24" customHeight="1" thickBot="1" x14ac:dyDescent="0.25">
      <c r="B50" s="15">
        <f>B48-601</f>
        <v>301</v>
      </c>
      <c r="C50" s="15" t="s">
        <v>113</v>
      </c>
      <c r="D50" s="15">
        <v>10</v>
      </c>
      <c r="E50" s="15">
        <v>2</v>
      </c>
      <c r="F50" s="15">
        <v>2</v>
      </c>
      <c r="G50" s="15">
        <v>1</v>
      </c>
      <c r="H50" s="15">
        <v>3</v>
      </c>
      <c r="I50" s="15" t="s">
        <v>143</v>
      </c>
      <c r="J50" s="16"/>
      <c r="K50" s="15" t="s">
        <v>0</v>
      </c>
      <c r="L50" s="14">
        <v>46</v>
      </c>
      <c r="M50" s="13"/>
      <c r="N50" s="14">
        <v>53</v>
      </c>
      <c r="O50" s="13"/>
      <c r="P50" s="14">
        <v>54</v>
      </c>
      <c r="Q50" s="14">
        <v>46</v>
      </c>
      <c r="R50" s="14">
        <v>52</v>
      </c>
      <c r="S50" s="14">
        <v>53</v>
      </c>
      <c r="T50" s="13">
        <v>42</v>
      </c>
      <c r="U50" s="14">
        <v>50</v>
      </c>
      <c r="V50" s="13"/>
      <c r="W50" s="14">
        <v>38</v>
      </c>
      <c r="X50" s="13"/>
      <c r="Y50" s="14">
        <v>52</v>
      </c>
      <c r="Z50" s="13"/>
      <c r="AA50" s="4">
        <f t="shared" si="8"/>
        <v>49.5</v>
      </c>
      <c r="AB50" s="4">
        <f t="shared" si="9"/>
        <v>48.083333333333336</v>
      </c>
      <c r="AC50" s="4">
        <f t="shared" si="10"/>
        <v>2.2450562972401826</v>
      </c>
      <c r="AD50" s="3"/>
      <c r="AE50" s="3"/>
      <c r="AF50" s="3"/>
      <c r="AG50" s="3"/>
      <c r="AH50" s="3"/>
      <c r="AT50" s="12"/>
      <c r="AU50" s="12"/>
      <c r="AV50" s="11"/>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2:87" ht="24" customHeight="1" x14ac:dyDescent="0.2">
      <c r="B51" s="7">
        <f t="shared" ref="B51:B64" si="11">B49+1</f>
        <v>302</v>
      </c>
      <c r="C51" s="7" t="s">
        <v>122</v>
      </c>
      <c r="D51" s="7">
        <v>4</v>
      </c>
      <c r="E51" s="7">
        <v>1</v>
      </c>
      <c r="F51" s="7">
        <v>2</v>
      </c>
      <c r="G51" s="7">
        <v>1</v>
      </c>
      <c r="H51" s="7">
        <v>3</v>
      </c>
      <c r="I51" s="7" t="s">
        <v>144</v>
      </c>
      <c r="J51" s="9"/>
      <c r="K51" s="7" t="s">
        <v>2</v>
      </c>
      <c r="L51" s="6">
        <v>68</v>
      </c>
      <c r="M51" s="6"/>
      <c r="N51" s="6">
        <v>47</v>
      </c>
      <c r="O51" s="6"/>
      <c r="P51" s="6">
        <v>65</v>
      </c>
      <c r="Q51" s="6">
        <v>55</v>
      </c>
      <c r="R51" s="6">
        <v>56</v>
      </c>
      <c r="S51" s="6"/>
      <c r="T51" s="6"/>
      <c r="U51" s="6">
        <v>58</v>
      </c>
      <c r="V51" s="6"/>
      <c r="W51" s="6">
        <v>59</v>
      </c>
      <c r="X51" s="6"/>
      <c r="Y51" s="6">
        <v>50</v>
      </c>
      <c r="Z51" s="6"/>
      <c r="AA51" s="4">
        <f t="shared" si="8"/>
        <v>58.5</v>
      </c>
      <c r="AB51" s="4">
        <f t="shared" si="9"/>
        <v>56.75</v>
      </c>
      <c r="AC51" s="4">
        <f t="shared" si="10"/>
        <v>3.0379543555930311</v>
      </c>
      <c r="AD51" s="3"/>
      <c r="AE51" s="3"/>
      <c r="AF51" s="3"/>
      <c r="AG51" s="3"/>
      <c r="AH51" s="3"/>
    </row>
    <row r="52" spans="2:87" ht="24" customHeight="1" thickBot="1" x14ac:dyDescent="0.25">
      <c r="B52" s="15">
        <f t="shared" si="11"/>
        <v>302</v>
      </c>
      <c r="C52" s="15" t="s">
        <v>122</v>
      </c>
      <c r="D52" s="15">
        <v>4</v>
      </c>
      <c r="E52" s="15">
        <v>1</v>
      </c>
      <c r="F52" s="15">
        <v>2</v>
      </c>
      <c r="G52" s="15">
        <v>1</v>
      </c>
      <c r="H52" s="15">
        <v>3</v>
      </c>
      <c r="I52" s="15" t="s">
        <v>144</v>
      </c>
      <c r="J52" s="16"/>
      <c r="K52" s="15" t="s">
        <v>0</v>
      </c>
      <c r="L52" s="14">
        <v>54</v>
      </c>
      <c r="M52" s="13"/>
      <c r="N52" s="14">
        <v>45</v>
      </c>
      <c r="O52" s="13"/>
      <c r="P52" s="14">
        <v>47</v>
      </c>
      <c r="Q52" s="14">
        <v>44</v>
      </c>
      <c r="R52" s="14">
        <v>58</v>
      </c>
      <c r="S52" s="14"/>
      <c r="T52" s="13"/>
      <c r="U52" s="14">
        <v>51</v>
      </c>
      <c r="V52" s="13"/>
      <c r="W52" s="14">
        <v>46</v>
      </c>
      <c r="X52" s="13"/>
      <c r="Y52" s="14">
        <v>43</v>
      </c>
      <c r="Z52" s="13"/>
      <c r="AA52" s="4">
        <f t="shared" si="8"/>
        <v>50</v>
      </c>
      <c r="AB52" s="4">
        <f t="shared" si="9"/>
        <v>48.166666666666664</v>
      </c>
      <c r="AC52" s="4">
        <f t="shared" si="10"/>
        <v>1.7013066873566463</v>
      </c>
      <c r="AD52" s="3"/>
      <c r="AE52" s="3"/>
      <c r="AF52" s="3"/>
      <c r="AG52" s="3"/>
      <c r="AH52" s="3"/>
      <c r="AT52" s="12"/>
      <c r="AU52" s="12"/>
      <c r="AV52" s="11"/>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2:87" ht="24" customHeight="1" x14ac:dyDescent="0.2">
      <c r="B53" s="7">
        <f t="shared" si="11"/>
        <v>303</v>
      </c>
      <c r="C53" s="7" t="s">
        <v>132</v>
      </c>
      <c r="D53" s="7">
        <v>8</v>
      </c>
      <c r="E53" s="7">
        <v>2</v>
      </c>
      <c r="F53" s="7">
        <v>1</v>
      </c>
      <c r="G53" s="7">
        <v>1</v>
      </c>
      <c r="H53" s="7">
        <v>3</v>
      </c>
      <c r="I53" s="7" t="s">
        <v>145</v>
      </c>
      <c r="J53" s="9"/>
      <c r="K53" s="7" t="s">
        <v>2</v>
      </c>
      <c r="L53" s="6">
        <v>56</v>
      </c>
      <c r="M53" s="6"/>
      <c r="N53" s="6">
        <v>57</v>
      </c>
      <c r="O53" s="6"/>
      <c r="P53" s="6">
        <v>65</v>
      </c>
      <c r="Q53" s="6">
        <v>50</v>
      </c>
      <c r="R53" s="6">
        <v>53</v>
      </c>
      <c r="S53" s="6">
        <v>54</v>
      </c>
      <c r="T53" s="6">
        <v>63</v>
      </c>
      <c r="U53" s="6">
        <v>66</v>
      </c>
      <c r="V53" s="6"/>
      <c r="W53" s="6">
        <v>75</v>
      </c>
      <c r="X53" s="6"/>
      <c r="Y53" s="6">
        <v>53</v>
      </c>
      <c r="Z53" s="6"/>
      <c r="AA53" s="4">
        <f t="shared" si="8"/>
        <v>58.5</v>
      </c>
      <c r="AB53" s="4">
        <f t="shared" si="9"/>
        <v>60.916666666666664</v>
      </c>
      <c r="AC53" s="4">
        <f t="shared" si="10"/>
        <v>3.32770357921361</v>
      </c>
      <c r="AD53" s="3"/>
      <c r="AE53" s="3"/>
      <c r="AF53" s="3"/>
      <c r="AG53" s="3"/>
      <c r="AH53" s="3"/>
    </row>
    <row r="54" spans="2:87" ht="24" customHeight="1" thickBot="1" x14ac:dyDescent="0.25">
      <c r="B54" s="15">
        <f t="shared" si="11"/>
        <v>303</v>
      </c>
      <c r="C54" s="15" t="s">
        <v>132</v>
      </c>
      <c r="D54" s="15">
        <v>8</v>
      </c>
      <c r="E54" s="15">
        <v>2</v>
      </c>
      <c r="F54" s="15">
        <v>1</v>
      </c>
      <c r="G54" s="15">
        <v>1</v>
      </c>
      <c r="H54" s="15">
        <v>3</v>
      </c>
      <c r="I54" s="15" t="s">
        <v>145</v>
      </c>
      <c r="J54" s="16"/>
      <c r="K54" s="15" t="s">
        <v>0</v>
      </c>
      <c r="L54" s="14">
        <v>44</v>
      </c>
      <c r="M54" s="13"/>
      <c r="N54" s="14">
        <v>48</v>
      </c>
      <c r="O54" s="13"/>
      <c r="P54" s="14">
        <v>44</v>
      </c>
      <c r="Q54" s="14">
        <v>45</v>
      </c>
      <c r="R54" s="14">
        <v>46</v>
      </c>
      <c r="S54" s="14">
        <v>46</v>
      </c>
      <c r="T54" s="13">
        <v>51</v>
      </c>
      <c r="U54" s="14">
        <v>53</v>
      </c>
      <c r="V54" s="13"/>
      <c r="W54" s="14">
        <v>56</v>
      </c>
      <c r="X54" s="13"/>
      <c r="Y54" s="14">
        <v>49</v>
      </c>
      <c r="Z54" s="13"/>
      <c r="AA54" s="4">
        <f t="shared" si="8"/>
        <v>47.5</v>
      </c>
      <c r="AB54" s="4">
        <f t="shared" si="9"/>
        <v>49.583333333333336</v>
      </c>
      <c r="AC54" s="4">
        <f t="shared" si="10"/>
        <v>1.7436392338376014</v>
      </c>
      <c r="AD54" s="3"/>
      <c r="AE54" s="3"/>
      <c r="AF54" s="3"/>
      <c r="AG54" s="3"/>
      <c r="AH54" s="3"/>
      <c r="AT54" s="12"/>
      <c r="AU54" s="12"/>
      <c r="AV54" s="11"/>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2:87" ht="24" customHeight="1" x14ac:dyDescent="0.2">
      <c r="B55" s="7">
        <f t="shared" si="11"/>
        <v>304</v>
      </c>
      <c r="C55" s="7" t="s">
        <v>135</v>
      </c>
      <c r="D55" s="7">
        <v>2</v>
      </c>
      <c r="E55" s="7">
        <v>1</v>
      </c>
      <c r="F55" s="7">
        <v>1</v>
      </c>
      <c r="G55" s="7">
        <v>1</v>
      </c>
      <c r="H55" s="7">
        <v>3</v>
      </c>
      <c r="I55" s="7" t="s">
        <v>146</v>
      </c>
      <c r="J55" s="9"/>
      <c r="K55" s="7" t="s">
        <v>2</v>
      </c>
      <c r="L55" s="6">
        <v>51</v>
      </c>
      <c r="M55" s="6"/>
      <c r="N55" s="6">
        <v>53</v>
      </c>
      <c r="O55" s="6"/>
      <c r="P55" s="6">
        <v>59</v>
      </c>
      <c r="Q55" s="6">
        <v>52</v>
      </c>
      <c r="R55" s="6">
        <v>56</v>
      </c>
      <c r="S55" s="6"/>
      <c r="T55" s="6"/>
      <c r="U55" s="6">
        <v>60</v>
      </c>
      <c r="V55" s="6"/>
      <c r="W55" s="6">
        <v>52</v>
      </c>
      <c r="X55" s="6"/>
      <c r="Y55" s="6">
        <v>43</v>
      </c>
      <c r="Z55" s="6"/>
      <c r="AA55" s="4">
        <f t="shared" si="8"/>
        <v>56.75</v>
      </c>
      <c r="AB55" s="4">
        <f t="shared" si="9"/>
        <v>52.625</v>
      </c>
      <c r="AC55" s="4">
        <f t="shared" si="10"/>
        <v>2.3609231951364564</v>
      </c>
      <c r="AD55" s="3"/>
      <c r="AE55" s="3"/>
      <c r="AF55" s="3"/>
      <c r="AG55" s="3"/>
      <c r="AH55" s="3"/>
    </row>
    <row r="56" spans="2:87" ht="24" customHeight="1" thickBot="1" x14ac:dyDescent="0.25">
      <c r="B56" s="15">
        <f t="shared" si="11"/>
        <v>304</v>
      </c>
      <c r="C56" s="15" t="s">
        <v>135</v>
      </c>
      <c r="D56" s="15">
        <v>2</v>
      </c>
      <c r="E56" s="15">
        <v>1</v>
      </c>
      <c r="F56" s="15">
        <v>1</v>
      </c>
      <c r="G56" s="15">
        <v>1</v>
      </c>
      <c r="H56" s="15">
        <v>3</v>
      </c>
      <c r="I56" s="15" t="s">
        <v>146</v>
      </c>
      <c r="J56" s="16"/>
      <c r="K56" s="15" t="s">
        <v>0</v>
      </c>
      <c r="L56" s="14">
        <v>45</v>
      </c>
      <c r="M56" s="13"/>
      <c r="N56" s="14">
        <v>48</v>
      </c>
      <c r="O56" s="13"/>
      <c r="P56" s="14">
        <v>45</v>
      </c>
      <c r="Q56" s="14">
        <v>40</v>
      </c>
      <c r="R56" s="14">
        <v>43</v>
      </c>
      <c r="S56" s="14"/>
      <c r="T56" s="13"/>
      <c r="U56" s="14">
        <v>51</v>
      </c>
      <c r="V56" s="13"/>
      <c r="W56" s="14">
        <v>50</v>
      </c>
      <c r="X56" s="13"/>
      <c r="Y56" s="14">
        <v>30</v>
      </c>
      <c r="Z56" s="13"/>
      <c r="AA56" s="4">
        <f t="shared" si="8"/>
        <v>44.75</v>
      </c>
      <c r="AB56" s="4">
        <f t="shared" si="9"/>
        <v>44.791666666666664</v>
      </c>
      <c r="AC56" s="4">
        <f t="shared" si="10"/>
        <v>3.134762528663237</v>
      </c>
      <c r="AD56" s="3"/>
      <c r="AE56" s="3"/>
      <c r="AF56" s="3"/>
      <c r="AG56" s="3"/>
      <c r="AH56" s="3"/>
      <c r="AT56" s="12"/>
      <c r="AU56" s="12"/>
      <c r="AV56" s="11"/>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2:87" ht="24" customHeight="1" thickBot="1" x14ac:dyDescent="0.25">
      <c r="B57" s="7">
        <f t="shared" si="11"/>
        <v>305</v>
      </c>
      <c r="C57" s="7" t="s">
        <v>129</v>
      </c>
      <c r="D57" s="7">
        <v>11</v>
      </c>
      <c r="E57" s="7">
        <v>2</v>
      </c>
      <c r="F57" s="7">
        <v>3</v>
      </c>
      <c r="G57" s="7">
        <v>2</v>
      </c>
      <c r="H57" s="7">
        <v>4</v>
      </c>
      <c r="I57" s="7" t="s">
        <v>147</v>
      </c>
      <c r="J57" s="16"/>
      <c r="K57" s="7" t="s">
        <v>2</v>
      </c>
      <c r="L57" s="6">
        <v>77</v>
      </c>
      <c r="M57" s="6"/>
      <c r="N57" s="6">
        <v>75</v>
      </c>
      <c r="O57" s="6"/>
      <c r="P57" s="6"/>
      <c r="Q57" s="6">
        <v>72</v>
      </c>
      <c r="R57" s="6"/>
      <c r="S57" s="6"/>
      <c r="T57" s="6"/>
      <c r="U57" s="6">
        <v>76</v>
      </c>
      <c r="V57" s="6"/>
      <c r="W57" s="6">
        <v>77</v>
      </c>
      <c r="X57" s="6"/>
      <c r="Y57" s="6">
        <v>83</v>
      </c>
      <c r="Z57" s="6"/>
      <c r="AA57" s="4">
        <f>AVERAGE(P57:T57)</f>
        <v>72</v>
      </c>
      <c r="AB57" s="4">
        <f>AVERAGE(AVERAGE(L57:M57),AVERAGE(N57:O57),AVERAGE(P57:T57),AVERAGE(U57:V57),AVERAGE(W57:X57),AVERAGE(Y57:Z57))</f>
        <v>76.666666666666671</v>
      </c>
      <c r="AC57" s="4">
        <f>STDEV(AVERAGE(L57:M57),AVERAGE(N57:O57),AVERAGE(P57:T57),AVERAGE(U57:V57),AVERAGE(W57:X57),AVERAGE(Y57:Z57))/SQRT(6)</f>
        <v>1.4757295747452437</v>
      </c>
      <c r="AD57" s="3"/>
      <c r="AE57" s="3"/>
      <c r="AF57" s="3"/>
      <c r="AG57" s="3"/>
      <c r="AH57" s="3"/>
    </row>
    <row r="58" spans="2:87" ht="24" customHeight="1" thickBot="1" x14ac:dyDescent="0.25">
      <c r="B58" s="15">
        <f t="shared" si="11"/>
        <v>305</v>
      </c>
      <c r="C58" s="15" t="s">
        <v>129</v>
      </c>
      <c r="D58" s="15">
        <v>11</v>
      </c>
      <c r="E58" s="15">
        <v>2</v>
      </c>
      <c r="F58" s="15">
        <v>3</v>
      </c>
      <c r="G58" s="15">
        <v>2</v>
      </c>
      <c r="H58" s="15">
        <v>4</v>
      </c>
      <c r="I58" s="15" t="s">
        <v>147</v>
      </c>
      <c r="J58" s="16"/>
      <c r="K58" s="15" t="s">
        <v>0</v>
      </c>
      <c r="L58" s="14">
        <v>53</v>
      </c>
      <c r="M58" s="13"/>
      <c r="N58" s="14">
        <v>52</v>
      </c>
      <c r="O58" s="13"/>
      <c r="P58" s="14"/>
      <c r="Q58" s="14">
        <v>53</v>
      </c>
      <c r="R58" s="14"/>
      <c r="S58" s="14"/>
      <c r="T58" s="13"/>
      <c r="U58" s="14">
        <v>53</v>
      </c>
      <c r="V58" s="13"/>
      <c r="W58" s="14">
        <v>50</v>
      </c>
      <c r="X58" s="13"/>
      <c r="Y58" s="14">
        <v>48</v>
      </c>
      <c r="Z58" s="13"/>
      <c r="AA58" s="4">
        <f>AVERAGE(P58:T58)</f>
        <v>53</v>
      </c>
      <c r="AB58" s="4">
        <f>AVERAGE(AVERAGE(L58:M58),AVERAGE(N58:O58),AVERAGE(P58:T58),AVERAGE(U58:V58),AVERAGE(W58:X58),AVERAGE(Y58:Z58))</f>
        <v>51.5</v>
      </c>
      <c r="AC58" s="4">
        <f>STDEV(AVERAGE(L58:M58),AVERAGE(N58:O58),AVERAGE(P58:T58),AVERAGE(U58:V58),AVERAGE(W58:X58),AVERAGE(Y58:Z58))/SQRT(6)</f>
        <v>0.84656167328001963</v>
      </c>
      <c r="AD58" s="3"/>
      <c r="AE58" s="3"/>
      <c r="AF58" s="3"/>
      <c r="AG58" s="3"/>
      <c r="AH58" s="3"/>
      <c r="AT58" s="12"/>
      <c r="AU58" s="12"/>
      <c r="AV58" s="11"/>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2:87" ht="24" customHeight="1" x14ac:dyDescent="0.2">
      <c r="B59" s="7">
        <f t="shared" si="11"/>
        <v>306</v>
      </c>
      <c r="C59" s="7" t="s">
        <v>122</v>
      </c>
      <c r="D59" s="7">
        <v>4</v>
      </c>
      <c r="E59" s="7">
        <v>1</v>
      </c>
      <c r="F59" s="7">
        <v>2</v>
      </c>
      <c r="G59" s="7">
        <v>1</v>
      </c>
      <c r="H59" s="7">
        <v>4</v>
      </c>
      <c r="I59" s="7" t="s">
        <v>148</v>
      </c>
      <c r="J59" s="9"/>
      <c r="K59" s="7" t="s">
        <v>2</v>
      </c>
      <c r="L59" s="6">
        <v>57</v>
      </c>
      <c r="M59" s="6"/>
      <c r="N59" s="6">
        <v>60</v>
      </c>
      <c r="O59" s="6"/>
      <c r="P59" s="6">
        <v>57</v>
      </c>
      <c r="Q59" s="6">
        <v>70</v>
      </c>
      <c r="R59" s="6">
        <v>67</v>
      </c>
      <c r="S59" s="6"/>
      <c r="T59" s="6"/>
      <c r="U59" s="6">
        <v>64</v>
      </c>
      <c r="V59" s="6"/>
      <c r="W59" s="6">
        <v>60</v>
      </c>
      <c r="X59" s="6"/>
      <c r="Y59" s="6">
        <v>59</v>
      </c>
      <c r="Z59" s="6"/>
      <c r="AA59" s="4">
        <f>AVERAGE(P59:U59)</f>
        <v>64.5</v>
      </c>
      <c r="AB59" s="4">
        <f>AVERAGE(AVERAGE(L59:M59),AVERAGE(N59:O59),AVERAGE(P59:U59),AVERAGE(U59:V59),AVERAGE(W59:X59),AVERAGE(Y59:Z59))</f>
        <v>60.75</v>
      </c>
      <c r="AC59" s="4">
        <f>STDEV(AVERAGE(L59:M59),AVERAGE(N59:O59),AVERAGE(P59:U59),AVERAGE(U59:V59),AVERAGE(W59:X59),AVERAGE(Y59:Z59))/SQRT(6)</f>
        <v>1.1954775893619534</v>
      </c>
      <c r="AD59" s="3"/>
      <c r="AE59" s="3"/>
      <c r="AF59" s="3"/>
      <c r="AG59" s="3"/>
      <c r="AH59" s="3"/>
    </row>
    <row r="60" spans="2:87" ht="24" customHeight="1" thickBot="1" x14ac:dyDescent="0.25">
      <c r="B60" s="15">
        <f t="shared" si="11"/>
        <v>306</v>
      </c>
      <c r="C60" s="15" t="s">
        <v>122</v>
      </c>
      <c r="D60" s="15">
        <v>4</v>
      </c>
      <c r="E60" s="15">
        <v>1</v>
      </c>
      <c r="F60" s="15">
        <v>2</v>
      </c>
      <c r="G60" s="15">
        <v>1</v>
      </c>
      <c r="H60" s="15">
        <v>4</v>
      </c>
      <c r="I60" s="15" t="s">
        <v>148</v>
      </c>
      <c r="J60" s="16"/>
      <c r="K60" s="15" t="s">
        <v>0</v>
      </c>
      <c r="L60" s="14">
        <v>51</v>
      </c>
      <c r="M60" s="13"/>
      <c r="N60" s="14">
        <v>45</v>
      </c>
      <c r="O60" s="13"/>
      <c r="P60" s="14">
        <v>43</v>
      </c>
      <c r="Q60" s="14">
        <v>40</v>
      </c>
      <c r="R60" s="14">
        <v>39</v>
      </c>
      <c r="S60" s="14"/>
      <c r="T60" s="13"/>
      <c r="U60" s="14">
        <v>50</v>
      </c>
      <c r="V60" s="13"/>
      <c r="W60" s="14">
        <v>52</v>
      </c>
      <c r="X60" s="13"/>
      <c r="Y60" s="14">
        <v>45</v>
      </c>
      <c r="Z60" s="13"/>
      <c r="AA60" s="4">
        <f>AVERAGE(P60:U60)</f>
        <v>43</v>
      </c>
      <c r="AB60" s="4">
        <f>AVERAGE(AVERAGE(L60:M60),AVERAGE(N60:O60),AVERAGE(P60:U60),AVERAGE(U60:V60),AVERAGE(W60:X60),AVERAGE(Y60:Z60))</f>
        <v>47.666666666666664</v>
      </c>
      <c r="AC60" s="4">
        <f>STDEV(AVERAGE(L60:M60),AVERAGE(N60:O60),AVERAGE(P60:U60),AVERAGE(U60:V60),AVERAGE(W60:X60),AVERAGE(Y60:Z60))/SQRT(6)</f>
        <v>1.5420044674960507</v>
      </c>
      <c r="AD60" s="3"/>
      <c r="AE60" s="3"/>
      <c r="AF60" s="3"/>
      <c r="AG60" s="3"/>
      <c r="AH60" s="3"/>
      <c r="AT60" s="12"/>
      <c r="AU60" s="12"/>
      <c r="AV60" s="11"/>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2:87" ht="24" customHeight="1" x14ac:dyDescent="0.2">
      <c r="B61" s="7">
        <f t="shared" si="11"/>
        <v>307</v>
      </c>
      <c r="C61" s="7" t="s">
        <v>115</v>
      </c>
      <c r="D61" s="7">
        <v>9</v>
      </c>
      <c r="E61" s="7">
        <v>2</v>
      </c>
      <c r="F61" s="7">
        <v>2</v>
      </c>
      <c r="G61" s="7">
        <v>2</v>
      </c>
      <c r="H61" s="7">
        <v>4</v>
      </c>
      <c r="I61" s="7" t="s">
        <v>149</v>
      </c>
      <c r="J61" s="9"/>
      <c r="K61" s="7" t="s">
        <v>2</v>
      </c>
      <c r="L61" s="6">
        <v>64</v>
      </c>
      <c r="M61" s="5"/>
      <c r="N61" s="6">
        <v>52</v>
      </c>
      <c r="O61" s="5"/>
      <c r="P61" s="6"/>
      <c r="Q61" s="6">
        <v>58</v>
      </c>
      <c r="R61" s="6"/>
      <c r="S61" s="6"/>
      <c r="T61" s="5"/>
      <c r="U61" s="6">
        <v>62</v>
      </c>
      <c r="V61" s="5"/>
      <c r="W61" s="6">
        <v>58</v>
      </c>
      <c r="X61" s="5"/>
      <c r="Y61" s="6">
        <v>60</v>
      </c>
      <c r="Z61" s="5"/>
      <c r="AA61" s="4">
        <f>AVERAGE(P61:T61)</f>
        <v>58</v>
      </c>
      <c r="AB61" s="4">
        <f>AVERAGE(AVERAGE(L61:M61),AVERAGE(N61:O61),AVERAGE(P61:T61),AVERAGE(U61:V61),AVERAGE(W61:X61),AVERAGE(Y61:Z61))</f>
        <v>59</v>
      </c>
      <c r="AC61" s="4">
        <f>STDEV(AVERAGE(L61:M61),AVERAGE(N61:O61),AVERAGE(P61:T61),AVERAGE(U61:V61),AVERAGE(W61:X61),AVERAGE(Y61:Z61))/SQRT(6)</f>
        <v>1.6931233465600393</v>
      </c>
      <c r="AD61" s="3"/>
      <c r="AE61" s="3"/>
      <c r="AF61" s="3"/>
      <c r="AG61" s="3"/>
      <c r="AH61" s="3"/>
    </row>
    <row r="62" spans="2:87" ht="24" customHeight="1" thickBot="1" x14ac:dyDescent="0.25">
      <c r="B62" s="15">
        <f t="shared" si="11"/>
        <v>307</v>
      </c>
      <c r="C62" s="15" t="s">
        <v>115</v>
      </c>
      <c r="D62" s="15">
        <v>9</v>
      </c>
      <c r="E62" s="15">
        <v>2</v>
      </c>
      <c r="F62" s="15">
        <v>2</v>
      </c>
      <c r="G62" s="15">
        <v>2</v>
      </c>
      <c r="H62" s="15">
        <v>4</v>
      </c>
      <c r="I62" s="15" t="s">
        <v>149</v>
      </c>
      <c r="J62" s="16"/>
      <c r="K62" s="15" t="s">
        <v>0</v>
      </c>
      <c r="L62" s="14">
        <v>46</v>
      </c>
      <c r="M62" s="13"/>
      <c r="N62" s="14">
        <v>41</v>
      </c>
      <c r="O62" s="13"/>
      <c r="P62" s="14"/>
      <c r="Q62" s="14">
        <v>46</v>
      </c>
      <c r="R62" s="14"/>
      <c r="S62" s="14"/>
      <c r="T62" s="13"/>
      <c r="U62" s="14">
        <v>48</v>
      </c>
      <c r="V62" s="13"/>
      <c r="W62" s="14">
        <v>45</v>
      </c>
      <c r="X62" s="13"/>
      <c r="Y62" s="14">
        <v>48</v>
      </c>
      <c r="Z62" s="13"/>
      <c r="AA62" s="4">
        <f>AVERAGE(P62:T62)</f>
        <v>46</v>
      </c>
      <c r="AB62" s="4">
        <f>AVERAGE(AVERAGE(L62:M62),AVERAGE(N62:O62),AVERAGE(P62:T62),AVERAGE(U62:V62),AVERAGE(W62:X62),AVERAGE(Y62:Z62))</f>
        <v>45.666666666666664</v>
      </c>
      <c r="AC62" s="4">
        <f>STDEV(AVERAGE(L62:M62),AVERAGE(N62:O62),AVERAGE(P62:T62),AVERAGE(U62:V62),AVERAGE(W62:X62),AVERAGE(Y62:Z62))/SQRT(6)</f>
        <v>1.0540925533894601</v>
      </c>
      <c r="AD62" s="3"/>
      <c r="AE62" s="3"/>
      <c r="AF62" s="3"/>
      <c r="AG62" s="3"/>
      <c r="AH62" s="3"/>
      <c r="AT62" s="12"/>
      <c r="AU62" s="12"/>
      <c r="AV62" s="11"/>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2:87" ht="24" customHeight="1" x14ac:dyDescent="0.2">
      <c r="B63" s="7">
        <f t="shared" si="11"/>
        <v>308</v>
      </c>
      <c r="C63" s="7" t="s">
        <v>120</v>
      </c>
      <c r="D63" s="7">
        <v>5</v>
      </c>
      <c r="E63" s="7">
        <v>1</v>
      </c>
      <c r="F63" s="7">
        <v>3</v>
      </c>
      <c r="G63" s="7">
        <v>2</v>
      </c>
      <c r="H63" s="7">
        <v>4</v>
      </c>
      <c r="I63" s="7" t="s">
        <v>150</v>
      </c>
      <c r="J63" s="9"/>
      <c r="K63" s="7" t="s">
        <v>2</v>
      </c>
      <c r="L63" s="6">
        <v>71</v>
      </c>
      <c r="M63" s="5"/>
      <c r="N63" s="6">
        <v>65</v>
      </c>
      <c r="O63" s="5"/>
      <c r="P63" s="6">
        <v>61</v>
      </c>
      <c r="Q63" s="6">
        <v>66</v>
      </c>
      <c r="R63" s="6">
        <v>54</v>
      </c>
      <c r="S63" s="6"/>
      <c r="T63" s="5"/>
      <c r="U63" s="6">
        <v>64</v>
      </c>
      <c r="V63" s="5"/>
      <c r="W63" s="6">
        <v>63</v>
      </c>
      <c r="X63" s="5"/>
      <c r="Y63" s="6">
        <v>70</v>
      </c>
      <c r="Z63" s="5"/>
      <c r="AA63" s="4">
        <f t="shared" ref="AA63:AA80" si="12">AVERAGE(P63:U63)</f>
        <v>61.25</v>
      </c>
      <c r="AB63" s="4">
        <f t="shared" ref="AB63:AB80" si="13">AVERAGE(AVERAGE(L63:M63),AVERAGE(N63:O63),AVERAGE(P63:U63),AVERAGE(U63:V63),AVERAGE(W63:X63),AVERAGE(Y63:Z63))</f>
        <v>65.708333333333329</v>
      </c>
      <c r="AC63" s="4">
        <f t="shared" ref="AC63:AC80" si="14">STDEV(AVERAGE(L63:M63),AVERAGE(N63:O63),AVERAGE(P63:U63),AVERAGE(U63:V63),AVERAGE(W63:X63),AVERAGE(Y63:Z63))/SQRT(6)</f>
        <v>1.6026237168399133</v>
      </c>
      <c r="AD63" s="3"/>
      <c r="AE63" s="3"/>
      <c r="AF63" s="3"/>
      <c r="AG63" s="3"/>
      <c r="AH63" s="3"/>
    </row>
    <row r="64" spans="2:87" ht="24" customHeight="1" x14ac:dyDescent="0.2">
      <c r="B64" s="7">
        <f t="shared" si="11"/>
        <v>308</v>
      </c>
      <c r="C64" s="7" t="s">
        <v>120</v>
      </c>
      <c r="D64" s="7">
        <v>5</v>
      </c>
      <c r="E64" s="7">
        <v>1</v>
      </c>
      <c r="F64" s="7">
        <v>3</v>
      </c>
      <c r="G64" s="7">
        <v>2</v>
      </c>
      <c r="H64" s="7">
        <v>4</v>
      </c>
      <c r="I64" s="7" t="s">
        <v>150</v>
      </c>
      <c r="J64" s="9"/>
      <c r="K64" s="7" t="s">
        <v>0</v>
      </c>
      <c r="L64" s="6">
        <v>35</v>
      </c>
      <c r="M64" s="6"/>
      <c r="N64" s="6">
        <v>42</v>
      </c>
      <c r="O64" s="6"/>
      <c r="P64" s="6">
        <v>30</v>
      </c>
      <c r="Q64" s="6">
        <v>32</v>
      </c>
      <c r="R64" s="6">
        <v>33</v>
      </c>
      <c r="S64" s="6"/>
      <c r="T64" s="6"/>
      <c r="U64" s="6">
        <v>36</v>
      </c>
      <c r="V64" s="6"/>
      <c r="W64" s="6">
        <v>52</v>
      </c>
      <c r="X64" s="6"/>
      <c r="Y64" s="6">
        <v>51</v>
      </c>
      <c r="Z64" s="6"/>
      <c r="AA64" s="4">
        <f t="shared" si="12"/>
        <v>32.75</v>
      </c>
      <c r="AB64" s="4">
        <f t="shared" si="13"/>
        <v>41.458333333333336</v>
      </c>
      <c r="AC64" s="4">
        <f t="shared" si="14"/>
        <v>3.414684384309107</v>
      </c>
      <c r="AD64" s="3"/>
      <c r="AE64" s="3"/>
      <c r="AF64" s="3"/>
      <c r="AG64" s="3"/>
      <c r="AH64" s="3"/>
    </row>
    <row r="65" spans="2:87" ht="24" customHeight="1" x14ac:dyDescent="0.2">
      <c r="B65" s="7">
        <f>B63+100</f>
        <v>408</v>
      </c>
      <c r="C65" s="7" t="s">
        <v>113</v>
      </c>
      <c r="D65" s="7">
        <v>10</v>
      </c>
      <c r="E65" s="7">
        <v>2</v>
      </c>
      <c r="F65" s="7">
        <v>2</v>
      </c>
      <c r="G65" s="7">
        <v>1</v>
      </c>
      <c r="H65" s="7">
        <v>4</v>
      </c>
      <c r="I65" s="7" t="s">
        <v>151</v>
      </c>
      <c r="J65" s="7"/>
      <c r="K65" s="7" t="s">
        <v>2</v>
      </c>
      <c r="L65" s="6">
        <v>55</v>
      </c>
      <c r="M65" s="6"/>
      <c r="N65" s="6">
        <v>60</v>
      </c>
      <c r="O65" s="6"/>
      <c r="P65" s="6">
        <v>56</v>
      </c>
      <c r="Q65" s="6">
        <v>67</v>
      </c>
      <c r="R65" s="6">
        <v>62</v>
      </c>
      <c r="S65" s="6">
        <v>53</v>
      </c>
      <c r="T65" s="6">
        <v>49</v>
      </c>
      <c r="U65" s="6">
        <v>56</v>
      </c>
      <c r="V65" s="6"/>
      <c r="W65" s="6">
        <v>59</v>
      </c>
      <c r="X65" s="6"/>
      <c r="Y65" s="6">
        <v>53</v>
      </c>
      <c r="Z65" s="6"/>
      <c r="AA65" s="4">
        <f t="shared" si="12"/>
        <v>57.166666666666664</v>
      </c>
      <c r="AB65" s="4">
        <f t="shared" si="13"/>
        <v>56.694444444444436</v>
      </c>
      <c r="AC65" s="4">
        <f t="shared" si="14"/>
        <v>1.0562132453974844</v>
      </c>
      <c r="AT65" s="12">
        <v>2</v>
      </c>
      <c r="AU65" s="12" t="s">
        <v>3</v>
      </c>
      <c r="AV65" s="12">
        <v>150</v>
      </c>
    </row>
    <row r="66" spans="2:87" ht="24" customHeight="1" thickBot="1" x14ac:dyDescent="0.25">
      <c r="B66" s="7">
        <f>B64+100</f>
        <v>408</v>
      </c>
      <c r="C66" s="15" t="s">
        <v>113</v>
      </c>
      <c r="D66" s="15">
        <v>10</v>
      </c>
      <c r="E66" s="15">
        <v>2</v>
      </c>
      <c r="F66" s="15">
        <v>2</v>
      </c>
      <c r="G66" s="15">
        <v>1</v>
      </c>
      <c r="H66" s="15">
        <v>4</v>
      </c>
      <c r="I66" s="15" t="s">
        <v>151</v>
      </c>
      <c r="J66" s="16"/>
      <c r="K66" s="15" t="s">
        <v>0</v>
      </c>
      <c r="L66" s="14">
        <v>45</v>
      </c>
      <c r="M66" s="13"/>
      <c r="N66" s="14">
        <v>51</v>
      </c>
      <c r="O66" s="13"/>
      <c r="P66" s="14">
        <v>42</v>
      </c>
      <c r="Q66" s="14">
        <v>46</v>
      </c>
      <c r="R66" s="14">
        <v>49</v>
      </c>
      <c r="S66" s="14">
        <v>52</v>
      </c>
      <c r="T66" s="13">
        <v>50</v>
      </c>
      <c r="U66" s="14">
        <v>48</v>
      </c>
      <c r="V66" s="13"/>
      <c r="W66" s="14">
        <v>61</v>
      </c>
      <c r="X66" s="13"/>
      <c r="Y66" s="14">
        <v>40</v>
      </c>
      <c r="Z66" s="13"/>
      <c r="AA66" s="4">
        <f t="shared" si="12"/>
        <v>47.833333333333336</v>
      </c>
      <c r="AB66" s="4">
        <f t="shared" si="13"/>
        <v>48.805555555555564</v>
      </c>
      <c r="AC66" s="4">
        <f t="shared" si="14"/>
        <v>2.8701582956302469</v>
      </c>
      <c r="AD66" s="3"/>
      <c r="AE66" s="3"/>
      <c r="AF66" s="3"/>
      <c r="AG66" s="3"/>
      <c r="AH66" s="3"/>
      <c r="AT66" s="12"/>
      <c r="AU66" s="12"/>
      <c r="AV66" s="11"/>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2:87" ht="24" customHeight="1" x14ac:dyDescent="0.2">
      <c r="B67" s="7">
        <f t="shared" ref="B67:B80" si="15">B65-1</f>
        <v>407</v>
      </c>
      <c r="C67" s="7" t="s">
        <v>152</v>
      </c>
      <c r="D67" s="7">
        <v>7</v>
      </c>
      <c r="E67" s="7">
        <v>2</v>
      </c>
      <c r="F67" s="7">
        <v>1</v>
      </c>
      <c r="G67" s="7">
        <v>2</v>
      </c>
      <c r="H67" s="7">
        <v>4</v>
      </c>
      <c r="I67" s="7" t="s">
        <v>153</v>
      </c>
      <c r="J67" s="9"/>
      <c r="K67" s="7" t="s">
        <v>2</v>
      </c>
      <c r="L67" s="6">
        <v>49</v>
      </c>
      <c r="M67" s="6"/>
      <c r="N67" s="6">
        <v>59</v>
      </c>
      <c r="O67" s="6"/>
      <c r="P67" s="6">
        <v>50</v>
      </c>
      <c r="Q67" s="6">
        <v>57</v>
      </c>
      <c r="R67" s="6">
        <v>36</v>
      </c>
      <c r="S67" s="6">
        <v>57</v>
      </c>
      <c r="T67" s="6">
        <v>45</v>
      </c>
      <c r="U67" s="6">
        <v>54</v>
      </c>
      <c r="V67" s="6"/>
      <c r="W67" s="6">
        <v>48</v>
      </c>
      <c r="X67" s="6"/>
      <c r="Y67" s="6">
        <v>58</v>
      </c>
      <c r="Z67" s="6"/>
      <c r="AA67" s="4">
        <f t="shared" si="12"/>
        <v>49.833333333333336</v>
      </c>
      <c r="AB67" s="4">
        <f t="shared" si="13"/>
        <v>52.972222222222229</v>
      </c>
      <c r="AC67" s="4">
        <f t="shared" si="14"/>
        <v>1.9409889931694457</v>
      </c>
      <c r="AD67" s="3"/>
      <c r="AE67" s="3"/>
      <c r="AF67" s="3"/>
      <c r="AG67" s="3"/>
      <c r="AH67" s="3"/>
    </row>
    <row r="68" spans="2:87" ht="24" customHeight="1" thickBot="1" x14ac:dyDescent="0.25">
      <c r="B68" s="7">
        <f t="shared" si="15"/>
        <v>407</v>
      </c>
      <c r="C68" s="15" t="s">
        <v>152</v>
      </c>
      <c r="D68" s="15">
        <v>7</v>
      </c>
      <c r="E68" s="15">
        <v>2</v>
      </c>
      <c r="F68" s="15">
        <v>1</v>
      </c>
      <c r="G68" s="15">
        <v>2</v>
      </c>
      <c r="H68" s="15">
        <v>4</v>
      </c>
      <c r="I68" s="15" t="s">
        <v>153</v>
      </c>
      <c r="J68" s="16"/>
      <c r="K68" s="15" t="s">
        <v>0</v>
      </c>
      <c r="L68" s="14">
        <v>44</v>
      </c>
      <c r="M68" s="13"/>
      <c r="N68" s="14">
        <v>47</v>
      </c>
      <c r="O68" s="13"/>
      <c r="P68" s="14">
        <v>34</v>
      </c>
      <c r="Q68" s="14">
        <v>43</v>
      </c>
      <c r="R68" s="14">
        <v>28</v>
      </c>
      <c r="S68" s="14">
        <v>33</v>
      </c>
      <c r="T68" s="13">
        <v>38</v>
      </c>
      <c r="U68" s="14">
        <v>43</v>
      </c>
      <c r="V68" s="13"/>
      <c r="W68" s="14">
        <v>38</v>
      </c>
      <c r="X68" s="13"/>
      <c r="Y68" s="14">
        <v>46</v>
      </c>
      <c r="Z68" s="13"/>
      <c r="AA68" s="4">
        <f t="shared" si="12"/>
        <v>36.5</v>
      </c>
      <c r="AB68" s="4">
        <f t="shared" si="13"/>
        <v>42.416666666666664</v>
      </c>
      <c r="AC68" s="4">
        <f t="shared" si="14"/>
        <v>1.7436392338376014</v>
      </c>
      <c r="AD68" s="3"/>
      <c r="AE68" s="3"/>
      <c r="AF68" s="3"/>
      <c r="AG68" s="3"/>
      <c r="AH68" s="3"/>
      <c r="AT68" s="12"/>
      <c r="AU68" s="12"/>
      <c r="AV68" s="11"/>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2:87" ht="24" customHeight="1" x14ac:dyDescent="0.2">
      <c r="B69" s="7">
        <f t="shared" si="15"/>
        <v>406</v>
      </c>
      <c r="C69" s="7" t="s">
        <v>111</v>
      </c>
      <c r="D69" s="7">
        <v>3</v>
      </c>
      <c r="E69" s="7">
        <v>1</v>
      </c>
      <c r="F69" s="7">
        <v>2</v>
      </c>
      <c r="G69" s="7">
        <v>2</v>
      </c>
      <c r="H69" s="7">
        <v>4</v>
      </c>
      <c r="I69" s="7" t="s">
        <v>154</v>
      </c>
      <c r="J69" s="9"/>
      <c r="K69" s="7" t="s">
        <v>2</v>
      </c>
      <c r="L69" s="6">
        <v>54</v>
      </c>
      <c r="M69" s="6"/>
      <c r="N69" s="6">
        <v>68</v>
      </c>
      <c r="O69" s="6"/>
      <c r="P69" s="6">
        <v>62</v>
      </c>
      <c r="Q69" s="6">
        <v>78</v>
      </c>
      <c r="R69" s="6">
        <v>60</v>
      </c>
      <c r="S69" s="6"/>
      <c r="T69" s="6"/>
      <c r="U69" s="6">
        <v>55</v>
      </c>
      <c r="V69" s="6"/>
      <c r="W69" s="6">
        <v>65</v>
      </c>
      <c r="X69" s="6"/>
      <c r="Y69" s="6">
        <v>52</v>
      </c>
      <c r="Z69" s="6"/>
      <c r="AA69" s="4">
        <f t="shared" si="12"/>
        <v>63.75</v>
      </c>
      <c r="AB69" s="4">
        <f t="shared" si="13"/>
        <v>59.625</v>
      </c>
      <c r="AC69" s="4">
        <f t="shared" si="14"/>
        <v>2.7520825447891881</v>
      </c>
      <c r="AD69" s="3"/>
      <c r="AE69" s="3"/>
      <c r="AF69" s="3"/>
      <c r="AG69" s="3"/>
      <c r="AH69" s="3"/>
    </row>
    <row r="70" spans="2:87" ht="24" customHeight="1" thickBot="1" x14ac:dyDescent="0.25">
      <c r="B70" s="7">
        <f t="shared" si="15"/>
        <v>406</v>
      </c>
      <c r="C70" s="15" t="s">
        <v>111</v>
      </c>
      <c r="D70" s="15">
        <v>3</v>
      </c>
      <c r="E70" s="15">
        <v>1</v>
      </c>
      <c r="F70" s="15">
        <v>2</v>
      </c>
      <c r="G70" s="15">
        <v>2</v>
      </c>
      <c r="H70" s="15">
        <v>4</v>
      </c>
      <c r="I70" s="15" t="s">
        <v>154</v>
      </c>
      <c r="J70" s="16"/>
      <c r="K70" s="15" t="s">
        <v>0</v>
      </c>
      <c r="L70" s="14">
        <v>46</v>
      </c>
      <c r="M70" s="13"/>
      <c r="N70" s="14">
        <v>57</v>
      </c>
      <c r="O70" s="13"/>
      <c r="P70" s="14">
        <v>47</v>
      </c>
      <c r="Q70" s="14">
        <v>62</v>
      </c>
      <c r="R70" s="14">
        <v>45</v>
      </c>
      <c r="S70" s="14"/>
      <c r="T70" s="13"/>
      <c r="U70" s="14">
        <v>39</v>
      </c>
      <c r="V70" s="13"/>
      <c r="W70" s="14">
        <v>44</v>
      </c>
      <c r="X70" s="13"/>
      <c r="Y70" s="14">
        <v>47</v>
      </c>
      <c r="Z70" s="13"/>
      <c r="AA70" s="4">
        <f t="shared" si="12"/>
        <v>48.25</v>
      </c>
      <c r="AB70" s="4">
        <f t="shared" si="13"/>
        <v>46.875</v>
      </c>
      <c r="AC70" s="4">
        <f t="shared" si="14"/>
        <v>2.4184619768219089</v>
      </c>
      <c r="AD70" s="3"/>
      <c r="AE70" s="3"/>
      <c r="AF70" s="3"/>
      <c r="AG70" s="3"/>
      <c r="AH70" s="3"/>
      <c r="AT70" s="12"/>
      <c r="AU70" s="12"/>
      <c r="AV70" s="11"/>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2:87" ht="24" customHeight="1" x14ac:dyDescent="0.2">
      <c r="B71" s="7">
        <f t="shared" si="15"/>
        <v>405</v>
      </c>
      <c r="C71" s="7" t="s">
        <v>155</v>
      </c>
      <c r="D71" s="7">
        <v>6</v>
      </c>
      <c r="E71" s="7">
        <v>1</v>
      </c>
      <c r="F71" s="7">
        <v>3</v>
      </c>
      <c r="G71" s="7">
        <v>1</v>
      </c>
      <c r="H71" s="7">
        <v>4</v>
      </c>
      <c r="I71" s="7" t="s">
        <v>156</v>
      </c>
      <c r="J71" s="9"/>
      <c r="K71" s="7" t="s">
        <v>2</v>
      </c>
      <c r="L71" s="6">
        <v>74</v>
      </c>
      <c r="M71" s="6"/>
      <c r="N71" s="6">
        <v>77</v>
      </c>
      <c r="O71" s="6"/>
      <c r="P71" s="6">
        <v>73</v>
      </c>
      <c r="Q71" s="6">
        <v>69</v>
      </c>
      <c r="R71" s="6">
        <v>74</v>
      </c>
      <c r="S71" s="6"/>
      <c r="T71" s="6"/>
      <c r="U71" s="6">
        <v>72</v>
      </c>
      <c r="V71" s="6"/>
      <c r="W71" s="6">
        <v>72</v>
      </c>
      <c r="X71" s="6"/>
      <c r="Y71" s="6">
        <v>76</v>
      </c>
      <c r="Z71" s="6"/>
      <c r="AA71" s="4">
        <f t="shared" si="12"/>
        <v>72</v>
      </c>
      <c r="AB71" s="4">
        <f t="shared" si="13"/>
        <v>73.833333333333329</v>
      </c>
      <c r="AC71" s="4">
        <f t="shared" si="14"/>
        <v>0.90982293759707866</v>
      </c>
      <c r="AD71" s="3"/>
      <c r="AE71" s="3"/>
      <c r="AF71" s="3"/>
      <c r="AG71" s="3"/>
      <c r="AH71" s="3"/>
    </row>
    <row r="72" spans="2:87" ht="24" customHeight="1" thickBot="1" x14ac:dyDescent="0.25">
      <c r="B72" s="7">
        <f t="shared" si="15"/>
        <v>405</v>
      </c>
      <c r="C72" s="15" t="s">
        <v>155</v>
      </c>
      <c r="D72" s="15">
        <v>6</v>
      </c>
      <c r="E72" s="15">
        <v>1</v>
      </c>
      <c r="F72" s="15">
        <v>3</v>
      </c>
      <c r="G72" s="15">
        <v>1</v>
      </c>
      <c r="H72" s="15">
        <v>4</v>
      </c>
      <c r="I72" s="15" t="s">
        <v>156</v>
      </c>
      <c r="J72" s="16"/>
      <c r="K72" s="15" t="s">
        <v>0</v>
      </c>
      <c r="L72" s="14">
        <v>42</v>
      </c>
      <c r="M72" s="13"/>
      <c r="N72" s="14">
        <v>44</v>
      </c>
      <c r="O72" s="13"/>
      <c r="P72" s="14">
        <v>38</v>
      </c>
      <c r="Q72" s="14">
        <v>42</v>
      </c>
      <c r="R72" s="14">
        <v>39</v>
      </c>
      <c r="S72" s="14"/>
      <c r="T72" s="13"/>
      <c r="U72" s="14">
        <v>43</v>
      </c>
      <c r="V72" s="13"/>
      <c r="W72" s="14">
        <v>33</v>
      </c>
      <c r="X72" s="13"/>
      <c r="Y72" s="14">
        <v>38</v>
      </c>
      <c r="Z72" s="13"/>
      <c r="AA72" s="4">
        <f t="shared" si="12"/>
        <v>40.5</v>
      </c>
      <c r="AB72" s="4">
        <f t="shared" si="13"/>
        <v>40.083333333333336</v>
      </c>
      <c r="AC72" s="4">
        <f t="shared" si="14"/>
        <v>1.6553784394445212</v>
      </c>
      <c r="AD72" s="3"/>
      <c r="AE72" s="3"/>
      <c r="AF72" s="3"/>
      <c r="AG72" s="3"/>
      <c r="AH72" s="3"/>
      <c r="AT72" s="12"/>
      <c r="AU72" s="12"/>
      <c r="AV72" s="11"/>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2:87" ht="24" customHeight="1" thickBot="1" x14ac:dyDescent="0.25">
      <c r="B73" s="7">
        <f t="shared" si="15"/>
        <v>404</v>
      </c>
      <c r="C73" s="7" t="s">
        <v>111</v>
      </c>
      <c r="D73" s="7">
        <v>3</v>
      </c>
      <c r="E73" s="7">
        <v>1</v>
      </c>
      <c r="F73" s="7">
        <v>2</v>
      </c>
      <c r="G73" s="7">
        <v>2</v>
      </c>
      <c r="H73" s="7">
        <v>3</v>
      </c>
      <c r="I73" s="7" t="s">
        <v>157</v>
      </c>
      <c r="J73" s="16"/>
      <c r="K73" s="7" t="s">
        <v>2</v>
      </c>
      <c r="L73" s="6">
        <v>55</v>
      </c>
      <c r="M73" s="6"/>
      <c r="N73" s="6">
        <v>59</v>
      </c>
      <c r="O73" s="6"/>
      <c r="P73" s="6">
        <v>60</v>
      </c>
      <c r="Q73" s="6">
        <v>51</v>
      </c>
      <c r="R73" s="6">
        <v>43</v>
      </c>
      <c r="S73" s="6"/>
      <c r="T73" s="6"/>
      <c r="U73" s="6">
        <v>65</v>
      </c>
      <c r="V73" s="6"/>
      <c r="W73" s="6">
        <v>55</v>
      </c>
      <c r="X73" s="6"/>
      <c r="Y73" s="6">
        <v>51</v>
      </c>
      <c r="Z73" s="6"/>
      <c r="AA73" s="4">
        <f t="shared" si="12"/>
        <v>54.75</v>
      </c>
      <c r="AB73" s="4">
        <f t="shared" si="13"/>
        <v>56.625</v>
      </c>
      <c r="AC73" s="4">
        <f t="shared" si="14"/>
        <v>1.9682373671214897</v>
      </c>
      <c r="AD73" s="3"/>
      <c r="AE73" s="3"/>
      <c r="AF73" s="3"/>
      <c r="AG73" s="3"/>
      <c r="AH73" s="3"/>
    </row>
    <row r="74" spans="2:87" ht="24" customHeight="1" thickBot="1" x14ac:dyDescent="0.25">
      <c r="B74" s="7">
        <f t="shared" si="15"/>
        <v>404</v>
      </c>
      <c r="C74" s="15" t="s">
        <v>111</v>
      </c>
      <c r="D74" s="15">
        <v>3</v>
      </c>
      <c r="E74" s="15">
        <v>1</v>
      </c>
      <c r="F74" s="15">
        <v>2</v>
      </c>
      <c r="G74" s="15">
        <v>2</v>
      </c>
      <c r="H74" s="15">
        <v>3</v>
      </c>
      <c r="I74" s="15" t="s">
        <v>157</v>
      </c>
      <c r="J74" s="16"/>
      <c r="K74" s="15" t="s">
        <v>0</v>
      </c>
      <c r="L74" s="14">
        <v>45</v>
      </c>
      <c r="M74" s="13"/>
      <c r="N74" s="14">
        <v>44</v>
      </c>
      <c r="O74" s="13"/>
      <c r="P74" s="14">
        <v>42</v>
      </c>
      <c r="Q74" s="14">
        <v>39</v>
      </c>
      <c r="R74" s="14">
        <v>38</v>
      </c>
      <c r="S74" s="14"/>
      <c r="T74" s="13"/>
      <c r="U74" s="14">
        <v>52</v>
      </c>
      <c r="V74" s="13"/>
      <c r="W74" s="14">
        <v>48</v>
      </c>
      <c r="X74" s="13"/>
      <c r="Y74" s="14">
        <v>40</v>
      </c>
      <c r="Z74" s="13"/>
      <c r="AA74" s="4">
        <f t="shared" si="12"/>
        <v>42.75</v>
      </c>
      <c r="AB74" s="4">
        <f t="shared" si="13"/>
        <v>45.291666666666664</v>
      </c>
      <c r="AC74" s="4">
        <f t="shared" si="14"/>
        <v>1.7180617308790482</v>
      </c>
      <c r="AD74" s="3"/>
      <c r="AE74" s="3"/>
      <c r="AF74" s="3"/>
      <c r="AG74" s="3"/>
      <c r="AH74" s="3"/>
      <c r="AT74" s="12"/>
      <c r="AU74" s="12"/>
      <c r="AV74" s="11"/>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2:87" ht="24" customHeight="1" x14ac:dyDescent="0.2">
      <c r="B75" s="7">
        <f t="shared" si="15"/>
        <v>403</v>
      </c>
      <c r="C75" s="7" t="s">
        <v>155</v>
      </c>
      <c r="D75" s="7">
        <v>6</v>
      </c>
      <c r="E75" s="7">
        <v>1</v>
      </c>
      <c r="F75" s="7">
        <v>3</v>
      </c>
      <c r="G75" s="7">
        <v>1</v>
      </c>
      <c r="H75" s="7">
        <v>3</v>
      </c>
      <c r="I75" s="7" t="s">
        <v>158</v>
      </c>
      <c r="J75" s="9"/>
      <c r="K75" s="7" t="s">
        <v>2</v>
      </c>
      <c r="L75" s="6">
        <v>72</v>
      </c>
      <c r="M75" s="6"/>
      <c r="N75" s="6">
        <v>75</v>
      </c>
      <c r="O75" s="6"/>
      <c r="P75" s="6">
        <v>74</v>
      </c>
      <c r="Q75" s="6">
        <v>60</v>
      </c>
      <c r="R75" s="6">
        <v>66</v>
      </c>
      <c r="S75" s="6"/>
      <c r="T75" s="6"/>
      <c r="U75" s="6">
        <v>62</v>
      </c>
      <c r="V75" s="6"/>
      <c r="W75" s="6">
        <v>64</v>
      </c>
      <c r="X75" s="6"/>
      <c r="Y75" s="6">
        <v>71</v>
      </c>
      <c r="Z75" s="6"/>
      <c r="AA75" s="4">
        <f t="shared" si="12"/>
        <v>65.5</v>
      </c>
      <c r="AB75" s="4">
        <f t="shared" si="13"/>
        <v>68.25</v>
      </c>
      <c r="AC75" s="4">
        <f t="shared" si="14"/>
        <v>2.096624270901521</v>
      </c>
      <c r="AD75" s="3"/>
      <c r="AE75" s="3"/>
      <c r="AF75" s="3"/>
      <c r="AG75" s="3"/>
      <c r="AH75" s="3"/>
    </row>
    <row r="76" spans="2:87" ht="24" customHeight="1" thickBot="1" x14ac:dyDescent="0.25">
      <c r="B76" s="7">
        <f t="shared" si="15"/>
        <v>403</v>
      </c>
      <c r="C76" s="15" t="s">
        <v>155</v>
      </c>
      <c r="D76" s="15">
        <v>6</v>
      </c>
      <c r="E76" s="15">
        <v>1</v>
      </c>
      <c r="F76" s="15">
        <v>3</v>
      </c>
      <c r="G76" s="15">
        <v>1</v>
      </c>
      <c r="H76" s="15">
        <v>3</v>
      </c>
      <c r="I76" s="15" t="s">
        <v>158</v>
      </c>
      <c r="J76" s="16"/>
      <c r="K76" s="15" t="s">
        <v>0</v>
      </c>
      <c r="L76" s="14">
        <v>40</v>
      </c>
      <c r="M76" s="13"/>
      <c r="N76" s="14">
        <v>46</v>
      </c>
      <c r="O76" s="13"/>
      <c r="P76" s="14">
        <v>37</v>
      </c>
      <c r="Q76" s="14">
        <v>39</v>
      </c>
      <c r="R76" s="14">
        <v>33</v>
      </c>
      <c r="S76" s="14"/>
      <c r="T76" s="13"/>
      <c r="U76" s="14">
        <v>38</v>
      </c>
      <c r="V76" s="13"/>
      <c r="W76" s="14">
        <v>39</v>
      </c>
      <c r="X76" s="13"/>
      <c r="Y76" s="14">
        <v>36</v>
      </c>
      <c r="Z76" s="13"/>
      <c r="AA76" s="4">
        <f t="shared" si="12"/>
        <v>36.75</v>
      </c>
      <c r="AB76" s="4">
        <f t="shared" si="13"/>
        <v>39.291666666666664</v>
      </c>
      <c r="AC76" s="4">
        <f t="shared" si="14"/>
        <v>1.4668797193741248</v>
      </c>
      <c r="AD76" s="3"/>
      <c r="AE76" s="3"/>
      <c r="AF76" s="3"/>
      <c r="AG76" s="3"/>
      <c r="AH76" s="3"/>
      <c r="AT76" s="12"/>
      <c r="AU76" s="12"/>
      <c r="AV76" s="11"/>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2:87" ht="24" customHeight="1" x14ac:dyDescent="0.2">
      <c r="B77" s="7">
        <f t="shared" si="15"/>
        <v>402</v>
      </c>
      <c r="C77" s="7" t="s">
        <v>115</v>
      </c>
      <c r="D77" s="7">
        <v>9</v>
      </c>
      <c r="E77" s="7">
        <v>2</v>
      </c>
      <c r="F77" s="7">
        <v>2</v>
      </c>
      <c r="G77" s="7">
        <v>2</v>
      </c>
      <c r="H77" s="7">
        <v>3</v>
      </c>
      <c r="I77" s="7" t="s">
        <v>159</v>
      </c>
      <c r="J77" s="9"/>
      <c r="K77" s="7" t="s">
        <v>2</v>
      </c>
      <c r="L77" s="6">
        <v>55</v>
      </c>
      <c r="M77" s="5"/>
      <c r="N77" s="6">
        <v>57</v>
      </c>
      <c r="O77" s="5"/>
      <c r="P77" s="6">
        <v>53</v>
      </c>
      <c r="Q77" s="6">
        <v>57</v>
      </c>
      <c r="R77" s="6">
        <v>58</v>
      </c>
      <c r="S77" s="6">
        <v>53</v>
      </c>
      <c r="T77" s="5">
        <v>57</v>
      </c>
      <c r="U77" s="6">
        <v>61</v>
      </c>
      <c r="V77" s="5"/>
      <c r="W77" s="6">
        <v>58</v>
      </c>
      <c r="X77" s="5"/>
      <c r="Y77" s="6">
        <v>52</v>
      </c>
      <c r="Z77" s="5"/>
      <c r="AA77" s="4">
        <f t="shared" si="12"/>
        <v>56.5</v>
      </c>
      <c r="AB77" s="4">
        <f t="shared" si="13"/>
        <v>56.583333333333336</v>
      </c>
      <c r="AC77" s="4">
        <f t="shared" si="14"/>
        <v>1.227576655221353</v>
      </c>
      <c r="AD77" s="3"/>
      <c r="AE77" s="3"/>
      <c r="AF77" s="3"/>
      <c r="AG77" s="3"/>
      <c r="AH77" s="3"/>
    </row>
    <row r="78" spans="2:87" ht="24" customHeight="1" thickBot="1" x14ac:dyDescent="0.25">
      <c r="B78" s="7">
        <f t="shared" si="15"/>
        <v>402</v>
      </c>
      <c r="C78" s="15" t="s">
        <v>115</v>
      </c>
      <c r="D78" s="15">
        <v>9</v>
      </c>
      <c r="E78" s="15">
        <v>2</v>
      </c>
      <c r="F78" s="15">
        <v>2</v>
      </c>
      <c r="G78" s="15">
        <v>2</v>
      </c>
      <c r="H78" s="15">
        <v>3</v>
      </c>
      <c r="I78" s="15" t="s">
        <v>159</v>
      </c>
      <c r="J78" s="16"/>
      <c r="K78" s="15" t="s">
        <v>0</v>
      </c>
      <c r="L78" s="14">
        <v>48</v>
      </c>
      <c r="M78" s="13"/>
      <c r="N78" s="14">
        <v>44</v>
      </c>
      <c r="O78" s="13"/>
      <c r="P78" s="14">
        <v>34</v>
      </c>
      <c r="Q78" s="14">
        <v>42</v>
      </c>
      <c r="R78" s="14">
        <v>50</v>
      </c>
      <c r="S78" s="14">
        <v>45</v>
      </c>
      <c r="T78" s="13">
        <v>46</v>
      </c>
      <c r="U78" s="14">
        <v>42</v>
      </c>
      <c r="V78" s="13"/>
      <c r="W78" s="14">
        <v>40</v>
      </c>
      <c r="X78" s="13"/>
      <c r="Y78" s="14">
        <v>36</v>
      </c>
      <c r="Z78" s="13"/>
      <c r="AA78" s="4">
        <f t="shared" si="12"/>
        <v>43.166666666666664</v>
      </c>
      <c r="AB78" s="4">
        <f t="shared" si="13"/>
        <v>42.194444444444443</v>
      </c>
      <c r="AC78" s="4">
        <f t="shared" si="14"/>
        <v>1.6445289017350764</v>
      </c>
      <c r="AD78" s="3"/>
      <c r="AE78" s="3"/>
      <c r="AF78" s="3"/>
      <c r="AG78" s="3"/>
      <c r="AH78" s="3"/>
      <c r="AT78" s="12"/>
      <c r="AU78" s="12"/>
      <c r="AV78" s="11"/>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2:87" ht="24" customHeight="1" x14ac:dyDescent="0.2">
      <c r="B79" s="7">
        <f t="shared" si="15"/>
        <v>401</v>
      </c>
      <c r="C79" s="7" t="s">
        <v>152</v>
      </c>
      <c r="D79" s="7">
        <v>7</v>
      </c>
      <c r="E79" s="7">
        <v>2</v>
      </c>
      <c r="F79" s="7">
        <v>1</v>
      </c>
      <c r="G79" s="7">
        <v>2</v>
      </c>
      <c r="H79" s="7">
        <v>3</v>
      </c>
      <c r="I79" s="7" t="s">
        <v>160</v>
      </c>
      <c r="J79" s="9"/>
      <c r="K79" s="7" t="s">
        <v>2</v>
      </c>
      <c r="L79" s="6">
        <v>43</v>
      </c>
      <c r="M79" s="5"/>
      <c r="N79" s="6">
        <v>40</v>
      </c>
      <c r="O79" s="5"/>
      <c r="P79" s="6">
        <v>0</v>
      </c>
      <c r="Q79" s="6">
        <v>52</v>
      </c>
      <c r="R79" s="6">
        <v>47</v>
      </c>
      <c r="S79" s="6">
        <v>47</v>
      </c>
      <c r="T79" s="5">
        <v>49</v>
      </c>
      <c r="U79" s="6">
        <v>41</v>
      </c>
      <c r="V79" s="5"/>
      <c r="W79" s="6">
        <v>51</v>
      </c>
      <c r="X79" s="5"/>
      <c r="Y79" s="6">
        <v>49</v>
      </c>
      <c r="Z79" s="5"/>
      <c r="AA79" s="4">
        <f t="shared" si="12"/>
        <v>39.333333333333336</v>
      </c>
      <c r="AB79" s="4">
        <f t="shared" si="13"/>
        <v>43.888888888888893</v>
      </c>
      <c r="AC79" s="4">
        <f t="shared" si="14"/>
        <v>2.0141474929748053</v>
      </c>
      <c r="AD79" s="3"/>
      <c r="AE79" s="3"/>
      <c r="AF79" s="3"/>
      <c r="AG79" s="3"/>
      <c r="AH79" s="3"/>
    </row>
    <row r="80" spans="2:87" ht="24" customHeight="1" x14ac:dyDescent="0.2">
      <c r="B80" s="7">
        <f t="shared" si="15"/>
        <v>401</v>
      </c>
      <c r="C80" s="7" t="s">
        <v>152</v>
      </c>
      <c r="D80" s="7">
        <v>7</v>
      </c>
      <c r="E80" s="7">
        <v>2</v>
      </c>
      <c r="F80" s="7">
        <v>1</v>
      </c>
      <c r="G80" s="7">
        <v>2</v>
      </c>
      <c r="H80" s="7">
        <v>3</v>
      </c>
      <c r="I80" s="7" t="s">
        <v>160</v>
      </c>
      <c r="J80" s="7"/>
      <c r="K80" s="7" t="s">
        <v>0</v>
      </c>
      <c r="L80" s="6">
        <v>37</v>
      </c>
      <c r="M80" s="5"/>
      <c r="N80" s="6">
        <v>38</v>
      </c>
      <c r="O80" s="5"/>
      <c r="P80" s="6">
        <v>0</v>
      </c>
      <c r="Q80" s="6">
        <v>34</v>
      </c>
      <c r="R80" s="6">
        <v>40</v>
      </c>
      <c r="S80" s="6">
        <v>40</v>
      </c>
      <c r="T80" s="5">
        <v>44</v>
      </c>
      <c r="U80" s="6">
        <v>27</v>
      </c>
      <c r="V80" s="5"/>
      <c r="W80" s="6">
        <v>48</v>
      </c>
      <c r="X80" s="5"/>
      <c r="Y80" s="6">
        <v>43</v>
      </c>
      <c r="Z80" s="5"/>
      <c r="AA80" s="4">
        <f t="shared" si="12"/>
        <v>30.833333333333332</v>
      </c>
      <c r="AB80" s="4">
        <f t="shared" si="13"/>
        <v>37.30555555555555</v>
      </c>
      <c r="AC80" s="4">
        <f t="shared" si="14"/>
        <v>3.1382988629329898</v>
      </c>
      <c r="AD80" s="3"/>
      <c r="AE80" s="3"/>
      <c r="AF80" s="3"/>
      <c r="AG80" s="3"/>
      <c r="AH80" s="3"/>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sheetData>
  <mergeCells count="12">
    <mergeCell ref="P6:T6"/>
    <mergeCell ref="U6:V6"/>
    <mergeCell ref="AT5:AV5"/>
    <mergeCell ref="J7:K7"/>
    <mergeCell ref="B7:H7"/>
    <mergeCell ref="AA6:AA7"/>
    <mergeCell ref="AB6:AB7"/>
    <mergeCell ref="AC6:AC7"/>
    <mergeCell ref="L6:M6"/>
    <mergeCell ref="N6:O6"/>
    <mergeCell ref="W6:X6"/>
    <mergeCell ref="Y6:Z6"/>
  </mergeCells>
  <pageMargins left="0.51" right="0" top="0.85" bottom="0" header="0.64" footer="0"/>
  <pageSetup paperSize="512" scale="30" orientation="landscape" r:id="rId1"/>
  <headerFooter alignWithMargins="0">
    <oddHeader xml:space="preserve">&amp;L&amp;"Comic Sans MS,Bold"&amp;14FISE2003 ---Cotton Plant Cover and Heights in North 1 m of Harvest Area&amp;C&amp;"Comic Sans MS,Bold"&amp;12       </oddHeader>
    <oddFooter>&amp;L&amp;F   USWCL Remote Sensing&amp;R&amp;D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6CDF-8AB4-4575-AC3F-BAC758BD6498}">
  <sheetPr>
    <pageSetUpPr fitToPage="1"/>
  </sheetPr>
  <dimension ref="A1:CI87"/>
  <sheetViews>
    <sheetView workbookViewId="0">
      <selection activeCell="N2" sqref="N2"/>
    </sheetView>
  </sheetViews>
  <sheetFormatPr defaultRowHeight="12.75" x14ac:dyDescent="0.2"/>
  <cols>
    <col min="1" max="1" width="9.140625" style="1"/>
    <col min="2" max="2" width="4.85546875" style="1" customWidth="1"/>
    <col min="3" max="3" width="5.7109375" style="1" customWidth="1"/>
    <col min="4" max="8" width="5.28515625" style="1" hidden="1" customWidth="1"/>
    <col min="9" max="9" width="7" style="1" hidden="1" customWidth="1"/>
    <col min="10" max="11" width="9" style="1" customWidth="1"/>
    <col min="12" max="13" width="9.140625" style="1"/>
    <col min="14" max="14" width="9.7109375" style="1" customWidth="1"/>
    <col min="15" max="25" width="9.140625" style="1"/>
    <col min="26" max="26" width="10.140625" style="1" customWidth="1"/>
    <col min="27" max="27" width="12.7109375" style="1" customWidth="1"/>
    <col min="28" max="35" width="9.140625" style="1"/>
    <col min="36" max="36" width="7.5703125" style="1" customWidth="1"/>
    <col min="37" max="46" width="7.7109375" style="1" customWidth="1"/>
    <col min="47" max="16384" width="9.140625" style="1"/>
  </cols>
  <sheetData>
    <row r="1" spans="1:87" ht="15" customHeight="1" x14ac:dyDescent="0.25">
      <c r="A1" s="44" t="s">
        <v>82</v>
      </c>
    </row>
    <row r="2" spans="1:87" ht="15" customHeight="1" thickBot="1" x14ac:dyDescent="0.3">
      <c r="A2" s="44"/>
      <c r="N2" s="43"/>
      <c r="X2" s="20" t="s">
        <v>81</v>
      </c>
      <c r="Y2" s="42">
        <v>37810</v>
      </c>
      <c r="Z2" s="39"/>
      <c r="AA2" s="1" t="s">
        <v>90</v>
      </c>
    </row>
    <row r="3" spans="1:87" ht="15" customHeight="1" thickBot="1" x14ac:dyDescent="0.25">
      <c r="B3" s="1" t="s">
        <v>80</v>
      </c>
      <c r="D3" s="41"/>
      <c r="E3" s="41"/>
      <c r="F3" s="41"/>
      <c r="G3" s="41"/>
      <c r="H3" s="41"/>
      <c r="I3" s="41"/>
      <c r="J3" s="41" t="s">
        <v>89</v>
      </c>
      <c r="K3" s="41"/>
      <c r="L3" s="41"/>
      <c r="M3" s="41"/>
      <c r="N3" s="41"/>
      <c r="O3" s="41"/>
      <c r="P3" s="41"/>
      <c r="Q3" s="41"/>
      <c r="R3" s="41"/>
      <c r="S3" s="41"/>
      <c r="T3" s="41"/>
      <c r="U3" s="41"/>
      <c r="V3" s="41"/>
    </row>
    <row r="4" spans="1:87" ht="13.5" thickBot="1" x14ac:dyDescent="0.25">
      <c r="D4" s="40"/>
      <c r="E4" s="40"/>
      <c r="F4" s="40"/>
      <c r="G4" s="40"/>
      <c r="H4" s="40"/>
      <c r="I4" s="40"/>
      <c r="J4" s="40" t="s">
        <v>88</v>
      </c>
      <c r="K4" s="40"/>
      <c r="L4" s="40"/>
      <c r="M4" s="40"/>
      <c r="N4" s="40"/>
      <c r="O4" s="40"/>
      <c r="P4" s="40"/>
      <c r="Q4" s="40"/>
      <c r="R4" s="40"/>
      <c r="S4" s="40"/>
      <c r="T4" s="40"/>
      <c r="U4" s="40"/>
      <c r="V4" s="40"/>
      <c r="X4" s="20" t="s">
        <v>78</v>
      </c>
      <c r="Y4" s="39" t="s">
        <v>87</v>
      </c>
      <c r="Z4" s="39"/>
    </row>
    <row r="5" spans="1:87" ht="18" x14ac:dyDescent="0.2">
      <c r="AS5" s="38"/>
      <c r="AT5" s="134" t="s">
        <v>76</v>
      </c>
      <c r="AU5" s="134"/>
      <c r="AV5" s="134"/>
    </row>
    <row r="6" spans="1:87" ht="25.5" customHeight="1" x14ac:dyDescent="0.2">
      <c r="B6" s="36" t="s">
        <v>51</v>
      </c>
      <c r="C6" s="37" t="s">
        <v>50</v>
      </c>
      <c r="D6" s="37" t="s">
        <v>75</v>
      </c>
      <c r="E6" s="36" t="s">
        <v>74</v>
      </c>
      <c r="F6" s="37" t="s">
        <v>73</v>
      </c>
      <c r="G6" s="36" t="s">
        <v>72</v>
      </c>
      <c r="H6" s="36" t="s">
        <v>45</v>
      </c>
      <c r="I6" s="36" t="s">
        <v>71</v>
      </c>
      <c r="J6" s="36" t="s">
        <v>43</v>
      </c>
      <c r="K6" s="35" t="s">
        <v>70</v>
      </c>
      <c r="L6" s="143" t="s">
        <v>69</v>
      </c>
      <c r="M6" s="144"/>
      <c r="N6" s="143" t="s">
        <v>68</v>
      </c>
      <c r="O6" s="144"/>
      <c r="P6" s="143" t="s">
        <v>67</v>
      </c>
      <c r="Q6" s="145"/>
      <c r="R6" s="145"/>
      <c r="S6" s="145"/>
      <c r="T6" s="144"/>
      <c r="U6" s="143" t="s">
        <v>66</v>
      </c>
      <c r="V6" s="144"/>
      <c r="W6" s="143" t="s">
        <v>65</v>
      </c>
      <c r="X6" s="144"/>
      <c r="Y6" s="143" t="s">
        <v>64</v>
      </c>
      <c r="Z6" s="144"/>
      <c r="AA6" s="139" t="s">
        <v>63</v>
      </c>
      <c r="AB6" s="139" t="s">
        <v>62</v>
      </c>
      <c r="AC6" s="141" t="s">
        <v>61</v>
      </c>
      <c r="AS6" s="34"/>
      <c r="AT6" s="2" t="s">
        <v>60</v>
      </c>
      <c r="AU6" s="2"/>
    </row>
    <row r="7" spans="1:87" ht="15.75" customHeight="1" x14ac:dyDescent="0.2">
      <c r="B7" s="137"/>
      <c r="C7" s="138"/>
      <c r="D7" s="138"/>
      <c r="E7" s="138"/>
      <c r="F7" s="138"/>
      <c r="G7" s="138"/>
      <c r="H7" s="138"/>
      <c r="I7" s="33"/>
      <c r="J7" s="135" t="s">
        <v>59</v>
      </c>
      <c r="K7" s="136"/>
      <c r="L7" s="32" t="s">
        <v>55</v>
      </c>
      <c r="M7" s="31" t="s">
        <v>54</v>
      </c>
      <c r="N7" s="32" t="s">
        <v>55</v>
      </c>
      <c r="O7" s="31" t="s">
        <v>54</v>
      </c>
      <c r="P7" s="32" t="s">
        <v>58</v>
      </c>
      <c r="Q7" s="31" t="s">
        <v>55</v>
      </c>
      <c r="R7" s="31" t="s">
        <v>57</v>
      </c>
      <c r="S7" s="31" t="s">
        <v>54</v>
      </c>
      <c r="T7" s="31" t="s">
        <v>56</v>
      </c>
      <c r="U7" s="32" t="s">
        <v>55</v>
      </c>
      <c r="V7" s="31" t="s">
        <v>54</v>
      </c>
      <c r="W7" s="32" t="s">
        <v>55</v>
      </c>
      <c r="X7" s="31" t="s">
        <v>54</v>
      </c>
      <c r="Y7" s="32" t="s">
        <v>55</v>
      </c>
      <c r="Z7" s="31" t="s">
        <v>54</v>
      </c>
      <c r="AA7" s="140"/>
      <c r="AB7" s="140"/>
      <c r="AC7" s="142"/>
      <c r="AT7" s="12" t="s">
        <v>7</v>
      </c>
      <c r="AU7" s="12" t="s">
        <v>53</v>
      </c>
      <c r="AV7" s="12" t="s">
        <v>52</v>
      </c>
    </row>
    <row r="8" spans="1:87" ht="15.75" hidden="1" customHeight="1" x14ac:dyDescent="0.2">
      <c r="B8" s="28" t="s">
        <v>51</v>
      </c>
      <c r="C8" s="30" t="s">
        <v>50</v>
      </c>
      <c r="D8" s="30" t="s">
        <v>49</v>
      </c>
      <c r="E8" s="28" t="s">
        <v>48</v>
      </c>
      <c r="F8" s="30" t="s">
        <v>47</v>
      </c>
      <c r="G8" s="28" t="s">
        <v>46</v>
      </c>
      <c r="H8" s="28" t="s">
        <v>45</v>
      </c>
      <c r="I8" s="28" t="s">
        <v>44</v>
      </c>
      <c r="J8" s="27" t="s">
        <v>43</v>
      </c>
      <c r="K8" s="27" t="s">
        <v>42</v>
      </c>
      <c r="L8" s="29" t="s">
        <v>41</v>
      </c>
      <c r="M8" s="29" t="s">
        <v>40</v>
      </c>
      <c r="N8" s="29" t="s">
        <v>39</v>
      </c>
      <c r="O8" s="29" t="s">
        <v>38</v>
      </c>
      <c r="P8" s="29" t="s">
        <v>37</v>
      </c>
      <c r="Q8" s="29" t="s">
        <v>36</v>
      </c>
      <c r="R8" s="29" t="s">
        <v>35</v>
      </c>
      <c r="S8" s="29" t="s">
        <v>34</v>
      </c>
      <c r="T8" s="29" t="s">
        <v>33</v>
      </c>
      <c r="U8" s="29" t="s">
        <v>32</v>
      </c>
      <c r="V8" s="29" t="s">
        <v>31</v>
      </c>
      <c r="W8" s="29" t="s">
        <v>30</v>
      </c>
      <c r="X8" s="29" t="s">
        <v>29</v>
      </c>
      <c r="Y8" s="29" t="s">
        <v>28</v>
      </c>
      <c r="Z8" s="29" t="s">
        <v>27</v>
      </c>
      <c r="AA8" s="28" t="s">
        <v>26</v>
      </c>
      <c r="AB8" s="28" t="s">
        <v>25</v>
      </c>
      <c r="AC8" s="27" t="s">
        <v>24</v>
      </c>
      <c r="AT8" s="12"/>
      <c r="AU8" s="12"/>
      <c r="AV8" s="12"/>
    </row>
    <row r="9" spans="1:87" ht="24" customHeight="1" x14ac:dyDescent="0.2">
      <c r="B9" s="7">
        <v>108</v>
      </c>
      <c r="C9" s="7" t="s">
        <v>111</v>
      </c>
      <c r="D9" s="7">
        <v>3</v>
      </c>
      <c r="E9" s="7">
        <v>1</v>
      </c>
      <c r="F9" s="7">
        <v>2</v>
      </c>
      <c r="G9" s="7">
        <v>2</v>
      </c>
      <c r="H9" s="7">
        <v>2</v>
      </c>
      <c r="I9" s="7" t="s">
        <v>112</v>
      </c>
      <c r="J9" s="8">
        <v>0.44791666666666669</v>
      </c>
      <c r="K9" s="7" t="s">
        <v>2</v>
      </c>
      <c r="L9" s="6">
        <v>85</v>
      </c>
      <c r="M9" s="5"/>
      <c r="N9" s="6">
        <v>87</v>
      </c>
      <c r="O9" s="5"/>
      <c r="P9" s="6">
        <v>79</v>
      </c>
      <c r="Q9" s="6">
        <v>77</v>
      </c>
      <c r="R9" s="6">
        <v>83</v>
      </c>
      <c r="S9" s="6">
        <v>74</v>
      </c>
      <c r="T9" s="45">
        <v>73</v>
      </c>
      <c r="U9" s="6">
        <v>86</v>
      </c>
      <c r="V9" s="5"/>
      <c r="W9" s="6">
        <v>91</v>
      </c>
      <c r="X9" s="5"/>
      <c r="Y9" s="6">
        <v>90</v>
      </c>
      <c r="Z9" s="5"/>
      <c r="AA9" s="4">
        <f t="shared" ref="AA9:AA40" si="0">AVERAGE(P9:U9)</f>
        <v>78.666666666666671</v>
      </c>
      <c r="AB9" s="4">
        <f t="shared" ref="AB9:AB40" si="1">AVERAGE(AVERAGE(L9:M9),AVERAGE(N9:O9),AVERAGE(P9:U9),AVERAGE(U9:V9),AVERAGE(W9:X9),AVERAGE(Y9:Z9))</f>
        <v>86.277777777777786</v>
      </c>
      <c r="AC9" s="4">
        <f t="shared" ref="AC9:AC40" si="2">STDEV(AVERAGE(L9:M9),AVERAGE(N9:O9),AVERAGE(P9:U9),AVERAGE(U9:V9),AVERAGE(W9:X9),AVERAGE(Y9:Z9))/SQRT(6)</f>
        <v>1.7917850951385026</v>
      </c>
      <c r="AD9" s="3"/>
      <c r="AE9" s="3"/>
      <c r="AF9" s="3"/>
      <c r="AG9" s="3"/>
      <c r="AH9" s="3"/>
      <c r="AT9" s="12">
        <v>1</v>
      </c>
      <c r="AU9" s="12" t="s">
        <v>23</v>
      </c>
      <c r="AV9" s="11"/>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24" customHeight="1" thickBot="1" x14ac:dyDescent="0.25">
      <c r="B10" s="15">
        <v>108</v>
      </c>
      <c r="C10" s="15" t="s">
        <v>111</v>
      </c>
      <c r="D10" s="15">
        <v>3</v>
      </c>
      <c r="E10" s="15">
        <v>1</v>
      </c>
      <c r="F10" s="15">
        <v>2</v>
      </c>
      <c r="G10" s="15">
        <v>2</v>
      </c>
      <c r="H10" s="15">
        <v>2</v>
      </c>
      <c r="I10" s="15" t="s">
        <v>112</v>
      </c>
      <c r="J10" s="16"/>
      <c r="K10" s="15" t="s">
        <v>0</v>
      </c>
      <c r="L10" s="14">
        <v>86</v>
      </c>
      <c r="M10" s="13"/>
      <c r="N10" s="14">
        <v>75</v>
      </c>
      <c r="O10" s="13"/>
      <c r="P10" s="14">
        <v>66</v>
      </c>
      <c r="Q10" s="14">
        <v>68</v>
      </c>
      <c r="R10" s="14">
        <v>81</v>
      </c>
      <c r="S10" s="14">
        <v>81</v>
      </c>
      <c r="T10" s="46">
        <v>70</v>
      </c>
      <c r="U10" s="14">
        <v>81</v>
      </c>
      <c r="V10" s="13"/>
      <c r="W10" s="14">
        <v>76</v>
      </c>
      <c r="X10" s="13"/>
      <c r="Y10" s="14">
        <v>85.5</v>
      </c>
      <c r="Z10" s="13"/>
      <c r="AA10" s="4">
        <f t="shared" si="0"/>
        <v>74.5</v>
      </c>
      <c r="AB10" s="4">
        <f t="shared" si="1"/>
        <v>79.666666666666671</v>
      </c>
      <c r="AC10" s="4">
        <f t="shared" si="2"/>
        <v>2.1434655221030372</v>
      </c>
      <c r="AD10" s="3"/>
      <c r="AE10" s="3"/>
      <c r="AF10" s="3"/>
      <c r="AG10" s="3"/>
      <c r="AH10" s="3"/>
      <c r="AT10" s="12">
        <v>2</v>
      </c>
      <c r="AU10" s="12" t="s">
        <v>22</v>
      </c>
      <c r="AV10" s="11"/>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24" customHeight="1" x14ac:dyDescent="0.2">
      <c r="B11" s="25">
        <f t="shared" ref="B11:B24" si="3">B9-1</f>
        <v>107</v>
      </c>
      <c r="C11" s="25" t="s">
        <v>113</v>
      </c>
      <c r="D11" s="25">
        <v>10</v>
      </c>
      <c r="E11" s="25">
        <v>2</v>
      </c>
      <c r="F11" s="25">
        <v>2</v>
      </c>
      <c r="G11" s="25">
        <v>1</v>
      </c>
      <c r="H11" s="25">
        <v>2</v>
      </c>
      <c r="I11" s="25" t="s">
        <v>114</v>
      </c>
      <c r="J11" s="26"/>
      <c r="K11" s="25" t="s">
        <v>2</v>
      </c>
      <c r="L11" s="24">
        <v>78</v>
      </c>
      <c r="M11" s="23"/>
      <c r="N11" s="24">
        <v>84</v>
      </c>
      <c r="O11" s="23"/>
      <c r="P11" s="24">
        <v>82</v>
      </c>
      <c r="Q11" s="24">
        <v>73</v>
      </c>
      <c r="R11" s="24">
        <v>76</v>
      </c>
      <c r="S11" s="24">
        <v>81</v>
      </c>
      <c r="T11" s="47">
        <v>83</v>
      </c>
      <c r="U11" s="24">
        <v>81</v>
      </c>
      <c r="V11" s="23"/>
      <c r="W11" s="24">
        <v>86</v>
      </c>
      <c r="X11" s="23"/>
      <c r="Y11" s="24">
        <v>80</v>
      </c>
      <c r="Z11" s="23"/>
      <c r="AA11" s="4">
        <f t="shared" si="0"/>
        <v>79.333333333333329</v>
      </c>
      <c r="AB11" s="4">
        <f t="shared" si="1"/>
        <v>81.388888888888886</v>
      </c>
      <c r="AC11" s="4">
        <f t="shared" si="2"/>
        <v>1.2365323876385177</v>
      </c>
      <c r="AD11" s="3"/>
      <c r="AE11" s="22"/>
      <c r="AF11" s="3"/>
      <c r="AG11" s="21"/>
      <c r="AH11" s="3"/>
      <c r="AT11" s="12">
        <v>3</v>
      </c>
      <c r="AU11" s="12" t="s">
        <v>21</v>
      </c>
      <c r="AV11" s="12" t="s">
        <v>19</v>
      </c>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row>
    <row r="12" spans="1:87" ht="24" customHeight="1" thickBot="1" x14ac:dyDescent="0.25">
      <c r="B12" s="15">
        <f t="shared" si="3"/>
        <v>107</v>
      </c>
      <c r="C12" s="15" t="s">
        <v>113</v>
      </c>
      <c r="D12" s="15">
        <v>10</v>
      </c>
      <c r="E12" s="15">
        <v>2</v>
      </c>
      <c r="F12" s="15">
        <v>2</v>
      </c>
      <c r="G12" s="15">
        <v>1</v>
      </c>
      <c r="H12" s="15">
        <v>2</v>
      </c>
      <c r="I12" s="15" t="s">
        <v>114</v>
      </c>
      <c r="J12" s="16"/>
      <c r="K12" s="15" t="s">
        <v>0</v>
      </c>
      <c r="L12" s="14">
        <v>76</v>
      </c>
      <c r="M12" s="13"/>
      <c r="N12" s="14">
        <v>92</v>
      </c>
      <c r="O12" s="13"/>
      <c r="P12" s="14">
        <v>72</v>
      </c>
      <c r="Q12" s="14">
        <v>74</v>
      </c>
      <c r="R12" s="14">
        <v>77</v>
      </c>
      <c r="S12" s="14">
        <v>75</v>
      </c>
      <c r="T12" s="46">
        <v>82</v>
      </c>
      <c r="U12" s="14">
        <v>80</v>
      </c>
      <c r="V12" s="13"/>
      <c r="W12" s="14">
        <v>82</v>
      </c>
      <c r="X12" s="13"/>
      <c r="Y12" s="14">
        <v>78</v>
      </c>
      <c r="Z12" s="13"/>
      <c r="AA12" s="4">
        <f t="shared" si="0"/>
        <v>76.666666666666671</v>
      </c>
      <c r="AB12" s="4">
        <f t="shared" si="1"/>
        <v>80.777777777777786</v>
      </c>
      <c r="AC12" s="4">
        <f t="shared" si="2"/>
        <v>2.4185497133715033</v>
      </c>
      <c r="AD12" s="3"/>
      <c r="AE12" s="3"/>
      <c r="AF12" s="3"/>
      <c r="AG12" s="3"/>
      <c r="AH12" s="3"/>
      <c r="AT12" s="12">
        <v>4</v>
      </c>
      <c r="AU12" s="12" t="s">
        <v>20</v>
      </c>
      <c r="AV12" s="11" t="s">
        <v>19</v>
      </c>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24" customHeight="1" x14ac:dyDescent="0.2">
      <c r="B13" s="7">
        <f t="shared" si="3"/>
        <v>106</v>
      </c>
      <c r="C13" s="7" t="s">
        <v>115</v>
      </c>
      <c r="D13" s="7">
        <v>9</v>
      </c>
      <c r="E13" s="7">
        <v>2</v>
      </c>
      <c r="F13" s="7">
        <v>2</v>
      </c>
      <c r="G13" s="7">
        <v>2</v>
      </c>
      <c r="H13" s="7">
        <v>2</v>
      </c>
      <c r="I13" s="7" t="s">
        <v>116</v>
      </c>
      <c r="J13" s="9"/>
      <c r="K13" s="7" t="s">
        <v>2</v>
      </c>
      <c r="L13" s="6">
        <v>85</v>
      </c>
      <c r="M13" s="5"/>
      <c r="N13" s="6">
        <v>72</v>
      </c>
      <c r="O13" s="5"/>
      <c r="P13" s="6">
        <v>85</v>
      </c>
      <c r="Q13" s="6">
        <v>88</v>
      </c>
      <c r="R13" s="6">
        <v>81</v>
      </c>
      <c r="S13" s="6">
        <v>89</v>
      </c>
      <c r="T13" s="45">
        <v>87</v>
      </c>
      <c r="U13" s="6">
        <v>81</v>
      </c>
      <c r="V13" s="5"/>
      <c r="W13" s="6">
        <v>93</v>
      </c>
      <c r="X13" s="5"/>
      <c r="Y13" s="6">
        <v>90</v>
      </c>
      <c r="Z13" s="5"/>
      <c r="AA13" s="4">
        <f t="shared" si="0"/>
        <v>85.166666666666671</v>
      </c>
      <c r="AB13" s="4">
        <f t="shared" si="1"/>
        <v>84.361111111111114</v>
      </c>
      <c r="AC13" s="4">
        <f t="shared" si="2"/>
        <v>3.0087577929753877</v>
      </c>
      <c r="AD13" s="3"/>
      <c r="AE13" s="3"/>
      <c r="AF13" s="3"/>
      <c r="AG13" s="3"/>
      <c r="AH13" s="3"/>
      <c r="AT13" s="12">
        <v>8</v>
      </c>
      <c r="AU13" s="12" t="s">
        <v>18</v>
      </c>
      <c r="AV13" s="12" t="s">
        <v>17</v>
      </c>
    </row>
    <row r="14" spans="1:87" ht="24" customHeight="1" thickBot="1" x14ac:dyDescent="0.25">
      <c r="B14" s="15">
        <f t="shared" si="3"/>
        <v>106</v>
      </c>
      <c r="C14" s="15" t="s">
        <v>115</v>
      </c>
      <c r="D14" s="15">
        <v>9</v>
      </c>
      <c r="E14" s="15">
        <v>2</v>
      </c>
      <c r="F14" s="15">
        <v>2</v>
      </c>
      <c r="G14" s="15">
        <v>2</v>
      </c>
      <c r="H14" s="15">
        <v>2</v>
      </c>
      <c r="I14" s="15" t="s">
        <v>116</v>
      </c>
      <c r="J14" s="16"/>
      <c r="K14" s="15" t="s">
        <v>0</v>
      </c>
      <c r="L14" s="14">
        <v>83</v>
      </c>
      <c r="M14" s="13"/>
      <c r="N14" s="14">
        <v>81</v>
      </c>
      <c r="O14" s="13"/>
      <c r="P14" s="14">
        <v>81</v>
      </c>
      <c r="Q14" s="14">
        <v>79</v>
      </c>
      <c r="R14" s="14">
        <v>73</v>
      </c>
      <c r="S14" s="14">
        <v>80</v>
      </c>
      <c r="T14" s="46">
        <v>78</v>
      </c>
      <c r="U14" s="14">
        <v>77</v>
      </c>
      <c r="V14" s="13"/>
      <c r="W14" s="14">
        <v>89</v>
      </c>
      <c r="X14" s="13"/>
      <c r="Y14" s="14">
        <v>79</v>
      </c>
      <c r="Z14" s="13"/>
      <c r="AA14" s="4">
        <f t="shared" si="0"/>
        <v>78</v>
      </c>
      <c r="AB14" s="4">
        <f t="shared" si="1"/>
        <v>81.166666666666671</v>
      </c>
      <c r="AC14" s="4">
        <f t="shared" si="2"/>
        <v>1.7966017304282489</v>
      </c>
      <c r="AD14" s="3"/>
      <c r="AE14" s="3"/>
      <c r="AF14" s="3"/>
      <c r="AG14" s="3"/>
      <c r="AH14" s="3"/>
      <c r="AT14" s="12">
        <v>9</v>
      </c>
      <c r="AU14" s="12" t="s">
        <v>16</v>
      </c>
      <c r="AV14" s="11" t="s">
        <v>15</v>
      </c>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24" customHeight="1" x14ac:dyDescent="0.2">
      <c r="B15" s="7">
        <f t="shared" si="3"/>
        <v>105</v>
      </c>
      <c r="C15" s="7" t="s">
        <v>117</v>
      </c>
      <c r="D15" s="7">
        <v>12</v>
      </c>
      <c r="E15" s="7">
        <v>2</v>
      </c>
      <c r="F15" s="7">
        <v>3</v>
      </c>
      <c r="G15" s="7">
        <v>1</v>
      </c>
      <c r="H15" s="7">
        <v>2</v>
      </c>
      <c r="I15" s="7" t="s">
        <v>118</v>
      </c>
      <c r="J15" s="9"/>
      <c r="K15" s="7" t="s">
        <v>2</v>
      </c>
      <c r="L15" s="6">
        <v>97</v>
      </c>
      <c r="M15" s="5"/>
      <c r="N15" s="6">
        <v>85</v>
      </c>
      <c r="O15" s="5"/>
      <c r="P15" s="45">
        <v>94</v>
      </c>
      <c r="Q15" s="45">
        <v>92</v>
      </c>
      <c r="R15" s="45">
        <v>88</v>
      </c>
      <c r="S15" s="45">
        <v>85</v>
      </c>
      <c r="T15" s="45">
        <v>92</v>
      </c>
      <c r="U15" s="45">
        <v>86</v>
      </c>
      <c r="V15" s="45"/>
      <c r="W15" s="45">
        <v>93</v>
      </c>
      <c r="X15" s="45"/>
      <c r="Y15" s="45">
        <v>83</v>
      </c>
      <c r="Z15" s="5"/>
      <c r="AA15" s="4">
        <f t="shared" si="0"/>
        <v>89.5</v>
      </c>
      <c r="AB15" s="4">
        <f t="shared" si="1"/>
        <v>88.916666666666671</v>
      </c>
      <c r="AC15" s="4">
        <f t="shared" si="2"/>
        <v>2.1695493643714228</v>
      </c>
      <c r="AD15" s="3"/>
      <c r="AE15" s="3"/>
      <c r="AF15" s="3"/>
      <c r="AG15" s="3"/>
      <c r="AH15" s="3"/>
    </row>
    <row r="16" spans="1:87" ht="24" customHeight="1" thickBot="1" x14ac:dyDescent="0.25">
      <c r="B16" s="15">
        <f t="shared" si="3"/>
        <v>105</v>
      </c>
      <c r="C16" s="15" t="s">
        <v>117</v>
      </c>
      <c r="D16" s="15">
        <v>12</v>
      </c>
      <c r="E16" s="15">
        <v>2</v>
      </c>
      <c r="F16" s="15">
        <v>3</v>
      </c>
      <c r="G16" s="15">
        <v>1</v>
      </c>
      <c r="H16" s="15">
        <v>2</v>
      </c>
      <c r="I16" s="15" t="s">
        <v>118</v>
      </c>
      <c r="J16" s="16"/>
      <c r="K16" s="15" t="s">
        <v>0</v>
      </c>
      <c r="L16" s="14">
        <v>73</v>
      </c>
      <c r="M16" s="13"/>
      <c r="N16" s="14">
        <v>77</v>
      </c>
      <c r="O16" s="13"/>
      <c r="P16" s="46">
        <v>72</v>
      </c>
      <c r="Q16" s="46">
        <v>69</v>
      </c>
      <c r="R16" s="46">
        <v>68</v>
      </c>
      <c r="S16" s="46">
        <v>65</v>
      </c>
      <c r="T16" s="46">
        <v>67</v>
      </c>
      <c r="U16" s="46">
        <v>72</v>
      </c>
      <c r="V16" s="46"/>
      <c r="W16" s="46">
        <v>67</v>
      </c>
      <c r="X16" s="46"/>
      <c r="Y16" s="46">
        <v>69</v>
      </c>
      <c r="Z16" s="13"/>
      <c r="AA16" s="4">
        <f t="shared" si="0"/>
        <v>68.833333333333329</v>
      </c>
      <c r="AB16" s="4">
        <f t="shared" si="1"/>
        <v>71.138888888888886</v>
      </c>
      <c r="AC16" s="4">
        <f t="shared" si="2"/>
        <v>1.4784981535745851</v>
      </c>
      <c r="AD16" s="3"/>
      <c r="AE16" s="3"/>
      <c r="AF16" s="3"/>
      <c r="AG16" s="3"/>
      <c r="AH16" s="3"/>
      <c r="AT16" s="12" t="s">
        <v>14</v>
      </c>
      <c r="AU16" s="12"/>
      <c r="AV16" s="11"/>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2:87" ht="24" customHeight="1" x14ac:dyDescent="0.2">
      <c r="B17" s="7">
        <f t="shared" si="3"/>
        <v>104</v>
      </c>
      <c r="C17" s="7" t="s">
        <v>113</v>
      </c>
      <c r="D17" s="7">
        <v>10</v>
      </c>
      <c r="E17" s="7">
        <v>2</v>
      </c>
      <c r="F17" s="7">
        <v>2</v>
      </c>
      <c r="G17" s="7">
        <v>1</v>
      </c>
      <c r="H17" s="7">
        <v>1</v>
      </c>
      <c r="I17" s="7" t="s">
        <v>119</v>
      </c>
      <c r="J17" s="9"/>
      <c r="K17" s="7" t="s">
        <v>2</v>
      </c>
      <c r="L17" s="18">
        <v>81</v>
      </c>
      <c r="M17" s="5"/>
      <c r="N17" s="18">
        <v>92</v>
      </c>
      <c r="O17" s="5"/>
      <c r="P17" s="19">
        <v>88</v>
      </c>
      <c r="Q17" s="19">
        <v>82</v>
      </c>
      <c r="R17" s="19">
        <v>82</v>
      </c>
      <c r="S17" s="19">
        <v>83</v>
      </c>
      <c r="T17" s="45">
        <v>80</v>
      </c>
      <c r="U17" s="19">
        <v>79</v>
      </c>
      <c r="V17" s="45"/>
      <c r="W17" s="19">
        <v>81</v>
      </c>
      <c r="X17" s="45"/>
      <c r="Y17" s="19">
        <v>86</v>
      </c>
      <c r="Z17" s="45"/>
      <c r="AA17" s="4">
        <f t="shared" si="0"/>
        <v>82.333333333333329</v>
      </c>
      <c r="AB17" s="4">
        <f t="shared" si="1"/>
        <v>83.555555555555557</v>
      </c>
      <c r="AC17" s="4">
        <f t="shared" si="2"/>
        <v>1.9372884193514108</v>
      </c>
      <c r="AD17" s="3"/>
      <c r="AE17" s="3"/>
      <c r="AF17" s="3"/>
      <c r="AG17" s="3"/>
      <c r="AH17" s="3"/>
      <c r="AT17" s="12" t="s">
        <v>7</v>
      </c>
      <c r="AU17" s="12" t="s">
        <v>13</v>
      </c>
      <c r="AV17" s="12" t="s">
        <v>12</v>
      </c>
    </row>
    <row r="18" spans="2:87" ht="24" customHeight="1" thickBot="1" x14ac:dyDescent="0.25">
      <c r="B18" s="15">
        <f t="shared" si="3"/>
        <v>104</v>
      </c>
      <c r="C18" s="15" t="s">
        <v>113</v>
      </c>
      <c r="D18" s="15">
        <v>10</v>
      </c>
      <c r="E18" s="15">
        <v>2</v>
      </c>
      <c r="F18" s="15">
        <v>2</v>
      </c>
      <c r="G18" s="15">
        <v>1</v>
      </c>
      <c r="H18" s="15">
        <v>1</v>
      </c>
      <c r="I18" s="15" t="s">
        <v>119</v>
      </c>
      <c r="J18" s="16"/>
      <c r="K18" s="15" t="s">
        <v>0</v>
      </c>
      <c r="L18" s="14">
        <v>74</v>
      </c>
      <c r="M18" s="13"/>
      <c r="N18" s="14">
        <v>75</v>
      </c>
      <c r="O18" s="13"/>
      <c r="P18" s="46">
        <v>79</v>
      </c>
      <c r="Q18" s="46">
        <v>75</v>
      </c>
      <c r="R18" s="46">
        <v>91</v>
      </c>
      <c r="S18" s="46">
        <v>73</v>
      </c>
      <c r="T18" s="46">
        <v>74</v>
      </c>
      <c r="U18" s="46">
        <v>75</v>
      </c>
      <c r="V18" s="46"/>
      <c r="W18" s="46">
        <v>83</v>
      </c>
      <c r="X18" s="46"/>
      <c r="Y18" s="46">
        <v>80</v>
      </c>
      <c r="Z18" s="46"/>
      <c r="AA18" s="4">
        <f t="shared" si="0"/>
        <v>77.833333333333329</v>
      </c>
      <c r="AB18" s="4">
        <f t="shared" si="1"/>
        <v>77.472222222222214</v>
      </c>
      <c r="AC18" s="4">
        <f t="shared" si="2"/>
        <v>1.4301105025076615</v>
      </c>
      <c r="AD18" s="3"/>
      <c r="AE18" s="3"/>
      <c r="AF18" s="3"/>
      <c r="AG18" s="3"/>
      <c r="AH18" s="3"/>
      <c r="AT18" s="12">
        <v>0</v>
      </c>
      <c r="AU18" s="12">
        <v>0</v>
      </c>
      <c r="AV18" s="11" t="s">
        <v>11</v>
      </c>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2:87" ht="24" customHeight="1" x14ac:dyDescent="0.2">
      <c r="B19" s="7">
        <f t="shared" si="3"/>
        <v>103</v>
      </c>
      <c r="C19" s="7" t="s">
        <v>120</v>
      </c>
      <c r="D19" s="7">
        <v>5</v>
      </c>
      <c r="E19" s="7">
        <v>1</v>
      </c>
      <c r="F19" s="7">
        <v>3</v>
      </c>
      <c r="G19" s="7">
        <v>2</v>
      </c>
      <c r="H19" s="7">
        <v>1</v>
      </c>
      <c r="I19" s="7" t="s">
        <v>121</v>
      </c>
      <c r="J19" s="9"/>
      <c r="K19" s="7" t="s">
        <v>2</v>
      </c>
      <c r="L19" s="18">
        <v>83</v>
      </c>
      <c r="M19" s="5"/>
      <c r="N19" s="18">
        <v>89</v>
      </c>
      <c r="O19" s="5"/>
      <c r="P19" s="19">
        <v>93</v>
      </c>
      <c r="Q19" s="19">
        <v>85</v>
      </c>
      <c r="R19" s="19">
        <v>84</v>
      </c>
      <c r="S19" s="19">
        <v>85</v>
      </c>
      <c r="T19" s="45">
        <v>86</v>
      </c>
      <c r="U19" s="19">
        <v>87</v>
      </c>
      <c r="V19" s="45"/>
      <c r="W19" s="19">
        <v>82</v>
      </c>
      <c r="X19" s="45"/>
      <c r="Y19" s="19">
        <v>90</v>
      </c>
      <c r="Z19" s="5"/>
      <c r="AA19" s="4">
        <f t="shared" si="0"/>
        <v>86.666666666666671</v>
      </c>
      <c r="AB19" s="4">
        <f t="shared" si="1"/>
        <v>86.277777777777786</v>
      </c>
      <c r="AC19" s="4">
        <f t="shared" si="2"/>
        <v>1.3036037419589523</v>
      </c>
      <c r="AD19" s="3"/>
      <c r="AE19" s="3"/>
      <c r="AF19" s="3"/>
      <c r="AG19" s="3"/>
      <c r="AH19" s="3"/>
      <c r="AT19" s="12">
        <v>1</v>
      </c>
      <c r="AU19" s="12">
        <v>5</v>
      </c>
      <c r="AV19" s="12" t="s">
        <v>10</v>
      </c>
    </row>
    <row r="20" spans="2:87" ht="24" customHeight="1" thickBot="1" x14ac:dyDescent="0.25">
      <c r="B20" s="15">
        <f t="shared" si="3"/>
        <v>103</v>
      </c>
      <c r="C20" s="15" t="s">
        <v>120</v>
      </c>
      <c r="D20" s="15">
        <v>5</v>
      </c>
      <c r="E20" s="15">
        <v>1</v>
      </c>
      <c r="F20" s="15">
        <v>3</v>
      </c>
      <c r="G20" s="15">
        <v>2</v>
      </c>
      <c r="H20" s="15">
        <v>1</v>
      </c>
      <c r="I20" s="15" t="s">
        <v>121</v>
      </c>
      <c r="J20" s="16"/>
      <c r="K20" s="15" t="s">
        <v>0</v>
      </c>
      <c r="L20" s="14">
        <v>71</v>
      </c>
      <c r="M20" s="13"/>
      <c r="N20" s="14">
        <v>67</v>
      </c>
      <c r="O20" s="13"/>
      <c r="P20" s="46">
        <v>58</v>
      </c>
      <c r="Q20" s="46">
        <v>60</v>
      </c>
      <c r="R20" s="46">
        <v>59</v>
      </c>
      <c r="S20" s="46">
        <v>63</v>
      </c>
      <c r="T20" s="14">
        <v>66</v>
      </c>
      <c r="U20" s="46">
        <v>62</v>
      </c>
      <c r="V20" s="46"/>
      <c r="W20" s="46">
        <v>57</v>
      </c>
      <c r="X20" s="46"/>
      <c r="Y20" s="46">
        <v>66</v>
      </c>
      <c r="Z20" s="13"/>
      <c r="AA20" s="4">
        <f t="shared" si="0"/>
        <v>61.333333333333336</v>
      </c>
      <c r="AB20" s="4">
        <f t="shared" si="1"/>
        <v>64.055555555555557</v>
      </c>
      <c r="AC20" s="4">
        <f t="shared" si="2"/>
        <v>2.0173629039961436</v>
      </c>
      <c r="AD20" s="3"/>
      <c r="AE20" s="3"/>
      <c r="AF20" s="3"/>
      <c r="AG20" s="3"/>
      <c r="AH20" s="3"/>
      <c r="AT20" s="12">
        <v>2</v>
      </c>
      <c r="AU20" s="12">
        <v>10</v>
      </c>
      <c r="AV20" s="11" t="s">
        <v>10</v>
      </c>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2:87" ht="24" customHeight="1" x14ac:dyDescent="0.2">
      <c r="B21" s="7">
        <f t="shared" si="3"/>
        <v>102</v>
      </c>
      <c r="C21" s="7" t="s">
        <v>122</v>
      </c>
      <c r="D21" s="7">
        <v>4</v>
      </c>
      <c r="E21" s="7">
        <v>1</v>
      </c>
      <c r="F21" s="7">
        <v>2</v>
      </c>
      <c r="G21" s="7">
        <v>1</v>
      </c>
      <c r="H21" s="7">
        <v>1</v>
      </c>
      <c r="I21" s="7" t="s">
        <v>123</v>
      </c>
      <c r="J21" s="9"/>
      <c r="K21" s="7" t="s">
        <v>2</v>
      </c>
      <c r="L21" s="6">
        <v>75</v>
      </c>
      <c r="M21" s="5"/>
      <c r="N21" s="6">
        <v>91</v>
      </c>
      <c r="O21" s="5"/>
      <c r="P21" s="6">
        <v>58</v>
      </c>
      <c r="Q21" s="6">
        <v>69</v>
      </c>
      <c r="R21" s="6">
        <v>52</v>
      </c>
      <c r="S21" s="6">
        <v>71</v>
      </c>
      <c r="T21" s="6">
        <v>65</v>
      </c>
      <c r="U21" s="6">
        <v>71</v>
      </c>
      <c r="V21" s="5"/>
      <c r="W21" s="6">
        <v>70</v>
      </c>
      <c r="X21" s="5"/>
      <c r="Y21" s="6">
        <v>83</v>
      </c>
      <c r="Z21" s="5"/>
      <c r="AA21" s="4">
        <f t="shared" si="0"/>
        <v>64.333333333333329</v>
      </c>
      <c r="AB21" s="4">
        <f t="shared" si="1"/>
        <v>75.722222222222214</v>
      </c>
      <c r="AC21" s="4">
        <f t="shared" si="2"/>
        <v>3.9650479112202133</v>
      </c>
      <c r="AD21" s="3"/>
      <c r="AE21" s="3"/>
      <c r="AF21" s="3"/>
      <c r="AG21" s="3"/>
      <c r="AH21" s="3"/>
      <c r="AT21" s="12">
        <v>3</v>
      </c>
      <c r="AU21" s="12">
        <v>20</v>
      </c>
      <c r="AV21" s="12" t="s">
        <v>9</v>
      </c>
    </row>
    <row r="22" spans="2:87" ht="24" customHeight="1" thickBot="1" x14ac:dyDescent="0.25">
      <c r="B22" s="15">
        <f t="shared" si="3"/>
        <v>102</v>
      </c>
      <c r="C22" s="15" t="s">
        <v>122</v>
      </c>
      <c r="D22" s="15">
        <v>4</v>
      </c>
      <c r="E22" s="15">
        <v>1</v>
      </c>
      <c r="F22" s="15">
        <v>2</v>
      </c>
      <c r="G22" s="15">
        <v>1</v>
      </c>
      <c r="H22" s="15">
        <v>1</v>
      </c>
      <c r="I22" s="15" t="s">
        <v>123</v>
      </c>
      <c r="J22" s="16"/>
      <c r="K22" s="15" t="s">
        <v>0</v>
      </c>
      <c r="L22" s="14">
        <v>74</v>
      </c>
      <c r="M22" s="13"/>
      <c r="N22" s="14">
        <v>75</v>
      </c>
      <c r="O22" s="13"/>
      <c r="P22" s="14">
        <v>66</v>
      </c>
      <c r="Q22" s="14">
        <v>69</v>
      </c>
      <c r="R22" s="14">
        <v>49</v>
      </c>
      <c r="S22" s="14">
        <v>55</v>
      </c>
      <c r="T22" s="14">
        <v>58</v>
      </c>
      <c r="U22" s="14">
        <v>6</v>
      </c>
      <c r="V22" s="13"/>
      <c r="W22" s="14">
        <v>63</v>
      </c>
      <c r="X22" s="13"/>
      <c r="Y22" s="14">
        <v>72</v>
      </c>
      <c r="Z22" s="13"/>
      <c r="AA22" s="4">
        <f t="shared" si="0"/>
        <v>50.5</v>
      </c>
      <c r="AB22" s="4">
        <f t="shared" si="1"/>
        <v>56.75</v>
      </c>
      <c r="AC22" s="4">
        <f t="shared" si="2"/>
        <v>10.827241877166442</v>
      </c>
      <c r="AD22" s="3"/>
      <c r="AE22" s="3"/>
      <c r="AF22" s="3"/>
      <c r="AG22" s="3"/>
      <c r="AH22" s="3"/>
      <c r="AT22" s="12"/>
      <c r="AU22" s="12"/>
      <c r="AV22" s="11"/>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2:87" ht="24" customHeight="1" x14ac:dyDescent="0.2">
      <c r="B23" s="7">
        <f t="shared" si="3"/>
        <v>101</v>
      </c>
      <c r="C23" s="7" t="s">
        <v>124</v>
      </c>
      <c r="D23" s="7">
        <v>1</v>
      </c>
      <c r="E23" s="7">
        <v>1</v>
      </c>
      <c r="F23" s="7">
        <v>1</v>
      </c>
      <c r="G23" s="7">
        <v>2</v>
      </c>
      <c r="H23" s="7">
        <v>1</v>
      </c>
      <c r="I23" s="7" t="s">
        <v>125</v>
      </c>
      <c r="J23" s="9"/>
      <c r="K23" s="7" t="s">
        <v>2</v>
      </c>
      <c r="L23" s="6">
        <v>72</v>
      </c>
      <c r="M23" s="5"/>
      <c r="N23" s="6">
        <v>79</v>
      </c>
      <c r="O23" s="5"/>
      <c r="P23" s="6">
        <v>62</v>
      </c>
      <c r="Q23" s="6">
        <v>71</v>
      </c>
      <c r="R23" s="6">
        <v>77</v>
      </c>
      <c r="S23" s="6">
        <v>75</v>
      </c>
      <c r="T23" s="6">
        <v>78</v>
      </c>
      <c r="U23" s="6">
        <v>75</v>
      </c>
      <c r="V23" s="5"/>
      <c r="W23" s="6">
        <v>73</v>
      </c>
      <c r="X23" s="5"/>
      <c r="Y23" s="6">
        <v>81</v>
      </c>
      <c r="Z23" s="5"/>
      <c r="AA23" s="4">
        <f t="shared" si="0"/>
        <v>73</v>
      </c>
      <c r="AB23" s="4">
        <f t="shared" si="1"/>
        <v>75.5</v>
      </c>
      <c r="AC23" s="4">
        <f t="shared" si="2"/>
        <v>1.5000000000000002</v>
      </c>
      <c r="AD23" s="3"/>
      <c r="AE23" s="3"/>
      <c r="AF23" s="3"/>
      <c r="AG23" s="3"/>
      <c r="AH23" s="3"/>
      <c r="AT23" s="2" t="s">
        <v>8</v>
      </c>
      <c r="AU23" s="2"/>
      <c r="AV23" s="2"/>
    </row>
    <row r="24" spans="2:87" ht="24" customHeight="1" thickBot="1" x14ac:dyDescent="0.25">
      <c r="B24" s="15">
        <f t="shared" si="3"/>
        <v>101</v>
      </c>
      <c r="C24" s="15" t="s">
        <v>124</v>
      </c>
      <c r="D24" s="15">
        <v>1</v>
      </c>
      <c r="E24" s="15">
        <v>1</v>
      </c>
      <c r="F24" s="15">
        <v>1</v>
      </c>
      <c r="G24" s="15">
        <v>2</v>
      </c>
      <c r="H24" s="15">
        <v>1</v>
      </c>
      <c r="I24" s="15" t="s">
        <v>125</v>
      </c>
      <c r="J24" s="16"/>
      <c r="K24" s="15" t="s">
        <v>0</v>
      </c>
      <c r="L24" s="14">
        <v>70</v>
      </c>
      <c r="M24" s="13"/>
      <c r="N24" s="14">
        <v>65</v>
      </c>
      <c r="O24" s="13"/>
      <c r="P24" s="14">
        <v>75</v>
      </c>
      <c r="Q24" s="14">
        <v>69</v>
      </c>
      <c r="R24" s="14">
        <v>63</v>
      </c>
      <c r="S24" s="14">
        <v>61</v>
      </c>
      <c r="T24" s="14">
        <v>71</v>
      </c>
      <c r="U24" s="14">
        <v>60</v>
      </c>
      <c r="V24" s="13"/>
      <c r="W24" s="14">
        <v>58</v>
      </c>
      <c r="X24" s="13"/>
      <c r="Y24" s="14">
        <v>71</v>
      </c>
      <c r="Z24" s="13"/>
      <c r="AA24" s="4">
        <f t="shared" si="0"/>
        <v>66.5</v>
      </c>
      <c r="AB24" s="4">
        <f t="shared" si="1"/>
        <v>65.083333333333329</v>
      </c>
      <c r="AC24" s="4">
        <f t="shared" si="2"/>
        <v>2.1386002691272417</v>
      </c>
      <c r="AD24" s="3"/>
      <c r="AE24" s="3"/>
      <c r="AF24" s="3"/>
      <c r="AG24" s="3"/>
      <c r="AH24" s="3"/>
      <c r="AT24" s="12" t="s">
        <v>7</v>
      </c>
      <c r="AU24" s="12" t="s">
        <v>6</v>
      </c>
      <c r="AV24" s="11" t="s">
        <v>5</v>
      </c>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2:87" ht="24" customHeight="1" x14ac:dyDescent="0.2">
      <c r="B25" s="7">
        <f>B23+100</f>
        <v>201</v>
      </c>
      <c r="C25" s="7" t="s">
        <v>117</v>
      </c>
      <c r="D25" s="7">
        <v>12</v>
      </c>
      <c r="E25" s="7">
        <v>2</v>
      </c>
      <c r="F25" s="7">
        <v>3</v>
      </c>
      <c r="G25" s="7">
        <v>1</v>
      </c>
      <c r="H25" s="7">
        <v>1</v>
      </c>
      <c r="I25" s="7" t="s">
        <v>126</v>
      </c>
      <c r="J25" s="7"/>
      <c r="K25" s="7" t="s">
        <v>2</v>
      </c>
      <c r="L25" s="6">
        <v>86</v>
      </c>
      <c r="M25" s="6"/>
      <c r="N25" s="6">
        <v>86</v>
      </c>
      <c r="O25" s="6"/>
      <c r="P25" s="6">
        <v>95</v>
      </c>
      <c r="Q25" s="6">
        <v>85</v>
      </c>
      <c r="R25" s="6">
        <v>91</v>
      </c>
      <c r="S25" s="6">
        <v>90</v>
      </c>
      <c r="T25" s="6">
        <v>96</v>
      </c>
      <c r="U25" s="6">
        <v>89</v>
      </c>
      <c r="V25" s="6"/>
      <c r="W25" s="6">
        <v>85</v>
      </c>
      <c r="X25" s="6"/>
      <c r="Y25" s="6">
        <v>98</v>
      </c>
      <c r="Z25" s="6"/>
      <c r="AA25" s="4">
        <f t="shared" si="0"/>
        <v>91</v>
      </c>
      <c r="AB25" s="4">
        <f t="shared" si="1"/>
        <v>89.166666666666671</v>
      </c>
      <c r="AC25" s="4">
        <f t="shared" si="2"/>
        <v>1.9902540318037576</v>
      </c>
      <c r="AD25" s="3"/>
      <c r="AE25" s="3"/>
      <c r="AF25" s="3"/>
      <c r="AG25" s="3"/>
      <c r="AH25" s="3"/>
      <c r="AT25" s="12">
        <v>1</v>
      </c>
      <c r="AU25" s="12" t="s">
        <v>4</v>
      </c>
      <c r="AV25" s="12">
        <v>0</v>
      </c>
    </row>
    <row r="26" spans="2:87" ht="24" customHeight="1" thickBot="1" x14ac:dyDescent="0.25">
      <c r="B26" s="15">
        <f>B24+100</f>
        <v>201</v>
      </c>
      <c r="C26" s="15" t="s">
        <v>117</v>
      </c>
      <c r="D26" s="15">
        <v>12</v>
      </c>
      <c r="E26" s="15">
        <v>2</v>
      </c>
      <c r="F26" s="15">
        <v>3</v>
      </c>
      <c r="G26" s="15">
        <v>1</v>
      </c>
      <c r="H26" s="15">
        <v>1</v>
      </c>
      <c r="I26" s="15" t="s">
        <v>126</v>
      </c>
      <c r="J26" s="16"/>
      <c r="K26" s="15" t="s">
        <v>0</v>
      </c>
      <c r="L26" s="14">
        <v>72</v>
      </c>
      <c r="M26" s="13"/>
      <c r="N26" s="14">
        <v>72</v>
      </c>
      <c r="O26" s="13"/>
      <c r="P26" s="14">
        <v>68</v>
      </c>
      <c r="Q26" s="14">
        <v>67</v>
      </c>
      <c r="R26" s="14">
        <v>69</v>
      </c>
      <c r="S26" s="14">
        <v>78</v>
      </c>
      <c r="T26" s="14">
        <v>75</v>
      </c>
      <c r="U26" s="14">
        <v>75</v>
      </c>
      <c r="V26" s="13"/>
      <c r="W26" s="14">
        <v>73</v>
      </c>
      <c r="X26" s="13"/>
      <c r="Y26" s="14">
        <v>89</v>
      </c>
      <c r="Z26" s="13"/>
      <c r="AA26" s="4">
        <f t="shared" si="0"/>
        <v>72</v>
      </c>
      <c r="AB26" s="4">
        <f t="shared" si="1"/>
        <v>75.5</v>
      </c>
      <c r="AC26" s="4">
        <f t="shared" si="2"/>
        <v>2.7416540019970914</v>
      </c>
      <c r="AD26" s="3"/>
      <c r="AE26" s="3"/>
      <c r="AF26" s="3"/>
      <c r="AG26" s="3"/>
      <c r="AH26" s="3"/>
      <c r="AT26" s="12">
        <v>2</v>
      </c>
      <c r="AU26" s="12" t="s">
        <v>3</v>
      </c>
      <c r="AV26" s="11">
        <v>150</v>
      </c>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2:87" ht="24" customHeight="1" x14ac:dyDescent="0.2">
      <c r="B27" s="7">
        <f t="shared" ref="B27:B40" si="4">B25+1</f>
        <v>202</v>
      </c>
      <c r="C27" s="7" t="s">
        <v>115</v>
      </c>
      <c r="D27" s="7">
        <v>9</v>
      </c>
      <c r="E27" s="7">
        <v>2</v>
      </c>
      <c r="F27" s="7">
        <v>2</v>
      </c>
      <c r="G27" s="7">
        <v>2</v>
      </c>
      <c r="H27" s="7">
        <v>1</v>
      </c>
      <c r="I27" s="7" t="s">
        <v>127</v>
      </c>
      <c r="J27" s="9"/>
      <c r="K27" s="7" t="s">
        <v>2</v>
      </c>
      <c r="L27" s="6">
        <v>81</v>
      </c>
      <c r="M27" s="6"/>
      <c r="N27" s="6">
        <v>69</v>
      </c>
      <c r="O27" s="6"/>
      <c r="P27" s="6">
        <v>79</v>
      </c>
      <c r="Q27" s="6">
        <v>75</v>
      </c>
      <c r="R27" s="6">
        <v>78</v>
      </c>
      <c r="S27" s="6">
        <v>73</v>
      </c>
      <c r="T27" s="6">
        <v>80</v>
      </c>
      <c r="U27" s="6">
        <v>69</v>
      </c>
      <c r="V27" s="6"/>
      <c r="W27" s="6">
        <v>77</v>
      </c>
      <c r="X27" s="6"/>
      <c r="Y27" s="6">
        <v>69</v>
      </c>
      <c r="Z27" s="6"/>
      <c r="AA27" s="4">
        <f t="shared" si="0"/>
        <v>75.666666666666671</v>
      </c>
      <c r="AB27" s="4">
        <f t="shared" si="1"/>
        <v>73.444444444444443</v>
      </c>
      <c r="AC27" s="4">
        <f t="shared" si="2"/>
        <v>2.1128647687119497</v>
      </c>
      <c r="AD27" s="3"/>
      <c r="AE27" s="3"/>
      <c r="AF27" s="3"/>
      <c r="AG27" s="3"/>
      <c r="AH27" s="3"/>
    </row>
    <row r="28" spans="2:87" ht="24" customHeight="1" thickBot="1" x14ac:dyDescent="0.25">
      <c r="B28" s="15">
        <f t="shared" si="4"/>
        <v>202</v>
      </c>
      <c r="C28" s="15" t="s">
        <v>115</v>
      </c>
      <c r="D28" s="15">
        <v>9</v>
      </c>
      <c r="E28" s="15">
        <v>2</v>
      </c>
      <c r="F28" s="15">
        <v>2</v>
      </c>
      <c r="G28" s="15">
        <v>2</v>
      </c>
      <c r="H28" s="15">
        <v>1</v>
      </c>
      <c r="I28" s="15" t="s">
        <v>127</v>
      </c>
      <c r="J28" s="16"/>
      <c r="K28" s="15" t="s">
        <v>0</v>
      </c>
      <c r="L28" s="14">
        <v>76</v>
      </c>
      <c r="M28" s="13"/>
      <c r="N28" s="14">
        <v>77</v>
      </c>
      <c r="O28" s="13"/>
      <c r="P28" s="14">
        <v>63</v>
      </c>
      <c r="Q28" s="14">
        <v>60</v>
      </c>
      <c r="R28" s="14">
        <v>61</v>
      </c>
      <c r="S28" s="14">
        <v>73</v>
      </c>
      <c r="T28" s="46">
        <v>72</v>
      </c>
      <c r="U28" s="46">
        <v>64</v>
      </c>
      <c r="V28" s="13"/>
      <c r="W28" s="14">
        <v>83</v>
      </c>
      <c r="X28" s="13"/>
      <c r="Y28" s="14">
        <v>76</v>
      </c>
      <c r="Z28" s="13"/>
      <c r="AA28" s="4">
        <f t="shared" si="0"/>
        <v>65.5</v>
      </c>
      <c r="AB28" s="4">
        <f t="shared" si="1"/>
        <v>73.583333333333329</v>
      </c>
      <c r="AC28" s="4">
        <f t="shared" si="2"/>
        <v>2.9955986231655127</v>
      </c>
      <c r="AD28" s="3"/>
      <c r="AE28" s="3"/>
      <c r="AF28" s="3"/>
      <c r="AG28" s="3"/>
      <c r="AH28" s="3"/>
      <c r="AT28" s="12"/>
      <c r="AU28" s="12"/>
      <c r="AV28" s="11"/>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2:87" ht="24" customHeight="1" x14ac:dyDescent="0.2">
      <c r="B29" s="7">
        <f t="shared" si="4"/>
        <v>203</v>
      </c>
      <c r="C29" s="7" t="s">
        <v>111</v>
      </c>
      <c r="D29" s="7">
        <v>3</v>
      </c>
      <c r="E29" s="7">
        <v>1</v>
      </c>
      <c r="F29" s="7">
        <v>2</v>
      </c>
      <c r="G29" s="7">
        <v>2</v>
      </c>
      <c r="H29" s="7">
        <v>1</v>
      </c>
      <c r="I29" s="7" t="s">
        <v>128</v>
      </c>
      <c r="J29" s="9"/>
      <c r="K29" s="7" t="s">
        <v>2</v>
      </c>
      <c r="L29" s="6">
        <v>76</v>
      </c>
      <c r="M29" s="6"/>
      <c r="N29" s="6">
        <v>82</v>
      </c>
      <c r="O29" s="6"/>
      <c r="P29" s="6">
        <v>88</v>
      </c>
      <c r="Q29" s="6">
        <v>79</v>
      </c>
      <c r="R29" s="6">
        <v>79</v>
      </c>
      <c r="S29" s="6">
        <v>78</v>
      </c>
      <c r="T29" s="45">
        <v>83</v>
      </c>
      <c r="U29" s="45">
        <v>65</v>
      </c>
      <c r="V29" s="6"/>
      <c r="W29" s="6">
        <v>84</v>
      </c>
      <c r="X29" s="6"/>
      <c r="Y29" s="6">
        <v>74</v>
      </c>
      <c r="Z29" s="6"/>
      <c r="AA29" s="4">
        <f t="shared" si="0"/>
        <v>78.666666666666671</v>
      </c>
      <c r="AB29" s="4">
        <f t="shared" si="1"/>
        <v>76.611111111111114</v>
      </c>
      <c r="AC29" s="4">
        <f t="shared" si="2"/>
        <v>2.7680942323216433</v>
      </c>
      <c r="AD29" s="3"/>
      <c r="AE29" s="3"/>
      <c r="AF29" s="3"/>
      <c r="AG29" s="3"/>
      <c r="AH29" s="3"/>
    </row>
    <row r="30" spans="2:87" ht="24" customHeight="1" thickBot="1" x14ac:dyDescent="0.25">
      <c r="B30" s="15">
        <f t="shared" si="4"/>
        <v>203</v>
      </c>
      <c r="C30" s="15" t="s">
        <v>111</v>
      </c>
      <c r="D30" s="15">
        <v>3</v>
      </c>
      <c r="E30" s="15">
        <v>1</v>
      </c>
      <c r="F30" s="15">
        <v>2</v>
      </c>
      <c r="G30" s="15">
        <v>2</v>
      </c>
      <c r="H30" s="15">
        <v>1</v>
      </c>
      <c r="I30" s="15" t="s">
        <v>128</v>
      </c>
      <c r="J30" s="16"/>
      <c r="K30" s="15" t="s">
        <v>0</v>
      </c>
      <c r="L30" s="14">
        <v>67</v>
      </c>
      <c r="M30" s="13"/>
      <c r="N30" s="14">
        <v>82</v>
      </c>
      <c r="O30" s="13"/>
      <c r="P30" s="14">
        <v>74</v>
      </c>
      <c r="Q30" s="14">
        <v>86</v>
      </c>
      <c r="R30" s="14">
        <v>80</v>
      </c>
      <c r="S30" s="14">
        <v>76</v>
      </c>
      <c r="T30" s="46">
        <v>74</v>
      </c>
      <c r="U30" s="46">
        <v>83</v>
      </c>
      <c r="V30" s="13"/>
      <c r="W30" s="14">
        <v>78</v>
      </c>
      <c r="X30" s="13"/>
      <c r="Y30" s="14">
        <v>75</v>
      </c>
      <c r="Z30" s="13"/>
      <c r="AA30" s="4">
        <f t="shared" si="0"/>
        <v>78.833333333333329</v>
      </c>
      <c r="AB30" s="4">
        <f t="shared" si="1"/>
        <v>77.305555555555557</v>
      </c>
      <c r="AC30" s="4">
        <f t="shared" si="2"/>
        <v>2.3720660890591132</v>
      </c>
      <c r="AD30" s="3"/>
      <c r="AE30" s="3"/>
      <c r="AF30" s="3"/>
      <c r="AG30" s="3"/>
      <c r="AH30" s="3"/>
      <c r="AT30" s="12"/>
      <c r="AU30" s="12"/>
      <c r="AV30" s="11"/>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2:87" ht="24" customHeight="1" x14ac:dyDescent="0.2">
      <c r="B31" s="7">
        <f t="shared" si="4"/>
        <v>204</v>
      </c>
      <c r="C31" s="7" t="s">
        <v>129</v>
      </c>
      <c r="D31" s="7">
        <v>11</v>
      </c>
      <c r="E31" s="7">
        <v>2</v>
      </c>
      <c r="F31" s="7">
        <v>3</v>
      </c>
      <c r="G31" s="7">
        <v>2</v>
      </c>
      <c r="H31" s="7">
        <v>1</v>
      </c>
      <c r="I31" s="7" t="s">
        <v>130</v>
      </c>
      <c r="J31" s="9"/>
      <c r="K31" s="7" t="s">
        <v>2</v>
      </c>
      <c r="L31" s="6">
        <v>92</v>
      </c>
      <c r="M31" s="6"/>
      <c r="N31" s="6">
        <v>91</v>
      </c>
      <c r="O31" s="6"/>
      <c r="P31" s="6">
        <v>95</v>
      </c>
      <c r="Q31" s="6">
        <v>89</v>
      </c>
      <c r="R31" s="6">
        <v>90</v>
      </c>
      <c r="S31" s="6">
        <v>88</v>
      </c>
      <c r="T31" s="45">
        <v>95</v>
      </c>
      <c r="U31" s="45">
        <v>96</v>
      </c>
      <c r="V31" s="6"/>
      <c r="W31" s="6">
        <v>97</v>
      </c>
      <c r="X31" s="6"/>
      <c r="Y31" s="6">
        <v>103</v>
      </c>
      <c r="Z31" s="6"/>
      <c r="AA31" s="4">
        <f t="shared" si="0"/>
        <v>92.166666666666671</v>
      </c>
      <c r="AB31" s="4">
        <f t="shared" si="1"/>
        <v>95.194444444444457</v>
      </c>
      <c r="AC31" s="4">
        <f t="shared" si="2"/>
        <v>1.842108628048537</v>
      </c>
      <c r="AD31" s="3"/>
      <c r="AE31" s="3"/>
      <c r="AF31" s="3"/>
      <c r="AG31" s="3"/>
      <c r="AH31" s="3"/>
    </row>
    <row r="32" spans="2:87" ht="24" customHeight="1" thickBot="1" x14ac:dyDescent="0.25">
      <c r="B32" s="15">
        <f t="shared" si="4"/>
        <v>204</v>
      </c>
      <c r="C32" s="15" t="s">
        <v>129</v>
      </c>
      <c r="D32" s="15">
        <v>11</v>
      </c>
      <c r="E32" s="15">
        <v>2</v>
      </c>
      <c r="F32" s="15">
        <v>3</v>
      </c>
      <c r="G32" s="15">
        <v>2</v>
      </c>
      <c r="H32" s="15">
        <v>1</v>
      </c>
      <c r="I32" s="15" t="s">
        <v>130</v>
      </c>
      <c r="J32" s="16"/>
      <c r="K32" s="15" t="s">
        <v>0</v>
      </c>
      <c r="L32" s="14">
        <v>81</v>
      </c>
      <c r="M32" s="13"/>
      <c r="N32" s="14">
        <v>78</v>
      </c>
      <c r="O32" s="13"/>
      <c r="P32" s="14">
        <v>73</v>
      </c>
      <c r="Q32" s="14">
        <v>76</v>
      </c>
      <c r="R32" s="14">
        <v>73</v>
      </c>
      <c r="S32" s="14">
        <v>74</v>
      </c>
      <c r="T32" s="46">
        <v>78</v>
      </c>
      <c r="U32" s="46">
        <v>90</v>
      </c>
      <c r="V32" s="13"/>
      <c r="W32" s="14">
        <v>85</v>
      </c>
      <c r="X32" s="13"/>
      <c r="Y32" s="14">
        <v>91</v>
      </c>
      <c r="Z32" s="13"/>
      <c r="AA32" s="4">
        <f t="shared" si="0"/>
        <v>77.333333333333329</v>
      </c>
      <c r="AB32" s="4">
        <f t="shared" si="1"/>
        <v>83.722222222222214</v>
      </c>
      <c r="AC32" s="4">
        <f t="shared" si="2"/>
        <v>2.4151016643989793</v>
      </c>
      <c r="AD32" s="3"/>
      <c r="AE32" s="3"/>
      <c r="AF32" s="3"/>
      <c r="AG32" s="3"/>
      <c r="AH32" s="3"/>
      <c r="AT32" s="12"/>
      <c r="AU32" s="12"/>
      <c r="AV32" s="11"/>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2:87" ht="24" customHeight="1" x14ac:dyDescent="0.2">
      <c r="B33" s="7">
        <f t="shared" si="4"/>
        <v>205</v>
      </c>
      <c r="C33" s="7" t="s">
        <v>124</v>
      </c>
      <c r="D33" s="7">
        <v>1</v>
      </c>
      <c r="E33" s="7">
        <v>1</v>
      </c>
      <c r="F33" s="7">
        <v>1</v>
      </c>
      <c r="G33" s="7">
        <v>2</v>
      </c>
      <c r="H33" s="7">
        <v>2</v>
      </c>
      <c r="I33" s="7" t="s">
        <v>131</v>
      </c>
      <c r="J33" s="9"/>
      <c r="K33" s="7" t="s">
        <v>2</v>
      </c>
      <c r="L33" s="6">
        <v>80</v>
      </c>
      <c r="M33" s="6"/>
      <c r="N33" s="6">
        <v>81</v>
      </c>
      <c r="O33" s="6"/>
      <c r="P33" s="6">
        <v>88</v>
      </c>
      <c r="Q33" s="6">
        <v>80</v>
      </c>
      <c r="R33" s="6">
        <v>88</v>
      </c>
      <c r="S33" s="6">
        <v>82</v>
      </c>
      <c r="T33" s="45">
        <v>93</v>
      </c>
      <c r="U33" s="45">
        <v>78</v>
      </c>
      <c r="V33" s="6"/>
      <c r="W33" s="6">
        <v>87</v>
      </c>
      <c r="X33" s="6"/>
      <c r="Y33" s="6">
        <v>90</v>
      </c>
      <c r="Z33" s="6"/>
      <c r="AA33" s="4">
        <f t="shared" si="0"/>
        <v>84.833333333333329</v>
      </c>
      <c r="AB33" s="4">
        <f t="shared" si="1"/>
        <v>83.472222222222214</v>
      </c>
      <c r="AC33" s="4">
        <f t="shared" si="2"/>
        <v>1.8710349021165458</v>
      </c>
      <c r="AD33" s="3"/>
      <c r="AE33" s="3"/>
      <c r="AF33" s="3"/>
      <c r="AG33" s="3"/>
      <c r="AH33" s="3"/>
    </row>
    <row r="34" spans="2:87" ht="24" customHeight="1" thickBot="1" x14ac:dyDescent="0.25">
      <c r="B34" s="15">
        <f t="shared" si="4"/>
        <v>205</v>
      </c>
      <c r="C34" s="15" t="s">
        <v>124</v>
      </c>
      <c r="D34" s="15">
        <v>1</v>
      </c>
      <c r="E34" s="15">
        <v>1</v>
      </c>
      <c r="F34" s="15">
        <v>1</v>
      </c>
      <c r="G34" s="15">
        <v>2</v>
      </c>
      <c r="H34" s="15">
        <v>2</v>
      </c>
      <c r="I34" s="15" t="s">
        <v>131</v>
      </c>
      <c r="J34" s="16"/>
      <c r="K34" s="15" t="s">
        <v>0</v>
      </c>
      <c r="L34" s="14">
        <v>72</v>
      </c>
      <c r="M34" s="13"/>
      <c r="N34" s="14">
        <v>73</v>
      </c>
      <c r="O34" s="13"/>
      <c r="P34" s="14">
        <v>72</v>
      </c>
      <c r="Q34" s="14">
        <v>76</v>
      </c>
      <c r="R34" s="14">
        <v>79</v>
      </c>
      <c r="S34" s="14">
        <v>80</v>
      </c>
      <c r="T34" s="46">
        <v>81</v>
      </c>
      <c r="U34" s="46">
        <v>66</v>
      </c>
      <c r="V34" s="13"/>
      <c r="W34" s="14">
        <v>79</v>
      </c>
      <c r="X34" s="13"/>
      <c r="Y34" s="14">
        <v>89</v>
      </c>
      <c r="Z34" s="13"/>
      <c r="AA34" s="4">
        <f t="shared" si="0"/>
        <v>75.666666666666671</v>
      </c>
      <c r="AB34" s="4">
        <f t="shared" si="1"/>
        <v>75.777777777777786</v>
      </c>
      <c r="AC34" s="4">
        <f t="shared" si="2"/>
        <v>3.1770784001176029</v>
      </c>
      <c r="AD34" s="3"/>
      <c r="AE34" s="3"/>
      <c r="AF34" s="3"/>
      <c r="AG34" s="3"/>
      <c r="AH34" s="3"/>
      <c r="AT34" s="12"/>
      <c r="AU34" s="12"/>
      <c r="AV34" s="11"/>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2:87" ht="24" customHeight="1" x14ac:dyDescent="0.2">
      <c r="B35" s="7">
        <f t="shared" si="4"/>
        <v>206</v>
      </c>
      <c r="C35" s="7" t="s">
        <v>132</v>
      </c>
      <c r="D35" s="7">
        <v>8</v>
      </c>
      <c r="E35" s="7">
        <v>2</v>
      </c>
      <c r="F35" s="7">
        <v>1</v>
      </c>
      <c r="G35" s="7">
        <v>1</v>
      </c>
      <c r="H35" s="7">
        <v>2</v>
      </c>
      <c r="I35" s="7" t="s">
        <v>133</v>
      </c>
      <c r="J35" s="9"/>
      <c r="K35" s="7" t="s">
        <v>2</v>
      </c>
      <c r="L35" s="6">
        <v>70</v>
      </c>
      <c r="M35" s="6"/>
      <c r="N35" s="6">
        <v>65</v>
      </c>
      <c r="O35" s="6"/>
      <c r="P35" s="6">
        <v>68</v>
      </c>
      <c r="Q35" s="6">
        <v>70</v>
      </c>
      <c r="R35" s="6">
        <v>67</v>
      </c>
      <c r="S35" s="6">
        <v>71</v>
      </c>
      <c r="T35" s="45">
        <v>72</v>
      </c>
      <c r="U35" s="45">
        <v>70</v>
      </c>
      <c r="V35" s="6"/>
      <c r="W35" s="6">
        <v>70</v>
      </c>
      <c r="X35" s="6"/>
      <c r="Y35" s="6">
        <v>63</v>
      </c>
      <c r="Z35" s="6"/>
      <c r="AA35" s="4">
        <f t="shared" si="0"/>
        <v>69.666666666666671</v>
      </c>
      <c r="AB35" s="4">
        <f t="shared" si="1"/>
        <v>67.944444444444443</v>
      </c>
      <c r="AC35" s="4">
        <f t="shared" si="2"/>
        <v>1.2748759319931133</v>
      </c>
      <c r="AD35" s="3"/>
      <c r="AE35" s="3"/>
      <c r="AF35" s="3"/>
      <c r="AG35" s="3"/>
      <c r="AH35" s="3"/>
    </row>
    <row r="36" spans="2:87" ht="24" customHeight="1" thickBot="1" x14ac:dyDescent="0.25">
      <c r="B36" s="15">
        <f t="shared" si="4"/>
        <v>206</v>
      </c>
      <c r="C36" s="15" t="s">
        <v>132</v>
      </c>
      <c r="D36" s="15">
        <v>8</v>
      </c>
      <c r="E36" s="15">
        <v>2</v>
      </c>
      <c r="F36" s="15">
        <v>1</v>
      </c>
      <c r="G36" s="15">
        <v>1</v>
      </c>
      <c r="H36" s="15">
        <v>2</v>
      </c>
      <c r="I36" s="15" t="s">
        <v>133</v>
      </c>
      <c r="J36" s="16"/>
      <c r="K36" s="15" t="s">
        <v>0</v>
      </c>
      <c r="L36" s="14">
        <v>73</v>
      </c>
      <c r="M36" s="13"/>
      <c r="N36" s="14">
        <v>66</v>
      </c>
      <c r="O36" s="13"/>
      <c r="P36" s="14">
        <v>68</v>
      </c>
      <c r="Q36" s="14">
        <v>60</v>
      </c>
      <c r="R36" s="14">
        <v>72</v>
      </c>
      <c r="S36" s="14">
        <v>62</v>
      </c>
      <c r="T36" s="46">
        <v>60</v>
      </c>
      <c r="U36" s="46">
        <v>66</v>
      </c>
      <c r="V36" s="13"/>
      <c r="W36" s="14">
        <v>63</v>
      </c>
      <c r="X36" s="13"/>
      <c r="Y36" s="14">
        <v>58</v>
      </c>
      <c r="Z36" s="13"/>
      <c r="AA36" s="4">
        <f t="shared" si="0"/>
        <v>64.666666666666671</v>
      </c>
      <c r="AB36" s="4">
        <f t="shared" si="1"/>
        <v>65.111111111111114</v>
      </c>
      <c r="AC36" s="4">
        <f t="shared" si="2"/>
        <v>1.9919591448039042</v>
      </c>
      <c r="AD36" s="3"/>
      <c r="AE36" s="3"/>
      <c r="AF36" s="3"/>
      <c r="AG36" s="3"/>
      <c r="AH36" s="3"/>
      <c r="AT36" s="12"/>
      <c r="AU36" s="12"/>
      <c r="AV36" s="11"/>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2:87" ht="24" customHeight="1" x14ac:dyDescent="0.2">
      <c r="B37" s="7">
        <f t="shared" si="4"/>
        <v>207</v>
      </c>
      <c r="C37" s="7" t="s">
        <v>122</v>
      </c>
      <c r="D37" s="7">
        <v>4</v>
      </c>
      <c r="E37" s="7">
        <v>1</v>
      </c>
      <c r="F37" s="7">
        <v>2</v>
      </c>
      <c r="G37" s="7">
        <v>1</v>
      </c>
      <c r="H37" s="7">
        <v>2</v>
      </c>
      <c r="I37" s="7" t="s">
        <v>134</v>
      </c>
      <c r="J37" s="9"/>
      <c r="K37" s="7" t="s">
        <v>2</v>
      </c>
      <c r="L37" s="6">
        <v>83</v>
      </c>
      <c r="M37" s="6"/>
      <c r="N37" s="6">
        <v>83</v>
      </c>
      <c r="O37" s="6"/>
      <c r="P37" s="6">
        <v>79</v>
      </c>
      <c r="Q37" s="6">
        <v>70</v>
      </c>
      <c r="R37" s="6">
        <v>79</v>
      </c>
      <c r="S37" s="6">
        <v>78</v>
      </c>
      <c r="T37" s="45">
        <v>77</v>
      </c>
      <c r="U37" s="45">
        <v>87</v>
      </c>
      <c r="V37" s="6"/>
      <c r="W37" s="6">
        <v>85</v>
      </c>
      <c r="X37" s="6"/>
      <c r="Y37" s="6">
        <v>90</v>
      </c>
      <c r="Z37" s="6"/>
      <c r="AA37" s="4">
        <f t="shared" si="0"/>
        <v>78.333333333333329</v>
      </c>
      <c r="AB37" s="4">
        <f t="shared" si="1"/>
        <v>84.388888888888886</v>
      </c>
      <c r="AC37" s="4">
        <f t="shared" si="2"/>
        <v>1.6248456716839683</v>
      </c>
      <c r="AD37" s="3"/>
      <c r="AE37" s="3"/>
      <c r="AF37" s="3"/>
      <c r="AG37" s="3"/>
      <c r="AH37" s="3"/>
    </row>
    <row r="38" spans="2:87" ht="24" customHeight="1" thickBot="1" x14ac:dyDescent="0.25">
      <c r="B38" s="15">
        <f t="shared" si="4"/>
        <v>207</v>
      </c>
      <c r="C38" s="15" t="s">
        <v>122</v>
      </c>
      <c r="D38" s="15">
        <v>4</v>
      </c>
      <c r="E38" s="15">
        <v>1</v>
      </c>
      <c r="F38" s="15">
        <v>2</v>
      </c>
      <c r="G38" s="15">
        <v>1</v>
      </c>
      <c r="H38" s="15">
        <v>2</v>
      </c>
      <c r="I38" s="15" t="s">
        <v>134</v>
      </c>
      <c r="J38" s="16"/>
      <c r="K38" s="15" t="s">
        <v>0</v>
      </c>
      <c r="L38" s="14">
        <v>80</v>
      </c>
      <c r="M38" s="13"/>
      <c r="N38" s="14">
        <v>85</v>
      </c>
      <c r="O38" s="13"/>
      <c r="P38" s="14">
        <v>71</v>
      </c>
      <c r="Q38" s="14">
        <v>75</v>
      </c>
      <c r="R38" s="14">
        <v>76</v>
      </c>
      <c r="S38" s="14">
        <v>76</v>
      </c>
      <c r="T38" s="46">
        <v>75</v>
      </c>
      <c r="U38" s="46">
        <v>85</v>
      </c>
      <c r="V38" s="13"/>
      <c r="W38" s="14">
        <v>83</v>
      </c>
      <c r="X38" s="13"/>
      <c r="Y38" s="14">
        <v>82</v>
      </c>
      <c r="Z38" s="13"/>
      <c r="AA38" s="4">
        <f t="shared" si="0"/>
        <v>76.333333333333329</v>
      </c>
      <c r="AB38" s="4">
        <f t="shared" si="1"/>
        <v>81.888888888888886</v>
      </c>
      <c r="AC38" s="4">
        <f t="shared" si="2"/>
        <v>1.3544622184596256</v>
      </c>
      <c r="AD38" s="3"/>
      <c r="AE38" s="3"/>
      <c r="AF38" s="3"/>
      <c r="AG38" s="3"/>
      <c r="AH38" s="3"/>
      <c r="AT38" s="12"/>
      <c r="AU38" s="12"/>
      <c r="AV38" s="11"/>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2:87" ht="24" customHeight="1" x14ac:dyDescent="0.2">
      <c r="B39" s="7">
        <f t="shared" si="4"/>
        <v>208</v>
      </c>
      <c r="C39" s="7" t="s">
        <v>135</v>
      </c>
      <c r="D39" s="7">
        <v>2</v>
      </c>
      <c r="E39" s="7">
        <v>1</v>
      </c>
      <c r="F39" s="7">
        <v>1</v>
      </c>
      <c r="G39" s="7">
        <v>1</v>
      </c>
      <c r="H39" s="7">
        <v>2</v>
      </c>
      <c r="I39" s="7" t="s">
        <v>136</v>
      </c>
      <c r="J39" s="9"/>
      <c r="K39" s="7" t="s">
        <v>2</v>
      </c>
      <c r="L39" s="6">
        <v>81</v>
      </c>
      <c r="M39" s="5"/>
      <c r="N39" s="6">
        <v>84</v>
      </c>
      <c r="O39" s="5"/>
      <c r="P39" s="6">
        <v>77</v>
      </c>
      <c r="Q39" s="6">
        <v>66</v>
      </c>
      <c r="R39" s="6">
        <v>70</v>
      </c>
      <c r="S39" s="6">
        <v>69</v>
      </c>
      <c r="T39" s="45">
        <v>70</v>
      </c>
      <c r="U39" s="45">
        <v>77</v>
      </c>
      <c r="V39" s="5"/>
      <c r="W39" s="6">
        <v>72</v>
      </c>
      <c r="X39" s="5"/>
      <c r="Y39" s="6">
        <v>76</v>
      </c>
      <c r="Z39" s="5"/>
      <c r="AA39" s="4">
        <f t="shared" si="0"/>
        <v>71.5</v>
      </c>
      <c r="AB39" s="4">
        <f t="shared" si="1"/>
        <v>76.916666666666671</v>
      </c>
      <c r="AC39" s="4">
        <f t="shared" si="2"/>
        <v>2.0100442228413233</v>
      </c>
      <c r="AD39" s="3"/>
      <c r="AE39" s="3"/>
      <c r="AF39" s="3"/>
      <c r="AG39" s="3"/>
      <c r="AH39" s="3"/>
    </row>
    <row r="40" spans="2:87" ht="24" customHeight="1" thickBot="1" x14ac:dyDescent="0.25">
      <c r="B40" s="15">
        <f t="shared" si="4"/>
        <v>208</v>
      </c>
      <c r="C40" s="15" t="s">
        <v>135</v>
      </c>
      <c r="D40" s="15">
        <v>2</v>
      </c>
      <c r="E40" s="15">
        <v>1</v>
      </c>
      <c r="F40" s="15">
        <v>1</v>
      </c>
      <c r="G40" s="15">
        <v>1</v>
      </c>
      <c r="H40" s="15">
        <v>2</v>
      </c>
      <c r="I40" s="15" t="s">
        <v>136</v>
      </c>
      <c r="J40" s="16"/>
      <c r="K40" s="15" t="s">
        <v>0</v>
      </c>
      <c r="L40" s="14">
        <v>73</v>
      </c>
      <c r="M40" s="13"/>
      <c r="N40" s="14">
        <v>70</v>
      </c>
      <c r="O40" s="13"/>
      <c r="P40" s="14">
        <v>63</v>
      </c>
      <c r="Q40" s="14">
        <v>62</v>
      </c>
      <c r="R40" s="14">
        <v>66</v>
      </c>
      <c r="S40" s="14">
        <v>55</v>
      </c>
      <c r="T40" s="46">
        <v>72</v>
      </c>
      <c r="U40" s="46">
        <v>66</v>
      </c>
      <c r="V40" s="13"/>
      <c r="W40" s="14">
        <v>69</v>
      </c>
      <c r="X40" s="13"/>
      <c r="Y40" s="14">
        <v>72</v>
      </c>
      <c r="Z40" s="13"/>
      <c r="AA40" s="4">
        <f t="shared" si="0"/>
        <v>64</v>
      </c>
      <c r="AB40" s="4">
        <f t="shared" si="1"/>
        <v>69</v>
      </c>
      <c r="AC40" s="4">
        <f t="shared" si="2"/>
        <v>1.4142135623730951</v>
      </c>
      <c r="AD40" s="3"/>
      <c r="AE40" s="3"/>
      <c r="AF40" s="3"/>
      <c r="AG40" s="3"/>
      <c r="AH40" s="3"/>
      <c r="AT40" s="12"/>
      <c r="AU40" s="12"/>
      <c r="AV40" s="11"/>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2:87" ht="24" customHeight="1" x14ac:dyDescent="0.2">
      <c r="B41" s="7">
        <f>B39+700</f>
        <v>908</v>
      </c>
      <c r="C41" s="7" t="s">
        <v>137</v>
      </c>
      <c r="D41" s="7">
        <v>21</v>
      </c>
      <c r="E41" s="7">
        <v>3</v>
      </c>
      <c r="F41" s="7">
        <v>2</v>
      </c>
      <c r="G41" s="7">
        <v>2</v>
      </c>
      <c r="H41" s="7">
        <v>2</v>
      </c>
      <c r="I41" s="7" t="s">
        <v>138</v>
      </c>
      <c r="J41" s="7"/>
      <c r="K41" s="7" t="s">
        <v>2</v>
      </c>
      <c r="L41" s="6">
        <v>68</v>
      </c>
      <c r="M41" s="5"/>
      <c r="N41" s="6">
        <v>65</v>
      </c>
      <c r="O41" s="5"/>
      <c r="P41" s="6">
        <v>70</v>
      </c>
      <c r="Q41" s="6">
        <v>60</v>
      </c>
      <c r="R41" s="6">
        <v>65</v>
      </c>
      <c r="S41" s="6">
        <v>53</v>
      </c>
      <c r="T41" s="45">
        <v>47</v>
      </c>
      <c r="U41" s="45">
        <v>59</v>
      </c>
      <c r="V41" s="5"/>
      <c r="W41" s="6">
        <v>45</v>
      </c>
      <c r="X41" s="5"/>
      <c r="Y41" s="6">
        <v>59</v>
      </c>
      <c r="Z41" s="5"/>
      <c r="AA41" s="4">
        <f t="shared" ref="AA41:AA72" si="5">AVERAGE(P41:U41)</f>
        <v>59</v>
      </c>
      <c r="AB41" s="4">
        <f t="shared" ref="AB41:AB72" si="6">AVERAGE(AVERAGE(L41:M41),AVERAGE(N41:O41),AVERAGE(P41:U41),AVERAGE(U41:V41),AVERAGE(W41:X41),AVERAGE(Y41:Z41))</f>
        <v>59.166666666666664</v>
      </c>
      <c r="AC41" s="4">
        <f t="shared" ref="AC41:AC72" si="7">STDEV(AVERAGE(L41:M41),AVERAGE(N41:O41),AVERAGE(P41:U41),AVERAGE(U41:V41),AVERAGE(W41:X41),AVERAGE(Y41:Z41))/SQRT(6)</f>
        <v>3.2292069889955548</v>
      </c>
      <c r="AD41" s="3"/>
      <c r="AE41" s="3"/>
      <c r="AF41" s="3"/>
      <c r="AG41" s="3"/>
      <c r="AH41" s="3"/>
    </row>
    <row r="42" spans="2:87" ht="24" customHeight="1" thickBot="1" x14ac:dyDescent="0.25">
      <c r="B42" s="15">
        <f>B40+700</f>
        <v>908</v>
      </c>
      <c r="C42" s="15" t="s">
        <v>137</v>
      </c>
      <c r="D42" s="15">
        <v>21</v>
      </c>
      <c r="E42" s="15">
        <v>3</v>
      </c>
      <c r="F42" s="15">
        <v>2</v>
      </c>
      <c r="G42" s="15">
        <v>2</v>
      </c>
      <c r="H42" s="15">
        <v>2</v>
      </c>
      <c r="I42" s="15" t="s">
        <v>138</v>
      </c>
      <c r="J42" s="16"/>
      <c r="K42" s="15" t="s">
        <v>0</v>
      </c>
      <c r="L42" s="14">
        <v>50</v>
      </c>
      <c r="M42" s="13"/>
      <c r="N42" s="14">
        <v>53</v>
      </c>
      <c r="O42" s="13"/>
      <c r="P42" s="14">
        <v>57</v>
      </c>
      <c r="Q42" s="14">
        <v>48</v>
      </c>
      <c r="R42" s="14">
        <v>47</v>
      </c>
      <c r="S42" s="14">
        <v>50</v>
      </c>
      <c r="T42" s="46">
        <v>46</v>
      </c>
      <c r="U42" s="46">
        <v>49</v>
      </c>
      <c r="V42" s="13"/>
      <c r="W42" s="14">
        <v>38</v>
      </c>
      <c r="X42" s="13"/>
      <c r="Y42" s="14">
        <v>46</v>
      </c>
      <c r="Z42" s="13"/>
      <c r="AA42" s="4">
        <f t="shared" si="5"/>
        <v>49.5</v>
      </c>
      <c r="AB42" s="4">
        <f t="shared" si="6"/>
        <v>47.583333333333336</v>
      </c>
      <c r="AC42" s="4">
        <f t="shared" si="7"/>
        <v>2.1229565338094996</v>
      </c>
      <c r="AD42" s="3"/>
      <c r="AE42" s="3"/>
      <c r="AF42" s="3"/>
      <c r="AG42" s="3"/>
      <c r="AH42" s="3"/>
      <c r="AT42" s="12"/>
      <c r="AU42" s="12"/>
      <c r="AV42" s="11"/>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2:87" ht="24" customHeight="1" x14ac:dyDescent="0.2">
      <c r="B43" s="7">
        <v>906</v>
      </c>
      <c r="C43" s="7" t="s">
        <v>139</v>
      </c>
      <c r="D43" s="7">
        <v>22</v>
      </c>
      <c r="E43" s="7">
        <v>4</v>
      </c>
      <c r="F43" s="7">
        <v>2</v>
      </c>
      <c r="G43" s="7">
        <v>2</v>
      </c>
      <c r="H43" s="7">
        <v>2</v>
      </c>
      <c r="I43" s="7" t="s">
        <v>140</v>
      </c>
      <c r="J43" s="9"/>
      <c r="K43" s="7" t="s">
        <v>2</v>
      </c>
      <c r="L43" s="6">
        <v>71</v>
      </c>
      <c r="M43" s="6"/>
      <c r="N43" s="6">
        <v>80</v>
      </c>
      <c r="O43" s="6"/>
      <c r="P43" s="6">
        <v>71</v>
      </c>
      <c r="Q43" s="6">
        <v>74</v>
      </c>
      <c r="R43" s="6">
        <v>74</v>
      </c>
      <c r="S43" s="6">
        <v>83</v>
      </c>
      <c r="T43" s="45">
        <v>73</v>
      </c>
      <c r="U43" s="45">
        <v>85</v>
      </c>
      <c r="V43" s="6"/>
      <c r="W43" s="6">
        <v>67</v>
      </c>
      <c r="X43" s="6"/>
      <c r="Y43" s="6">
        <v>79</v>
      </c>
      <c r="Z43" s="6"/>
      <c r="AA43" s="4">
        <f t="shared" si="5"/>
        <v>76.666666666666671</v>
      </c>
      <c r="AB43" s="4">
        <f t="shared" si="6"/>
        <v>76.444444444444443</v>
      </c>
      <c r="AC43" s="4">
        <f t="shared" si="7"/>
        <v>2.65367204240501</v>
      </c>
      <c r="AD43" s="3"/>
      <c r="AE43" s="3"/>
      <c r="AF43" s="3"/>
      <c r="AG43" s="3"/>
      <c r="AH43" s="3"/>
    </row>
    <row r="44" spans="2:87" ht="24" customHeight="1" thickBot="1" x14ac:dyDescent="0.25">
      <c r="B44" s="15">
        <v>906</v>
      </c>
      <c r="C44" s="15" t="s">
        <v>139</v>
      </c>
      <c r="D44" s="15">
        <v>22</v>
      </c>
      <c r="E44" s="15">
        <v>4</v>
      </c>
      <c r="F44" s="15">
        <v>2</v>
      </c>
      <c r="G44" s="15">
        <v>2</v>
      </c>
      <c r="H44" s="15">
        <v>2</v>
      </c>
      <c r="I44" s="15" t="s">
        <v>140</v>
      </c>
      <c r="J44" s="16"/>
      <c r="K44" s="15" t="s">
        <v>0</v>
      </c>
      <c r="L44" s="14">
        <v>70</v>
      </c>
      <c r="M44" s="13"/>
      <c r="N44" s="14">
        <v>69</v>
      </c>
      <c r="O44" s="13"/>
      <c r="P44" s="14">
        <v>63</v>
      </c>
      <c r="Q44" s="14">
        <v>68</v>
      </c>
      <c r="R44" s="14">
        <v>64</v>
      </c>
      <c r="S44" s="14">
        <v>69</v>
      </c>
      <c r="T44" s="46">
        <v>65</v>
      </c>
      <c r="U44" s="46">
        <v>73</v>
      </c>
      <c r="V44" s="13"/>
      <c r="W44" s="14">
        <v>59</v>
      </c>
      <c r="X44" s="13"/>
      <c r="Y44" s="14">
        <v>68</v>
      </c>
      <c r="Z44" s="13"/>
      <c r="AA44" s="4">
        <f t="shared" si="5"/>
        <v>67</v>
      </c>
      <c r="AB44" s="4">
        <f t="shared" si="6"/>
        <v>67.666666666666671</v>
      </c>
      <c r="AC44" s="4">
        <f t="shared" si="7"/>
        <v>1.9264244369066523</v>
      </c>
      <c r="AD44" s="3"/>
      <c r="AE44" s="3"/>
      <c r="AF44" s="3"/>
      <c r="AG44" s="3"/>
      <c r="AH44" s="3"/>
      <c r="AT44" s="12"/>
      <c r="AU44" s="12"/>
      <c r="AV44" s="11"/>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2:87" ht="24" customHeight="1" x14ac:dyDescent="0.2">
      <c r="B45" s="7">
        <v>904</v>
      </c>
      <c r="C45" s="7" t="s">
        <v>137</v>
      </c>
      <c r="D45" s="7">
        <v>21</v>
      </c>
      <c r="E45" s="7">
        <v>3</v>
      </c>
      <c r="F45" s="7">
        <v>2</v>
      </c>
      <c r="G45" s="7">
        <v>2</v>
      </c>
      <c r="H45" s="7">
        <v>1</v>
      </c>
      <c r="I45" s="7" t="s">
        <v>141</v>
      </c>
      <c r="J45" s="9"/>
      <c r="K45" s="7" t="s">
        <v>2</v>
      </c>
      <c r="L45" s="6">
        <v>63</v>
      </c>
      <c r="M45" s="6"/>
      <c r="N45" s="6">
        <v>63</v>
      </c>
      <c r="O45" s="6"/>
      <c r="P45" s="6">
        <v>58</v>
      </c>
      <c r="Q45" s="6">
        <v>56</v>
      </c>
      <c r="R45" s="6">
        <v>58</v>
      </c>
      <c r="S45" s="6">
        <v>55</v>
      </c>
      <c r="T45" s="45">
        <v>58</v>
      </c>
      <c r="U45" s="45">
        <v>55</v>
      </c>
      <c r="V45" s="6"/>
      <c r="W45" s="6">
        <v>61</v>
      </c>
      <c r="X45" s="6"/>
      <c r="Y45" s="6">
        <v>53</v>
      </c>
      <c r="Z45" s="6"/>
      <c r="AA45" s="4">
        <f t="shared" si="5"/>
        <v>56.666666666666664</v>
      </c>
      <c r="AB45" s="4">
        <f t="shared" si="6"/>
        <v>58.611111111111107</v>
      </c>
      <c r="AC45" s="4">
        <f t="shared" si="7"/>
        <v>1.7562937969584043</v>
      </c>
      <c r="AD45" s="3"/>
      <c r="AE45" s="3"/>
      <c r="AF45" s="3"/>
      <c r="AG45" s="3"/>
      <c r="AH45" s="3"/>
    </row>
    <row r="46" spans="2:87" ht="24" customHeight="1" thickBot="1" x14ac:dyDescent="0.25">
      <c r="B46" s="15">
        <v>904</v>
      </c>
      <c r="C46" s="15" t="s">
        <v>137</v>
      </c>
      <c r="D46" s="15">
        <v>21</v>
      </c>
      <c r="E46" s="15">
        <v>3</v>
      </c>
      <c r="F46" s="15">
        <v>2</v>
      </c>
      <c r="G46" s="15">
        <v>2</v>
      </c>
      <c r="H46" s="15">
        <v>1</v>
      </c>
      <c r="I46" s="15" t="s">
        <v>141</v>
      </c>
      <c r="J46" s="16"/>
      <c r="K46" s="15" t="s">
        <v>0</v>
      </c>
      <c r="L46" s="14">
        <v>49</v>
      </c>
      <c r="M46" s="13"/>
      <c r="N46" s="14">
        <v>59</v>
      </c>
      <c r="O46" s="13"/>
      <c r="P46" s="14">
        <v>53</v>
      </c>
      <c r="Q46" s="14">
        <v>55</v>
      </c>
      <c r="R46" s="14">
        <v>50</v>
      </c>
      <c r="S46" s="14">
        <v>47</v>
      </c>
      <c r="T46" s="46">
        <v>40</v>
      </c>
      <c r="U46" s="46">
        <v>50</v>
      </c>
      <c r="V46" s="13"/>
      <c r="W46" s="14">
        <v>58</v>
      </c>
      <c r="X46" s="13"/>
      <c r="Y46" s="14">
        <v>41</v>
      </c>
      <c r="Z46" s="13"/>
      <c r="AA46" s="4">
        <f t="shared" si="5"/>
        <v>49.166666666666664</v>
      </c>
      <c r="AB46" s="4">
        <f t="shared" si="6"/>
        <v>51.027777777777771</v>
      </c>
      <c r="AC46" s="4">
        <f t="shared" si="7"/>
        <v>2.7163485385193451</v>
      </c>
      <c r="AD46" s="3"/>
      <c r="AE46" s="3"/>
      <c r="AF46" s="3"/>
      <c r="AG46" s="3"/>
      <c r="AH46" s="3"/>
      <c r="AT46" s="12"/>
      <c r="AU46" s="12"/>
      <c r="AV46" s="11"/>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2:87" ht="24" customHeight="1" x14ac:dyDescent="0.2">
      <c r="B47" s="7">
        <v>902</v>
      </c>
      <c r="C47" s="7" t="s">
        <v>139</v>
      </c>
      <c r="D47" s="7">
        <v>22</v>
      </c>
      <c r="E47" s="7">
        <v>4</v>
      </c>
      <c r="F47" s="7">
        <v>2</v>
      </c>
      <c r="G47" s="7">
        <v>2</v>
      </c>
      <c r="H47" s="7">
        <v>1</v>
      </c>
      <c r="I47" s="7" t="s">
        <v>142</v>
      </c>
      <c r="J47" s="9"/>
      <c r="K47" s="7" t="s">
        <v>2</v>
      </c>
      <c r="L47" s="6">
        <v>69</v>
      </c>
      <c r="M47" s="6"/>
      <c r="N47" s="6">
        <v>77</v>
      </c>
      <c r="O47" s="6"/>
      <c r="P47" s="6">
        <v>75</v>
      </c>
      <c r="Q47" s="6">
        <v>67</v>
      </c>
      <c r="R47" s="6">
        <v>71</v>
      </c>
      <c r="S47" s="6">
        <v>71</v>
      </c>
      <c r="T47" s="45">
        <v>70</v>
      </c>
      <c r="U47" s="45">
        <v>83</v>
      </c>
      <c r="V47" s="6"/>
      <c r="W47" s="6">
        <v>66</v>
      </c>
      <c r="X47" s="6"/>
      <c r="Y47" s="6">
        <v>73</v>
      </c>
      <c r="Z47" s="6"/>
      <c r="AA47" s="4">
        <f t="shared" si="5"/>
        <v>72.833333333333329</v>
      </c>
      <c r="AB47" s="4">
        <f t="shared" si="6"/>
        <v>73.472222222222214</v>
      </c>
      <c r="AC47" s="4">
        <f t="shared" si="7"/>
        <v>2.4473782898904619</v>
      </c>
      <c r="AD47" s="3"/>
      <c r="AE47" s="3"/>
      <c r="AF47" s="3"/>
      <c r="AG47" s="3"/>
      <c r="AH47" s="3"/>
    </row>
    <row r="48" spans="2:87" ht="24" customHeight="1" thickBot="1" x14ac:dyDescent="0.25">
      <c r="B48" s="15">
        <v>902</v>
      </c>
      <c r="C48" s="15" t="s">
        <v>139</v>
      </c>
      <c r="D48" s="15">
        <v>22</v>
      </c>
      <c r="E48" s="15">
        <v>4</v>
      </c>
      <c r="F48" s="15">
        <v>2</v>
      </c>
      <c r="G48" s="15">
        <v>2</v>
      </c>
      <c r="H48" s="15">
        <v>1</v>
      </c>
      <c r="I48" s="15" t="s">
        <v>142</v>
      </c>
      <c r="J48" s="16"/>
      <c r="K48" s="15" t="s">
        <v>0</v>
      </c>
      <c r="L48" s="14">
        <v>66</v>
      </c>
      <c r="M48" s="13"/>
      <c r="N48" s="14">
        <v>64</v>
      </c>
      <c r="O48" s="13"/>
      <c r="P48" s="14">
        <v>67</v>
      </c>
      <c r="Q48" s="14">
        <v>56</v>
      </c>
      <c r="R48" s="14">
        <v>60</v>
      </c>
      <c r="S48" s="14">
        <v>57</v>
      </c>
      <c r="T48" s="46">
        <v>58</v>
      </c>
      <c r="U48" s="46">
        <v>62</v>
      </c>
      <c r="V48" s="13"/>
      <c r="W48" s="14">
        <v>60</v>
      </c>
      <c r="X48" s="13"/>
      <c r="Y48" s="14">
        <v>61</v>
      </c>
      <c r="Z48" s="13"/>
      <c r="AA48" s="4">
        <f t="shared" si="5"/>
        <v>60</v>
      </c>
      <c r="AB48" s="4">
        <f t="shared" si="6"/>
        <v>62.166666666666664</v>
      </c>
      <c r="AC48" s="4">
        <f t="shared" si="7"/>
        <v>0.98036274465684958</v>
      </c>
      <c r="AD48" s="3"/>
      <c r="AE48" s="3"/>
      <c r="AF48" s="3"/>
      <c r="AG48" s="3"/>
      <c r="AH48" s="3"/>
      <c r="AT48" s="12"/>
      <c r="AU48" s="12"/>
      <c r="AV48" s="11"/>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2:87" ht="24" customHeight="1" x14ac:dyDescent="0.2">
      <c r="B49" s="7">
        <f>B47-601</f>
        <v>301</v>
      </c>
      <c r="C49" s="7" t="s">
        <v>113</v>
      </c>
      <c r="D49" s="7">
        <v>10</v>
      </c>
      <c r="E49" s="7">
        <v>2</v>
      </c>
      <c r="F49" s="7">
        <v>2</v>
      </c>
      <c r="G49" s="7">
        <v>1</v>
      </c>
      <c r="H49" s="7">
        <v>3</v>
      </c>
      <c r="I49" s="7" t="s">
        <v>143</v>
      </c>
      <c r="J49" s="7"/>
      <c r="K49" s="7" t="s">
        <v>2</v>
      </c>
      <c r="L49" s="6">
        <v>77</v>
      </c>
      <c r="M49" s="6"/>
      <c r="N49" s="6">
        <v>82</v>
      </c>
      <c r="O49" s="6"/>
      <c r="P49" s="6">
        <v>96</v>
      </c>
      <c r="Q49" s="6">
        <v>90</v>
      </c>
      <c r="R49" s="6">
        <v>88</v>
      </c>
      <c r="S49" s="6">
        <v>73</v>
      </c>
      <c r="T49" s="45">
        <v>74</v>
      </c>
      <c r="U49" s="45">
        <v>79</v>
      </c>
      <c r="V49" s="6"/>
      <c r="W49" s="6">
        <v>84</v>
      </c>
      <c r="X49" s="6"/>
      <c r="Y49" s="6">
        <v>82</v>
      </c>
      <c r="Z49" s="6"/>
      <c r="AA49" s="4">
        <f t="shared" si="5"/>
        <v>83.333333333333329</v>
      </c>
      <c r="AB49" s="4">
        <f t="shared" si="6"/>
        <v>81.222222222222214</v>
      </c>
      <c r="AC49" s="4">
        <f t="shared" si="7"/>
        <v>1.0976968031314194</v>
      </c>
      <c r="AT49" s="12">
        <v>2</v>
      </c>
      <c r="AU49" s="12" t="s">
        <v>3</v>
      </c>
      <c r="AV49" s="12">
        <v>150</v>
      </c>
    </row>
    <row r="50" spans="2:87" ht="24" customHeight="1" thickBot="1" x14ac:dyDescent="0.25">
      <c r="B50" s="15">
        <f>B48-601</f>
        <v>301</v>
      </c>
      <c r="C50" s="15" t="s">
        <v>113</v>
      </c>
      <c r="D50" s="15">
        <v>10</v>
      </c>
      <c r="E50" s="15">
        <v>2</v>
      </c>
      <c r="F50" s="15">
        <v>2</v>
      </c>
      <c r="G50" s="15">
        <v>1</v>
      </c>
      <c r="H50" s="15">
        <v>3</v>
      </c>
      <c r="I50" s="15" t="s">
        <v>143</v>
      </c>
      <c r="J50" s="16"/>
      <c r="K50" s="15" t="s">
        <v>0</v>
      </c>
      <c r="L50" s="14">
        <v>71</v>
      </c>
      <c r="M50" s="13"/>
      <c r="N50" s="14">
        <v>79</v>
      </c>
      <c r="O50" s="13"/>
      <c r="P50" s="14">
        <v>77</v>
      </c>
      <c r="Q50" s="14">
        <v>72</v>
      </c>
      <c r="R50" s="14">
        <v>78</v>
      </c>
      <c r="S50" s="14">
        <v>80</v>
      </c>
      <c r="T50" s="46">
        <v>70</v>
      </c>
      <c r="U50" s="46">
        <v>78</v>
      </c>
      <c r="V50" s="13"/>
      <c r="W50" s="14">
        <v>84</v>
      </c>
      <c r="X50" s="13"/>
      <c r="Y50" s="14">
        <v>76</v>
      </c>
      <c r="Z50" s="13"/>
      <c r="AA50" s="4">
        <f t="shared" si="5"/>
        <v>75.833333333333329</v>
      </c>
      <c r="AB50" s="4">
        <f t="shared" si="6"/>
        <v>77.305555555555557</v>
      </c>
      <c r="AC50" s="4">
        <f t="shared" si="7"/>
        <v>1.7492943903750255</v>
      </c>
      <c r="AD50" s="3"/>
      <c r="AE50" s="3"/>
      <c r="AF50" s="3"/>
      <c r="AG50" s="3"/>
      <c r="AH50" s="3"/>
      <c r="AT50" s="12"/>
      <c r="AU50" s="12"/>
      <c r="AV50" s="11"/>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2:87" ht="24" customHeight="1" x14ac:dyDescent="0.2">
      <c r="B51" s="7">
        <f t="shared" ref="B51:B64" si="8">B49+1</f>
        <v>302</v>
      </c>
      <c r="C51" s="7" t="s">
        <v>122</v>
      </c>
      <c r="D51" s="7">
        <v>4</v>
      </c>
      <c r="E51" s="7">
        <v>1</v>
      </c>
      <c r="F51" s="7">
        <v>2</v>
      </c>
      <c r="G51" s="7">
        <v>1</v>
      </c>
      <c r="H51" s="7">
        <v>3</v>
      </c>
      <c r="I51" s="7" t="s">
        <v>144</v>
      </c>
      <c r="J51" s="9"/>
      <c r="K51" s="7" t="s">
        <v>2</v>
      </c>
      <c r="L51" s="6">
        <v>82</v>
      </c>
      <c r="M51" s="6"/>
      <c r="N51" s="6">
        <v>71</v>
      </c>
      <c r="O51" s="6"/>
      <c r="P51" s="6">
        <v>89</v>
      </c>
      <c r="Q51" s="6">
        <v>80</v>
      </c>
      <c r="R51" s="6">
        <v>81</v>
      </c>
      <c r="S51" s="6">
        <v>83</v>
      </c>
      <c r="T51" s="45">
        <v>80</v>
      </c>
      <c r="U51" s="45">
        <v>74</v>
      </c>
      <c r="V51" s="6"/>
      <c r="W51" s="6">
        <v>77</v>
      </c>
      <c r="X51" s="6"/>
      <c r="Y51" s="6">
        <v>72</v>
      </c>
      <c r="Z51" s="6"/>
      <c r="AA51" s="4">
        <f t="shared" si="5"/>
        <v>81.166666666666671</v>
      </c>
      <c r="AB51" s="4">
        <f t="shared" si="6"/>
        <v>76.194444444444443</v>
      </c>
      <c r="AC51" s="4">
        <f t="shared" si="7"/>
        <v>1.9014695421576144</v>
      </c>
      <c r="AD51" s="3"/>
      <c r="AE51" s="3"/>
      <c r="AF51" s="3"/>
      <c r="AG51" s="3"/>
      <c r="AH51" s="3"/>
    </row>
    <row r="52" spans="2:87" ht="24" customHeight="1" thickBot="1" x14ac:dyDescent="0.25">
      <c r="B52" s="15">
        <f t="shared" si="8"/>
        <v>302</v>
      </c>
      <c r="C52" s="15" t="s">
        <v>122</v>
      </c>
      <c r="D52" s="15">
        <v>4</v>
      </c>
      <c r="E52" s="15">
        <v>1</v>
      </c>
      <c r="F52" s="15">
        <v>2</v>
      </c>
      <c r="G52" s="15">
        <v>1</v>
      </c>
      <c r="H52" s="15">
        <v>3</v>
      </c>
      <c r="I52" s="15" t="s">
        <v>144</v>
      </c>
      <c r="J52" s="16"/>
      <c r="K52" s="15" t="s">
        <v>0</v>
      </c>
      <c r="L52" s="14">
        <v>74</v>
      </c>
      <c r="M52" s="13"/>
      <c r="N52" s="14">
        <v>83</v>
      </c>
      <c r="O52" s="13"/>
      <c r="P52" s="14">
        <v>76</v>
      </c>
      <c r="Q52" s="14">
        <v>80</v>
      </c>
      <c r="R52" s="14">
        <v>83</v>
      </c>
      <c r="S52" s="14">
        <v>74</v>
      </c>
      <c r="T52" s="46">
        <v>73</v>
      </c>
      <c r="U52" s="46">
        <v>77</v>
      </c>
      <c r="V52" s="13"/>
      <c r="W52" s="14">
        <v>77</v>
      </c>
      <c r="X52" s="13"/>
      <c r="Y52" s="14">
        <v>74</v>
      </c>
      <c r="Z52" s="13"/>
      <c r="AA52" s="4">
        <f t="shared" si="5"/>
        <v>77.166666666666671</v>
      </c>
      <c r="AB52" s="4">
        <f t="shared" si="6"/>
        <v>77.027777777777786</v>
      </c>
      <c r="AC52" s="4">
        <f t="shared" si="7"/>
        <v>1.3419283158717055</v>
      </c>
      <c r="AD52" s="3"/>
      <c r="AE52" s="3"/>
      <c r="AF52" s="3"/>
      <c r="AG52" s="3"/>
      <c r="AH52" s="3"/>
      <c r="AT52" s="12"/>
      <c r="AU52" s="12"/>
      <c r="AV52" s="11"/>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2:87" ht="24" customHeight="1" x14ac:dyDescent="0.2">
      <c r="B53" s="7">
        <f t="shared" si="8"/>
        <v>303</v>
      </c>
      <c r="C53" s="7" t="s">
        <v>132</v>
      </c>
      <c r="D53" s="7">
        <v>8</v>
      </c>
      <c r="E53" s="7">
        <v>2</v>
      </c>
      <c r="F53" s="7">
        <v>1</v>
      </c>
      <c r="G53" s="7">
        <v>1</v>
      </c>
      <c r="H53" s="7">
        <v>3</v>
      </c>
      <c r="I53" s="7" t="s">
        <v>145</v>
      </c>
      <c r="J53" s="9"/>
      <c r="K53" s="7" t="s">
        <v>2</v>
      </c>
      <c r="L53" s="6">
        <v>80</v>
      </c>
      <c r="M53" s="6"/>
      <c r="N53" s="6">
        <v>73</v>
      </c>
      <c r="O53" s="6"/>
      <c r="P53" s="6">
        <v>75</v>
      </c>
      <c r="Q53" s="6">
        <v>66</v>
      </c>
      <c r="R53" s="6">
        <v>71</v>
      </c>
      <c r="S53" s="6">
        <v>72</v>
      </c>
      <c r="T53" s="45">
        <v>77</v>
      </c>
      <c r="U53" s="45">
        <v>83</v>
      </c>
      <c r="V53" s="6"/>
      <c r="W53" s="6">
        <v>93</v>
      </c>
      <c r="X53" s="6"/>
      <c r="Y53" s="6">
        <v>72</v>
      </c>
      <c r="Z53" s="6"/>
      <c r="AA53" s="4">
        <f t="shared" si="5"/>
        <v>74</v>
      </c>
      <c r="AB53" s="4">
        <f t="shared" si="6"/>
        <v>79.166666666666671</v>
      </c>
      <c r="AC53" s="4">
        <f t="shared" si="7"/>
        <v>3.2804132530995416</v>
      </c>
      <c r="AD53" s="3"/>
      <c r="AE53" s="3"/>
      <c r="AF53" s="3"/>
      <c r="AG53" s="3"/>
      <c r="AH53" s="3"/>
    </row>
    <row r="54" spans="2:87" ht="24" customHeight="1" thickBot="1" x14ac:dyDescent="0.25">
      <c r="B54" s="15">
        <f t="shared" si="8"/>
        <v>303</v>
      </c>
      <c r="C54" s="15" t="s">
        <v>132</v>
      </c>
      <c r="D54" s="15">
        <v>8</v>
      </c>
      <c r="E54" s="15">
        <v>2</v>
      </c>
      <c r="F54" s="15">
        <v>1</v>
      </c>
      <c r="G54" s="15">
        <v>1</v>
      </c>
      <c r="H54" s="15">
        <v>3</v>
      </c>
      <c r="I54" s="15" t="s">
        <v>145</v>
      </c>
      <c r="J54" s="16"/>
      <c r="K54" s="15" t="s">
        <v>0</v>
      </c>
      <c r="L54" s="14">
        <v>71</v>
      </c>
      <c r="M54" s="13"/>
      <c r="N54" s="14">
        <v>78</v>
      </c>
      <c r="O54" s="13"/>
      <c r="P54" s="14">
        <v>68</v>
      </c>
      <c r="Q54" s="14">
        <v>69</v>
      </c>
      <c r="R54" s="14">
        <v>68</v>
      </c>
      <c r="S54" s="14">
        <v>66</v>
      </c>
      <c r="T54" s="46">
        <v>68</v>
      </c>
      <c r="U54" s="46">
        <v>28</v>
      </c>
      <c r="V54" s="13"/>
      <c r="W54" s="14">
        <v>88</v>
      </c>
      <c r="X54" s="13"/>
      <c r="Y54" s="14">
        <v>70</v>
      </c>
      <c r="Z54" s="13"/>
      <c r="AA54" s="4">
        <f t="shared" si="5"/>
        <v>61.166666666666664</v>
      </c>
      <c r="AB54" s="4">
        <f t="shared" si="6"/>
        <v>66.027777777777771</v>
      </c>
      <c r="AC54" s="4">
        <f t="shared" si="7"/>
        <v>8.4387133329702291</v>
      </c>
      <c r="AD54" s="3"/>
      <c r="AE54" s="3"/>
      <c r="AF54" s="3"/>
      <c r="AG54" s="3"/>
      <c r="AH54" s="3"/>
      <c r="AT54" s="12"/>
      <c r="AU54" s="12"/>
      <c r="AV54" s="11"/>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2:87" ht="24" customHeight="1" x14ac:dyDescent="0.2">
      <c r="B55" s="7">
        <f t="shared" si="8"/>
        <v>304</v>
      </c>
      <c r="C55" s="7" t="s">
        <v>135</v>
      </c>
      <c r="D55" s="7">
        <v>2</v>
      </c>
      <c r="E55" s="7">
        <v>1</v>
      </c>
      <c r="F55" s="7">
        <v>1</v>
      </c>
      <c r="G55" s="7">
        <v>1</v>
      </c>
      <c r="H55" s="7">
        <v>3</v>
      </c>
      <c r="I55" s="7" t="s">
        <v>146</v>
      </c>
      <c r="J55" s="9"/>
      <c r="K55" s="7" t="s">
        <v>2</v>
      </c>
      <c r="L55" s="6">
        <v>77</v>
      </c>
      <c r="M55" s="6"/>
      <c r="N55" s="6">
        <v>81</v>
      </c>
      <c r="O55" s="6"/>
      <c r="P55" s="6">
        <v>93</v>
      </c>
      <c r="Q55" s="6">
        <v>82</v>
      </c>
      <c r="R55" s="6">
        <v>89</v>
      </c>
      <c r="S55" s="6">
        <v>87</v>
      </c>
      <c r="T55" s="45">
        <v>76</v>
      </c>
      <c r="U55" s="45">
        <v>89</v>
      </c>
      <c r="V55" s="6"/>
      <c r="W55" s="6">
        <v>81</v>
      </c>
      <c r="X55" s="6"/>
      <c r="Y55" s="6">
        <v>72</v>
      </c>
      <c r="Z55" s="6"/>
      <c r="AA55" s="4">
        <f t="shared" si="5"/>
        <v>86</v>
      </c>
      <c r="AB55" s="4">
        <f t="shared" si="6"/>
        <v>81</v>
      </c>
      <c r="AC55" s="4">
        <f t="shared" si="7"/>
        <v>2.4899799195977468</v>
      </c>
      <c r="AD55" s="3"/>
      <c r="AE55" s="3"/>
      <c r="AF55" s="3"/>
      <c r="AG55" s="3"/>
      <c r="AH55" s="3"/>
    </row>
    <row r="56" spans="2:87" ht="24" customHeight="1" thickBot="1" x14ac:dyDescent="0.25">
      <c r="B56" s="15">
        <f t="shared" si="8"/>
        <v>304</v>
      </c>
      <c r="C56" s="15" t="s">
        <v>135</v>
      </c>
      <c r="D56" s="15">
        <v>2</v>
      </c>
      <c r="E56" s="15">
        <v>1</v>
      </c>
      <c r="F56" s="15">
        <v>1</v>
      </c>
      <c r="G56" s="15">
        <v>1</v>
      </c>
      <c r="H56" s="15">
        <v>3</v>
      </c>
      <c r="I56" s="15" t="s">
        <v>146</v>
      </c>
      <c r="J56" s="16"/>
      <c r="K56" s="15" t="s">
        <v>0</v>
      </c>
      <c r="L56" s="14">
        <v>76</v>
      </c>
      <c r="M56" s="13"/>
      <c r="N56" s="14">
        <v>72</v>
      </c>
      <c r="O56" s="13"/>
      <c r="P56" s="14">
        <v>74</v>
      </c>
      <c r="Q56" s="14">
        <v>66</v>
      </c>
      <c r="R56" s="14">
        <v>68</v>
      </c>
      <c r="S56" s="14">
        <v>83</v>
      </c>
      <c r="T56" s="46">
        <v>74</v>
      </c>
      <c r="U56" s="46">
        <v>80</v>
      </c>
      <c r="V56" s="13"/>
      <c r="W56" s="14">
        <v>73</v>
      </c>
      <c r="X56" s="13"/>
      <c r="Y56" s="14">
        <v>59</v>
      </c>
      <c r="Z56" s="13"/>
      <c r="AA56" s="4">
        <f t="shared" si="5"/>
        <v>74.166666666666671</v>
      </c>
      <c r="AB56" s="4">
        <f t="shared" si="6"/>
        <v>72.361111111111114</v>
      </c>
      <c r="AC56" s="4">
        <f t="shared" si="7"/>
        <v>2.9092498290626803</v>
      </c>
      <c r="AD56" s="3"/>
      <c r="AE56" s="3"/>
      <c r="AF56" s="3"/>
      <c r="AG56" s="3"/>
      <c r="AH56" s="3"/>
      <c r="AT56" s="12"/>
      <c r="AU56" s="12"/>
      <c r="AV56" s="11"/>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2:87" ht="24" customHeight="1" thickBot="1" x14ac:dyDescent="0.25">
      <c r="B57" s="7">
        <f t="shared" si="8"/>
        <v>305</v>
      </c>
      <c r="C57" s="7" t="s">
        <v>129</v>
      </c>
      <c r="D57" s="7">
        <v>11</v>
      </c>
      <c r="E57" s="7">
        <v>2</v>
      </c>
      <c r="F57" s="7">
        <v>3</v>
      </c>
      <c r="G57" s="7">
        <v>2</v>
      </c>
      <c r="H57" s="7">
        <v>4</v>
      </c>
      <c r="I57" s="7" t="s">
        <v>147</v>
      </c>
      <c r="J57" s="16"/>
      <c r="K57" s="7" t="s">
        <v>2</v>
      </c>
      <c r="L57" s="6">
        <v>99</v>
      </c>
      <c r="M57" s="6"/>
      <c r="N57" s="6">
        <v>98</v>
      </c>
      <c r="O57" s="6"/>
      <c r="P57" s="6">
        <v>95</v>
      </c>
      <c r="Q57" s="6">
        <v>87</v>
      </c>
      <c r="R57" s="6">
        <v>91</v>
      </c>
      <c r="S57" s="6">
        <v>89</v>
      </c>
      <c r="T57" s="45">
        <v>89</v>
      </c>
      <c r="U57" s="45">
        <v>94</v>
      </c>
      <c r="V57" s="6"/>
      <c r="W57" s="6">
        <v>100</v>
      </c>
      <c r="X57" s="6"/>
      <c r="Y57" s="6">
        <v>94</v>
      </c>
      <c r="Z57" s="6"/>
      <c r="AA57" s="4">
        <f t="shared" si="5"/>
        <v>90.833333333333329</v>
      </c>
      <c r="AB57" s="4">
        <f t="shared" si="6"/>
        <v>95.972222222222214</v>
      </c>
      <c r="AC57" s="4">
        <f t="shared" si="7"/>
        <v>1.4570496996192324</v>
      </c>
      <c r="AD57" s="3"/>
      <c r="AE57" s="3"/>
      <c r="AF57" s="3"/>
      <c r="AG57" s="3"/>
      <c r="AH57" s="3"/>
    </row>
    <row r="58" spans="2:87" ht="24" customHeight="1" thickBot="1" x14ac:dyDescent="0.25">
      <c r="B58" s="15">
        <f t="shared" si="8"/>
        <v>305</v>
      </c>
      <c r="C58" s="15" t="s">
        <v>129</v>
      </c>
      <c r="D58" s="15">
        <v>11</v>
      </c>
      <c r="E58" s="15">
        <v>2</v>
      </c>
      <c r="F58" s="15">
        <v>3</v>
      </c>
      <c r="G58" s="15">
        <v>2</v>
      </c>
      <c r="H58" s="15">
        <v>4</v>
      </c>
      <c r="I58" s="15" t="s">
        <v>147</v>
      </c>
      <c r="J58" s="16"/>
      <c r="K58" s="15" t="s">
        <v>0</v>
      </c>
      <c r="L58" s="14">
        <v>82</v>
      </c>
      <c r="M58" s="13"/>
      <c r="N58" s="14">
        <v>81</v>
      </c>
      <c r="O58" s="13"/>
      <c r="P58" s="14">
        <v>80</v>
      </c>
      <c r="Q58" s="14">
        <v>74</v>
      </c>
      <c r="R58" s="14">
        <v>72</v>
      </c>
      <c r="S58" s="14">
        <v>79</v>
      </c>
      <c r="T58" s="46">
        <v>78</v>
      </c>
      <c r="U58" s="46">
        <v>81</v>
      </c>
      <c r="V58" s="13"/>
      <c r="W58" s="14">
        <v>76</v>
      </c>
      <c r="X58" s="13"/>
      <c r="Y58" s="14">
        <v>88</v>
      </c>
      <c r="Z58" s="13"/>
      <c r="AA58" s="4">
        <f t="shared" si="5"/>
        <v>77.333333333333329</v>
      </c>
      <c r="AB58" s="4">
        <f t="shared" si="6"/>
        <v>80.888888888888886</v>
      </c>
      <c r="AC58" s="4">
        <f t="shared" si="7"/>
        <v>1.7162980546355231</v>
      </c>
      <c r="AD58" s="3"/>
      <c r="AE58" s="3"/>
      <c r="AF58" s="3"/>
      <c r="AG58" s="3"/>
      <c r="AH58" s="3"/>
      <c r="AT58" s="12"/>
      <c r="AU58" s="12"/>
      <c r="AV58" s="11"/>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2:87" ht="24" customHeight="1" x14ac:dyDescent="0.2">
      <c r="B59" s="7">
        <f t="shared" si="8"/>
        <v>306</v>
      </c>
      <c r="C59" s="7" t="s">
        <v>122</v>
      </c>
      <c r="D59" s="7">
        <v>4</v>
      </c>
      <c r="E59" s="7">
        <v>1</v>
      </c>
      <c r="F59" s="7">
        <v>2</v>
      </c>
      <c r="G59" s="7">
        <v>1</v>
      </c>
      <c r="H59" s="7">
        <v>4</v>
      </c>
      <c r="I59" s="7" t="s">
        <v>148</v>
      </c>
      <c r="J59" s="9"/>
      <c r="K59" s="7" t="s">
        <v>2</v>
      </c>
      <c r="L59" s="6">
        <v>81</v>
      </c>
      <c r="M59" s="6"/>
      <c r="N59" s="6">
        <v>76</v>
      </c>
      <c r="O59" s="6"/>
      <c r="P59" s="6">
        <v>80</v>
      </c>
      <c r="Q59" s="6">
        <v>79</v>
      </c>
      <c r="R59" s="6">
        <v>83</v>
      </c>
      <c r="S59" s="6">
        <v>69</v>
      </c>
      <c r="T59" s="45">
        <v>78</v>
      </c>
      <c r="U59" s="45">
        <v>81</v>
      </c>
      <c r="V59" s="6"/>
      <c r="W59" s="6">
        <v>72</v>
      </c>
      <c r="X59" s="6"/>
      <c r="Y59" s="6">
        <v>84</v>
      </c>
      <c r="Z59" s="6"/>
      <c r="AA59" s="4">
        <f t="shared" si="5"/>
        <v>78.333333333333329</v>
      </c>
      <c r="AB59" s="4">
        <f t="shared" si="6"/>
        <v>78.722222222222214</v>
      </c>
      <c r="AC59" s="4">
        <f t="shared" si="7"/>
        <v>1.7414695085997678</v>
      </c>
      <c r="AD59" s="3"/>
      <c r="AE59" s="3"/>
      <c r="AF59" s="3"/>
      <c r="AG59" s="3"/>
      <c r="AH59" s="3"/>
    </row>
    <row r="60" spans="2:87" ht="24" customHeight="1" thickBot="1" x14ac:dyDescent="0.25">
      <c r="B60" s="15">
        <f t="shared" si="8"/>
        <v>306</v>
      </c>
      <c r="C60" s="15" t="s">
        <v>122</v>
      </c>
      <c r="D60" s="15">
        <v>4</v>
      </c>
      <c r="E60" s="15">
        <v>1</v>
      </c>
      <c r="F60" s="15">
        <v>2</v>
      </c>
      <c r="G60" s="15">
        <v>1</v>
      </c>
      <c r="H60" s="15">
        <v>4</v>
      </c>
      <c r="I60" s="15" t="s">
        <v>148</v>
      </c>
      <c r="J60" s="16"/>
      <c r="K60" s="15" t="s">
        <v>0</v>
      </c>
      <c r="L60" s="14">
        <v>75</v>
      </c>
      <c r="M60" s="13"/>
      <c r="N60" s="14">
        <v>74</v>
      </c>
      <c r="O60" s="13"/>
      <c r="P60" s="14">
        <v>71</v>
      </c>
      <c r="Q60" s="14">
        <v>66</v>
      </c>
      <c r="R60" s="14">
        <v>68</v>
      </c>
      <c r="S60" s="14">
        <v>71</v>
      </c>
      <c r="T60" s="46">
        <v>69</v>
      </c>
      <c r="U60" s="46">
        <v>72</v>
      </c>
      <c r="V60" s="13"/>
      <c r="W60" s="14">
        <v>79</v>
      </c>
      <c r="X60" s="13"/>
      <c r="Y60" s="14">
        <v>75</v>
      </c>
      <c r="Z60" s="13"/>
      <c r="AA60" s="4">
        <f t="shared" si="5"/>
        <v>69.5</v>
      </c>
      <c r="AB60" s="4">
        <f t="shared" si="6"/>
        <v>74.083333333333329</v>
      </c>
      <c r="AC60" s="4">
        <f t="shared" si="7"/>
        <v>1.3065008398177342</v>
      </c>
      <c r="AD60" s="3"/>
      <c r="AE60" s="3"/>
      <c r="AF60" s="3"/>
      <c r="AG60" s="3"/>
      <c r="AH60" s="3"/>
      <c r="AT60" s="12"/>
      <c r="AU60" s="12"/>
      <c r="AV60" s="11"/>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2:87" ht="24" customHeight="1" x14ac:dyDescent="0.2">
      <c r="B61" s="7">
        <f t="shared" si="8"/>
        <v>307</v>
      </c>
      <c r="C61" s="7" t="s">
        <v>115</v>
      </c>
      <c r="D61" s="7">
        <v>9</v>
      </c>
      <c r="E61" s="7">
        <v>2</v>
      </c>
      <c r="F61" s="7">
        <v>2</v>
      </c>
      <c r="G61" s="7">
        <v>2</v>
      </c>
      <c r="H61" s="7">
        <v>4</v>
      </c>
      <c r="I61" s="7" t="s">
        <v>149</v>
      </c>
      <c r="J61" s="9"/>
      <c r="K61" s="7" t="s">
        <v>2</v>
      </c>
      <c r="L61" s="6">
        <v>85</v>
      </c>
      <c r="M61" s="5"/>
      <c r="N61" s="6">
        <v>75</v>
      </c>
      <c r="O61" s="5"/>
      <c r="P61" s="6">
        <v>80</v>
      </c>
      <c r="Q61" s="6">
        <v>75</v>
      </c>
      <c r="R61" s="6">
        <v>77</v>
      </c>
      <c r="S61" s="6">
        <v>83</v>
      </c>
      <c r="T61" s="45">
        <v>67</v>
      </c>
      <c r="U61" s="45">
        <v>90</v>
      </c>
      <c r="V61" s="5"/>
      <c r="W61" s="6">
        <v>85</v>
      </c>
      <c r="X61" s="5"/>
      <c r="Y61" s="6">
        <v>85</v>
      </c>
      <c r="Z61" s="5"/>
      <c r="AA61" s="4">
        <f t="shared" si="5"/>
        <v>78.666666666666671</v>
      </c>
      <c r="AB61" s="4">
        <f t="shared" si="6"/>
        <v>83.111111111111114</v>
      </c>
      <c r="AC61" s="4">
        <f t="shared" si="7"/>
        <v>2.188635067065801</v>
      </c>
      <c r="AD61" s="3"/>
      <c r="AE61" s="3"/>
      <c r="AF61" s="3"/>
      <c r="AG61" s="3"/>
      <c r="AH61" s="3"/>
    </row>
    <row r="62" spans="2:87" ht="24" customHeight="1" thickBot="1" x14ac:dyDescent="0.25">
      <c r="B62" s="15">
        <f t="shared" si="8"/>
        <v>307</v>
      </c>
      <c r="C62" s="15" t="s">
        <v>115</v>
      </c>
      <c r="D62" s="15">
        <v>9</v>
      </c>
      <c r="E62" s="15">
        <v>2</v>
      </c>
      <c r="F62" s="15">
        <v>2</v>
      </c>
      <c r="G62" s="15">
        <v>2</v>
      </c>
      <c r="H62" s="15">
        <v>4</v>
      </c>
      <c r="I62" s="15" t="s">
        <v>149</v>
      </c>
      <c r="J62" s="16"/>
      <c r="K62" s="15" t="s">
        <v>0</v>
      </c>
      <c r="L62" s="14">
        <v>76</v>
      </c>
      <c r="M62" s="13"/>
      <c r="N62" s="14">
        <v>72</v>
      </c>
      <c r="O62" s="13"/>
      <c r="P62" s="14">
        <v>71</v>
      </c>
      <c r="Q62" s="14">
        <v>78</v>
      </c>
      <c r="R62" s="14">
        <v>83</v>
      </c>
      <c r="S62" s="14">
        <v>75</v>
      </c>
      <c r="T62" s="46">
        <v>81</v>
      </c>
      <c r="U62" s="46">
        <v>83</v>
      </c>
      <c r="V62" s="13"/>
      <c r="W62" s="14">
        <v>84</v>
      </c>
      <c r="X62" s="13"/>
      <c r="Y62" s="14">
        <v>87</v>
      </c>
      <c r="Z62" s="13"/>
      <c r="AA62" s="4">
        <f t="shared" si="5"/>
        <v>78.5</v>
      </c>
      <c r="AB62" s="4">
        <f t="shared" si="6"/>
        <v>80.083333333333329</v>
      </c>
      <c r="AC62" s="4">
        <f t="shared" si="7"/>
        <v>2.2818730123397413</v>
      </c>
      <c r="AD62" s="3"/>
      <c r="AE62" s="3"/>
      <c r="AF62" s="3"/>
      <c r="AG62" s="3"/>
      <c r="AH62" s="3"/>
      <c r="AT62" s="12"/>
      <c r="AU62" s="12"/>
      <c r="AV62" s="11"/>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2:87" ht="24" customHeight="1" x14ac:dyDescent="0.2">
      <c r="B63" s="7">
        <f t="shared" si="8"/>
        <v>308</v>
      </c>
      <c r="C63" s="7" t="s">
        <v>120</v>
      </c>
      <c r="D63" s="7">
        <v>5</v>
      </c>
      <c r="E63" s="7">
        <v>1</v>
      </c>
      <c r="F63" s="7">
        <v>3</v>
      </c>
      <c r="G63" s="7">
        <v>2</v>
      </c>
      <c r="H63" s="7">
        <v>4</v>
      </c>
      <c r="I63" s="7" t="s">
        <v>150</v>
      </c>
      <c r="J63" s="9"/>
      <c r="K63" s="7" t="s">
        <v>2</v>
      </c>
      <c r="L63" s="6">
        <v>95</v>
      </c>
      <c r="M63" s="5"/>
      <c r="N63" s="6">
        <v>90</v>
      </c>
      <c r="O63" s="5"/>
      <c r="P63" s="6">
        <v>87</v>
      </c>
      <c r="Q63" s="6">
        <v>72</v>
      </c>
      <c r="R63" s="6">
        <v>73</v>
      </c>
      <c r="S63" s="6">
        <v>81</v>
      </c>
      <c r="T63" s="45">
        <v>87</v>
      </c>
      <c r="U63" s="45">
        <v>91</v>
      </c>
      <c r="V63" s="5"/>
      <c r="W63" s="6">
        <v>82</v>
      </c>
      <c r="X63" s="5"/>
      <c r="Y63" s="6">
        <v>92</v>
      </c>
      <c r="Z63" s="5"/>
      <c r="AA63" s="4">
        <f t="shared" si="5"/>
        <v>81.833333333333329</v>
      </c>
      <c r="AB63" s="4">
        <f t="shared" si="6"/>
        <v>88.638888888888872</v>
      </c>
      <c r="AC63" s="4">
        <f t="shared" si="7"/>
        <v>2.2329256123130166</v>
      </c>
      <c r="AD63" s="3"/>
      <c r="AE63" s="3"/>
      <c r="AF63" s="3"/>
      <c r="AG63" s="3"/>
      <c r="AH63" s="3"/>
    </row>
    <row r="64" spans="2:87" ht="24" customHeight="1" x14ac:dyDescent="0.2">
      <c r="B64" s="7">
        <f t="shared" si="8"/>
        <v>308</v>
      </c>
      <c r="C64" s="7" t="s">
        <v>120</v>
      </c>
      <c r="D64" s="7">
        <v>5</v>
      </c>
      <c r="E64" s="7">
        <v>1</v>
      </c>
      <c r="F64" s="7">
        <v>3</v>
      </c>
      <c r="G64" s="7">
        <v>2</v>
      </c>
      <c r="H64" s="7">
        <v>4</v>
      </c>
      <c r="I64" s="7" t="s">
        <v>150</v>
      </c>
      <c r="J64" s="9"/>
      <c r="K64" s="7" t="s">
        <v>0</v>
      </c>
      <c r="L64" s="6">
        <v>62</v>
      </c>
      <c r="M64" s="6"/>
      <c r="N64" s="6">
        <v>61</v>
      </c>
      <c r="O64" s="6"/>
      <c r="P64" s="6">
        <v>63</v>
      </c>
      <c r="Q64" s="6">
        <v>48</v>
      </c>
      <c r="R64" s="6">
        <v>57</v>
      </c>
      <c r="S64" s="6">
        <v>51</v>
      </c>
      <c r="T64" s="45">
        <v>48</v>
      </c>
      <c r="U64" s="45">
        <v>58</v>
      </c>
      <c r="V64" s="6"/>
      <c r="W64" s="6">
        <v>70</v>
      </c>
      <c r="X64" s="6"/>
      <c r="Y64" s="6">
        <v>69</v>
      </c>
      <c r="Z64" s="6"/>
      <c r="AA64" s="4">
        <f t="shared" si="5"/>
        <v>54.166666666666664</v>
      </c>
      <c r="AB64" s="4">
        <f t="shared" si="6"/>
        <v>62.361111111111107</v>
      </c>
      <c r="AC64" s="4">
        <f t="shared" si="7"/>
        <v>2.5204411234524255</v>
      </c>
      <c r="AD64" s="3"/>
      <c r="AE64" s="3"/>
      <c r="AF64" s="3"/>
      <c r="AG64" s="3"/>
      <c r="AH64" s="3"/>
    </row>
    <row r="65" spans="2:87" ht="24" customHeight="1" x14ac:dyDescent="0.2">
      <c r="B65" s="7">
        <f>B63+100</f>
        <v>408</v>
      </c>
      <c r="C65" s="7" t="s">
        <v>113</v>
      </c>
      <c r="D65" s="7">
        <v>10</v>
      </c>
      <c r="E65" s="7">
        <v>2</v>
      </c>
      <c r="F65" s="7">
        <v>2</v>
      </c>
      <c r="G65" s="7">
        <v>1</v>
      </c>
      <c r="H65" s="7">
        <v>4</v>
      </c>
      <c r="I65" s="7" t="s">
        <v>151</v>
      </c>
      <c r="J65" s="8">
        <v>0.52083333333333337</v>
      </c>
      <c r="K65" s="7" t="s">
        <v>2</v>
      </c>
      <c r="L65" s="6">
        <v>76</v>
      </c>
      <c r="M65" s="6"/>
      <c r="N65" s="6">
        <v>73</v>
      </c>
      <c r="O65" s="6"/>
      <c r="P65" s="6">
        <v>76</v>
      </c>
      <c r="Q65" s="6">
        <v>72</v>
      </c>
      <c r="R65" s="6">
        <v>77</v>
      </c>
      <c r="S65" s="6">
        <v>62</v>
      </c>
      <c r="T65" s="45">
        <v>60</v>
      </c>
      <c r="U65" s="45">
        <v>80</v>
      </c>
      <c r="V65" s="6"/>
      <c r="W65" s="6">
        <v>77</v>
      </c>
      <c r="X65" s="6"/>
      <c r="Y65" s="6">
        <v>73</v>
      </c>
      <c r="Z65" s="6"/>
      <c r="AA65" s="4">
        <f t="shared" si="5"/>
        <v>71.166666666666671</v>
      </c>
      <c r="AB65" s="4">
        <f t="shared" si="6"/>
        <v>75.027777777777786</v>
      </c>
      <c r="AC65" s="4">
        <f t="shared" si="7"/>
        <v>1.3252649397361367</v>
      </c>
      <c r="AT65" s="12">
        <v>2</v>
      </c>
      <c r="AU65" s="12" t="s">
        <v>3</v>
      </c>
      <c r="AV65" s="12">
        <v>150</v>
      </c>
    </row>
    <row r="66" spans="2:87" ht="24" customHeight="1" thickBot="1" x14ac:dyDescent="0.25">
      <c r="B66" s="7">
        <f>B64+100</f>
        <v>408</v>
      </c>
      <c r="C66" s="15" t="s">
        <v>113</v>
      </c>
      <c r="D66" s="15">
        <v>10</v>
      </c>
      <c r="E66" s="15">
        <v>2</v>
      </c>
      <c r="F66" s="15">
        <v>2</v>
      </c>
      <c r="G66" s="15">
        <v>1</v>
      </c>
      <c r="H66" s="15">
        <v>4</v>
      </c>
      <c r="I66" s="15" t="s">
        <v>151</v>
      </c>
      <c r="J66" s="16"/>
      <c r="K66" s="15" t="s">
        <v>0</v>
      </c>
      <c r="L66" s="14">
        <v>82</v>
      </c>
      <c r="M66" s="13"/>
      <c r="N66" s="14">
        <v>77</v>
      </c>
      <c r="O66" s="13"/>
      <c r="P66" s="14">
        <v>68</v>
      </c>
      <c r="Q66" s="14">
        <v>69</v>
      </c>
      <c r="R66" s="14">
        <v>76</v>
      </c>
      <c r="S66" s="14">
        <v>68</v>
      </c>
      <c r="T66" s="46">
        <v>58</v>
      </c>
      <c r="U66" s="46">
        <v>73</v>
      </c>
      <c r="V66" s="13"/>
      <c r="W66" s="14">
        <v>71</v>
      </c>
      <c r="X66" s="13"/>
      <c r="Y66" s="14">
        <v>68</v>
      </c>
      <c r="Z66" s="13"/>
      <c r="AA66" s="4">
        <f t="shared" si="5"/>
        <v>68.666666666666671</v>
      </c>
      <c r="AB66" s="4">
        <f t="shared" si="6"/>
        <v>73.277777777777786</v>
      </c>
      <c r="AC66" s="4">
        <f t="shared" si="7"/>
        <v>2.1932837999585222</v>
      </c>
      <c r="AD66" s="3"/>
      <c r="AE66" s="3"/>
      <c r="AF66" s="3"/>
      <c r="AG66" s="3"/>
      <c r="AH66" s="3"/>
      <c r="AT66" s="12"/>
      <c r="AU66" s="12"/>
      <c r="AV66" s="11"/>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2:87" ht="24" customHeight="1" x14ac:dyDescent="0.2">
      <c r="B67" s="7">
        <f t="shared" ref="B67:B80" si="9">B65-1</f>
        <v>407</v>
      </c>
      <c r="C67" s="7" t="s">
        <v>152</v>
      </c>
      <c r="D67" s="7">
        <v>7</v>
      </c>
      <c r="E67" s="7">
        <v>2</v>
      </c>
      <c r="F67" s="7">
        <v>1</v>
      </c>
      <c r="G67" s="7">
        <v>2</v>
      </c>
      <c r="H67" s="7">
        <v>4</v>
      </c>
      <c r="I67" s="7" t="s">
        <v>153</v>
      </c>
      <c r="J67" s="9"/>
      <c r="K67" s="7" t="s">
        <v>2</v>
      </c>
      <c r="L67" s="6">
        <v>57</v>
      </c>
      <c r="M67" s="6"/>
      <c r="N67" s="6">
        <v>70</v>
      </c>
      <c r="O67" s="6"/>
      <c r="P67" s="6">
        <v>61</v>
      </c>
      <c r="Q67" s="6">
        <v>73</v>
      </c>
      <c r="R67" s="6">
        <v>60</v>
      </c>
      <c r="S67" s="6">
        <v>69</v>
      </c>
      <c r="T67" s="45">
        <v>69</v>
      </c>
      <c r="U67" s="45">
        <v>72</v>
      </c>
      <c r="V67" s="6"/>
      <c r="W67" s="6">
        <v>69</v>
      </c>
      <c r="X67" s="6"/>
      <c r="Y67" s="6">
        <v>73</v>
      </c>
      <c r="Z67" s="6"/>
      <c r="AA67" s="4">
        <f t="shared" si="5"/>
        <v>67.333333333333329</v>
      </c>
      <c r="AB67" s="4">
        <f t="shared" si="6"/>
        <v>68.055555555555557</v>
      </c>
      <c r="AC67" s="4">
        <f t="shared" si="7"/>
        <v>2.3623852771152434</v>
      </c>
      <c r="AD67" s="3"/>
      <c r="AE67" s="3"/>
      <c r="AF67" s="3"/>
      <c r="AG67" s="3"/>
      <c r="AH67" s="3"/>
    </row>
    <row r="68" spans="2:87" ht="24" customHeight="1" thickBot="1" x14ac:dyDescent="0.25">
      <c r="B68" s="7">
        <f t="shared" si="9"/>
        <v>407</v>
      </c>
      <c r="C68" s="15" t="s">
        <v>152</v>
      </c>
      <c r="D68" s="15">
        <v>7</v>
      </c>
      <c r="E68" s="15">
        <v>2</v>
      </c>
      <c r="F68" s="15">
        <v>1</v>
      </c>
      <c r="G68" s="15">
        <v>2</v>
      </c>
      <c r="H68" s="15">
        <v>4</v>
      </c>
      <c r="I68" s="15" t="s">
        <v>153</v>
      </c>
      <c r="J68" s="16"/>
      <c r="K68" s="15" t="s">
        <v>0</v>
      </c>
      <c r="L68" s="14">
        <v>54</v>
      </c>
      <c r="M68" s="13"/>
      <c r="N68" s="14">
        <v>63</v>
      </c>
      <c r="O68" s="13"/>
      <c r="P68" s="14">
        <v>60</v>
      </c>
      <c r="Q68" s="14">
        <v>55</v>
      </c>
      <c r="R68" s="14">
        <v>48</v>
      </c>
      <c r="S68" s="14">
        <v>56</v>
      </c>
      <c r="T68" s="46">
        <v>61</v>
      </c>
      <c r="U68" s="46">
        <v>63</v>
      </c>
      <c r="V68" s="13"/>
      <c r="W68" s="14">
        <v>57</v>
      </c>
      <c r="X68" s="13"/>
      <c r="Y68" s="14">
        <v>68</v>
      </c>
      <c r="Z68" s="13"/>
      <c r="AA68" s="4">
        <f t="shared" si="5"/>
        <v>57.166666666666664</v>
      </c>
      <c r="AB68" s="4">
        <f t="shared" si="6"/>
        <v>60.361111111111107</v>
      </c>
      <c r="AC68" s="4">
        <f t="shared" si="7"/>
        <v>2.115383104549232</v>
      </c>
      <c r="AD68" s="3"/>
      <c r="AE68" s="3"/>
      <c r="AF68" s="3"/>
      <c r="AG68" s="3"/>
      <c r="AH68" s="3"/>
      <c r="AT68" s="12"/>
      <c r="AU68" s="12"/>
      <c r="AV68" s="11"/>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2:87" ht="24" customHeight="1" x14ac:dyDescent="0.2">
      <c r="B69" s="7">
        <f t="shared" si="9"/>
        <v>406</v>
      </c>
      <c r="C69" s="7" t="s">
        <v>111</v>
      </c>
      <c r="D69" s="7">
        <v>3</v>
      </c>
      <c r="E69" s="7">
        <v>1</v>
      </c>
      <c r="F69" s="7">
        <v>2</v>
      </c>
      <c r="G69" s="7">
        <v>2</v>
      </c>
      <c r="H69" s="7">
        <v>4</v>
      </c>
      <c r="I69" s="7" t="s">
        <v>154</v>
      </c>
      <c r="J69" s="9"/>
      <c r="K69" s="7" t="s">
        <v>2</v>
      </c>
      <c r="L69" s="6">
        <v>79</v>
      </c>
      <c r="M69" s="6"/>
      <c r="N69" s="6">
        <v>86</v>
      </c>
      <c r="O69" s="6"/>
      <c r="P69" s="6">
        <v>87</v>
      </c>
      <c r="Q69" s="6">
        <v>89</v>
      </c>
      <c r="R69" s="6">
        <v>81</v>
      </c>
      <c r="S69" s="6">
        <v>81</v>
      </c>
      <c r="T69" s="45">
        <v>76</v>
      </c>
      <c r="U69" s="45">
        <v>89</v>
      </c>
      <c r="V69" s="6"/>
      <c r="W69" s="6">
        <v>81</v>
      </c>
      <c r="X69" s="6"/>
      <c r="Y69" s="6">
        <v>77</v>
      </c>
      <c r="Z69" s="6"/>
      <c r="AA69" s="4">
        <f t="shared" si="5"/>
        <v>83.833333333333329</v>
      </c>
      <c r="AB69" s="4">
        <f t="shared" si="6"/>
        <v>82.638888888888886</v>
      </c>
      <c r="AC69" s="4">
        <f t="shared" si="7"/>
        <v>1.834048681987813</v>
      </c>
      <c r="AD69" s="3"/>
      <c r="AE69" s="3"/>
      <c r="AF69" s="3"/>
      <c r="AG69" s="3"/>
      <c r="AH69" s="3"/>
    </row>
    <row r="70" spans="2:87" ht="24" customHeight="1" thickBot="1" x14ac:dyDescent="0.25">
      <c r="B70" s="7">
        <f t="shared" si="9"/>
        <v>406</v>
      </c>
      <c r="C70" s="15" t="s">
        <v>111</v>
      </c>
      <c r="D70" s="15">
        <v>3</v>
      </c>
      <c r="E70" s="15">
        <v>1</v>
      </c>
      <c r="F70" s="15">
        <v>2</v>
      </c>
      <c r="G70" s="15">
        <v>2</v>
      </c>
      <c r="H70" s="15">
        <v>4</v>
      </c>
      <c r="I70" s="15" t="s">
        <v>154</v>
      </c>
      <c r="J70" s="16"/>
      <c r="K70" s="15" t="s">
        <v>0</v>
      </c>
      <c r="L70" s="14">
        <v>77</v>
      </c>
      <c r="M70" s="13"/>
      <c r="N70" s="14">
        <v>87</v>
      </c>
      <c r="O70" s="13"/>
      <c r="P70" s="14">
        <v>81</v>
      </c>
      <c r="Q70" s="14">
        <v>82</v>
      </c>
      <c r="R70" s="14">
        <v>72</v>
      </c>
      <c r="S70" s="14">
        <v>69</v>
      </c>
      <c r="T70" s="46">
        <v>66</v>
      </c>
      <c r="U70" s="46">
        <v>81</v>
      </c>
      <c r="V70" s="13"/>
      <c r="W70" s="14">
        <v>78</v>
      </c>
      <c r="X70" s="13"/>
      <c r="Y70" s="14">
        <v>78</v>
      </c>
      <c r="Z70" s="13"/>
      <c r="AA70" s="4">
        <f t="shared" si="5"/>
        <v>75.166666666666671</v>
      </c>
      <c r="AB70" s="4">
        <f t="shared" si="6"/>
        <v>79.361111111111114</v>
      </c>
      <c r="AC70" s="4">
        <f t="shared" si="7"/>
        <v>1.7118414747189352</v>
      </c>
      <c r="AD70" s="3"/>
      <c r="AE70" s="3"/>
      <c r="AF70" s="3"/>
      <c r="AG70" s="3"/>
      <c r="AH70" s="3"/>
      <c r="AT70" s="12"/>
      <c r="AU70" s="12"/>
      <c r="AV70" s="11"/>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2:87" ht="24" customHeight="1" x14ac:dyDescent="0.2">
      <c r="B71" s="7">
        <f t="shared" si="9"/>
        <v>405</v>
      </c>
      <c r="C71" s="7" t="s">
        <v>155</v>
      </c>
      <c r="D71" s="7">
        <v>6</v>
      </c>
      <c r="E71" s="7">
        <v>1</v>
      </c>
      <c r="F71" s="7">
        <v>3</v>
      </c>
      <c r="G71" s="7">
        <v>1</v>
      </c>
      <c r="H71" s="7">
        <v>4</v>
      </c>
      <c r="I71" s="7" t="s">
        <v>156</v>
      </c>
      <c r="J71" s="9"/>
      <c r="K71" s="7" t="s">
        <v>2</v>
      </c>
      <c r="L71" s="6">
        <v>78</v>
      </c>
      <c r="M71" s="6"/>
      <c r="N71" s="6">
        <v>87</v>
      </c>
      <c r="O71" s="6"/>
      <c r="P71" s="6">
        <v>87</v>
      </c>
      <c r="Q71" s="6">
        <v>82</v>
      </c>
      <c r="R71" s="6">
        <v>93</v>
      </c>
      <c r="S71" s="6">
        <v>87</v>
      </c>
      <c r="T71" s="45">
        <v>82</v>
      </c>
      <c r="U71" s="45">
        <v>87</v>
      </c>
      <c r="V71" s="6"/>
      <c r="W71" s="6">
        <v>82</v>
      </c>
      <c r="X71" s="6"/>
      <c r="Y71" s="6">
        <v>82</v>
      </c>
      <c r="Z71" s="6"/>
      <c r="AA71" s="4">
        <f t="shared" si="5"/>
        <v>86.333333333333329</v>
      </c>
      <c r="AB71" s="4">
        <f t="shared" si="6"/>
        <v>83.722222222222214</v>
      </c>
      <c r="AC71" s="4">
        <f t="shared" si="7"/>
        <v>1.494227576168609</v>
      </c>
      <c r="AD71" s="3"/>
      <c r="AE71" s="3"/>
      <c r="AF71" s="3"/>
      <c r="AG71" s="3"/>
      <c r="AH71" s="3"/>
    </row>
    <row r="72" spans="2:87" ht="24" customHeight="1" thickBot="1" x14ac:dyDescent="0.25">
      <c r="B72" s="7">
        <f t="shared" si="9"/>
        <v>405</v>
      </c>
      <c r="C72" s="15" t="s">
        <v>155</v>
      </c>
      <c r="D72" s="15">
        <v>6</v>
      </c>
      <c r="E72" s="15">
        <v>1</v>
      </c>
      <c r="F72" s="15">
        <v>3</v>
      </c>
      <c r="G72" s="15">
        <v>1</v>
      </c>
      <c r="H72" s="15">
        <v>4</v>
      </c>
      <c r="I72" s="15" t="s">
        <v>156</v>
      </c>
      <c r="J72" s="16"/>
      <c r="K72" s="15" t="s">
        <v>0</v>
      </c>
      <c r="L72" s="14">
        <v>64</v>
      </c>
      <c r="M72" s="13"/>
      <c r="N72" s="14">
        <v>69</v>
      </c>
      <c r="O72" s="13"/>
      <c r="P72" s="14">
        <v>62</v>
      </c>
      <c r="Q72" s="14">
        <v>59</v>
      </c>
      <c r="R72" s="14">
        <v>59</v>
      </c>
      <c r="S72" s="14">
        <v>62</v>
      </c>
      <c r="T72" s="46">
        <v>59</v>
      </c>
      <c r="U72" s="46">
        <v>70</v>
      </c>
      <c r="V72" s="13"/>
      <c r="W72" s="14">
        <v>69</v>
      </c>
      <c r="X72" s="13"/>
      <c r="Y72" s="14">
        <v>64</v>
      </c>
      <c r="Z72" s="13"/>
      <c r="AA72" s="4">
        <f t="shared" si="5"/>
        <v>61.833333333333336</v>
      </c>
      <c r="AB72" s="4">
        <f t="shared" si="6"/>
        <v>66.305555555555557</v>
      </c>
      <c r="AC72" s="4">
        <f t="shared" si="7"/>
        <v>1.4000110228842952</v>
      </c>
      <c r="AD72" s="3"/>
      <c r="AE72" s="3"/>
      <c r="AF72" s="3"/>
      <c r="AG72" s="3"/>
      <c r="AH72" s="3"/>
      <c r="AT72" s="12"/>
      <c r="AU72" s="12"/>
      <c r="AV72" s="11"/>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2:87" ht="24" customHeight="1" thickBot="1" x14ac:dyDescent="0.25">
      <c r="B73" s="7">
        <f t="shared" si="9"/>
        <v>404</v>
      </c>
      <c r="C73" s="7" t="s">
        <v>111</v>
      </c>
      <c r="D73" s="7">
        <v>3</v>
      </c>
      <c r="E73" s="7">
        <v>1</v>
      </c>
      <c r="F73" s="7">
        <v>2</v>
      </c>
      <c r="G73" s="7">
        <v>2</v>
      </c>
      <c r="H73" s="7">
        <v>3</v>
      </c>
      <c r="I73" s="7" t="s">
        <v>157</v>
      </c>
      <c r="J73" s="16"/>
      <c r="K73" s="7" t="s">
        <v>2</v>
      </c>
      <c r="L73" s="6">
        <v>89</v>
      </c>
      <c r="M73" s="6"/>
      <c r="N73" s="6">
        <v>80</v>
      </c>
      <c r="O73" s="6"/>
      <c r="P73" s="6">
        <v>76</v>
      </c>
      <c r="Q73" s="6">
        <v>71</v>
      </c>
      <c r="R73" s="6">
        <v>72</v>
      </c>
      <c r="S73" s="6">
        <v>78</v>
      </c>
      <c r="T73" s="45">
        <v>72</v>
      </c>
      <c r="U73" s="45">
        <v>87</v>
      </c>
      <c r="V73" s="6"/>
      <c r="W73" s="6">
        <v>78</v>
      </c>
      <c r="X73" s="6"/>
      <c r="Y73" s="6">
        <v>80</v>
      </c>
      <c r="Z73" s="6"/>
      <c r="AA73" s="4">
        <f t="shared" ref="AA73:AA80" si="10">AVERAGE(P73:U73)</f>
        <v>76</v>
      </c>
      <c r="AB73" s="4">
        <f t="shared" ref="AB73:AB80" si="11">AVERAGE(AVERAGE(L73:M73),AVERAGE(N73:O73),AVERAGE(P73:U73),AVERAGE(U73:V73),AVERAGE(W73:X73),AVERAGE(Y73:Z73))</f>
        <v>81.666666666666671</v>
      </c>
      <c r="AC73" s="4">
        <f t="shared" ref="AC73:AC80" si="12">STDEV(AVERAGE(L73:M73),AVERAGE(N73:O73),AVERAGE(P73:U73),AVERAGE(U73:V73),AVERAGE(W73:X73),AVERAGE(Y73:Z73))/SQRT(6)</f>
        <v>2.1081851067789197</v>
      </c>
      <c r="AD73" s="3"/>
      <c r="AE73" s="3"/>
      <c r="AF73" s="3"/>
      <c r="AG73" s="3"/>
      <c r="AH73" s="3"/>
    </row>
    <row r="74" spans="2:87" ht="24" customHeight="1" thickBot="1" x14ac:dyDescent="0.25">
      <c r="B74" s="7">
        <f t="shared" si="9"/>
        <v>404</v>
      </c>
      <c r="C74" s="15" t="s">
        <v>111</v>
      </c>
      <c r="D74" s="15">
        <v>3</v>
      </c>
      <c r="E74" s="15">
        <v>1</v>
      </c>
      <c r="F74" s="15">
        <v>2</v>
      </c>
      <c r="G74" s="15">
        <v>2</v>
      </c>
      <c r="H74" s="15">
        <v>3</v>
      </c>
      <c r="I74" s="15" t="s">
        <v>157</v>
      </c>
      <c r="J74" s="16"/>
      <c r="K74" s="15" t="s">
        <v>0</v>
      </c>
      <c r="L74" s="14">
        <v>78</v>
      </c>
      <c r="M74" s="13"/>
      <c r="N74" s="14">
        <v>72</v>
      </c>
      <c r="O74" s="13"/>
      <c r="P74" s="14">
        <v>72</v>
      </c>
      <c r="Q74" s="14">
        <v>75</v>
      </c>
      <c r="R74" s="14">
        <v>84</v>
      </c>
      <c r="S74" s="14">
        <v>76</v>
      </c>
      <c r="T74" s="46">
        <v>74</v>
      </c>
      <c r="U74" s="46">
        <v>82</v>
      </c>
      <c r="V74" s="13"/>
      <c r="W74" s="14">
        <v>75</v>
      </c>
      <c r="X74" s="13"/>
      <c r="Y74" s="14">
        <v>71</v>
      </c>
      <c r="Z74" s="13"/>
      <c r="AA74" s="4">
        <f t="shared" si="10"/>
        <v>77.166666666666671</v>
      </c>
      <c r="AB74" s="4">
        <f t="shared" si="11"/>
        <v>75.861111111111114</v>
      </c>
      <c r="AC74" s="4">
        <f t="shared" si="12"/>
        <v>1.6657868047899607</v>
      </c>
      <c r="AD74" s="3"/>
      <c r="AE74" s="3"/>
      <c r="AF74" s="3"/>
      <c r="AG74" s="3"/>
      <c r="AH74" s="3"/>
      <c r="AT74" s="12"/>
      <c r="AU74" s="12"/>
      <c r="AV74" s="11"/>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2:87" ht="24" customHeight="1" x14ac:dyDescent="0.2">
      <c r="B75" s="7">
        <f t="shared" si="9"/>
        <v>403</v>
      </c>
      <c r="C75" s="7" t="s">
        <v>155</v>
      </c>
      <c r="D75" s="7">
        <v>6</v>
      </c>
      <c r="E75" s="7">
        <v>1</v>
      </c>
      <c r="F75" s="7">
        <v>3</v>
      </c>
      <c r="G75" s="7">
        <v>1</v>
      </c>
      <c r="H75" s="7">
        <v>3</v>
      </c>
      <c r="I75" s="7" t="s">
        <v>158</v>
      </c>
      <c r="J75" s="9"/>
      <c r="K75" s="7" t="s">
        <v>2</v>
      </c>
      <c r="L75" s="6">
        <v>88</v>
      </c>
      <c r="M75" s="6"/>
      <c r="N75" s="6">
        <v>85</v>
      </c>
      <c r="O75" s="6"/>
      <c r="P75" s="6">
        <v>90</v>
      </c>
      <c r="Q75" s="6">
        <v>80</v>
      </c>
      <c r="R75" s="6">
        <v>94</v>
      </c>
      <c r="S75" s="6">
        <v>81</v>
      </c>
      <c r="T75" s="45">
        <v>84</v>
      </c>
      <c r="U75" s="45">
        <v>81</v>
      </c>
      <c r="V75" s="6"/>
      <c r="W75" s="6">
        <v>73</v>
      </c>
      <c r="X75" s="6"/>
      <c r="Y75" s="6">
        <v>86</v>
      </c>
      <c r="Z75" s="6"/>
      <c r="AA75" s="4">
        <f t="shared" si="10"/>
        <v>85</v>
      </c>
      <c r="AB75" s="4">
        <f t="shared" si="11"/>
        <v>83</v>
      </c>
      <c r="AC75" s="4">
        <f t="shared" si="12"/>
        <v>2.2060522810365732</v>
      </c>
      <c r="AD75" s="3"/>
      <c r="AE75" s="3"/>
      <c r="AF75" s="3"/>
      <c r="AG75" s="3"/>
      <c r="AH75" s="3"/>
    </row>
    <row r="76" spans="2:87" ht="24" customHeight="1" thickBot="1" x14ac:dyDescent="0.25">
      <c r="B76" s="7">
        <f t="shared" si="9"/>
        <v>403</v>
      </c>
      <c r="C76" s="15" t="s">
        <v>155</v>
      </c>
      <c r="D76" s="15">
        <v>6</v>
      </c>
      <c r="E76" s="15">
        <v>1</v>
      </c>
      <c r="F76" s="15">
        <v>3</v>
      </c>
      <c r="G76" s="15">
        <v>1</v>
      </c>
      <c r="H76" s="15">
        <v>3</v>
      </c>
      <c r="I76" s="15" t="s">
        <v>158</v>
      </c>
      <c r="J76" s="16"/>
      <c r="K76" s="15" t="s">
        <v>0</v>
      </c>
      <c r="L76" s="14">
        <v>75</v>
      </c>
      <c r="M76" s="13"/>
      <c r="N76" s="14">
        <v>73</v>
      </c>
      <c r="O76" s="13"/>
      <c r="P76" s="14">
        <v>63</v>
      </c>
      <c r="Q76" s="14">
        <v>61</v>
      </c>
      <c r="R76" s="14">
        <v>63</v>
      </c>
      <c r="S76" s="14">
        <v>70</v>
      </c>
      <c r="T76" s="46">
        <v>74</v>
      </c>
      <c r="U76" s="46">
        <v>60</v>
      </c>
      <c r="V76" s="13"/>
      <c r="W76" s="14">
        <v>65</v>
      </c>
      <c r="X76" s="13"/>
      <c r="Y76" s="14">
        <v>74</v>
      </c>
      <c r="Z76" s="13"/>
      <c r="AA76" s="4">
        <f t="shared" si="10"/>
        <v>65.166666666666671</v>
      </c>
      <c r="AB76" s="4">
        <f t="shared" si="11"/>
        <v>68.694444444444443</v>
      </c>
      <c r="AC76" s="4">
        <f t="shared" si="12"/>
        <v>2.5042248252320798</v>
      </c>
      <c r="AD76" s="3"/>
      <c r="AE76" s="3"/>
      <c r="AF76" s="3"/>
      <c r="AG76" s="3"/>
      <c r="AH76" s="3"/>
      <c r="AT76" s="12"/>
      <c r="AU76" s="12"/>
      <c r="AV76" s="11"/>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2:87" ht="24" customHeight="1" x14ac:dyDescent="0.2">
      <c r="B77" s="7">
        <f t="shared" si="9"/>
        <v>402</v>
      </c>
      <c r="C77" s="7" t="s">
        <v>115</v>
      </c>
      <c r="D77" s="7">
        <v>9</v>
      </c>
      <c r="E77" s="7">
        <v>2</v>
      </c>
      <c r="F77" s="7">
        <v>2</v>
      </c>
      <c r="G77" s="7">
        <v>2</v>
      </c>
      <c r="H77" s="7">
        <v>3</v>
      </c>
      <c r="I77" s="7" t="s">
        <v>159</v>
      </c>
      <c r="J77" s="9"/>
      <c r="K77" s="7" t="s">
        <v>2</v>
      </c>
      <c r="L77" s="6">
        <v>74</v>
      </c>
      <c r="M77" s="5"/>
      <c r="N77" s="6">
        <v>72</v>
      </c>
      <c r="O77" s="5"/>
      <c r="P77" s="6">
        <v>76</v>
      </c>
      <c r="Q77" s="6">
        <v>80</v>
      </c>
      <c r="R77" s="6">
        <v>75</v>
      </c>
      <c r="S77" s="6" t="s">
        <v>1</v>
      </c>
      <c r="T77" s="45"/>
      <c r="U77" s="45">
        <v>82</v>
      </c>
      <c r="V77" s="5"/>
      <c r="W77" s="6">
        <v>74</v>
      </c>
      <c r="X77" s="5"/>
      <c r="Y77" s="6">
        <v>70</v>
      </c>
      <c r="Z77" s="5"/>
      <c r="AA77" s="4">
        <f t="shared" si="10"/>
        <v>78.25</v>
      </c>
      <c r="AB77" s="4">
        <f t="shared" si="11"/>
        <v>75.041666666666671</v>
      </c>
      <c r="AC77" s="4">
        <f t="shared" si="12"/>
        <v>1.7846762856172111</v>
      </c>
      <c r="AD77" s="3"/>
      <c r="AE77" s="3"/>
      <c r="AF77" s="3"/>
      <c r="AG77" s="3"/>
      <c r="AH77" s="3"/>
    </row>
    <row r="78" spans="2:87" ht="24" customHeight="1" thickBot="1" x14ac:dyDescent="0.25">
      <c r="B78" s="7">
        <f t="shared" si="9"/>
        <v>402</v>
      </c>
      <c r="C78" s="15" t="s">
        <v>115</v>
      </c>
      <c r="D78" s="15">
        <v>9</v>
      </c>
      <c r="E78" s="15">
        <v>2</v>
      </c>
      <c r="F78" s="15">
        <v>2</v>
      </c>
      <c r="G78" s="15">
        <v>2</v>
      </c>
      <c r="H78" s="15">
        <v>3</v>
      </c>
      <c r="I78" s="15" t="s">
        <v>159</v>
      </c>
      <c r="J78" s="16"/>
      <c r="K78" s="15" t="s">
        <v>0</v>
      </c>
      <c r="L78" s="14">
        <v>68</v>
      </c>
      <c r="M78" s="13"/>
      <c r="N78" s="14">
        <v>71</v>
      </c>
      <c r="O78" s="13"/>
      <c r="P78" s="14">
        <v>61</v>
      </c>
      <c r="Q78" s="14">
        <v>71</v>
      </c>
      <c r="R78" s="14">
        <v>76</v>
      </c>
      <c r="S78" s="14"/>
      <c r="T78" s="46"/>
      <c r="U78" s="46">
        <v>68</v>
      </c>
      <c r="V78" s="13"/>
      <c r="W78" s="14">
        <v>61</v>
      </c>
      <c r="X78" s="13"/>
      <c r="Y78" s="14">
        <v>65</v>
      </c>
      <c r="Z78" s="13"/>
      <c r="AA78" s="4">
        <f t="shared" si="10"/>
        <v>69</v>
      </c>
      <c r="AB78" s="4">
        <f t="shared" si="11"/>
        <v>67</v>
      </c>
      <c r="AC78" s="4">
        <f t="shared" si="12"/>
        <v>1.4375905768565218</v>
      </c>
      <c r="AD78" s="3"/>
      <c r="AE78" s="3"/>
      <c r="AF78" s="3"/>
      <c r="AG78" s="3"/>
      <c r="AH78" s="3"/>
      <c r="AT78" s="12"/>
      <c r="AU78" s="12"/>
      <c r="AV78" s="11"/>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2:87" ht="24" customHeight="1" x14ac:dyDescent="0.2">
      <c r="B79" s="7">
        <f t="shared" si="9"/>
        <v>401</v>
      </c>
      <c r="C79" s="7" t="s">
        <v>152</v>
      </c>
      <c r="D79" s="7">
        <v>7</v>
      </c>
      <c r="E79" s="7">
        <v>2</v>
      </c>
      <c r="F79" s="7">
        <v>1</v>
      </c>
      <c r="G79" s="7">
        <v>2</v>
      </c>
      <c r="H79" s="7">
        <v>3</v>
      </c>
      <c r="I79" s="7" t="s">
        <v>160</v>
      </c>
      <c r="J79" s="9"/>
      <c r="K79" s="7" t="s">
        <v>2</v>
      </c>
      <c r="L79" s="6">
        <v>59</v>
      </c>
      <c r="M79" s="5"/>
      <c r="N79" s="6">
        <v>59</v>
      </c>
      <c r="O79" s="5"/>
      <c r="P79" s="6">
        <v>60</v>
      </c>
      <c r="Q79" s="6">
        <v>61</v>
      </c>
      <c r="R79" s="6">
        <v>63</v>
      </c>
      <c r="S79" s="6">
        <v>61</v>
      </c>
      <c r="T79" s="45">
        <v>68</v>
      </c>
      <c r="U79" s="45">
        <v>61</v>
      </c>
      <c r="V79" s="5"/>
      <c r="W79" s="6">
        <v>73</v>
      </c>
      <c r="X79" s="5"/>
      <c r="Y79" s="6">
        <v>58</v>
      </c>
      <c r="Z79" s="5"/>
      <c r="AA79" s="4">
        <f t="shared" si="10"/>
        <v>62.333333333333336</v>
      </c>
      <c r="AB79" s="4">
        <f t="shared" si="11"/>
        <v>62.055555555555564</v>
      </c>
      <c r="AC79" s="4">
        <f t="shared" si="12"/>
        <v>2.2810274921081262</v>
      </c>
      <c r="AD79" s="3"/>
      <c r="AE79" s="3"/>
      <c r="AF79" s="3"/>
      <c r="AG79" s="3"/>
      <c r="AH79" s="3"/>
    </row>
    <row r="80" spans="2:87" ht="24" customHeight="1" x14ac:dyDescent="0.2">
      <c r="B80" s="7">
        <f t="shared" si="9"/>
        <v>401</v>
      </c>
      <c r="C80" s="7" t="s">
        <v>152</v>
      </c>
      <c r="D80" s="7">
        <v>7</v>
      </c>
      <c r="E80" s="7">
        <v>2</v>
      </c>
      <c r="F80" s="7">
        <v>1</v>
      </c>
      <c r="G80" s="7">
        <v>2</v>
      </c>
      <c r="H80" s="7">
        <v>3</v>
      </c>
      <c r="I80" s="7" t="s">
        <v>160</v>
      </c>
      <c r="J80" s="7"/>
      <c r="K80" s="7" t="s">
        <v>0</v>
      </c>
      <c r="L80" s="6">
        <v>54</v>
      </c>
      <c r="M80" s="5"/>
      <c r="N80" s="6">
        <v>53</v>
      </c>
      <c r="O80" s="5"/>
      <c r="P80" s="6">
        <v>49</v>
      </c>
      <c r="Q80" s="6">
        <v>55</v>
      </c>
      <c r="R80" s="6">
        <v>54</v>
      </c>
      <c r="S80" s="6">
        <v>60</v>
      </c>
      <c r="T80" s="45">
        <v>51</v>
      </c>
      <c r="U80" s="45">
        <v>57</v>
      </c>
      <c r="V80" s="5"/>
      <c r="W80" s="6">
        <v>68</v>
      </c>
      <c r="X80" s="5"/>
      <c r="Y80" s="6">
        <v>59</v>
      </c>
      <c r="Z80" s="5"/>
      <c r="AA80" s="4">
        <f t="shared" si="10"/>
        <v>54.333333333333336</v>
      </c>
      <c r="AB80" s="4">
        <f t="shared" si="11"/>
        <v>57.555555555555564</v>
      </c>
      <c r="AC80" s="4">
        <f t="shared" si="12"/>
        <v>2.2749304697012853</v>
      </c>
      <c r="AD80" s="3"/>
      <c r="AE80" s="3"/>
      <c r="AF80" s="3"/>
      <c r="AG80" s="3"/>
      <c r="AH80" s="3"/>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sheetData>
  <mergeCells count="12">
    <mergeCell ref="AT5:AV5"/>
    <mergeCell ref="J7:K7"/>
    <mergeCell ref="B7:H7"/>
    <mergeCell ref="AA6:AA7"/>
    <mergeCell ref="AB6:AB7"/>
    <mergeCell ref="AC6:AC7"/>
    <mergeCell ref="L6:M6"/>
    <mergeCell ref="N6:O6"/>
    <mergeCell ref="W6:X6"/>
    <mergeCell ref="Y6:Z6"/>
    <mergeCell ref="P6:T6"/>
    <mergeCell ref="U6:V6"/>
  </mergeCells>
  <pageMargins left="0.51" right="0" top="0.85" bottom="0" header="0.64" footer="0"/>
  <pageSetup paperSize="512" scale="30" orientation="landscape" r:id="rId1"/>
  <headerFooter alignWithMargins="0">
    <oddHeader xml:space="preserve">&amp;L&amp;"Comic Sans MS,Bold"&amp;14FISE2003 ---Cotton Plant Cover and Heights in North 1 m of Harvest Area&amp;C&amp;"Comic Sans MS,Bold"&amp;12       </oddHeader>
    <oddFooter>&amp;L&amp;F   USWCL Remote Sensing&amp;R&amp;D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1B5F-A4C9-44A1-A9E6-19C3EA07DD7E}">
  <sheetPr>
    <pageSetUpPr fitToPage="1"/>
  </sheetPr>
  <dimension ref="A1:CI87"/>
  <sheetViews>
    <sheetView zoomScale="90" workbookViewId="0">
      <selection activeCell="N2" sqref="N2"/>
    </sheetView>
  </sheetViews>
  <sheetFormatPr defaultRowHeight="12.75" x14ac:dyDescent="0.2"/>
  <cols>
    <col min="1" max="1" width="9.140625" style="1"/>
    <col min="2" max="2" width="4.85546875" style="1" customWidth="1"/>
    <col min="3" max="3" width="5.7109375" style="1" customWidth="1"/>
    <col min="4" max="8" width="5.28515625" style="1" hidden="1" customWidth="1"/>
    <col min="9" max="9" width="7" style="1" hidden="1" customWidth="1"/>
    <col min="10" max="11" width="9" style="1" customWidth="1"/>
    <col min="12" max="13" width="9.140625" style="1"/>
    <col min="14" max="14" width="9.7109375" style="1" customWidth="1"/>
    <col min="15" max="24" width="9.140625" style="1"/>
    <col min="25" max="25" width="12.140625" style="1" bestFit="1" customWidth="1"/>
    <col min="26" max="26" width="10.140625" style="1" customWidth="1"/>
    <col min="27" max="27" width="12.7109375" style="1" customWidth="1"/>
    <col min="28" max="29" width="11.5703125" style="1" bestFit="1" customWidth="1"/>
    <col min="30" max="35" width="9.140625" style="1"/>
    <col min="36" max="36" width="7.5703125" style="1" customWidth="1"/>
    <col min="37" max="46" width="7.7109375" style="1" customWidth="1"/>
    <col min="47" max="16384" width="9.140625" style="1"/>
  </cols>
  <sheetData>
    <row r="1" spans="1:87" ht="15" customHeight="1" x14ac:dyDescent="0.25">
      <c r="A1" s="44" t="s">
        <v>82</v>
      </c>
    </row>
    <row r="2" spans="1:87" ht="15" customHeight="1" thickBot="1" x14ac:dyDescent="0.3">
      <c r="A2" s="44"/>
      <c r="N2" s="43"/>
      <c r="X2" s="20" t="s">
        <v>81</v>
      </c>
      <c r="Y2" s="48">
        <v>37830</v>
      </c>
      <c r="Z2" s="39"/>
    </row>
    <row r="3" spans="1:87" ht="15" customHeight="1" thickBot="1" x14ac:dyDescent="0.25">
      <c r="B3" s="1" t="s">
        <v>80</v>
      </c>
      <c r="D3" s="41"/>
      <c r="E3" s="41"/>
      <c r="F3" s="41"/>
      <c r="G3" s="41"/>
      <c r="H3" s="41"/>
      <c r="I3" s="41"/>
      <c r="J3" s="41" t="s">
        <v>95</v>
      </c>
      <c r="K3" s="41"/>
      <c r="L3" s="41"/>
      <c r="M3" s="41"/>
      <c r="N3" s="41"/>
      <c r="O3" s="41"/>
      <c r="P3" s="41"/>
      <c r="Q3" s="41"/>
      <c r="R3" s="41"/>
      <c r="S3" s="41"/>
      <c r="T3" s="41"/>
      <c r="U3" s="41"/>
      <c r="V3" s="41"/>
    </row>
    <row r="4" spans="1:87" ht="13.5" thickBot="1" x14ac:dyDescent="0.25">
      <c r="D4" s="40"/>
      <c r="E4" s="40"/>
      <c r="F4" s="40"/>
      <c r="G4" s="40"/>
      <c r="H4" s="40"/>
      <c r="I4" s="40"/>
      <c r="J4" s="40" t="s">
        <v>94</v>
      </c>
      <c r="K4" s="40"/>
      <c r="L4" s="40"/>
      <c r="M4" s="40"/>
      <c r="N4" s="40"/>
      <c r="O4" s="40"/>
      <c r="P4" s="40"/>
      <c r="Q4" s="40"/>
      <c r="R4" s="40"/>
      <c r="S4" s="40"/>
      <c r="T4" s="40"/>
      <c r="U4" s="40"/>
      <c r="V4" s="40"/>
      <c r="X4" s="20" t="s">
        <v>78</v>
      </c>
      <c r="Y4" s="39" t="s">
        <v>93</v>
      </c>
      <c r="Z4" s="39"/>
    </row>
    <row r="5" spans="1:87" ht="18" x14ac:dyDescent="0.2">
      <c r="J5" s="1" t="s">
        <v>92</v>
      </c>
      <c r="AS5" s="38"/>
      <c r="AT5" s="134" t="s">
        <v>76</v>
      </c>
      <c r="AU5" s="134"/>
      <c r="AV5" s="134"/>
    </row>
    <row r="6" spans="1:87" ht="25.5" customHeight="1" x14ac:dyDescent="0.2">
      <c r="B6" s="36" t="s">
        <v>51</v>
      </c>
      <c r="C6" s="37" t="s">
        <v>50</v>
      </c>
      <c r="D6" s="37" t="s">
        <v>75</v>
      </c>
      <c r="E6" s="36" t="s">
        <v>74</v>
      </c>
      <c r="F6" s="37" t="s">
        <v>73</v>
      </c>
      <c r="G6" s="36" t="s">
        <v>72</v>
      </c>
      <c r="H6" s="36" t="s">
        <v>45</v>
      </c>
      <c r="I6" s="36" t="s">
        <v>71</v>
      </c>
      <c r="J6" s="36" t="s">
        <v>43</v>
      </c>
      <c r="K6" s="35" t="s">
        <v>70</v>
      </c>
      <c r="L6" s="143" t="s">
        <v>69</v>
      </c>
      <c r="M6" s="144"/>
      <c r="N6" s="143" t="s">
        <v>68</v>
      </c>
      <c r="O6" s="144"/>
      <c r="P6" s="143" t="s">
        <v>67</v>
      </c>
      <c r="Q6" s="145"/>
      <c r="R6" s="145"/>
      <c r="S6" s="145"/>
      <c r="T6" s="144"/>
      <c r="U6" s="143" t="s">
        <v>66</v>
      </c>
      <c r="V6" s="144"/>
      <c r="W6" s="143" t="s">
        <v>65</v>
      </c>
      <c r="X6" s="144"/>
      <c r="Y6" s="143" t="s">
        <v>64</v>
      </c>
      <c r="Z6" s="144"/>
      <c r="AA6" s="139" t="s">
        <v>63</v>
      </c>
      <c r="AB6" s="139" t="s">
        <v>62</v>
      </c>
      <c r="AC6" s="141" t="s">
        <v>61</v>
      </c>
      <c r="AS6" s="34"/>
      <c r="AT6" s="2" t="s">
        <v>60</v>
      </c>
      <c r="AU6" s="2"/>
    </row>
    <row r="7" spans="1:87" ht="15.75" customHeight="1" x14ac:dyDescent="0.2">
      <c r="B7" s="137"/>
      <c r="C7" s="138"/>
      <c r="D7" s="138"/>
      <c r="E7" s="138"/>
      <c r="F7" s="138"/>
      <c r="G7" s="138"/>
      <c r="H7" s="138"/>
      <c r="I7" s="33"/>
      <c r="J7" s="135" t="s">
        <v>59</v>
      </c>
      <c r="K7" s="136"/>
      <c r="L7" s="32" t="s">
        <v>55</v>
      </c>
      <c r="M7" s="31" t="s">
        <v>54</v>
      </c>
      <c r="N7" s="32" t="s">
        <v>55</v>
      </c>
      <c r="O7" s="31" t="s">
        <v>54</v>
      </c>
      <c r="P7" s="32" t="s">
        <v>58</v>
      </c>
      <c r="Q7" s="31" t="s">
        <v>55</v>
      </c>
      <c r="R7" s="31" t="s">
        <v>57</v>
      </c>
      <c r="S7" s="31" t="s">
        <v>54</v>
      </c>
      <c r="T7" s="31" t="s">
        <v>56</v>
      </c>
      <c r="U7" s="32" t="s">
        <v>55</v>
      </c>
      <c r="V7" s="31" t="s">
        <v>54</v>
      </c>
      <c r="W7" s="32" t="s">
        <v>55</v>
      </c>
      <c r="X7" s="31" t="s">
        <v>54</v>
      </c>
      <c r="Y7" s="32" t="s">
        <v>55</v>
      </c>
      <c r="Z7" s="31" t="s">
        <v>54</v>
      </c>
      <c r="AA7" s="140"/>
      <c r="AB7" s="140"/>
      <c r="AC7" s="142"/>
      <c r="AT7" s="12" t="s">
        <v>7</v>
      </c>
      <c r="AU7" s="12" t="s">
        <v>53</v>
      </c>
      <c r="AV7" s="12" t="s">
        <v>52</v>
      </c>
    </row>
    <row r="8" spans="1:87" ht="15.75" hidden="1" customHeight="1" x14ac:dyDescent="0.2">
      <c r="B8" s="28" t="s">
        <v>51</v>
      </c>
      <c r="C8" s="30" t="s">
        <v>50</v>
      </c>
      <c r="D8" s="30" t="s">
        <v>49</v>
      </c>
      <c r="E8" s="28" t="s">
        <v>48</v>
      </c>
      <c r="F8" s="30" t="s">
        <v>47</v>
      </c>
      <c r="G8" s="28" t="s">
        <v>46</v>
      </c>
      <c r="H8" s="28" t="s">
        <v>45</v>
      </c>
      <c r="I8" s="28" t="s">
        <v>44</v>
      </c>
      <c r="J8" s="27" t="s">
        <v>43</v>
      </c>
      <c r="K8" s="27" t="s">
        <v>42</v>
      </c>
      <c r="L8" s="29" t="s">
        <v>41</v>
      </c>
      <c r="M8" s="29" t="s">
        <v>40</v>
      </c>
      <c r="N8" s="29" t="s">
        <v>39</v>
      </c>
      <c r="O8" s="29" t="s">
        <v>38</v>
      </c>
      <c r="P8" s="29" t="s">
        <v>37</v>
      </c>
      <c r="Q8" s="29" t="s">
        <v>36</v>
      </c>
      <c r="R8" s="29" t="s">
        <v>35</v>
      </c>
      <c r="S8" s="29" t="s">
        <v>34</v>
      </c>
      <c r="T8" s="29" t="s">
        <v>33</v>
      </c>
      <c r="U8" s="29" t="s">
        <v>32</v>
      </c>
      <c r="V8" s="29" t="s">
        <v>31</v>
      </c>
      <c r="W8" s="29" t="s">
        <v>30</v>
      </c>
      <c r="X8" s="29" t="s">
        <v>29</v>
      </c>
      <c r="Y8" s="29" t="s">
        <v>28</v>
      </c>
      <c r="Z8" s="29" t="s">
        <v>27</v>
      </c>
      <c r="AA8" s="28" t="s">
        <v>26</v>
      </c>
      <c r="AB8" s="28" t="s">
        <v>25</v>
      </c>
      <c r="AC8" s="27" t="s">
        <v>24</v>
      </c>
      <c r="AT8" s="12"/>
      <c r="AU8" s="12"/>
      <c r="AV8" s="12"/>
    </row>
    <row r="9" spans="1:87" ht="24" customHeight="1" x14ac:dyDescent="0.2">
      <c r="B9" s="7">
        <v>108</v>
      </c>
      <c r="C9" s="7" t="s">
        <v>111</v>
      </c>
      <c r="D9" s="7">
        <v>3</v>
      </c>
      <c r="E9" s="7">
        <v>1</v>
      </c>
      <c r="F9" s="7">
        <v>2</v>
      </c>
      <c r="G9" s="7">
        <v>2</v>
      </c>
      <c r="H9" s="7">
        <v>2</v>
      </c>
      <c r="I9" s="7" t="s">
        <v>112</v>
      </c>
      <c r="J9" s="8">
        <v>0.4604166666666667</v>
      </c>
      <c r="K9" s="7" t="s">
        <v>2</v>
      </c>
      <c r="L9" s="6">
        <v>92</v>
      </c>
      <c r="M9" s="5"/>
      <c r="N9" s="6">
        <v>102</v>
      </c>
      <c r="O9" s="5"/>
      <c r="P9" s="6">
        <v>86</v>
      </c>
      <c r="Q9" s="6">
        <v>79</v>
      </c>
      <c r="R9" s="6">
        <v>100</v>
      </c>
      <c r="S9" s="6"/>
      <c r="T9" s="5"/>
      <c r="U9" s="6">
        <v>98</v>
      </c>
      <c r="V9" s="5"/>
      <c r="W9" s="6">
        <v>82</v>
      </c>
      <c r="X9" s="5"/>
      <c r="Y9" s="6">
        <v>87</v>
      </c>
      <c r="Z9" s="5"/>
      <c r="AA9" s="4">
        <f t="shared" ref="AA9:AA40" si="0">AVERAGE(P9:U9)</f>
        <v>90.75</v>
      </c>
      <c r="AB9" s="4">
        <f t="shared" ref="AB9:AB40" si="1">AVERAGE(AVERAGE(L9:M9),AVERAGE(N9:O9),AVERAGE(P9:U9),AVERAGE(U9:V9),AVERAGE(W9:X9),AVERAGE(Y9:Z9))</f>
        <v>91.958333333333329</v>
      </c>
      <c r="AC9" s="4">
        <f t="shared" ref="AC9:AC40" si="2">STDEV(AVERAGE(L9:M9),AVERAGE(N9:O9),AVERAGE(P9:U9),AVERAGE(U9:V9),AVERAGE(W9:X9),AVERAGE(Y9:Z9))/SQRT(6)</f>
        <v>2.9583333333333335</v>
      </c>
      <c r="AD9" s="3"/>
      <c r="AE9" s="3"/>
      <c r="AF9" s="3"/>
      <c r="AG9" s="3"/>
      <c r="AH9" s="3"/>
      <c r="AT9" s="12">
        <v>1</v>
      </c>
      <c r="AU9" s="12" t="s">
        <v>23</v>
      </c>
      <c r="AV9" s="11"/>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24" customHeight="1" thickBot="1" x14ac:dyDescent="0.25">
      <c r="B10" s="15">
        <v>108</v>
      </c>
      <c r="C10" s="15" t="s">
        <v>111</v>
      </c>
      <c r="D10" s="15">
        <v>3</v>
      </c>
      <c r="E10" s="15">
        <v>1</v>
      </c>
      <c r="F10" s="15">
        <v>2</v>
      </c>
      <c r="G10" s="15">
        <v>2</v>
      </c>
      <c r="H10" s="15">
        <v>2</v>
      </c>
      <c r="I10" s="15" t="s">
        <v>112</v>
      </c>
      <c r="J10" s="16"/>
      <c r="K10" s="15" t="s">
        <v>0</v>
      </c>
      <c r="L10" s="14">
        <v>91</v>
      </c>
      <c r="M10" s="13"/>
      <c r="N10" s="14">
        <v>86</v>
      </c>
      <c r="O10" s="13"/>
      <c r="P10" s="14">
        <v>78</v>
      </c>
      <c r="Q10" s="14">
        <v>81</v>
      </c>
      <c r="R10" s="14">
        <v>102</v>
      </c>
      <c r="S10" s="14"/>
      <c r="T10" s="13"/>
      <c r="U10" s="14">
        <v>94</v>
      </c>
      <c r="V10" s="13"/>
      <c r="W10" s="14">
        <v>101</v>
      </c>
      <c r="X10" s="13"/>
      <c r="Y10" s="14">
        <v>84</v>
      </c>
      <c r="Z10" s="13"/>
      <c r="AA10" s="4">
        <f t="shared" si="0"/>
        <v>88.75</v>
      </c>
      <c r="AB10" s="4">
        <f t="shared" si="1"/>
        <v>90.791666666666671</v>
      </c>
      <c r="AC10" s="4">
        <f t="shared" si="2"/>
        <v>2.5020130783919665</v>
      </c>
      <c r="AD10" s="3"/>
      <c r="AE10" s="3"/>
      <c r="AF10" s="3"/>
      <c r="AG10" s="3"/>
      <c r="AH10" s="3"/>
      <c r="AT10" s="12">
        <v>2</v>
      </c>
      <c r="AU10" s="12" t="s">
        <v>22</v>
      </c>
      <c r="AV10" s="11"/>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24" customHeight="1" x14ac:dyDescent="0.2">
      <c r="B11" s="25">
        <f t="shared" ref="B11:B24" si="3">B9-1</f>
        <v>107</v>
      </c>
      <c r="C11" s="25" t="s">
        <v>113</v>
      </c>
      <c r="D11" s="25">
        <v>10</v>
      </c>
      <c r="E11" s="25">
        <v>2</v>
      </c>
      <c r="F11" s="25">
        <v>2</v>
      </c>
      <c r="G11" s="25">
        <v>1</v>
      </c>
      <c r="H11" s="25">
        <v>2</v>
      </c>
      <c r="I11" s="25" t="s">
        <v>114</v>
      </c>
      <c r="J11" s="26"/>
      <c r="K11" s="25" t="s">
        <v>2</v>
      </c>
      <c r="L11" s="24">
        <v>70</v>
      </c>
      <c r="M11" s="23"/>
      <c r="N11" s="24">
        <v>110</v>
      </c>
      <c r="O11" s="23"/>
      <c r="P11" s="24">
        <v>79</v>
      </c>
      <c r="Q11" s="24">
        <v>83</v>
      </c>
      <c r="R11" s="24">
        <v>92</v>
      </c>
      <c r="S11" s="24"/>
      <c r="T11" s="23"/>
      <c r="U11" s="24">
        <v>101</v>
      </c>
      <c r="V11" s="23"/>
      <c r="W11" s="24">
        <v>88</v>
      </c>
      <c r="X11" s="23"/>
      <c r="Y11" s="24">
        <v>89</v>
      </c>
      <c r="Z11" s="23"/>
      <c r="AA11" s="4">
        <f t="shared" si="0"/>
        <v>88.75</v>
      </c>
      <c r="AB11" s="4">
        <f t="shared" si="1"/>
        <v>91.125</v>
      </c>
      <c r="AC11" s="4">
        <f t="shared" si="2"/>
        <v>5.5376551896989765</v>
      </c>
      <c r="AD11" s="3"/>
      <c r="AE11" s="22"/>
      <c r="AF11" s="3"/>
      <c r="AG11" s="21"/>
      <c r="AH11" s="3"/>
      <c r="AT11" s="12">
        <v>3</v>
      </c>
      <c r="AU11" s="12" t="s">
        <v>21</v>
      </c>
      <c r="AV11" s="12" t="s">
        <v>19</v>
      </c>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row>
    <row r="12" spans="1:87" ht="24" customHeight="1" thickBot="1" x14ac:dyDescent="0.25">
      <c r="B12" s="15">
        <f t="shared" si="3"/>
        <v>107</v>
      </c>
      <c r="C12" s="15" t="s">
        <v>113</v>
      </c>
      <c r="D12" s="15">
        <v>10</v>
      </c>
      <c r="E12" s="15">
        <v>2</v>
      </c>
      <c r="F12" s="15">
        <v>2</v>
      </c>
      <c r="G12" s="15">
        <v>1</v>
      </c>
      <c r="H12" s="15">
        <v>2</v>
      </c>
      <c r="I12" s="15" t="s">
        <v>114</v>
      </c>
      <c r="J12" s="16"/>
      <c r="K12" s="15" t="s">
        <v>0</v>
      </c>
      <c r="L12" s="14">
        <v>90</v>
      </c>
      <c r="M12" s="13"/>
      <c r="N12" s="14">
        <v>103</v>
      </c>
      <c r="O12" s="13"/>
      <c r="P12" s="14">
        <v>90</v>
      </c>
      <c r="Q12" s="14">
        <v>84</v>
      </c>
      <c r="R12" s="14">
        <v>91</v>
      </c>
      <c r="S12" s="14"/>
      <c r="T12" s="13"/>
      <c r="U12" s="14">
        <v>88</v>
      </c>
      <c r="V12" s="13"/>
      <c r="W12" s="14">
        <v>94</v>
      </c>
      <c r="X12" s="13"/>
      <c r="Y12" s="14">
        <v>93</v>
      </c>
      <c r="Z12" s="13"/>
      <c r="AA12" s="4">
        <f t="shared" si="0"/>
        <v>88.25</v>
      </c>
      <c r="AB12" s="4">
        <f t="shared" si="1"/>
        <v>92.708333333333329</v>
      </c>
      <c r="AC12" s="4">
        <f t="shared" si="2"/>
        <v>2.2880274133944387</v>
      </c>
      <c r="AD12" s="3"/>
      <c r="AE12" s="3"/>
      <c r="AF12" s="3"/>
      <c r="AG12" s="3"/>
      <c r="AH12" s="3"/>
      <c r="AT12" s="12">
        <v>4</v>
      </c>
      <c r="AU12" s="12" t="s">
        <v>20</v>
      </c>
      <c r="AV12" s="11" t="s">
        <v>19</v>
      </c>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24" customHeight="1" x14ac:dyDescent="0.2">
      <c r="B13" s="7">
        <f t="shared" si="3"/>
        <v>106</v>
      </c>
      <c r="C13" s="7" t="s">
        <v>115</v>
      </c>
      <c r="D13" s="7">
        <v>9</v>
      </c>
      <c r="E13" s="7">
        <v>2</v>
      </c>
      <c r="F13" s="7">
        <v>2</v>
      </c>
      <c r="G13" s="7">
        <v>2</v>
      </c>
      <c r="H13" s="7">
        <v>2</v>
      </c>
      <c r="I13" s="7" t="s">
        <v>116</v>
      </c>
      <c r="J13" s="9"/>
      <c r="K13" s="7" t="s">
        <v>2</v>
      </c>
      <c r="L13" s="6">
        <v>87</v>
      </c>
      <c r="M13" s="5"/>
      <c r="N13" s="6">
        <v>86</v>
      </c>
      <c r="O13" s="5"/>
      <c r="P13" s="6">
        <v>108</v>
      </c>
      <c r="Q13" s="6">
        <v>106</v>
      </c>
      <c r="R13" s="6">
        <v>109</v>
      </c>
      <c r="S13" s="6"/>
      <c r="T13" s="5"/>
      <c r="U13" s="6">
        <v>88</v>
      </c>
      <c r="V13" s="5"/>
      <c r="W13" s="6">
        <v>100</v>
      </c>
      <c r="X13" s="5"/>
      <c r="Y13" s="6">
        <v>84</v>
      </c>
      <c r="Z13" s="5"/>
      <c r="AA13" s="4">
        <f t="shared" si="0"/>
        <v>102.75</v>
      </c>
      <c r="AB13" s="4">
        <f t="shared" si="1"/>
        <v>91.291666666666671</v>
      </c>
      <c r="AC13" s="4">
        <f t="shared" si="2"/>
        <v>3.2534703693816618</v>
      </c>
      <c r="AD13" s="3"/>
      <c r="AE13" s="3"/>
      <c r="AF13" s="3"/>
      <c r="AG13" s="3"/>
      <c r="AH13" s="3"/>
      <c r="AT13" s="12">
        <v>8</v>
      </c>
      <c r="AU13" s="12" t="s">
        <v>18</v>
      </c>
      <c r="AV13" s="12" t="s">
        <v>17</v>
      </c>
    </row>
    <row r="14" spans="1:87" ht="24" customHeight="1" thickBot="1" x14ac:dyDescent="0.25">
      <c r="B14" s="15">
        <f t="shared" si="3"/>
        <v>106</v>
      </c>
      <c r="C14" s="15" t="s">
        <v>115</v>
      </c>
      <c r="D14" s="15">
        <v>9</v>
      </c>
      <c r="E14" s="15">
        <v>2</v>
      </c>
      <c r="F14" s="15">
        <v>2</v>
      </c>
      <c r="G14" s="15">
        <v>2</v>
      </c>
      <c r="H14" s="15">
        <v>2</v>
      </c>
      <c r="I14" s="15" t="s">
        <v>116</v>
      </c>
      <c r="J14" s="16"/>
      <c r="K14" s="15" t="s">
        <v>0</v>
      </c>
      <c r="L14" s="14">
        <v>102</v>
      </c>
      <c r="M14" s="13"/>
      <c r="N14" s="14">
        <v>99</v>
      </c>
      <c r="O14" s="13"/>
      <c r="P14" s="14">
        <v>99</v>
      </c>
      <c r="Q14" s="14">
        <v>101</v>
      </c>
      <c r="R14" s="14">
        <v>102</v>
      </c>
      <c r="S14" s="14"/>
      <c r="T14" s="13"/>
      <c r="U14" s="14">
        <v>105</v>
      </c>
      <c r="V14" s="13"/>
      <c r="W14" s="14">
        <v>95</v>
      </c>
      <c r="X14" s="13"/>
      <c r="Y14" s="14">
        <v>94</v>
      </c>
      <c r="Z14" s="13"/>
      <c r="AA14" s="4">
        <f t="shared" si="0"/>
        <v>101.75</v>
      </c>
      <c r="AB14" s="4">
        <f t="shared" si="1"/>
        <v>99.458333333333329</v>
      </c>
      <c r="AC14" s="4">
        <f t="shared" si="2"/>
        <v>1.7540627443484202</v>
      </c>
      <c r="AD14" s="3"/>
      <c r="AE14" s="3"/>
      <c r="AF14" s="3"/>
      <c r="AG14" s="3"/>
      <c r="AH14" s="3"/>
      <c r="AT14" s="12">
        <v>9</v>
      </c>
      <c r="AU14" s="12" t="s">
        <v>16</v>
      </c>
      <c r="AV14" s="11" t="s">
        <v>15</v>
      </c>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24" customHeight="1" x14ac:dyDescent="0.2">
      <c r="B15" s="7">
        <f t="shared" si="3"/>
        <v>105</v>
      </c>
      <c r="C15" s="7" t="s">
        <v>117</v>
      </c>
      <c r="D15" s="7">
        <v>12</v>
      </c>
      <c r="E15" s="7">
        <v>2</v>
      </c>
      <c r="F15" s="7">
        <v>3</v>
      </c>
      <c r="G15" s="7">
        <v>1</v>
      </c>
      <c r="H15" s="7">
        <v>2</v>
      </c>
      <c r="I15" s="7" t="s">
        <v>118</v>
      </c>
      <c r="J15" s="9"/>
      <c r="K15" s="7" t="s">
        <v>2</v>
      </c>
      <c r="L15" s="6">
        <v>99</v>
      </c>
      <c r="M15" s="5"/>
      <c r="N15" s="6">
        <v>103</v>
      </c>
      <c r="O15" s="5"/>
      <c r="P15" s="6">
        <v>98</v>
      </c>
      <c r="Q15" s="6">
        <v>107</v>
      </c>
      <c r="R15" s="6">
        <v>98</v>
      </c>
      <c r="S15" s="6"/>
      <c r="T15" s="5"/>
      <c r="U15" s="6">
        <v>102</v>
      </c>
      <c r="V15" s="5"/>
      <c r="W15" s="6">
        <v>90</v>
      </c>
      <c r="X15" s="5"/>
      <c r="Y15" s="6">
        <v>83</v>
      </c>
      <c r="Z15" s="5"/>
      <c r="AA15" s="4">
        <f t="shared" si="0"/>
        <v>101.25</v>
      </c>
      <c r="AB15" s="4">
        <f t="shared" si="1"/>
        <v>96.375</v>
      </c>
      <c r="AC15" s="4">
        <f t="shared" si="2"/>
        <v>3.2950404651030722</v>
      </c>
      <c r="AD15" s="3"/>
      <c r="AE15" s="3"/>
      <c r="AF15" s="3"/>
      <c r="AG15" s="3"/>
      <c r="AH15" s="3"/>
    </row>
    <row r="16" spans="1:87" ht="24" customHeight="1" thickBot="1" x14ac:dyDescent="0.25">
      <c r="B16" s="15">
        <f t="shared" si="3"/>
        <v>105</v>
      </c>
      <c r="C16" s="15" t="s">
        <v>117</v>
      </c>
      <c r="D16" s="15">
        <v>12</v>
      </c>
      <c r="E16" s="15">
        <v>2</v>
      </c>
      <c r="F16" s="15">
        <v>3</v>
      </c>
      <c r="G16" s="15">
        <v>1</v>
      </c>
      <c r="H16" s="15">
        <v>2</v>
      </c>
      <c r="I16" s="15" t="s">
        <v>118</v>
      </c>
      <c r="J16" s="16"/>
      <c r="K16" s="15" t="s">
        <v>0</v>
      </c>
      <c r="L16" s="14">
        <v>98</v>
      </c>
      <c r="M16" s="13"/>
      <c r="N16" s="14">
        <v>88</v>
      </c>
      <c r="O16" s="13"/>
      <c r="P16" s="14">
        <v>86</v>
      </c>
      <c r="Q16" s="14">
        <v>84</v>
      </c>
      <c r="R16" s="14">
        <v>85</v>
      </c>
      <c r="S16" s="14"/>
      <c r="T16" s="13"/>
      <c r="U16" s="14">
        <v>89</v>
      </c>
      <c r="V16" s="13"/>
      <c r="W16" s="14">
        <v>74</v>
      </c>
      <c r="X16" s="13"/>
      <c r="Y16" s="14">
        <v>77</v>
      </c>
      <c r="Z16" s="13"/>
      <c r="AA16" s="4">
        <f t="shared" si="0"/>
        <v>86</v>
      </c>
      <c r="AB16" s="4">
        <f t="shared" si="1"/>
        <v>85.333333333333329</v>
      </c>
      <c r="AC16" s="4">
        <f t="shared" si="2"/>
        <v>3.5559027608252238</v>
      </c>
      <c r="AD16" s="3"/>
      <c r="AE16" s="3"/>
      <c r="AF16" s="3"/>
      <c r="AG16" s="3"/>
      <c r="AH16" s="3"/>
      <c r="AT16" s="12" t="s">
        <v>14</v>
      </c>
      <c r="AU16" s="12"/>
      <c r="AV16" s="11"/>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2:87" ht="24" customHeight="1" x14ac:dyDescent="0.2">
      <c r="B17" s="7">
        <f t="shared" si="3"/>
        <v>104</v>
      </c>
      <c r="C17" s="7" t="s">
        <v>113</v>
      </c>
      <c r="D17" s="7">
        <v>10</v>
      </c>
      <c r="E17" s="7">
        <v>2</v>
      </c>
      <c r="F17" s="7">
        <v>2</v>
      </c>
      <c r="G17" s="7">
        <v>1</v>
      </c>
      <c r="H17" s="7">
        <v>1</v>
      </c>
      <c r="I17" s="7" t="s">
        <v>119</v>
      </c>
      <c r="J17" s="9"/>
      <c r="K17" s="7" t="s">
        <v>2</v>
      </c>
      <c r="L17" s="18">
        <v>88</v>
      </c>
      <c r="M17" s="5"/>
      <c r="N17" s="18">
        <v>107</v>
      </c>
      <c r="O17" s="5"/>
      <c r="P17" s="18">
        <v>95</v>
      </c>
      <c r="Q17" s="18">
        <v>91</v>
      </c>
      <c r="R17" s="18">
        <v>100</v>
      </c>
      <c r="S17" s="18"/>
      <c r="T17" s="5"/>
      <c r="U17" s="18">
        <v>89</v>
      </c>
      <c r="V17" s="5"/>
      <c r="W17" s="18">
        <v>98</v>
      </c>
      <c r="X17" s="5"/>
      <c r="Y17" s="18">
        <v>97</v>
      </c>
      <c r="Z17" s="5"/>
      <c r="AA17" s="4">
        <f t="shared" si="0"/>
        <v>93.75</v>
      </c>
      <c r="AB17" s="4">
        <f t="shared" si="1"/>
        <v>95.458333333333329</v>
      </c>
      <c r="AC17" s="4">
        <f t="shared" si="2"/>
        <v>2.8419599066684795</v>
      </c>
      <c r="AD17" s="3"/>
      <c r="AE17" s="3"/>
      <c r="AF17" s="3"/>
      <c r="AG17" s="3"/>
      <c r="AH17" s="3"/>
      <c r="AT17" s="12" t="s">
        <v>7</v>
      </c>
      <c r="AU17" s="12" t="s">
        <v>13</v>
      </c>
      <c r="AV17" s="12" t="s">
        <v>12</v>
      </c>
    </row>
    <row r="18" spans="2:87" ht="24" customHeight="1" thickBot="1" x14ac:dyDescent="0.25">
      <c r="B18" s="15">
        <f t="shared" si="3"/>
        <v>104</v>
      </c>
      <c r="C18" s="15" t="s">
        <v>113</v>
      </c>
      <c r="D18" s="15">
        <v>10</v>
      </c>
      <c r="E18" s="15">
        <v>2</v>
      </c>
      <c r="F18" s="15">
        <v>2</v>
      </c>
      <c r="G18" s="15">
        <v>1</v>
      </c>
      <c r="H18" s="15">
        <v>1</v>
      </c>
      <c r="I18" s="15" t="s">
        <v>119</v>
      </c>
      <c r="J18" s="16"/>
      <c r="K18" s="15" t="s">
        <v>0</v>
      </c>
      <c r="L18" s="14">
        <v>93</v>
      </c>
      <c r="M18" s="13"/>
      <c r="N18" s="14">
        <v>89</v>
      </c>
      <c r="O18" s="13"/>
      <c r="P18" s="14">
        <v>92</v>
      </c>
      <c r="Q18" s="14">
        <v>87</v>
      </c>
      <c r="R18" s="14">
        <v>102</v>
      </c>
      <c r="S18" s="14"/>
      <c r="T18" s="13"/>
      <c r="U18" s="14">
        <v>88</v>
      </c>
      <c r="V18" s="13"/>
      <c r="W18" s="14">
        <v>108</v>
      </c>
      <c r="X18" s="13"/>
      <c r="Y18" s="14">
        <v>99</v>
      </c>
      <c r="Z18" s="13"/>
      <c r="AA18" s="4">
        <f t="shared" si="0"/>
        <v>92.25</v>
      </c>
      <c r="AB18" s="4">
        <f t="shared" si="1"/>
        <v>94.875</v>
      </c>
      <c r="AC18" s="4">
        <f t="shared" si="2"/>
        <v>3.0630526712197863</v>
      </c>
      <c r="AD18" s="3"/>
      <c r="AE18" s="3"/>
      <c r="AF18" s="3"/>
      <c r="AG18" s="3"/>
      <c r="AH18" s="3"/>
      <c r="AT18" s="12">
        <v>0</v>
      </c>
      <c r="AU18" s="12">
        <v>0</v>
      </c>
      <c r="AV18" s="11" t="s">
        <v>11</v>
      </c>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2:87" ht="24" customHeight="1" x14ac:dyDescent="0.2">
      <c r="B19" s="7">
        <f t="shared" si="3"/>
        <v>103</v>
      </c>
      <c r="C19" s="7" t="s">
        <v>120</v>
      </c>
      <c r="D19" s="7">
        <v>5</v>
      </c>
      <c r="E19" s="7">
        <v>1</v>
      </c>
      <c r="F19" s="7">
        <v>3</v>
      </c>
      <c r="G19" s="7">
        <v>2</v>
      </c>
      <c r="H19" s="7">
        <v>1</v>
      </c>
      <c r="I19" s="7" t="s">
        <v>121</v>
      </c>
      <c r="J19" s="9"/>
      <c r="K19" s="7" t="s">
        <v>2</v>
      </c>
      <c r="L19" s="18">
        <v>104</v>
      </c>
      <c r="M19" s="5"/>
      <c r="N19" s="18">
        <v>105</v>
      </c>
      <c r="O19" s="5"/>
      <c r="P19" s="18">
        <v>103</v>
      </c>
      <c r="Q19" s="18">
        <v>87</v>
      </c>
      <c r="R19" s="18">
        <v>102</v>
      </c>
      <c r="S19" s="18"/>
      <c r="T19" s="5"/>
      <c r="U19" s="18">
        <v>98</v>
      </c>
      <c r="V19" s="5"/>
      <c r="W19" s="18">
        <v>92</v>
      </c>
      <c r="X19" s="5"/>
      <c r="Y19" s="18">
        <v>99</v>
      </c>
      <c r="Z19" s="5"/>
      <c r="AA19" s="4">
        <f t="shared" si="0"/>
        <v>97.5</v>
      </c>
      <c r="AB19" s="4">
        <f t="shared" si="1"/>
        <v>99.25</v>
      </c>
      <c r="AC19" s="4">
        <f t="shared" si="2"/>
        <v>1.9397164741270825</v>
      </c>
      <c r="AD19" s="3"/>
      <c r="AE19" s="3"/>
      <c r="AF19" s="3"/>
      <c r="AG19" s="3"/>
      <c r="AH19" s="3"/>
      <c r="AT19" s="12">
        <v>1</v>
      </c>
      <c r="AU19" s="12">
        <v>5</v>
      </c>
      <c r="AV19" s="12" t="s">
        <v>10</v>
      </c>
    </row>
    <row r="20" spans="2:87" ht="24" customHeight="1" thickBot="1" x14ac:dyDescent="0.25">
      <c r="B20" s="15">
        <f t="shared" si="3"/>
        <v>103</v>
      </c>
      <c r="C20" s="15" t="s">
        <v>120</v>
      </c>
      <c r="D20" s="15">
        <v>5</v>
      </c>
      <c r="E20" s="15">
        <v>1</v>
      </c>
      <c r="F20" s="15">
        <v>3</v>
      </c>
      <c r="G20" s="15">
        <v>2</v>
      </c>
      <c r="H20" s="15">
        <v>1</v>
      </c>
      <c r="I20" s="15" t="s">
        <v>121</v>
      </c>
      <c r="J20" s="16"/>
      <c r="K20" s="15" t="s">
        <v>0</v>
      </c>
      <c r="L20" s="14">
        <v>84</v>
      </c>
      <c r="M20" s="13"/>
      <c r="N20" s="14">
        <v>91</v>
      </c>
      <c r="O20" s="13"/>
      <c r="P20" s="14">
        <v>81</v>
      </c>
      <c r="Q20" s="14">
        <v>84</v>
      </c>
      <c r="R20" s="14">
        <v>83</v>
      </c>
      <c r="S20" s="14"/>
      <c r="T20" s="13"/>
      <c r="U20" s="14">
        <v>83</v>
      </c>
      <c r="V20" s="13"/>
      <c r="W20" s="14">
        <v>73</v>
      </c>
      <c r="X20" s="13"/>
      <c r="Y20" s="14">
        <v>77</v>
      </c>
      <c r="Z20" s="13"/>
      <c r="AA20" s="4">
        <f t="shared" si="0"/>
        <v>82.75</v>
      </c>
      <c r="AB20" s="4">
        <f t="shared" si="1"/>
        <v>81.791666666666671</v>
      </c>
      <c r="AC20" s="4">
        <f t="shared" si="2"/>
        <v>2.5318114946505093</v>
      </c>
      <c r="AD20" s="3"/>
      <c r="AE20" s="3"/>
      <c r="AF20" s="3"/>
      <c r="AG20" s="3"/>
      <c r="AH20" s="3"/>
      <c r="AT20" s="12">
        <v>2</v>
      </c>
      <c r="AU20" s="12">
        <v>10</v>
      </c>
      <c r="AV20" s="11" t="s">
        <v>10</v>
      </c>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2:87" ht="24" customHeight="1" x14ac:dyDescent="0.2">
      <c r="B21" s="7">
        <f t="shared" si="3"/>
        <v>102</v>
      </c>
      <c r="C21" s="7" t="s">
        <v>122</v>
      </c>
      <c r="D21" s="7">
        <v>4</v>
      </c>
      <c r="E21" s="7">
        <v>1</v>
      </c>
      <c r="F21" s="7">
        <v>2</v>
      </c>
      <c r="G21" s="7">
        <v>1</v>
      </c>
      <c r="H21" s="7">
        <v>1</v>
      </c>
      <c r="I21" s="7" t="s">
        <v>123</v>
      </c>
      <c r="J21" s="9"/>
      <c r="K21" s="7" t="s">
        <v>2</v>
      </c>
      <c r="L21" s="6">
        <v>94</v>
      </c>
      <c r="M21" s="5"/>
      <c r="N21" s="6">
        <v>93</v>
      </c>
      <c r="O21" s="5"/>
      <c r="P21" s="6">
        <v>62</v>
      </c>
      <c r="Q21" s="6">
        <v>64</v>
      </c>
      <c r="R21" s="6">
        <v>77</v>
      </c>
      <c r="S21" s="6"/>
      <c r="T21" s="5"/>
      <c r="U21" s="6">
        <v>79</v>
      </c>
      <c r="V21" s="5"/>
      <c r="W21" s="6">
        <v>80</v>
      </c>
      <c r="X21" s="5"/>
      <c r="Y21" s="6">
        <v>99</v>
      </c>
      <c r="Z21" s="5"/>
      <c r="AA21" s="4">
        <f t="shared" si="0"/>
        <v>70.5</v>
      </c>
      <c r="AB21" s="4">
        <f t="shared" si="1"/>
        <v>85.916666666666671</v>
      </c>
      <c r="AC21" s="4">
        <f t="shared" si="2"/>
        <v>4.498919623396028</v>
      </c>
      <c r="AD21" s="3"/>
      <c r="AE21" s="3"/>
      <c r="AF21" s="3"/>
      <c r="AG21" s="3"/>
      <c r="AH21" s="3"/>
      <c r="AT21" s="12">
        <v>3</v>
      </c>
      <c r="AU21" s="12">
        <v>20</v>
      </c>
      <c r="AV21" s="12" t="s">
        <v>9</v>
      </c>
    </row>
    <row r="22" spans="2:87" ht="24" customHeight="1" thickBot="1" x14ac:dyDescent="0.25">
      <c r="B22" s="15">
        <f t="shared" si="3"/>
        <v>102</v>
      </c>
      <c r="C22" s="15" t="s">
        <v>122</v>
      </c>
      <c r="D22" s="15">
        <v>4</v>
      </c>
      <c r="E22" s="15">
        <v>1</v>
      </c>
      <c r="F22" s="15">
        <v>2</v>
      </c>
      <c r="G22" s="15">
        <v>1</v>
      </c>
      <c r="H22" s="15">
        <v>1</v>
      </c>
      <c r="I22" s="15" t="s">
        <v>123</v>
      </c>
      <c r="J22" s="16"/>
      <c r="K22" s="15" t="s">
        <v>0</v>
      </c>
      <c r="L22" s="14">
        <v>82</v>
      </c>
      <c r="M22" s="13"/>
      <c r="N22" s="14">
        <v>80</v>
      </c>
      <c r="O22" s="13"/>
      <c r="P22" s="14">
        <v>79</v>
      </c>
      <c r="Q22" s="14">
        <v>77</v>
      </c>
      <c r="R22" s="14">
        <v>80</v>
      </c>
      <c r="S22" s="14"/>
      <c r="T22" s="13"/>
      <c r="U22" s="14">
        <v>86</v>
      </c>
      <c r="V22" s="13"/>
      <c r="W22" s="14">
        <v>75</v>
      </c>
      <c r="X22" s="13"/>
      <c r="Y22" s="14">
        <v>86</v>
      </c>
      <c r="Z22" s="13"/>
      <c r="AA22" s="4">
        <f t="shared" si="0"/>
        <v>80.5</v>
      </c>
      <c r="AB22" s="4">
        <f t="shared" si="1"/>
        <v>81.583333333333329</v>
      </c>
      <c r="AC22" s="4">
        <f t="shared" si="2"/>
        <v>1.695172885316159</v>
      </c>
      <c r="AD22" s="3"/>
      <c r="AE22" s="3"/>
      <c r="AF22" s="3"/>
      <c r="AG22" s="3"/>
      <c r="AH22" s="3"/>
      <c r="AT22" s="12"/>
      <c r="AU22" s="12"/>
      <c r="AV22" s="11"/>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2:87" ht="24" customHeight="1" x14ac:dyDescent="0.2">
      <c r="B23" s="7">
        <f t="shared" si="3"/>
        <v>101</v>
      </c>
      <c r="C23" s="7" t="s">
        <v>124</v>
      </c>
      <c r="D23" s="7">
        <v>1</v>
      </c>
      <c r="E23" s="7">
        <v>1</v>
      </c>
      <c r="F23" s="7">
        <v>1</v>
      </c>
      <c r="G23" s="7">
        <v>2</v>
      </c>
      <c r="H23" s="7">
        <v>1</v>
      </c>
      <c r="I23" s="7" t="s">
        <v>125</v>
      </c>
      <c r="J23" s="9"/>
      <c r="K23" s="7" t="s">
        <v>2</v>
      </c>
      <c r="L23" s="6">
        <v>85</v>
      </c>
      <c r="M23" s="5"/>
      <c r="N23" s="6">
        <v>94</v>
      </c>
      <c r="O23" s="5"/>
      <c r="P23" s="6">
        <v>87</v>
      </c>
      <c r="Q23" s="6">
        <v>94</v>
      </c>
      <c r="R23" s="6">
        <v>103</v>
      </c>
      <c r="S23" s="6"/>
      <c r="T23" s="5"/>
      <c r="U23" s="6">
        <v>98</v>
      </c>
      <c r="V23" s="5"/>
      <c r="W23" s="6">
        <v>89</v>
      </c>
      <c r="X23" s="5"/>
      <c r="Y23" s="6">
        <v>82</v>
      </c>
      <c r="Z23" s="5"/>
      <c r="AA23" s="4">
        <f t="shared" si="0"/>
        <v>95.5</v>
      </c>
      <c r="AB23" s="4">
        <f t="shared" si="1"/>
        <v>90.583333333333329</v>
      </c>
      <c r="AC23" s="4">
        <f t="shared" si="2"/>
        <v>2.570397721062724</v>
      </c>
      <c r="AD23" s="3"/>
      <c r="AE23" s="3"/>
      <c r="AF23" s="3"/>
      <c r="AG23" s="3"/>
      <c r="AH23" s="3"/>
      <c r="AT23" s="2" t="s">
        <v>8</v>
      </c>
      <c r="AU23" s="2"/>
      <c r="AV23" s="2"/>
    </row>
    <row r="24" spans="2:87" ht="24" customHeight="1" thickBot="1" x14ac:dyDescent="0.25">
      <c r="B24" s="15">
        <f t="shared" si="3"/>
        <v>101</v>
      </c>
      <c r="C24" s="15" t="s">
        <v>124</v>
      </c>
      <c r="D24" s="15">
        <v>1</v>
      </c>
      <c r="E24" s="15">
        <v>1</v>
      </c>
      <c r="F24" s="15">
        <v>1</v>
      </c>
      <c r="G24" s="15">
        <v>2</v>
      </c>
      <c r="H24" s="15">
        <v>1</v>
      </c>
      <c r="I24" s="15" t="s">
        <v>125</v>
      </c>
      <c r="J24" s="16"/>
      <c r="K24" s="15" t="s">
        <v>0</v>
      </c>
      <c r="L24" s="14">
        <v>79</v>
      </c>
      <c r="M24" s="13"/>
      <c r="N24" s="14">
        <v>89</v>
      </c>
      <c r="O24" s="13"/>
      <c r="P24" s="14">
        <v>94</v>
      </c>
      <c r="Q24" s="14">
        <v>85</v>
      </c>
      <c r="R24" s="14">
        <v>80</v>
      </c>
      <c r="S24" s="14"/>
      <c r="T24" s="13"/>
      <c r="U24" s="14">
        <v>83</v>
      </c>
      <c r="V24" s="13"/>
      <c r="W24" s="14">
        <v>76</v>
      </c>
      <c r="X24" s="13"/>
      <c r="Y24" s="14">
        <v>96</v>
      </c>
      <c r="Z24" s="13"/>
      <c r="AA24" s="4">
        <f t="shared" si="0"/>
        <v>85.5</v>
      </c>
      <c r="AB24" s="4">
        <f t="shared" si="1"/>
        <v>84.75</v>
      </c>
      <c r="AC24" s="4">
        <f t="shared" si="2"/>
        <v>2.9318651628840873</v>
      </c>
      <c r="AD24" s="3"/>
      <c r="AE24" s="3"/>
      <c r="AF24" s="3"/>
      <c r="AG24" s="3"/>
      <c r="AH24" s="3"/>
      <c r="AT24" s="12" t="s">
        <v>7</v>
      </c>
      <c r="AU24" s="12" t="s">
        <v>6</v>
      </c>
      <c r="AV24" s="11" t="s">
        <v>5</v>
      </c>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2:87" ht="24" customHeight="1" x14ac:dyDescent="0.2">
      <c r="B25" s="7">
        <f>B23+100</f>
        <v>201</v>
      </c>
      <c r="C25" s="7" t="s">
        <v>117</v>
      </c>
      <c r="D25" s="7">
        <v>12</v>
      </c>
      <c r="E25" s="7">
        <v>2</v>
      </c>
      <c r="F25" s="7">
        <v>3</v>
      </c>
      <c r="G25" s="7">
        <v>1</v>
      </c>
      <c r="H25" s="7">
        <v>1</v>
      </c>
      <c r="I25" s="7" t="s">
        <v>126</v>
      </c>
      <c r="J25" s="8">
        <v>0.47569444444444442</v>
      </c>
      <c r="K25" s="7" t="s">
        <v>2</v>
      </c>
      <c r="L25" s="6">
        <v>93</v>
      </c>
      <c r="M25" s="6"/>
      <c r="N25" s="6">
        <v>107</v>
      </c>
      <c r="O25" s="6"/>
      <c r="P25" s="6">
        <v>105</v>
      </c>
      <c r="Q25" s="6">
        <v>93</v>
      </c>
      <c r="R25" s="6">
        <v>110</v>
      </c>
      <c r="S25" s="6"/>
      <c r="T25" s="6"/>
      <c r="U25" s="6">
        <v>103</v>
      </c>
      <c r="V25" s="6"/>
      <c r="W25" s="6">
        <v>104</v>
      </c>
      <c r="X25" s="6"/>
      <c r="Y25" s="6">
        <v>102</v>
      </c>
      <c r="Z25" s="6"/>
      <c r="AA25" s="4">
        <f t="shared" si="0"/>
        <v>102.75</v>
      </c>
      <c r="AB25" s="4">
        <f t="shared" si="1"/>
        <v>101.95833333333333</v>
      </c>
      <c r="AC25" s="4">
        <f t="shared" si="2"/>
        <v>1.9283160471711527</v>
      </c>
      <c r="AD25" s="3"/>
      <c r="AE25" s="3"/>
      <c r="AF25" s="3"/>
      <c r="AG25" s="3"/>
      <c r="AH25" s="3"/>
      <c r="AT25" s="12">
        <v>1</v>
      </c>
      <c r="AU25" s="12" t="s">
        <v>4</v>
      </c>
      <c r="AV25" s="12">
        <v>0</v>
      </c>
    </row>
    <row r="26" spans="2:87" ht="24" customHeight="1" thickBot="1" x14ac:dyDescent="0.25">
      <c r="B26" s="15">
        <f>B24+100</f>
        <v>201</v>
      </c>
      <c r="C26" s="15" t="s">
        <v>117</v>
      </c>
      <c r="D26" s="15">
        <v>12</v>
      </c>
      <c r="E26" s="15">
        <v>2</v>
      </c>
      <c r="F26" s="15">
        <v>3</v>
      </c>
      <c r="G26" s="15">
        <v>1</v>
      </c>
      <c r="H26" s="15">
        <v>1</v>
      </c>
      <c r="I26" s="15" t="s">
        <v>126</v>
      </c>
      <c r="J26" s="16"/>
      <c r="K26" s="15" t="s">
        <v>0</v>
      </c>
      <c r="L26" s="14">
        <v>91</v>
      </c>
      <c r="M26" s="13"/>
      <c r="N26" s="14">
        <v>87</v>
      </c>
      <c r="O26" s="13"/>
      <c r="P26" s="14">
        <v>78</v>
      </c>
      <c r="Q26" s="14">
        <v>74</v>
      </c>
      <c r="R26" s="14">
        <v>85</v>
      </c>
      <c r="S26" s="14"/>
      <c r="T26" s="13"/>
      <c r="U26" s="14">
        <v>86</v>
      </c>
      <c r="V26" s="13"/>
      <c r="W26" s="14">
        <v>83</v>
      </c>
      <c r="X26" s="13"/>
      <c r="Y26" s="14">
        <v>83</v>
      </c>
      <c r="Z26" s="13"/>
      <c r="AA26" s="4">
        <f t="shared" si="0"/>
        <v>80.75</v>
      </c>
      <c r="AB26" s="4">
        <f t="shared" si="1"/>
        <v>85.125</v>
      </c>
      <c r="AC26" s="4">
        <f t="shared" si="2"/>
        <v>1.4940855620300555</v>
      </c>
      <c r="AD26" s="3"/>
      <c r="AE26" s="3"/>
      <c r="AF26" s="3"/>
      <c r="AG26" s="3"/>
      <c r="AH26" s="3"/>
      <c r="AT26" s="12">
        <v>2</v>
      </c>
      <c r="AU26" s="12" t="s">
        <v>3</v>
      </c>
      <c r="AV26" s="11">
        <v>150</v>
      </c>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2:87" ht="24" customHeight="1" x14ac:dyDescent="0.2">
      <c r="B27" s="7">
        <f t="shared" ref="B27:B40" si="4">B25+1</f>
        <v>202</v>
      </c>
      <c r="C27" s="7" t="s">
        <v>115</v>
      </c>
      <c r="D27" s="7">
        <v>9</v>
      </c>
      <c r="E27" s="7">
        <v>2</v>
      </c>
      <c r="F27" s="7">
        <v>2</v>
      </c>
      <c r="G27" s="7">
        <v>2</v>
      </c>
      <c r="H27" s="7">
        <v>1</v>
      </c>
      <c r="I27" s="7" t="s">
        <v>127</v>
      </c>
      <c r="J27" s="9"/>
      <c r="K27" s="7" t="s">
        <v>2</v>
      </c>
      <c r="L27" s="6">
        <v>96</v>
      </c>
      <c r="M27" s="6"/>
      <c r="N27" s="6">
        <v>89</v>
      </c>
      <c r="O27" s="6"/>
      <c r="P27" s="6">
        <v>93</v>
      </c>
      <c r="Q27" s="6">
        <v>79</v>
      </c>
      <c r="R27" s="6">
        <v>99</v>
      </c>
      <c r="S27" s="6"/>
      <c r="T27" s="6"/>
      <c r="U27" s="6">
        <v>66</v>
      </c>
      <c r="V27" s="6"/>
      <c r="W27" s="6">
        <v>87</v>
      </c>
      <c r="X27" s="6"/>
      <c r="Y27" s="6">
        <v>102</v>
      </c>
      <c r="Z27" s="6"/>
      <c r="AA27" s="4">
        <f t="shared" si="0"/>
        <v>84.25</v>
      </c>
      <c r="AB27" s="4">
        <f t="shared" si="1"/>
        <v>87.375</v>
      </c>
      <c r="AC27" s="4">
        <f t="shared" si="2"/>
        <v>5.0256633061384717</v>
      </c>
      <c r="AD27" s="3"/>
      <c r="AE27" s="3"/>
      <c r="AF27" s="3"/>
      <c r="AG27" s="3"/>
      <c r="AH27" s="3"/>
    </row>
    <row r="28" spans="2:87" ht="24" customHeight="1" thickBot="1" x14ac:dyDescent="0.25">
      <c r="B28" s="15">
        <f t="shared" si="4"/>
        <v>202</v>
      </c>
      <c r="C28" s="15" t="s">
        <v>115</v>
      </c>
      <c r="D28" s="15">
        <v>9</v>
      </c>
      <c r="E28" s="15">
        <v>2</v>
      </c>
      <c r="F28" s="15">
        <v>2</v>
      </c>
      <c r="G28" s="15">
        <v>2</v>
      </c>
      <c r="H28" s="15">
        <v>1</v>
      </c>
      <c r="I28" s="15" t="s">
        <v>127</v>
      </c>
      <c r="J28" s="16"/>
      <c r="K28" s="15" t="s">
        <v>0</v>
      </c>
      <c r="L28" s="14">
        <v>79</v>
      </c>
      <c r="M28" s="13"/>
      <c r="N28" s="14">
        <v>94</v>
      </c>
      <c r="O28" s="13"/>
      <c r="P28" s="14">
        <v>77</v>
      </c>
      <c r="Q28" s="14">
        <v>73</v>
      </c>
      <c r="R28" s="14">
        <v>75</v>
      </c>
      <c r="S28" s="14"/>
      <c r="T28" s="13"/>
      <c r="U28" s="14">
        <v>88</v>
      </c>
      <c r="V28" s="13"/>
      <c r="W28" s="14">
        <v>90</v>
      </c>
      <c r="X28" s="13"/>
      <c r="Y28" s="14">
        <v>91</v>
      </c>
      <c r="Z28" s="13"/>
      <c r="AA28" s="4">
        <f t="shared" si="0"/>
        <v>78.25</v>
      </c>
      <c r="AB28" s="4">
        <f t="shared" si="1"/>
        <v>86.708333333333329</v>
      </c>
      <c r="AC28" s="4">
        <f t="shared" si="2"/>
        <v>2.6773873044028913</v>
      </c>
      <c r="AD28" s="3"/>
      <c r="AE28" s="3"/>
      <c r="AF28" s="3"/>
      <c r="AG28" s="3"/>
      <c r="AH28" s="3"/>
      <c r="AT28" s="12"/>
      <c r="AU28" s="12"/>
      <c r="AV28" s="11"/>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2:87" ht="24" customHeight="1" x14ac:dyDescent="0.2">
      <c r="B29" s="7">
        <f t="shared" si="4"/>
        <v>203</v>
      </c>
      <c r="C29" s="7" t="s">
        <v>111</v>
      </c>
      <c r="D29" s="7">
        <v>3</v>
      </c>
      <c r="E29" s="7">
        <v>1</v>
      </c>
      <c r="F29" s="7">
        <v>2</v>
      </c>
      <c r="G29" s="7">
        <v>2</v>
      </c>
      <c r="H29" s="7">
        <v>1</v>
      </c>
      <c r="I29" s="7" t="s">
        <v>128</v>
      </c>
      <c r="J29" s="9"/>
      <c r="K29" s="7" t="s">
        <v>2</v>
      </c>
      <c r="L29" s="6">
        <v>81</v>
      </c>
      <c r="M29" s="6"/>
      <c r="N29" s="6">
        <v>97</v>
      </c>
      <c r="O29" s="6"/>
      <c r="P29" s="6">
        <v>105</v>
      </c>
      <c r="Q29" s="6">
        <v>92</v>
      </c>
      <c r="R29" s="6">
        <v>96</v>
      </c>
      <c r="S29" s="6"/>
      <c r="T29" s="6"/>
      <c r="U29" s="6">
        <v>68</v>
      </c>
      <c r="V29" s="6"/>
      <c r="W29" s="6">
        <v>110</v>
      </c>
      <c r="X29" s="6"/>
      <c r="Y29" s="6">
        <v>99</v>
      </c>
      <c r="Z29" s="6"/>
      <c r="AA29" s="4">
        <f t="shared" si="0"/>
        <v>90.25</v>
      </c>
      <c r="AB29" s="4">
        <f t="shared" si="1"/>
        <v>90.875</v>
      </c>
      <c r="AC29" s="4">
        <f t="shared" si="2"/>
        <v>6.0290097307379877</v>
      </c>
      <c r="AD29" s="3"/>
      <c r="AE29" s="3"/>
      <c r="AF29" s="3"/>
      <c r="AG29" s="3"/>
      <c r="AH29" s="3"/>
    </row>
    <row r="30" spans="2:87" ht="24" customHeight="1" thickBot="1" x14ac:dyDescent="0.25">
      <c r="B30" s="15">
        <f t="shared" si="4"/>
        <v>203</v>
      </c>
      <c r="C30" s="15" t="s">
        <v>111</v>
      </c>
      <c r="D30" s="15">
        <v>3</v>
      </c>
      <c r="E30" s="15">
        <v>1</v>
      </c>
      <c r="F30" s="15">
        <v>2</v>
      </c>
      <c r="G30" s="15">
        <v>2</v>
      </c>
      <c r="H30" s="15">
        <v>1</v>
      </c>
      <c r="I30" s="15" t="s">
        <v>128</v>
      </c>
      <c r="J30" s="16"/>
      <c r="K30" s="15" t="s">
        <v>0</v>
      </c>
      <c r="L30" s="14">
        <v>78</v>
      </c>
      <c r="M30" s="13"/>
      <c r="N30" s="14">
        <v>97</v>
      </c>
      <c r="O30" s="13"/>
      <c r="P30" s="14">
        <v>101</v>
      </c>
      <c r="Q30" s="14">
        <v>98</v>
      </c>
      <c r="R30" s="14">
        <v>91</v>
      </c>
      <c r="S30" s="14"/>
      <c r="T30" s="13"/>
      <c r="U30" s="14">
        <v>85</v>
      </c>
      <c r="V30" s="13"/>
      <c r="W30" s="14">
        <v>90</v>
      </c>
      <c r="X30" s="13"/>
      <c r="Y30" s="14">
        <v>98</v>
      </c>
      <c r="Z30" s="13"/>
      <c r="AA30" s="4">
        <f t="shared" si="0"/>
        <v>93.75</v>
      </c>
      <c r="AB30" s="4">
        <f t="shared" si="1"/>
        <v>90.291666666666671</v>
      </c>
      <c r="AC30" s="4">
        <f t="shared" si="2"/>
        <v>3.1387475386069381</v>
      </c>
      <c r="AD30" s="3"/>
      <c r="AE30" s="3"/>
      <c r="AF30" s="3"/>
      <c r="AG30" s="3"/>
      <c r="AH30" s="3"/>
      <c r="AT30" s="12"/>
      <c r="AU30" s="12"/>
      <c r="AV30" s="11"/>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2:87" ht="24" customHeight="1" x14ac:dyDescent="0.2">
      <c r="B31" s="7">
        <f t="shared" si="4"/>
        <v>204</v>
      </c>
      <c r="C31" s="7" t="s">
        <v>129</v>
      </c>
      <c r="D31" s="7">
        <v>11</v>
      </c>
      <c r="E31" s="7">
        <v>2</v>
      </c>
      <c r="F31" s="7">
        <v>3</v>
      </c>
      <c r="G31" s="7">
        <v>2</v>
      </c>
      <c r="H31" s="7">
        <v>1</v>
      </c>
      <c r="I31" s="7" t="s">
        <v>130</v>
      </c>
      <c r="J31" s="9"/>
      <c r="K31" s="7" t="s">
        <v>2</v>
      </c>
      <c r="L31" s="6">
        <v>110</v>
      </c>
      <c r="M31" s="6"/>
      <c r="N31" s="6">
        <v>122</v>
      </c>
      <c r="O31" s="6"/>
      <c r="P31" s="6">
        <v>109</v>
      </c>
      <c r="Q31" s="6">
        <v>103</v>
      </c>
      <c r="R31" s="6">
        <v>99</v>
      </c>
      <c r="S31" s="6"/>
      <c r="T31" s="6"/>
      <c r="U31" s="6">
        <v>121</v>
      </c>
      <c r="V31" s="6"/>
      <c r="W31" s="6">
        <v>106</v>
      </c>
      <c r="X31" s="6"/>
      <c r="Y31" s="6">
        <v>109</v>
      </c>
      <c r="Z31" s="6"/>
      <c r="AA31" s="4">
        <f t="shared" si="0"/>
        <v>108</v>
      </c>
      <c r="AB31" s="4">
        <f t="shared" si="1"/>
        <v>112.66666666666667</v>
      </c>
      <c r="AC31" s="4">
        <f t="shared" si="2"/>
        <v>2.8480012484391772</v>
      </c>
      <c r="AD31" s="3"/>
      <c r="AE31" s="3"/>
      <c r="AF31" s="3"/>
      <c r="AG31" s="3"/>
      <c r="AH31" s="3"/>
    </row>
    <row r="32" spans="2:87" ht="24" customHeight="1" thickBot="1" x14ac:dyDescent="0.25">
      <c r="B32" s="15">
        <f t="shared" si="4"/>
        <v>204</v>
      </c>
      <c r="C32" s="15" t="s">
        <v>129</v>
      </c>
      <c r="D32" s="15">
        <v>11</v>
      </c>
      <c r="E32" s="15">
        <v>2</v>
      </c>
      <c r="F32" s="15">
        <v>3</v>
      </c>
      <c r="G32" s="15">
        <v>2</v>
      </c>
      <c r="H32" s="15">
        <v>1</v>
      </c>
      <c r="I32" s="15" t="s">
        <v>130</v>
      </c>
      <c r="J32" s="16"/>
      <c r="K32" s="15" t="s">
        <v>0</v>
      </c>
      <c r="L32" s="14">
        <v>103</v>
      </c>
      <c r="M32" s="13"/>
      <c r="N32" s="14">
        <v>96</v>
      </c>
      <c r="O32" s="13"/>
      <c r="P32" s="14">
        <v>99</v>
      </c>
      <c r="Q32" s="14">
        <v>96</v>
      </c>
      <c r="R32" s="14">
        <v>95</v>
      </c>
      <c r="S32" s="14"/>
      <c r="T32" s="13"/>
      <c r="U32" s="14">
        <v>112</v>
      </c>
      <c r="V32" s="13"/>
      <c r="W32" s="14">
        <v>102</v>
      </c>
      <c r="X32" s="13"/>
      <c r="Y32" s="14">
        <v>98</v>
      </c>
      <c r="Z32" s="13"/>
      <c r="AA32" s="4">
        <f t="shared" si="0"/>
        <v>100.5</v>
      </c>
      <c r="AB32" s="4">
        <f t="shared" si="1"/>
        <v>101.91666666666667</v>
      </c>
      <c r="AC32" s="4">
        <f t="shared" si="2"/>
        <v>2.2745573439926976</v>
      </c>
      <c r="AD32" s="3"/>
      <c r="AE32" s="3"/>
      <c r="AF32" s="3"/>
      <c r="AG32" s="3"/>
      <c r="AH32" s="3"/>
      <c r="AT32" s="12"/>
      <c r="AU32" s="12"/>
      <c r="AV32" s="11"/>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2:87" ht="24" customHeight="1" x14ac:dyDescent="0.2">
      <c r="B33" s="7">
        <f t="shared" si="4"/>
        <v>205</v>
      </c>
      <c r="C33" s="7" t="s">
        <v>124</v>
      </c>
      <c r="D33" s="7">
        <v>1</v>
      </c>
      <c r="E33" s="7">
        <v>1</v>
      </c>
      <c r="F33" s="7">
        <v>1</v>
      </c>
      <c r="G33" s="7">
        <v>2</v>
      </c>
      <c r="H33" s="7">
        <v>2</v>
      </c>
      <c r="I33" s="7" t="s">
        <v>131</v>
      </c>
      <c r="J33" s="9"/>
      <c r="K33" s="7" t="s">
        <v>2</v>
      </c>
      <c r="L33" s="6">
        <v>94</v>
      </c>
      <c r="M33" s="6"/>
      <c r="N33" s="6">
        <v>98</v>
      </c>
      <c r="O33" s="6"/>
      <c r="P33" s="6">
        <v>105</v>
      </c>
      <c r="Q33" s="6">
        <v>115</v>
      </c>
      <c r="R33" s="6">
        <v>97</v>
      </c>
      <c r="S33" s="6"/>
      <c r="T33" s="6"/>
      <c r="U33" s="6">
        <v>93</v>
      </c>
      <c r="V33" s="6"/>
      <c r="W33" s="6">
        <v>124</v>
      </c>
      <c r="X33" s="6"/>
      <c r="Y33" s="6">
        <v>92</v>
      </c>
      <c r="Z33" s="6"/>
      <c r="AA33" s="4">
        <f t="shared" si="0"/>
        <v>102.5</v>
      </c>
      <c r="AB33" s="4">
        <f t="shared" si="1"/>
        <v>100.58333333333333</v>
      </c>
      <c r="AC33" s="4">
        <f t="shared" si="2"/>
        <v>4.943710931858563</v>
      </c>
      <c r="AD33" s="3"/>
      <c r="AE33" s="3"/>
      <c r="AF33" s="3"/>
      <c r="AG33" s="3"/>
      <c r="AH33" s="3"/>
    </row>
    <row r="34" spans="2:87" ht="24" customHeight="1" thickBot="1" x14ac:dyDescent="0.25">
      <c r="B34" s="15">
        <f t="shared" si="4"/>
        <v>205</v>
      </c>
      <c r="C34" s="15" t="s">
        <v>124</v>
      </c>
      <c r="D34" s="15">
        <v>1</v>
      </c>
      <c r="E34" s="15">
        <v>1</v>
      </c>
      <c r="F34" s="15">
        <v>1</v>
      </c>
      <c r="G34" s="15">
        <v>2</v>
      </c>
      <c r="H34" s="15">
        <v>2</v>
      </c>
      <c r="I34" s="15" t="s">
        <v>131</v>
      </c>
      <c r="J34" s="16"/>
      <c r="K34" s="15" t="s">
        <v>0</v>
      </c>
      <c r="L34" s="14">
        <v>87</v>
      </c>
      <c r="M34" s="13"/>
      <c r="N34" s="14">
        <v>101</v>
      </c>
      <c r="O34" s="13"/>
      <c r="P34" s="14">
        <v>98</v>
      </c>
      <c r="Q34" s="14">
        <v>102</v>
      </c>
      <c r="R34" s="14">
        <v>97</v>
      </c>
      <c r="S34" s="14"/>
      <c r="T34" s="13"/>
      <c r="U34" s="14">
        <v>95</v>
      </c>
      <c r="V34" s="13"/>
      <c r="W34" s="14">
        <v>105</v>
      </c>
      <c r="X34" s="13"/>
      <c r="Y34" s="14">
        <v>93</v>
      </c>
      <c r="Z34" s="13"/>
      <c r="AA34" s="4">
        <f t="shared" si="0"/>
        <v>98</v>
      </c>
      <c r="AB34" s="4">
        <f t="shared" si="1"/>
        <v>96.5</v>
      </c>
      <c r="AC34" s="4">
        <f t="shared" si="2"/>
        <v>2.5787593916455256</v>
      </c>
      <c r="AD34" s="3"/>
      <c r="AE34" s="3"/>
      <c r="AF34" s="3"/>
      <c r="AG34" s="3"/>
      <c r="AH34" s="3"/>
      <c r="AT34" s="12"/>
      <c r="AU34" s="12"/>
      <c r="AV34" s="11"/>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2:87" ht="24" customHeight="1" x14ac:dyDescent="0.2">
      <c r="B35" s="7">
        <f t="shared" si="4"/>
        <v>206</v>
      </c>
      <c r="C35" s="7" t="s">
        <v>132</v>
      </c>
      <c r="D35" s="7">
        <v>8</v>
      </c>
      <c r="E35" s="7">
        <v>2</v>
      </c>
      <c r="F35" s="7">
        <v>1</v>
      </c>
      <c r="G35" s="7">
        <v>1</v>
      </c>
      <c r="H35" s="7">
        <v>2</v>
      </c>
      <c r="I35" s="7" t="s">
        <v>133</v>
      </c>
      <c r="J35" s="9"/>
      <c r="K35" s="7" t="s">
        <v>2</v>
      </c>
      <c r="L35" s="6">
        <v>85</v>
      </c>
      <c r="M35" s="6"/>
      <c r="N35" s="6">
        <v>64</v>
      </c>
      <c r="O35" s="6"/>
      <c r="P35" s="6">
        <v>78</v>
      </c>
      <c r="Q35" s="6">
        <v>94</v>
      </c>
      <c r="R35" s="6">
        <v>80</v>
      </c>
      <c r="S35" s="6"/>
      <c r="T35" s="6"/>
      <c r="U35" s="6">
        <v>88</v>
      </c>
      <c r="V35" s="6"/>
      <c r="W35" s="6">
        <v>76</v>
      </c>
      <c r="X35" s="6"/>
      <c r="Y35" s="6">
        <v>81</v>
      </c>
      <c r="Z35" s="6"/>
      <c r="AA35" s="4">
        <f t="shared" si="0"/>
        <v>85</v>
      </c>
      <c r="AB35" s="4">
        <f t="shared" si="1"/>
        <v>79.833333333333329</v>
      </c>
      <c r="AC35" s="4">
        <f t="shared" si="2"/>
        <v>3.5908835186405765</v>
      </c>
      <c r="AD35" s="3"/>
      <c r="AE35" s="3"/>
      <c r="AF35" s="3"/>
      <c r="AG35" s="3"/>
      <c r="AH35" s="3"/>
    </row>
    <row r="36" spans="2:87" ht="24" customHeight="1" thickBot="1" x14ac:dyDescent="0.25">
      <c r="B36" s="15">
        <f t="shared" si="4"/>
        <v>206</v>
      </c>
      <c r="C36" s="15" t="s">
        <v>132</v>
      </c>
      <c r="D36" s="15">
        <v>8</v>
      </c>
      <c r="E36" s="15">
        <v>2</v>
      </c>
      <c r="F36" s="15">
        <v>1</v>
      </c>
      <c r="G36" s="15">
        <v>1</v>
      </c>
      <c r="H36" s="15">
        <v>2</v>
      </c>
      <c r="I36" s="15" t="s">
        <v>133</v>
      </c>
      <c r="J36" s="16"/>
      <c r="K36" s="15" t="s">
        <v>0</v>
      </c>
      <c r="L36" s="14">
        <v>89</v>
      </c>
      <c r="M36" s="13"/>
      <c r="N36" s="14">
        <v>71</v>
      </c>
      <c r="O36" s="13"/>
      <c r="P36" s="14">
        <v>78</v>
      </c>
      <c r="Q36" s="14">
        <v>68</v>
      </c>
      <c r="R36" s="14">
        <v>81</v>
      </c>
      <c r="S36" s="14"/>
      <c r="T36" s="13"/>
      <c r="U36" s="14">
        <v>84</v>
      </c>
      <c r="V36" s="13"/>
      <c r="W36" s="14">
        <v>74</v>
      </c>
      <c r="X36" s="13"/>
      <c r="Y36" s="14">
        <v>83</v>
      </c>
      <c r="Z36" s="13"/>
      <c r="AA36" s="4">
        <f t="shared" si="0"/>
        <v>77.75</v>
      </c>
      <c r="AB36" s="4">
        <f t="shared" si="1"/>
        <v>79.791666666666671</v>
      </c>
      <c r="AC36" s="4">
        <f t="shared" si="2"/>
        <v>2.7556129586314873</v>
      </c>
      <c r="AD36" s="3"/>
      <c r="AE36" s="3"/>
      <c r="AF36" s="3"/>
      <c r="AG36" s="3"/>
      <c r="AH36" s="3"/>
      <c r="AT36" s="12"/>
      <c r="AU36" s="12"/>
      <c r="AV36" s="11"/>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2:87" ht="24" customHeight="1" x14ac:dyDescent="0.2">
      <c r="B37" s="7">
        <f t="shared" si="4"/>
        <v>207</v>
      </c>
      <c r="C37" s="7" t="s">
        <v>122</v>
      </c>
      <c r="D37" s="7">
        <v>4</v>
      </c>
      <c r="E37" s="7">
        <v>1</v>
      </c>
      <c r="F37" s="7">
        <v>2</v>
      </c>
      <c r="G37" s="7">
        <v>1</v>
      </c>
      <c r="H37" s="7">
        <v>2</v>
      </c>
      <c r="I37" s="7" t="s">
        <v>134</v>
      </c>
      <c r="J37" s="9"/>
      <c r="K37" s="7" t="s">
        <v>2</v>
      </c>
      <c r="L37" s="6">
        <v>104</v>
      </c>
      <c r="M37" s="6"/>
      <c r="N37" s="6">
        <v>101</v>
      </c>
      <c r="O37" s="6"/>
      <c r="P37" s="6">
        <v>84</v>
      </c>
      <c r="Q37" s="6">
        <v>90</v>
      </c>
      <c r="R37" s="6">
        <v>100</v>
      </c>
      <c r="S37" s="6"/>
      <c r="T37" s="6"/>
      <c r="U37" s="6">
        <v>104</v>
      </c>
      <c r="V37" s="6"/>
      <c r="W37" s="6">
        <v>88</v>
      </c>
      <c r="X37" s="6"/>
      <c r="Y37" s="6">
        <v>112</v>
      </c>
      <c r="Z37" s="6"/>
      <c r="AA37" s="4">
        <f t="shared" si="0"/>
        <v>94.5</v>
      </c>
      <c r="AB37" s="4">
        <f t="shared" si="1"/>
        <v>100.58333333333333</v>
      </c>
      <c r="AC37" s="4">
        <f t="shared" si="2"/>
        <v>3.4117851306578175</v>
      </c>
      <c r="AD37" s="3"/>
      <c r="AE37" s="3"/>
      <c r="AF37" s="3"/>
      <c r="AG37" s="3"/>
      <c r="AH37" s="3"/>
    </row>
    <row r="38" spans="2:87" ht="24" customHeight="1" thickBot="1" x14ac:dyDescent="0.25">
      <c r="B38" s="15">
        <f t="shared" si="4"/>
        <v>207</v>
      </c>
      <c r="C38" s="15" t="s">
        <v>122</v>
      </c>
      <c r="D38" s="15">
        <v>4</v>
      </c>
      <c r="E38" s="15">
        <v>1</v>
      </c>
      <c r="F38" s="15">
        <v>2</v>
      </c>
      <c r="G38" s="15">
        <v>1</v>
      </c>
      <c r="H38" s="15">
        <v>2</v>
      </c>
      <c r="I38" s="15" t="s">
        <v>134</v>
      </c>
      <c r="J38" s="16"/>
      <c r="K38" s="15" t="s">
        <v>0</v>
      </c>
      <c r="L38" s="14">
        <v>87</v>
      </c>
      <c r="M38" s="13"/>
      <c r="N38" s="14">
        <v>90</v>
      </c>
      <c r="O38" s="13"/>
      <c r="P38" s="14">
        <v>88</v>
      </c>
      <c r="Q38" s="14">
        <v>96</v>
      </c>
      <c r="R38" s="14">
        <v>96</v>
      </c>
      <c r="S38" s="14"/>
      <c r="T38" s="13"/>
      <c r="U38" s="14">
        <v>98</v>
      </c>
      <c r="V38" s="13"/>
      <c r="W38" s="14">
        <v>93</v>
      </c>
      <c r="X38" s="13"/>
      <c r="Y38" s="14">
        <v>84</v>
      </c>
      <c r="Z38" s="13"/>
      <c r="AA38" s="4">
        <f t="shared" si="0"/>
        <v>94.5</v>
      </c>
      <c r="AB38" s="4">
        <f t="shared" si="1"/>
        <v>91.083333333333329</v>
      </c>
      <c r="AC38" s="4">
        <f t="shared" si="2"/>
        <v>2.0913180320341311</v>
      </c>
      <c r="AD38" s="3"/>
      <c r="AE38" s="3"/>
      <c r="AF38" s="3"/>
      <c r="AG38" s="3"/>
      <c r="AH38" s="3"/>
      <c r="AT38" s="12"/>
      <c r="AU38" s="12"/>
      <c r="AV38" s="11"/>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2:87" ht="24" customHeight="1" x14ac:dyDescent="0.2">
      <c r="B39" s="7">
        <f t="shared" si="4"/>
        <v>208</v>
      </c>
      <c r="C39" s="7" t="s">
        <v>135</v>
      </c>
      <c r="D39" s="7">
        <v>2</v>
      </c>
      <c r="E39" s="7">
        <v>1</v>
      </c>
      <c r="F39" s="7">
        <v>1</v>
      </c>
      <c r="G39" s="7">
        <v>1</v>
      </c>
      <c r="H39" s="7">
        <v>2</v>
      </c>
      <c r="I39" s="7" t="s">
        <v>136</v>
      </c>
      <c r="J39" s="9"/>
      <c r="K39" s="7" t="s">
        <v>2</v>
      </c>
      <c r="L39" s="6">
        <v>97</v>
      </c>
      <c r="M39" s="5"/>
      <c r="N39" s="6">
        <v>95</v>
      </c>
      <c r="O39" s="5"/>
      <c r="P39" s="6">
        <v>87</v>
      </c>
      <c r="Q39" s="6">
        <v>83</v>
      </c>
      <c r="R39" s="6">
        <v>83</v>
      </c>
      <c r="S39" s="6"/>
      <c r="T39" s="5"/>
      <c r="U39" s="6">
        <v>86</v>
      </c>
      <c r="V39" s="5"/>
      <c r="W39" s="6">
        <v>89</v>
      </c>
      <c r="X39" s="5"/>
      <c r="Y39" s="6">
        <v>97</v>
      </c>
      <c r="Z39" s="5"/>
      <c r="AA39" s="4">
        <f t="shared" si="0"/>
        <v>84.75</v>
      </c>
      <c r="AB39" s="4">
        <f t="shared" si="1"/>
        <v>91.458333333333329</v>
      </c>
      <c r="AC39" s="4">
        <f t="shared" si="2"/>
        <v>2.2715786238746931</v>
      </c>
      <c r="AD39" s="3"/>
      <c r="AE39" s="3"/>
      <c r="AF39" s="3"/>
      <c r="AG39" s="3"/>
      <c r="AH39" s="3"/>
    </row>
    <row r="40" spans="2:87" ht="24" customHeight="1" thickBot="1" x14ac:dyDescent="0.25">
      <c r="B40" s="15">
        <f t="shared" si="4"/>
        <v>208</v>
      </c>
      <c r="C40" s="15" t="s">
        <v>135</v>
      </c>
      <c r="D40" s="15">
        <v>2</v>
      </c>
      <c r="E40" s="15">
        <v>1</v>
      </c>
      <c r="F40" s="15">
        <v>1</v>
      </c>
      <c r="G40" s="15">
        <v>1</v>
      </c>
      <c r="H40" s="15">
        <v>2</v>
      </c>
      <c r="I40" s="15" t="s">
        <v>136</v>
      </c>
      <c r="J40" s="16"/>
      <c r="K40" s="15" t="s">
        <v>0</v>
      </c>
      <c r="L40" s="14">
        <v>83</v>
      </c>
      <c r="M40" s="13"/>
      <c r="N40" s="14">
        <v>81</v>
      </c>
      <c r="O40" s="13"/>
      <c r="P40" s="14">
        <v>77</v>
      </c>
      <c r="Q40" s="14">
        <v>81</v>
      </c>
      <c r="R40" s="14">
        <v>85</v>
      </c>
      <c r="S40" s="14"/>
      <c r="T40" s="13"/>
      <c r="U40" s="14">
        <v>76</v>
      </c>
      <c r="V40" s="13"/>
      <c r="W40" s="14">
        <v>84</v>
      </c>
      <c r="X40" s="13"/>
      <c r="Y40" s="14">
        <v>76</v>
      </c>
      <c r="Z40" s="13"/>
      <c r="AA40" s="4">
        <f t="shared" si="0"/>
        <v>79.75</v>
      </c>
      <c r="AB40" s="4">
        <f t="shared" si="1"/>
        <v>79.958333333333329</v>
      </c>
      <c r="AC40" s="4">
        <f t="shared" si="2"/>
        <v>1.3910677353904966</v>
      </c>
      <c r="AD40" s="3"/>
      <c r="AE40" s="3"/>
      <c r="AF40" s="3"/>
      <c r="AG40" s="3"/>
      <c r="AH40" s="3"/>
      <c r="AT40" s="12"/>
      <c r="AU40" s="12"/>
      <c r="AV40" s="11"/>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2:87" ht="24" customHeight="1" x14ac:dyDescent="0.2">
      <c r="B41" s="7">
        <f>B39+700</f>
        <v>908</v>
      </c>
      <c r="C41" s="7" t="s">
        <v>137</v>
      </c>
      <c r="D41" s="7">
        <v>21</v>
      </c>
      <c r="E41" s="7">
        <v>3</v>
      </c>
      <c r="F41" s="7">
        <v>2</v>
      </c>
      <c r="G41" s="7">
        <v>2</v>
      </c>
      <c r="H41" s="7">
        <v>2</v>
      </c>
      <c r="I41" s="7" t="s">
        <v>138</v>
      </c>
      <c r="J41" s="8"/>
      <c r="K41" s="7" t="s">
        <v>2</v>
      </c>
      <c r="L41" s="6"/>
      <c r="M41" s="5"/>
      <c r="N41" s="6"/>
      <c r="O41" s="5"/>
      <c r="P41" s="6"/>
      <c r="Q41" s="6"/>
      <c r="R41" s="6"/>
      <c r="S41" s="6"/>
      <c r="T41" s="5"/>
      <c r="U41" s="6"/>
      <c r="V41" s="5"/>
      <c r="W41" s="6"/>
      <c r="X41" s="5"/>
      <c r="Y41" s="6"/>
      <c r="Z41" s="5"/>
      <c r="AA41" s="4" t="e">
        <f t="shared" ref="AA41:AA48" si="5">AVERAGE(P41:T41)</f>
        <v>#DIV/0!</v>
      </c>
      <c r="AB41" s="4" t="e">
        <f t="shared" ref="AB41:AB48" si="6">AVERAGE(AVERAGE(L41:M41),AVERAGE(N41:O41),AVERAGE(P41:T41),AVERAGE(U41:V41),AVERAGE(W41:X41),AVERAGE(Y41:Z41))</f>
        <v>#DIV/0!</v>
      </c>
      <c r="AC41" s="4" t="e">
        <f t="shared" ref="AC41:AC48" si="7">STDEV(AVERAGE(L41:M41),AVERAGE(N41:O41),AVERAGE(P41:T41),AVERAGE(U41:V41),AVERAGE(W41:X41),AVERAGE(Y41:Z41))/SQRT(6)</f>
        <v>#DIV/0!</v>
      </c>
      <c r="AD41" s="3"/>
      <c r="AE41" s="3"/>
      <c r="AF41" s="3"/>
      <c r="AG41" s="3"/>
      <c r="AH41" s="3"/>
    </row>
    <row r="42" spans="2:87" ht="24" customHeight="1" thickBot="1" x14ac:dyDescent="0.25">
      <c r="B42" s="15">
        <f>B40+700</f>
        <v>908</v>
      </c>
      <c r="C42" s="15" t="s">
        <v>137</v>
      </c>
      <c r="D42" s="15">
        <v>21</v>
      </c>
      <c r="E42" s="15">
        <v>3</v>
      </c>
      <c r="F42" s="15">
        <v>2</v>
      </c>
      <c r="G42" s="15">
        <v>2</v>
      </c>
      <c r="H42" s="15">
        <v>2</v>
      </c>
      <c r="I42" s="15" t="s">
        <v>138</v>
      </c>
      <c r="J42" s="16"/>
      <c r="K42" s="15" t="s">
        <v>0</v>
      </c>
      <c r="L42" s="14"/>
      <c r="M42" s="13"/>
      <c r="N42" s="14"/>
      <c r="O42" s="13"/>
      <c r="P42" s="14"/>
      <c r="Q42" s="14"/>
      <c r="R42" s="14"/>
      <c r="S42" s="14"/>
      <c r="T42" s="13"/>
      <c r="U42" s="14"/>
      <c r="V42" s="13"/>
      <c r="W42" s="14"/>
      <c r="X42" s="13"/>
      <c r="Y42" s="14"/>
      <c r="Z42" s="13"/>
      <c r="AA42" s="4" t="e">
        <f t="shared" si="5"/>
        <v>#DIV/0!</v>
      </c>
      <c r="AB42" s="4" t="e">
        <f t="shared" si="6"/>
        <v>#DIV/0!</v>
      </c>
      <c r="AC42" s="4" t="e">
        <f t="shared" si="7"/>
        <v>#DIV/0!</v>
      </c>
      <c r="AD42" s="3"/>
      <c r="AE42" s="3"/>
      <c r="AF42" s="3"/>
      <c r="AG42" s="3"/>
      <c r="AH42" s="3"/>
      <c r="AT42" s="12"/>
      <c r="AU42" s="12"/>
      <c r="AV42" s="11"/>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2:87" ht="24" customHeight="1" x14ac:dyDescent="0.2">
      <c r="B43" s="7">
        <v>906</v>
      </c>
      <c r="C43" s="7" t="s">
        <v>139</v>
      </c>
      <c r="D43" s="7">
        <v>22</v>
      </c>
      <c r="E43" s="7">
        <v>4</v>
      </c>
      <c r="F43" s="7">
        <v>2</v>
      </c>
      <c r="G43" s="7">
        <v>2</v>
      </c>
      <c r="H43" s="7">
        <v>2</v>
      </c>
      <c r="I43" s="7" t="s">
        <v>140</v>
      </c>
      <c r="J43" s="9"/>
      <c r="K43" s="7" t="s">
        <v>2</v>
      </c>
      <c r="L43" s="6"/>
      <c r="M43" s="6"/>
      <c r="N43" s="6"/>
      <c r="O43" s="6"/>
      <c r="P43" s="6"/>
      <c r="Q43" s="6"/>
      <c r="R43" s="6"/>
      <c r="S43" s="6"/>
      <c r="T43" s="6"/>
      <c r="U43" s="6"/>
      <c r="V43" s="6"/>
      <c r="W43" s="6"/>
      <c r="X43" s="6"/>
      <c r="Y43" s="6"/>
      <c r="Z43" s="6"/>
      <c r="AA43" s="4" t="e">
        <f t="shared" si="5"/>
        <v>#DIV/0!</v>
      </c>
      <c r="AB43" s="4" t="e">
        <f t="shared" si="6"/>
        <v>#DIV/0!</v>
      </c>
      <c r="AC43" s="4" t="e">
        <f t="shared" si="7"/>
        <v>#DIV/0!</v>
      </c>
      <c r="AD43" s="3"/>
      <c r="AE43" s="3"/>
      <c r="AF43" s="3"/>
      <c r="AG43" s="3"/>
      <c r="AH43" s="3"/>
    </row>
    <row r="44" spans="2:87" ht="24" customHeight="1" thickBot="1" x14ac:dyDescent="0.25">
      <c r="B44" s="15">
        <v>906</v>
      </c>
      <c r="C44" s="15" t="s">
        <v>139</v>
      </c>
      <c r="D44" s="15">
        <v>22</v>
      </c>
      <c r="E44" s="15">
        <v>4</v>
      </c>
      <c r="F44" s="15">
        <v>2</v>
      </c>
      <c r="G44" s="15">
        <v>2</v>
      </c>
      <c r="H44" s="15">
        <v>2</v>
      </c>
      <c r="I44" s="15" t="s">
        <v>140</v>
      </c>
      <c r="J44" s="16"/>
      <c r="K44" s="15" t="s">
        <v>0</v>
      </c>
      <c r="L44" s="14"/>
      <c r="M44" s="13"/>
      <c r="N44" s="14"/>
      <c r="O44" s="13"/>
      <c r="P44" s="14"/>
      <c r="Q44" s="14"/>
      <c r="R44" s="14"/>
      <c r="S44" s="14"/>
      <c r="T44" s="13"/>
      <c r="U44" s="14"/>
      <c r="V44" s="13"/>
      <c r="W44" s="14"/>
      <c r="X44" s="13"/>
      <c r="Y44" s="14"/>
      <c r="Z44" s="13"/>
      <c r="AA44" s="4" t="e">
        <f t="shared" si="5"/>
        <v>#DIV/0!</v>
      </c>
      <c r="AB44" s="4" t="e">
        <f t="shared" si="6"/>
        <v>#DIV/0!</v>
      </c>
      <c r="AC44" s="4" t="e">
        <f t="shared" si="7"/>
        <v>#DIV/0!</v>
      </c>
      <c r="AD44" s="3"/>
      <c r="AE44" s="3"/>
      <c r="AF44" s="3"/>
      <c r="AG44" s="3"/>
      <c r="AH44" s="3"/>
      <c r="AT44" s="12"/>
      <c r="AU44" s="12"/>
      <c r="AV44" s="11"/>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2:87" ht="24" customHeight="1" x14ac:dyDescent="0.2">
      <c r="B45" s="7">
        <v>904</v>
      </c>
      <c r="C45" s="7" t="s">
        <v>137</v>
      </c>
      <c r="D45" s="7">
        <v>21</v>
      </c>
      <c r="E45" s="7">
        <v>3</v>
      </c>
      <c r="F45" s="7">
        <v>2</v>
      </c>
      <c r="G45" s="7">
        <v>2</v>
      </c>
      <c r="H45" s="7">
        <v>1</v>
      </c>
      <c r="I45" s="7" t="s">
        <v>141</v>
      </c>
      <c r="J45" s="9"/>
      <c r="K45" s="7" t="s">
        <v>2</v>
      </c>
      <c r="L45" s="6"/>
      <c r="M45" s="6"/>
      <c r="N45" s="6"/>
      <c r="O45" s="6"/>
      <c r="P45" s="6"/>
      <c r="Q45" s="6"/>
      <c r="R45" s="6"/>
      <c r="S45" s="6"/>
      <c r="T45" s="6"/>
      <c r="U45" s="6"/>
      <c r="V45" s="6"/>
      <c r="W45" s="6"/>
      <c r="X45" s="6"/>
      <c r="Y45" s="6"/>
      <c r="Z45" s="6"/>
      <c r="AA45" s="4" t="e">
        <f t="shared" si="5"/>
        <v>#DIV/0!</v>
      </c>
      <c r="AB45" s="4" t="e">
        <f t="shared" si="6"/>
        <v>#DIV/0!</v>
      </c>
      <c r="AC45" s="4" t="e">
        <f t="shared" si="7"/>
        <v>#DIV/0!</v>
      </c>
      <c r="AD45" s="3"/>
      <c r="AE45" s="3"/>
      <c r="AF45" s="3"/>
      <c r="AG45" s="3"/>
      <c r="AH45" s="3"/>
    </row>
    <row r="46" spans="2:87" ht="24" customHeight="1" thickBot="1" x14ac:dyDescent="0.25">
      <c r="B46" s="15">
        <v>904</v>
      </c>
      <c r="C46" s="15" t="s">
        <v>137</v>
      </c>
      <c r="D46" s="15">
        <v>21</v>
      </c>
      <c r="E46" s="15">
        <v>3</v>
      </c>
      <c r="F46" s="15">
        <v>2</v>
      </c>
      <c r="G46" s="15">
        <v>2</v>
      </c>
      <c r="H46" s="15">
        <v>1</v>
      </c>
      <c r="I46" s="15" t="s">
        <v>141</v>
      </c>
      <c r="J46" s="16"/>
      <c r="K46" s="15" t="s">
        <v>0</v>
      </c>
      <c r="L46" s="14"/>
      <c r="M46" s="13"/>
      <c r="N46" s="14"/>
      <c r="O46" s="13"/>
      <c r="P46" s="14"/>
      <c r="Q46" s="14"/>
      <c r="R46" s="14"/>
      <c r="S46" s="14"/>
      <c r="T46" s="13"/>
      <c r="U46" s="14"/>
      <c r="V46" s="13"/>
      <c r="W46" s="14"/>
      <c r="X46" s="13"/>
      <c r="Y46" s="14"/>
      <c r="Z46" s="13"/>
      <c r="AA46" s="4" t="e">
        <f t="shared" si="5"/>
        <v>#DIV/0!</v>
      </c>
      <c r="AB46" s="4" t="e">
        <f t="shared" si="6"/>
        <v>#DIV/0!</v>
      </c>
      <c r="AC46" s="4" t="e">
        <f t="shared" si="7"/>
        <v>#DIV/0!</v>
      </c>
      <c r="AD46" s="3"/>
      <c r="AE46" s="3"/>
      <c r="AF46" s="3"/>
      <c r="AG46" s="3"/>
      <c r="AH46" s="3"/>
      <c r="AT46" s="12"/>
      <c r="AU46" s="12"/>
      <c r="AV46" s="11"/>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2:87" ht="24" customHeight="1" x14ac:dyDescent="0.2">
      <c r="B47" s="7">
        <v>902</v>
      </c>
      <c r="C47" s="7" t="s">
        <v>139</v>
      </c>
      <c r="D47" s="7">
        <v>22</v>
      </c>
      <c r="E47" s="7">
        <v>4</v>
      </c>
      <c r="F47" s="7">
        <v>2</v>
      </c>
      <c r="G47" s="7">
        <v>2</v>
      </c>
      <c r="H47" s="7">
        <v>1</v>
      </c>
      <c r="I47" s="7" t="s">
        <v>142</v>
      </c>
      <c r="J47" s="9"/>
      <c r="K47" s="7" t="s">
        <v>2</v>
      </c>
      <c r="L47" s="6"/>
      <c r="M47" s="6"/>
      <c r="N47" s="6"/>
      <c r="O47" s="6"/>
      <c r="P47" s="6"/>
      <c r="Q47" s="6"/>
      <c r="R47" s="6"/>
      <c r="S47" s="6"/>
      <c r="T47" s="6"/>
      <c r="U47" s="6"/>
      <c r="V47" s="6"/>
      <c r="W47" s="6"/>
      <c r="X47" s="6"/>
      <c r="Y47" s="6"/>
      <c r="Z47" s="6"/>
      <c r="AA47" s="4" t="e">
        <f t="shared" si="5"/>
        <v>#DIV/0!</v>
      </c>
      <c r="AB47" s="4" t="e">
        <f t="shared" si="6"/>
        <v>#DIV/0!</v>
      </c>
      <c r="AC47" s="4" t="e">
        <f t="shared" si="7"/>
        <v>#DIV/0!</v>
      </c>
      <c r="AD47" s="3"/>
      <c r="AE47" s="3"/>
      <c r="AF47" s="3"/>
      <c r="AG47" s="3"/>
      <c r="AH47" s="3"/>
    </row>
    <row r="48" spans="2:87" ht="24" customHeight="1" thickBot="1" x14ac:dyDescent="0.25">
      <c r="B48" s="15">
        <v>902</v>
      </c>
      <c r="C48" s="15" t="s">
        <v>139</v>
      </c>
      <c r="D48" s="15">
        <v>22</v>
      </c>
      <c r="E48" s="15">
        <v>4</v>
      </c>
      <c r="F48" s="15">
        <v>2</v>
      </c>
      <c r="G48" s="15">
        <v>2</v>
      </c>
      <c r="H48" s="15">
        <v>1</v>
      </c>
      <c r="I48" s="15" t="s">
        <v>142</v>
      </c>
      <c r="J48" s="16"/>
      <c r="K48" s="15" t="s">
        <v>0</v>
      </c>
      <c r="L48" s="14"/>
      <c r="M48" s="13"/>
      <c r="N48" s="14"/>
      <c r="O48" s="13"/>
      <c r="P48" s="14"/>
      <c r="Q48" s="14"/>
      <c r="R48" s="14"/>
      <c r="S48" s="14"/>
      <c r="T48" s="13"/>
      <c r="U48" s="14"/>
      <c r="V48" s="13"/>
      <c r="W48" s="14"/>
      <c r="X48" s="13"/>
      <c r="Y48" s="14"/>
      <c r="Z48" s="13"/>
      <c r="AA48" s="4" t="e">
        <f t="shared" si="5"/>
        <v>#DIV/0!</v>
      </c>
      <c r="AB48" s="4" t="e">
        <f t="shared" si="6"/>
        <v>#DIV/0!</v>
      </c>
      <c r="AC48" s="4" t="e">
        <f t="shared" si="7"/>
        <v>#DIV/0!</v>
      </c>
      <c r="AD48" s="3"/>
      <c r="AE48" s="3"/>
      <c r="AF48" s="3"/>
      <c r="AG48" s="3"/>
      <c r="AH48" s="3"/>
      <c r="AT48" s="12"/>
      <c r="AU48" s="12"/>
      <c r="AV48" s="11"/>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2:87" ht="24" customHeight="1" x14ac:dyDescent="0.2">
      <c r="B49" s="7">
        <f>B47-601</f>
        <v>301</v>
      </c>
      <c r="C49" s="7" t="s">
        <v>113</v>
      </c>
      <c r="D49" s="7">
        <v>10</v>
      </c>
      <c r="E49" s="7">
        <v>2</v>
      </c>
      <c r="F49" s="7">
        <v>2</v>
      </c>
      <c r="G49" s="7">
        <v>1</v>
      </c>
      <c r="H49" s="7">
        <v>3</v>
      </c>
      <c r="I49" s="7" t="s">
        <v>143</v>
      </c>
      <c r="J49" s="8">
        <v>0.48888888888888887</v>
      </c>
      <c r="K49" s="7" t="s">
        <v>2</v>
      </c>
      <c r="L49" s="6">
        <v>102</v>
      </c>
      <c r="M49" s="6"/>
      <c r="N49" s="6">
        <v>101</v>
      </c>
      <c r="O49" s="6"/>
      <c r="P49" s="6">
        <v>111</v>
      </c>
      <c r="Q49" s="6">
        <v>104</v>
      </c>
      <c r="R49" s="6">
        <v>102</v>
      </c>
      <c r="S49" s="6"/>
      <c r="T49" s="6"/>
      <c r="U49" s="6">
        <v>96</v>
      </c>
      <c r="V49" s="6"/>
      <c r="W49" s="6">
        <v>109</v>
      </c>
      <c r="X49" s="6"/>
      <c r="Y49" s="6">
        <v>97</v>
      </c>
      <c r="Z49" s="6"/>
      <c r="AA49" s="4">
        <f t="shared" ref="AA49:AA80" si="8">AVERAGE(P49:U49)</f>
        <v>103.25</v>
      </c>
      <c r="AB49" s="4">
        <f t="shared" ref="AB49:AB72" si="9">AVERAGE(AVERAGE(L49:M49),AVERAGE(N49:O49),AVERAGE(P49:U49),AVERAGE(U49:V49),AVERAGE(W49:X49),AVERAGE(Y49:Z49))</f>
        <v>101.375</v>
      </c>
      <c r="AC49" s="4">
        <f t="shared" ref="AC49:AC80" si="10">STDEV(AVERAGE(L49:M49),AVERAGE(N49:O49),AVERAGE(P49:U49),AVERAGE(U49:V49),AVERAGE(W49:X49),AVERAGE(Y49:Z49))/SQRT(6)</f>
        <v>1.9167572442365606</v>
      </c>
      <c r="AT49" s="12">
        <v>2</v>
      </c>
      <c r="AU49" s="12" t="s">
        <v>3</v>
      </c>
      <c r="AV49" s="12">
        <v>150</v>
      </c>
    </row>
    <row r="50" spans="2:87" ht="24" customHeight="1" thickBot="1" x14ac:dyDescent="0.25">
      <c r="B50" s="15">
        <f>B48-601</f>
        <v>301</v>
      </c>
      <c r="C50" s="15" t="s">
        <v>113</v>
      </c>
      <c r="D50" s="15">
        <v>10</v>
      </c>
      <c r="E50" s="15">
        <v>2</v>
      </c>
      <c r="F50" s="15">
        <v>2</v>
      </c>
      <c r="G50" s="15">
        <v>1</v>
      </c>
      <c r="H50" s="15">
        <v>3</v>
      </c>
      <c r="I50" s="15" t="s">
        <v>143</v>
      </c>
      <c r="J50" s="16"/>
      <c r="K50" s="15" t="s">
        <v>0</v>
      </c>
      <c r="L50" s="14">
        <v>89</v>
      </c>
      <c r="M50" s="13"/>
      <c r="N50" s="14">
        <v>87</v>
      </c>
      <c r="O50" s="13"/>
      <c r="P50" s="14">
        <v>85</v>
      </c>
      <c r="Q50" s="14">
        <v>90</v>
      </c>
      <c r="R50" s="14">
        <v>92</v>
      </c>
      <c r="S50" s="14"/>
      <c r="T50" s="13"/>
      <c r="U50" s="14">
        <v>95</v>
      </c>
      <c r="V50" s="13"/>
      <c r="W50" s="14">
        <v>89</v>
      </c>
      <c r="X50" s="13"/>
      <c r="Y50" s="14">
        <v>85</v>
      </c>
      <c r="Z50" s="13"/>
      <c r="AA50" s="4">
        <f t="shared" si="8"/>
        <v>90.5</v>
      </c>
      <c r="AB50" s="4">
        <f t="shared" si="9"/>
        <v>89.25</v>
      </c>
      <c r="AC50" s="4">
        <f t="shared" si="10"/>
        <v>1.3889444433333777</v>
      </c>
      <c r="AD50" s="3"/>
      <c r="AE50" s="3"/>
      <c r="AF50" s="3"/>
      <c r="AG50" s="3"/>
      <c r="AH50" s="3"/>
      <c r="AT50" s="12"/>
      <c r="AU50" s="12"/>
      <c r="AV50" s="11"/>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2:87" ht="24" customHeight="1" x14ac:dyDescent="0.2">
      <c r="B51" s="7">
        <f t="shared" ref="B51:B64" si="11">B49+1</f>
        <v>302</v>
      </c>
      <c r="C51" s="7" t="s">
        <v>122</v>
      </c>
      <c r="D51" s="7">
        <v>4</v>
      </c>
      <c r="E51" s="7">
        <v>1</v>
      </c>
      <c r="F51" s="7">
        <v>2</v>
      </c>
      <c r="G51" s="7">
        <v>1</v>
      </c>
      <c r="H51" s="7">
        <v>3</v>
      </c>
      <c r="I51" s="7" t="s">
        <v>144</v>
      </c>
      <c r="J51" s="9"/>
      <c r="K51" s="7" t="s">
        <v>2</v>
      </c>
      <c r="L51" s="6">
        <v>84</v>
      </c>
      <c r="M51" s="6"/>
      <c r="N51" s="6">
        <v>94</v>
      </c>
      <c r="O51" s="6"/>
      <c r="P51" s="6">
        <v>105</v>
      </c>
      <c r="Q51" s="6">
        <v>93</v>
      </c>
      <c r="R51" s="6">
        <v>97</v>
      </c>
      <c r="S51" s="6"/>
      <c r="T51" s="6"/>
      <c r="U51" s="6">
        <v>76</v>
      </c>
      <c r="V51" s="6"/>
      <c r="W51" s="6">
        <v>84</v>
      </c>
      <c r="X51" s="6"/>
      <c r="Y51" s="6">
        <v>73</v>
      </c>
      <c r="Z51" s="6"/>
      <c r="AA51" s="4">
        <f t="shared" si="8"/>
        <v>92.75</v>
      </c>
      <c r="AB51" s="4">
        <f t="shared" si="9"/>
        <v>83.958333333333329</v>
      </c>
      <c r="AC51" s="4">
        <f t="shared" si="10"/>
        <v>3.4715610481613477</v>
      </c>
      <c r="AD51" s="3"/>
      <c r="AE51" s="3"/>
      <c r="AF51" s="3"/>
      <c r="AG51" s="3"/>
      <c r="AH51" s="3"/>
    </row>
    <row r="52" spans="2:87" ht="24" customHeight="1" thickBot="1" x14ac:dyDescent="0.25">
      <c r="B52" s="15">
        <f t="shared" si="11"/>
        <v>302</v>
      </c>
      <c r="C52" s="15" t="s">
        <v>122</v>
      </c>
      <c r="D52" s="15">
        <v>4</v>
      </c>
      <c r="E52" s="15">
        <v>1</v>
      </c>
      <c r="F52" s="15">
        <v>2</v>
      </c>
      <c r="G52" s="15">
        <v>1</v>
      </c>
      <c r="H52" s="15">
        <v>3</v>
      </c>
      <c r="I52" s="15" t="s">
        <v>144</v>
      </c>
      <c r="J52" s="16"/>
      <c r="K52" s="15" t="s">
        <v>0</v>
      </c>
      <c r="L52" s="14">
        <v>83</v>
      </c>
      <c r="M52" s="13"/>
      <c r="N52" s="14">
        <v>96</v>
      </c>
      <c r="O52" s="13"/>
      <c r="P52" s="14">
        <v>87</v>
      </c>
      <c r="Q52" s="14">
        <v>89</v>
      </c>
      <c r="R52" s="14">
        <v>83</v>
      </c>
      <c r="S52" s="14"/>
      <c r="T52" s="13"/>
      <c r="U52" s="14">
        <v>78</v>
      </c>
      <c r="V52" s="13"/>
      <c r="W52" s="14">
        <v>82</v>
      </c>
      <c r="X52" s="13"/>
      <c r="Y52" s="14">
        <v>79</v>
      </c>
      <c r="Z52" s="13"/>
      <c r="AA52" s="4">
        <f t="shared" si="8"/>
        <v>84.25</v>
      </c>
      <c r="AB52" s="4">
        <f t="shared" si="9"/>
        <v>83.708333333333329</v>
      </c>
      <c r="AC52" s="4">
        <f t="shared" si="10"/>
        <v>2.6429281950980901</v>
      </c>
      <c r="AD52" s="3"/>
      <c r="AE52" s="3"/>
      <c r="AF52" s="3"/>
      <c r="AG52" s="3"/>
      <c r="AH52" s="3"/>
      <c r="AT52" s="12"/>
      <c r="AU52" s="12"/>
      <c r="AV52" s="11"/>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2:87" ht="24" customHeight="1" x14ac:dyDescent="0.2">
      <c r="B53" s="7">
        <f t="shared" si="11"/>
        <v>303</v>
      </c>
      <c r="C53" s="7" t="s">
        <v>132</v>
      </c>
      <c r="D53" s="7">
        <v>8</v>
      </c>
      <c r="E53" s="7">
        <v>2</v>
      </c>
      <c r="F53" s="7">
        <v>1</v>
      </c>
      <c r="G53" s="7">
        <v>1</v>
      </c>
      <c r="H53" s="7">
        <v>3</v>
      </c>
      <c r="I53" s="7" t="s">
        <v>145</v>
      </c>
      <c r="J53" s="9"/>
      <c r="K53" s="7" t="s">
        <v>2</v>
      </c>
      <c r="L53" s="6">
        <v>95</v>
      </c>
      <c r="M53" s="6"/>
      <c r="N53" s="6">
        <v>79</v>
      </c>
      <c r="O53" s="6"/>
      <c r="P53" s="6">
        <v>95</v>
      </c>
      <c r="Q53" s="6">
        <v>75</v>
      </c>
      <c r="R53" s="6">
        <v>83</v>
      </c>
      <c r="S53" s="6"/>
      <c r="T53" s="6"/>
      <c r="U53" s="6">
        <v>78</v>
      </c>
      <c r="V53" s="6"/>
      <c r="W53" s="6">
        <v>87</v>
      </c>
      <c r="X53" s="6"/>
      <c r="Y53" s="6">
        <v>92</v>
      </c>
      <c r="Z53" s="6"/>
      <c r="AA53" s="4">
        <f t="shared" si="8"/>
        <v>82.75</v>
      </c>
      <c r="AB53" s="4">
        <f t="shared" si="9"/>
        <v>85.625</v>
      </c>
      <c r="AC53" s="4">
        <f t="shared" si="10"/>
        <v>2.8326592335353955</v>
      </c>
      <c r="AD53" s="3"/>
      <c r="AE53" s="3"/>
      <c r="AF53" s="3"/>
      <c r="AG53" s="3"/>
      <c r="AH53" s="3"/>
    </row>
    <row r="54" spans="2:87" ht="24" customHeight="1" thickBot="1" x14ac:dyDescent="0.25">
      <c r="B54" s="15">
        <f t="shared" si="11"/>
        <v>303</v>
      </c>
      <c r="C54" s="15" t="s">
        <v>132</v>
      </c>
      <c r="D54" s="15">
        <v>8</v>
      </c>
      <c r="E54" s="15">
        <v>2</v>
      </c>
      <c r="F54" s="15">
        <v>1</v>
      </c>
      <c r="G54" s="15">
        <v>1</v>
      </c>
      <c r="H54" s="15">
        <v>3</v>
      </c>
      <c r="I54" s="15" t="s">
        <v>145</v>
      </c>
      <c r="J54" s="16"/>
      <c r="K54" s="15" t="s">
        <v>0</v>
      </c>
      <c r="L54" s="14">
        <v>89</v>
      </c>
      <c r="M54" s="13"/>
      <c r="N54" s="14">
        <v>78</v>
      </c>
      <c r="O54" s="13"/>
      <c r="P54" s="14">
        <v>78</v>
      </c>
      <c r="Q54" s="14">
        <v>76</v>
      </c>
      <c r="R54" s="14">
        <v>77</v>
      </c>
      <c r="S54" s="14"/>
      <c r="T54" s="13"/>
      <c r="U54" s="14">
        <v>85</v>
      </c>
      <c r="V54" s="13"/>
      <c r="W54" s="14">
        <v>98</v>
      </c>
      <c r="X54" s="13"/>
      <c r="Y54" s="14">
        <v>81</v>
      </c>
      <c r="Z54" s="13"/>
      <c r="AA54" s="4">
        <f t="shared" si="8"/>
        <v>79</v>
      </c>
      <c r="AB54" s="4">
        <f t="shared" si="9"/>
        <v>85</v>
      </c>
      <c r="AC54" s="4">
        <f t="shared" si="10"/>
        <v>3.0876096471758436</v>
      </c>
      <c r="AD54" s="3"/>
      <c r="AE54" s="3"/>
      <c r="AF54" s="3"/>
      <c r="AG54" s="3"/>
      <c r="AH54" s="3"/>
      <c r="AT54" s="12"/>
      <c r="AU54" s="12"/>
      <c r="AV54" s="11"/>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2:87" ht="24" customHeight="1" x14ac:dyDescent="0.2">
      <c r="B55" s="7">
        <f t="shared" si="11"/>
        <v>304</v>
      </c>
      <c r="C55" s="7" t="s">
        <v>135</v>
      </c>
      <c r="D55" s="7">
        <v>2</v>
      </c>
      <c r="E55" s="7">
        <v>1</v>
      </c>
      <c r="F55" s="7">
        <v>1</v>
      </c>
      <c r="G55" s="7">
        <v>1</v>
      </c>
      <c r="H55" s="7">
        <v>3</v>
      </c>
      <c r="I55" s="7" t="s">
        <v>146</v>
      </c>
      <c r="J55" s="9"/>
      <c r="K55" s="7" t="s">
        <v>2</v>
      </c>
      <c r="L55" s="6">
        <v>104</v>
      </c>
      <c r="M55" s="6"/>
      <c r="N55" s="6">
        <v>82</v>
      </c>
      <c r="O55" s="6"/>
      <c r="P55" s="6">
        <v>99</v>
      </c>
      <c r="Q55" s="6">
        <v>96</v>
      </c>
      <c r="R55" s="6">
        <v>96</v>
      </c>
      <c r="S55" s="6"/>
      <c r="T55" s="6"/>
      <c r="U55" s="6">
        <v>98</v>
      </c>
      <c r="V55" s="6"/>
      <c r="W55" s="6">
        <v>82</v>
      </c>
      <c r="X55" s="6"/>
      <c r="Y55" s="6">
        <v>84</v>
      </c>
      <c r="Z55" s="6"/>
      <c r="AA55" s="4">
        <f t="shared" si="8"/>
        <v>97.25</v>
      </c>
      <c r="AB55" s="4">
        <f t="shared" si="9"/>
        <v>91.208333333333329</v>
      </c>
      <c r="AC55" s="4">
        <f t="shared" si="10"/>
        <v>3.948848284978518</v>
      </c>
      <c r="AD55" s="3"/>
      <c r="AE55" s="3"/>
      <c r="AF55" s="3"/>
      <c r="AG55" s="3"/>
      <c r="AH55" s="3"/>
    </row>
    <row r="56" spans="2:87" ht="24" customHeight="1" thickBot="1" x14ac:dyDescent="0.25">
      <c r="B56" s="15">
        <f t="shared" si="11"/>
        <v>304</v>
      </c>
      <c r="C56" s="15" t="s">
        <v>135</v>
      </c>
      <c r="D56" s="15">
        <v>2</v>
      </c>
      <c r="E56" s="15">
        <v>1</v>
      </c>
      <c r="F56" s="15">
        <v>1</v>
      </c>
      <c r="G56" s="15">
        <v>1</v>
      </c>
      <c r="H56" s="15">
        <v>3</v>
      </c>
      <c r="I56" s="15" t="s">
        <v>146</v>
      </c>
      <c r="J56" s="16"/>
      <c r="K56" s="15" t="s">
        <v>0</v>
      </c>
      <c r="L56" s="14">
        <v>86</v>
      </c>
      <c r="M56" s="13"/>
      <c r="N56" s="14">
        <v>87</v>
      </c>
      <c r="O56" s="13"/>
      <c r="P56" s="14">
        <v>83</v>
      </c>
      <c r="Q56" s="14">
        <v>81</v>
      </c>
      <c r="R56" s="14">
        <v>92</v>
      </c>
      <c r="S56" s="14"/>
      <c r="T56" s="13"/>
      <c r="U56" s="14">
        <v>92</v>
      </c>
      <c r="V56" s="13"/>
      <c r="W56" s="14">
        <v>82</v>
      </c>
      <c r="X56" s="13"/>
      <c r="Y56" s="14">
        <v>73</v>
      </c>
      <c r="Z56" s="13"/>
      <c r="AA56" s="4">
        <f t="shared" si="8"/>
        <v>87</v>
      </c>
      <c r="AB56" s="4">
        <f t="shared" si="9"/>
        <v>84.5</v>
      </c>
      <c r="AC56" s="4">
        <f t="shared" si="10"/>
        <v>2.6425997300638127</v>
      </c>
      <c r="AD56" s="3"/>
      <c r="AE56" s="3"/>
      <c r="AF56" s="3"/>
      <c r="AG56" s="3"/>
      <c r="AH56" s="3"/>
      <c r="AT56" s="12"/>
      <c r="AU56" s="12"/>
      <c r="AV56" s="11"/>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2:87" ht="24" customHeight="1" thickBot="1" x14ac:dyDescent="0.25">
      <c r="B57" s="7">
        <f t="shared" si="11"/>
        <v>305</v>
      </c>
      <c r="C57" s="7" t="s">
        <v>129</v>
      </c>
      <c r="D57" s="7">
        <v>11</v>
      </c>
      <c r="E57" s="7">
        <v>2</v>
      </c>
      <c r="F57" s="7">
        <v>3</v>
      </c>
      <c r="G57" s="7">
        <v>2</v>
      </c>
      <c r="H57" s="7">
        <v>4</v>
      </c>
      <c r="I57" s="7" t="s">
        <v>147</v>
      </c>
      <c r="J57" s="16"/>
      <c r="K57" s="7" t="s">
        <v>2</v>
      </c>
      <c r="L57" s="6">
        <v>118</v>
      </c>
      <c r="M57" s="6"/>
      <c r="N57" s="6">
        <v>114</v>
      </c>
      <c r="O57" s="6"/>
      <c r="P57" s="6">
        <v>106</v>
      </c>
      <c r="Q57" s="6">
        <v>100</v>
      </c>
      <c r="R57" s="6">
        <v>97</v>
      </c>
      <c r="S57" s="6"/>
      <c r="T57" s="6"/>
      <c r="U57" s="6">
        <v>104</v>
      </c>
      <c r="V57" s="6"/>
      <c r="W57" s="6">
        <v>99</v>
      </c>
      <c r="X57" s="6"/>
      <c r="Y57" s="6">
        <v>106</v>
      </c>
      <c r="Z57" s="6"/>
      <c r="AA57" s="4">
        <f t="shared" si="8"/>
        <v>101.75</v>
      </c>
      <c r="AB57" s="4">
        <f t="shared" si="9"/>
        <v>107.125</v>
      </c>
      <c r="AC57" s="4">
        <f t="shared" si="10"/>
        <v>3.0081486554579273</v>
      </c>
      <c r="AD57" s="3"/>
      <c r="AE57" s="3"/>
      <c r="AF57" s="3"/>
      <c r="AG57" s="3"/>
      <c r="AH57" s="3"/>
    </row>
    <row r="58" spans="2:87" ht="24" customHeight="1" thickBot="1" x14ac:dyDescent="0.25">
      <c r="B58" s="15">
        <f t="shared" si="11"/>
        <v>305</v>
      </c>
      <c r="C58" s="15" t="s">
        <v>129</v>
      </c>
      <c r="D58" s="15">
        <v>11</v>
      </c>
      <c r="E58" s="15">
        <v>2</v>
      </c>
      <c r="F58" s="15">
        <v>3</v>
      </c>
      <c r="G58" s="15">
        <v>2</v>
      </c>
      <c r="H58" s="15">
        <v>4</v>
      </c>
      <c r="I58" s="15" t="s">
        <v>147</v>
      </c>
      <c r="J58" s="16"/>
      <c r="K58" s="15" t="s">
        <v>0</v>
      </c>
      <c r="L58" s="14">
        <v>108</v>
      </c>
      <c r="M58" s="13"/>
      <c r="N58" s="14">
        <v>96</v>
      </c>
      <c r="O58" s="13"/>
      <c r="P58" s="14">
        <v>87</v>
      </c>
      <c r="Q58" s="14">
        <v>88</v>
      </c>
      <c r="R58" s="14">
        <v>91</v>
      </c>
      <c r="S58" s="14"/>
      <c r="T58" s="13"/>
      <c r="U58" s="14">
        <v>97</v>
      </c>
      <c r="V58" s="13"/>
      <c r="W58" s="14">
        <v>80</v>
      </c>
      <c r="X58" s="13"/>
      <c r="Y58" s="14">
        <v>92</v>
      </c>
      <c r="Z58" s="13"/>
      <c r="AA58" s="4">
        <f t="shared" si="8"/>
        <v>90.75</v>
      </c>
      <c r="AB58" s="4">
        <f t="shared" si="9"/>
        <v>93.958333333333329</v>
      </c>
      <c r="AC58" s="4">
        <f t="shared" si="10"/>
        <v>3.7396616751311136</v>
      </c>
      <c r="AD58" s="3"/>
      <c r="AE58" s="3"/>
      <c r="AF58" s="3"/>
      <c r="AG58" s="3"/>
      <c r="AH58" s="3"/>
      <c r="AT58" s="12"/>
      <c r="AU58" s="12"/>
      <c r="AV58" s="11"/>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2:87" ht="24" customHeight="1" x14ac:dyDescent="0.2">
      <c r="B59" s="7">
        <f t="shared" si="11"/>
        <v>306</v>
      </c>
      <c r="C59" s="7" t="s">
        <v>122</v>
      </c>
      <c r="D59" s="7">
        <v>4</v>
      </c>
      <c r="E59" s="7">
        <v>1</v>
      </c>
      <c r="F59" s="7">
        <v>2</v>
      </c>
      <c r="G59" s="7">
        <v>1</v>
      </c>
      <c r="H59" s="7">
        <v>4</v>
      </c>
      <c r="I59" s="7" t="s">
        <v>148</v>
      </c>
      <c r="J59" s="9"/>
      <c r="K59" s="7" t="s">
        <v>2</v>
      </c>
      <c r="L59" s="6">
        <v>99</v>
      </c>
      <c r="M59" s="6"/>
      <c r="N59" s="6">
        <v>84</v>
      </c>
      <c r="O59" s="6"/>
      <c r="P59" s="6">
        <v>105</v>
      </c>
      <c r="Q59" s="6">
        <v>93</v>
      </c>
      <c r="R59" s="6">
        <v>96</v>
      </c>
      <c r="S59" s="6"/>
      <c r="T59" s="6"/>
      <c r="U59" s="6">
        <v>104</v>
      </c>
      <c r="V59" s="6"/>
      <c r="W59" s="6">
        <v>76</v>
      </c>
      <c r="X59" s="6"/>
      <c r="Y59" s="6">
        <v>96</v>
      </c>
      <c r="Z59" s="6"/>
      <c r="AA59" s="4">
        <f t="shared" si="8"/>
        <v>99.5</v>
      </c>
      <c r="AB59" s="4">
        <f t="shared" si="9"/>
        <v>93.083333333333329</v>
      </c>
      <c r="AC59" s="4">
        <f t="shared" si="10"/>
        <v>4.3901721049534261</v>
      </c>
      <c r="AD59" s="3"/>
      <c r="AE59" s="3"/>
      <c r="AF59" s="3"/>
      <c r="AG59" s="3"/>
      <c r="AH59" s="3"/>
    </row>
    <row r="60" spans="2:87" ht="24" customHeight="1" thickBot="1" x14ac:dyDescent="0.25">
      <c r="B60" s="15">
        <f t="shared" si="11"/>
        <v>306</v>
      </c>
      <c r="C60" s="15" t="s">
        <v>122</v>
      </c>
      <c r="D60" s="15">
        <v>4</v>
      </c>
      <c r="E60" s="15">
        <v>1</v>
      </c>
      <c r="F60" s="15">
        <v>2</v>
      </c>
      <c r="G60" s="15">
        <v>1</v>
      </c>
      <c r="H60" s="15">
        <v>4</v>
      </c>
      <c r="I60" s="15" t="s">
        <v>148</v>
      </c>
      <c r="J60" s="16"/>
      <c r="K60" s="15" t="s">
        <v>0</v>
      </c>
      <c r="L60" s="14">
        <v>88</v>
      </c>
      <c r="M60" s="13"/>
      <c r="N60" s="14">
        <v>91</v>
      </c>
      <c r="O60" s="13"/>
      <c r="P60" s="14">
        <v>77</v>
      </c>
      <c r="Q60" s="14">
        <v>94</v>
      </c>
      <c r="R60" s="14">
        <v>74</v>
      </c>
      <c r="S60" s="14"/>
      <c r="T60" s="13"/>
      <c r="U60" s="14">
        <v>84</v>
      </c>
      <c r="V60" s="13"/>
      <c r="W60" s="14">
        <v>93</v>
      </c>
      <c r="X60" s="13"/>
      <c r="Y60" s="14">
        <v>91</v>
      </c>
      <c r="Z60" s="13"/>
      <c r="AA60" s="4">
        <f t="shared" si="8"/>
        <v>82.25</v>
      </c>
      <c r="AB60" s="4">
        <f t="shared" si="9"/>
        <v>88.208333333333329</v>
      </c>
      <c r="AC60" s="4">
        <f t="shared" si="10"/>
        <v>1.7493054177142551</v>
      </c>
      <c r="AD60" s="3"/>
      <c r="AE60" s="3"/>
      <c r="AF60" s="3"/>
      <c r="AG60" s="3"/>
      <c r="AH60" s="3"/>
      <c r="AT60" s="12"/>
      <c r="AU60" s="12"/>
      <c r="AV60" s="11"/>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2:87" ht="24" customHeight="1" x14ac:dyDescent="0.2">
      <c r="B61" s="7">
        <f t="shared" si="11"/>
        <v>307</v>
      </c>
      <c r="C61" s="7" t="s">
        <v>115</v>
      </c>
      <c r="D61" s="7">
        <v>9</v>
      </c>
      <c r="E61" s="7">
        <v>2</v>
      </c>
      <c r="F61" s="7">
        <v>2</v>
      </c>
      <c r="G61" s="7">
        <v>2</v>
      </c>
      <c r="H61" s="7">
        <v>4</v>
      </c>
      <c r="I61" s="7" t="s">
        <v>149</v>
      </c>
      <c r="J61" s="9"/>
      <c r="K61" s="7" t="s">
        <v>2</v>
      </c>
      <c r="L61" s="6">
        <v>98</v>
      </c>
      <c r="M61" s="5"/>
      <c r="N61" s="6">
        <v>96</v>
      </c>
      <c r="O61" s="5"/>
      <c r="P61" s="6">
        <v>98</v>
      </c>
      <c r="Q61" s="6">
        <v>97</v>
      </c>
      <c r="R61" s="6">
        <v>93</v>
      </c>
      <c r="S61" s="6"/>
      <c r="T61" s="5"/>
      <c r="U61" s="6">
        <v>101</v>
      </c>
      <c r="V61" s="5"/>
      <c r="W61" s="6">
        <v>98</v>
      </c>
      <c r="X61" s="5"/>
      <c r="Y61" s="6">
        <v>101</v>
      </c>
      <c r="Z61" s="5"/>
      <c r="AA61" s="4">
        <f t="shared" si="8"/>
        <v>97.25</v>
      </c>
      <c r="AB61" s="4">
        <f t="shared" si="9"/>
        <v>98.541666666666671</v>
      </c>
      <c r="AC61" s="4">
        <f t="shared" si="10"/>
        <v>0.83270809878238716</v>
      </c>
      <c r="AD61" s="3"/>
      <c r="AE61" s="3"/>
      <c r="AF61" s="3"/>
      <c r="AG61" s="3"/>
      <c r="AH61" s="3"/>
    </row>
    <row r="62" spans="2:87" ht="24" customHeight="1" thickBot="1" x14ac:dyDescent="0.25">
      <c r="B62" s="15">
        <f t="shared" si="11"/>
        <v>307</v>
      </c>
      <c r="C62" s="15" t="s">
        <v>115</v>
      </c>
      <c r="D62" s="15">
        <v>9</v>
      </c>
      <c r="E62" s="15">
        <v>2</v>
      </c>
      <c r="F62" s="15">
        <v>2</v>
      </c>
      <c r="G62" s="15">
        <v>2</v>
      </c>
      <c r="H62" s="15">
        <v>4</v>
      </c>
      <c r="I62" s="15" t="s">
        <v>149</v>
      </c>
      <c r="J62" s="16"/>
      <c r="K62" s="15" t="s">
        <v>0</v>
      </c>
      <c r="L62" s="14">
        <v>93</v>
      </c>
      <c r="M62" s="13"/>
      <c r="N62" s="14">
        <v>92</v>
      </c>
      <c r="O62" s="13"/>
      <c r="P62" s="14">
        <v>93</v>
      </c>
      <c r="Q62" s="14">
        <v>101</v>
      </c>
      <c r="R62" s="14">
        <v>97</v>
      </c>
      <c r="S62" s="14"/>
      <c r="T62" s="13"/>
      <c r="U62" s="14">
        <v>93</v>
      </c>
      <c r="V62" s="13"/>
      <c r="W62" s="14">
        <v>94</v>
      </c>
      <c r="X62" s="13"/>
      <c r="Y62" s="14">
        <v>96</v>
      </c>
      <c r="Z62" s="13"/>
      <c r="AA62" s="4">
        <f t="shared" si="8"/>
        <v>96</v>
      </c>
      <c r="AB62" s="4">
        <f t="shared" si="9"/>
        <v>94</v>
      </c>
      <c r="AC62" s="4">
        <f t="shared" si="10"/>
        <v>0.68313005106397329</v>
      </c>
      <c r="AD62" s="3"/>
      <c r="AE62" s="3"/>
      <c r="AF62" s="3"/>
      <c r="AG62" s="3"/>
      <c r="AH62" s="3"/>
      <c r="AT62" s="12"/>
      <c r="AU62" s="12"/>
      <c r="AV62" s="11"/>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2:87" ht="24" customHeight="1" x14ac:dyDescent="0.2">
      <c r="B63" s="7">
        <f t="shared" si="11"/>
        <v>308</v>
      </c>
      <c r="C63" s="7" t="s">
        <v>120</v>
      </c>
      <c r="D63" s="7">
        <v>5</v>
      </c>
      <c r="E63" s="7">
        <v>1</v>
      </c>
      <c r="F63" s="7">
        <v>3</v>
      </c>
      <c r="G63" s="7">
        <v>2</v>
      </c>
      <c r="H63" s="7">
        <v>4</v>
      </c>
      <c r="I63" s="7" t="s">
        <v>150</v>
      </c>
      <c r="J63" s="9"/>
      <c r="K63" s="7" t="s">
        <v>2</v>
      </c>
      <c r="L63" s="6">
        <v>109</v>
      </c>
      <c r="M63" s="5"/>
      <c r="N63" s="6">
        <v>96</v>
      </c>
      <c r="O63" s="5"/>
      <c r="P63" s="6">
        <v>93</v>
      </c>
      <c r="Q63" s="6">
        <v>109</v>
      </c>
      <c r="R63" s="6">
        <v>94</v>
      </c>
      <c r="S63" s="6"/>
      <c r="T63" s="5"/>
      <c r="U63" s="6">
        <v>106</v>
      </c>
      <c r="V63" s="5"/>
      <c r="W63" s="6">
        <v>107</v>
      </c>
      <c r="X63" s="5"/>
      <c r="Y63" s="6">
        <v>98</v>
      </c>
      <c r="Z63" s="5"/>
      <c r="AA63" s="4">
        <f t="shared" si="8"/>
        <v>100.5</v>
      </c>
      <c r="AB63" s="4">
        <f t="shared" si="9"/>
        <v>102.75</v>
      </c>
      <c r="AC63" s="4">
        <f t="shared" si="10"/>
        <v>2.166987155784116</v>
      </c>
      <c r="AD63" s="3"/>
      <c r="AE63" s="3"/>
      <c r="AF63" s="3"/>
      <c r="AG63" s="3"/>
      <c r="AH63" s="3"/>
    </row>
    <row r="64" spans="2:87" ht="24" customHeight="1" x14ac:dyDescent="0.2">
      <c r="B64" s="7">
        <f t="shared" si="11"/>
        <v>308</v>
      </c>
      <c r="C64" s="7" t="s">
        <v>120</v>
      </c>
      <c r="D64" s="7">
        <v>5</v>
      </c>
      <c r="E64" s="7">
        <v>1</v>
      </c>
      <c r="F64" s="7">
        <v>3</v>
      </c>
      <c r="G64" s="7">
        <v>2</v>
      </c>
      <c r="H64" s="7">
        <v>4</v>
      </c>
      <c r="I64" s="7" t="s">
        <v>150</v>
      </c>
      <c r="J64" s="9"/>
      <c r="K64" s="7" t="s">
        <v>0</v>
      </c>
      <c r="L64" s="6">
        <v>74</v>
      </c>
      <c r="M64" s="6"/>
      <c r="N64" s="6">
        <v>81</v>
      </c>
      <c r="O64" s="6"/>
      <c r="P64" s="6">
        <v>75</v>
      </c>
      <c r="Q64" s="6">
        <v>68</v>
      </c>
      <c r="R64" s="6">
        <v>78</v>
      </c>
      <c r="S64" s="6"/>
      <c r="T64" s="6"/>
      <c r="U64" s="6">
        <v>76</v>
      </c>
      <c r="V64" s="6"/>
      <c r="W64" s="6">
        <v>82</v>
      </c>
      <c r="X64" s="6"/>
      <c r="Y64" s="6">
        <v>72</v>
      </c>
      <c r="Z64" s="6"/>
      <c r="AA64" s="4">
        <f t="shared" si="8"/>
        <v>74.25</v>
      </c>
      <c r="AB64" s="4">
        <f t="shared" si="9"/>
        <v>76.541666666666671</v>
      </c>
      <c r="AC64" s="4">
        <f t="shared" si="10"/>
        <v>1.6563220634217783</v>
      </c>
      <c r="AD64" s="3"/>
      <c r="AE64" s="3"/>
      <c r="AF64" s="3"/>
      <c r="AG64" s="3"/>
      <c r="AH64" s="3"/>
    </row>
    <row r="65" spans="2:87" ht="24" customHeight="1" x14ac:dyDescent="0.2">
      <c r="B65" s="7">
        <f>B63+100</f>
        <v>408</v>
      </c>
      <c r="C65" s="7" t="s">
        <v>113</v>
      </c>
      <c r="D65" s="7">
        <v>10</v>
      </c>
      <c r="E65" s="7">
        <v>2</v>
      </c>
      <c r="F65" s="7">
        <v>2</v>
      </c>
      <c r="G65" s="7">
        <v>1</v>
      </c>
      <c r="H65" s="7">
        <v>4</v>
      </c>
      <c r="I65" s="7" t="s">
        <v>151</v>
      </c>
      <c r="J65" s="8">
        <v>0.50138888888888888</v>
      </c>
      <c r="K65" s="7" t="s">
        <v>2</v>
      </c>
      <c r="L65" s="6">
        <v>86</v>
      </c>
      <c r="M65" s="6"/>
      <c r="N65" s="6">
        <v>87</v>
      </c>
      <c r="O65" s="6"/>
      <c r="P65" s="6">
        <v>86</v>
      </c>
      <c r="Q65" s="6">
        <v>92</v>
      </c>
      <c r="R65" s="6">
        <v>97</v>
      </c>
      <c r="S65" s="6">
        <v>73</v>
      </c>
      <c r="T65" s="6">
        <v>67</v>
      </c>
      <c r="U65" s="6">
        <v>83</v>
      </c>
      <c r="V65" s="6"/>
      <c r="W65" s="6">
        <v>100</v>
      </c>
      <c r="X65" s="6"/>
      <c r="Y65" s="6">
        <v>92</v>
      </c>
      <c r="Z65" s="6"/>
      <c r="AA65" s="4">
        <f t="shared" si="8"/>
        <v>83</v>
      </c>
      <c r="AB65" s="4">
        <f t="shared" si="9"/>
        <v>88.5</v>
      </c>
      <c r="AC65" s="4">
        <f t="shared" si="10"/>
        <v>2.6677081299622469</v>
      </c>
      <c r="AT65" s="12">
        <v>2</v>
      </c>
      <c r="AU65" s="12" t="s">
        <v>3</v>
      </c>
      <c r="AV65" s="12">
        <v>150</v>
      </c>
    </row>
    <row r="66" spans="2:87" ht="24" customHeight="1" thickBot="1" x14ac:dyDescent="0.25">
      <c r="B66" s="7">
        <f>B64+100</f>
        <v>408</v>
      </c>
      <c r="C66" s="15" t="s">
        <v>113</v>
      </c>
      <c r="D66" s="15">
        <v>10</v>
      </c>
      <c r="E66" s="15">
        <v>2</v>
      </c>
      <c r="F66" s="15">
        <v>2</v>
      </c>
      <c r="G66" s="15">
        <v>1</v>
      </c>
      <c r="H66" s="15">
        <v>4</v>
      </c>
      <c r="I66" s="15" t="s">
        <v>151</v>
      </c>
      <c r="J66" s="16"/>
      <c r="K66" s="15" t="s">
        <v>0</v>
      </c>
      <c r="L66" s="14">
        <v>88</v>
      </c>
      <c r="M66" s="13"/>
      <c r="N66" s="14">
        <v>83</v>
      </c>
      <c r="O66" s="13"/>
      <c r="P66" s="14">
        <v>77</v>
      </c>
      <c r="Q66" s="14">
        <v>89</v>
      </c>
      <c r="R66" s="14">
        <v>89</v>
      </c>
      <c r="S66" s="14">
        <v>85</v>
      </c>
      <c r="T66" s="13">
        <v>90</v>
      </c>
      <c r="U66" s="14">
        <v>72</v>
      </c>
      <c r="V66" s="13"/>
      <c r="W66" s="14">
        <v>79</v>
      </c>
      <c r="X66" s="13"/>
      <c r="Y66" s="14">
        <v>78</v>
      </c>
      <c r="Z66" s="13"/>
      <c r="AA66" s="4">
        <f t="shared" si="8"/>
        <v>83.666666666666671</v>
      </c>
      <c r="AB66" s="4">
        <f t="shared" si="9"/>
        <v>80.611111111111114</v>
      </c>
      <c r="AC66" s="4">
        <f t="shared" si="10"/>
        <v>2.2598208166703824</v>
      </c>
      <c r="AD66" s="3"/>
      <c r="AE66" s="3"/>
      <c r="AF66" s="3"/>
      <c r="AG66" s="3"/>
      <c r="AH66" s="3"/>
      <c r="AT66" s="12"/>
      <c r="AU66" s="12"/>
      <c r="AV66" s="11"/>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2:87" ht="24" customHeight="1" x14ac:dyDescent="0.2">
      <c r="B67" s="7">
        <f t="shared" ref="B67:B80" si="12">B65-1</f>
        <v>407</v>
      </c>
      <c r="C67" s="7" t="s">
        <v>152</v>
      </c>
      <c r="D67" s="7">
        <v>7</v>
      </c>
      <c r="E67" s="7">
        <v>2</v>
      </c>
      <c r="F67" s="7">
        <v>1</v>
      </c>
      <c r="G67" s="7">
        <v>2</v>
      </c>
      <c r="H67" s="7">
        <v>4</v>
      </c>
      <c r="I67" s="7" t="s">
        <v>153</v>
      </c>
      <c r="J67" s="9"/>
      <c r="K67" s="7" t="s">
        <v>2</v>
      </c>
      <c r="L67" s="6">
        <v>78</v>
      </c>
      <c r="M67" s="6"/>
      <c r="N67" s="6">
        <v>85</v>
      </c>
      <c r="O67" s="6"/>
      <c r="P67" s="6">
        <v>78</v>
      </c>
      <c r="Q67" s="6">
        <v>81</v>
      </c>
      <c r="R67" s="6">
        <v>76</v>
      </c>
      <c r="S67" s="6"/>
      <c r="T67" s="6"/>
      <c r="U67" s="6">
        <v>93</v>
      </c>
      <c r="V67" s="6"/>
      <c r="W67" s="6">
        <v>98</v>
      </c>
      <c r="X67" s="6"/>
      <c r="Y67" s="6">
        <v>102</v>
      </c>
      <c r="Z67" s="6"/>
      <c r="AA67" s="4">
        <f t="shared" si="8"/>
        <v>82</v>
      </c>
      <c r="AB67" s="4">
        <f t="shared" si="9"/>
        <v>89.666666666666671</v>
      </c>
      <c r="AC67" s="4">
        <f t="shared" si="10"/>
        <v>3.870113406319998</v>
      </c>
      <c r="AD67" s="3"/>
      <c r="AE67" s="3"/>
      <c r="AF67" s="3"/>
      <c r="AG67" s="3"/>
      <c r="AH67" s="3"/>
    </row>
    <row r="68" spans="2:87" ht="24" customHeight="1" thickBot="1" x14ac:dyDescent="0.25">
      <c r="B68" s="7">
        <f t="shared" si="12"/>
        <v>407</v>
      </c>
      <c r="C68" s="15" t="s">
        <v>152</v>
      </c>
      <c r="D68" s="15">
        <v>7</v>
      </c>
      <c r="E68" s="15">
        <v>2</v>
      </c>
      <c r="F68" s="15">
        <v>1</v>
      </c>
      <c r="G68" s="15">
        <v>2</v>
      </c>
      <c r="H68" s="15">
        <v>4</v>
      </c>
      <c r="I68" s="15" t="s">
        <v>153</v>
      </c>
      <c r="J68" s="16"/>
      <c r="K68" s="15" t="s">
        <v>0</v>
      </c>
      <c r="L68" s="14">
        <v>76</v>
      </c>
      <c r="M68" s="13"/>
      <c r="N68" s="14">
        <v>80</v>
      </c>
      <c r="O68" s="13"/>
      <c r="P68" s="14">
        <v>64</v>
      </c>
      <c r="Q68" s="14">
        <v>66</v>
      </c>
      <c r="R68" s="14">
        <v>70</v>
      </c>
      <c r="S68" s="14"/>
      <c r="T68" s="13"/>
      <c r="U68" s="14">
        <v>68</v>
      </c>
      <c r="V68" s="13"/>
      <c r="W68" s="14">
        <v>74</v>
      </c>
      <c r="X68" s="13"/>
      <c r="Y68" s="14">
        <v>86</v>
      </c>
      <c r="Z68" s="13"/>
      <c r="AA68" s="4">
        <f t="shared" si="8"/>
        <v>67</v>
      </c>
      <c r="AB68" s="4">
        <f t="shared" si="9"/>
        <v>75.166666666666671</v>
      </c>
      <c r="AC68" s="4">
        <f t="shared" si="10"/>
        <v>2.9486343354923554</v>
      </c>
      <c r="AD68" s="3"/>
      <c r="AE68" s="3"/>
      <c r="AF68" s="3"/>
      <c r="AG68" s="3"/>
      <c r="AH68" s="3"/>
      <c r="AT68" s="12"/>
      <c r="AU68" s="12"/>
      <c r="AV68" s="11"/>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2:87" ht="24" customHeight="1" x14ac:dyDescent="0.2">
      <c r="B69" s="7">
        <f t="shared" si="12"/>
        <v>406</v>
      </c>
      <c r="C69" s="7" t="s">
        <v>111</v>
      </c>
      <c r="D69" s="7">
        <v>3</v>
      </c>
      <c r="E69" s="7">
        <v>1</v>
      </c>
      <c r="F69" s="7">
        <v>2</v>
      </c>
      <c r="G69" s="7">
        <v>2</v>
      </c>
      <c r="H69" s="7">
        <v>4</v>
      </c>
      <c r="I69" s="7" t="s">
        <v>154</v>
      </c>
      <c r="J69" s="9"/>
      <c r="K69" s="7" t="s">
        <v>2</v>
      </c>
      <c r="L69" s="6">
        <v>99</v>
      </c>
      <c r="M69" s="6"/>
      <c r="N69" s="6">
        <v>105</v>
      </c>
      <c r="O69" s="6"/>
      <c r="P69" s="6">
        <v>90</v>
      </c>
      <c r="Q69" s="6">
        <v>108</v>
      </c>
      <c r="R69" s="6">
        <v>98</v>
      </c>
      <c r="S69" s="6"/>
      <c r="T69" s="6"/>
      <c r="U69" s="6">
        <v>98</v>
      </c>
      <c r="V69" s="6"/>
      <c r="W69" s="6">
        <v>113</v>
      </c>
      <c r="X69" s="6"/>
      <c r="Y69" s="6">
        <v>107</v>
      </c>
      <c r="Z69" s="6"/>
      <c r="AA69" s="4">
        <f t="shared" si="8"/>
        <v>98.5</v>
      </c>
      <c r="AB69" s="4">
        <f t="shared" si="9"/>
        <v>103.41666666666667</v>
      </c>
      <c r="AC69" s="4">
        <f t="shared" si="10"/>
        <v>2.4509068616421241</v>
      </c>
      <c r="AD69" s="3"/>
      <c r="AE69" s="3"/>
      <c r="AF69" s="3"/>
      <c r="AG69" s="3"/>
      <c r="AH69" s="3"/>
    </row>
    <row r="70" spans="2:87" ht="24" customHeight="1" thickBot="1" x14ac:dyDescent="0.25">
      <c r="B70" s="7">
        <f t="shared" si="12"/>
        <v>406</v>
      </c>
      <c r="C70" s="15" t="s">
        <v>111</v>
      </c>
      <c r="D70" s="15">
        <v>3</v>
      </c>
      <c r="E70" s="15">
        <v>1</v>
      </c>
      <c r="F70" s="15">
        <v>2</v>
      </c>
      <c r="G70" s="15">
        <v>2</v>
      </c>
      <c r="H70" s="15">
        <v>4</v>
      </c>
      <c r="I70" s="15" t="s">
        <v>154</v>
      </c>
      <c r="J70" s="16"/>
      <c r="K70" s="15" t="s">
        <v>0</v>
      </c>
      <c r="L70" s="14">
        <v>91</v>
      </c>
      <c r="M70" s="13"/>
      <c r="N70" s="14">
        <v>87</v>
      </c>
      <c r="O70" s="13"/>
      <c r="P70" s="14">
        <v>93</v>
      </c>
      <c r="Q70" s="14">
        <v>105</v>
      </c>
      <c r="R70" s="14">
        <v>84</v>
      </c>
      <c r="S70" s="14"/>
      <c r="T70" s="13"/>
      <c r="U70" s="14">
        <v>78</v>
      </c>
      <c r="V70" s="13"/>
      <c r="W70" s="14">
        <v>92</v>
      </c>
      <c r="X70" s="13"/>
      <c r="Y70" s="14">
        <v>97</v>
      </c>
      <c r="Z70" s="13"/>
      <c r="AA70" s="4">
        <f t="shared" si="8"/>
        <v>90</v>
      </c>
      <c r="AB70" s="4">
        <f t="shared" si="9"/>
        <v>89.166666666666671</v>
      </c>
      <c r="AC70" s="4">
        <f t="shared" si="10"/>
        <v>2.6002136664341857</v>
      </c>
      <c r="AD70" s="3"/>
      <c r="AE70" s="3"/>
      <c r="AF70" s="3"/>
      <c r="AG70" s="3"/>
      <c r="AH70" s="3"/>
      <c r="AT70" s="12"/>
      <c r="AU70" s="12"/>
      <c r="AV70" s="11"/>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2:87" ht="24" customHeight="1" x14ac:dyDescent="0.2">
      <c r="B71" s="7">
        <f t="shared" si="12"/>
        <v>405</v>
      </c>
      <c r="C71" s="7" t="s">
        <v>155</v>
      </c>
      <c r="D71" s="7">
        <v>6</v>
      </c>
      <c r="E71" s="7">
        <v>1</v>
      </c>
      <c r="F71" s="7">
        <v>3</v>
      </c>
      <c r="G71" s="7">
        <v>1</v>
      </c>
      <c r="H71" s="7">
        <v>4</v>
      </c>
      <c r="I71" s="7" t="s">
        <v>156</v>
      </c>
      <c r="J71" s="9"/>
      <c r="K71" s="7" t="s">
        <v>2</v>
      </c>
      <c r="L71" s="6">
        <v>113</v>
      </c>
      <c r="M71" s="6"/>
      <c r="N71" s="6">
        <v>95</v>
      </c>
      <c r="O71" s="6"/>
      <c r="P71" s="6">
        <v>112</v>
      </c>
      <c r="Q71" s="6">
        <v>96</v>
      </c>
      <c r="R71" s="6">
        <v>109</v>
      </c>
      <c r="S71" s="6"/>
      <c r="T71" s="6"/>
      <c r="U71" s="6">
        <v>98</v>
      </c>
      <c r="V71" s="6"/>
      <c r="W71" s="6">
        <v>98</v>
      </c>
      <c r="X71" s="6"/>
      <c r="Y71" s="6">
        <v>85</v>
      </c>
      <c r="Z71" s="6"/>
      <c r="AA71" s="4">
        <f t="shared" si="8"/>
        <v>103.75</v>
      </c>
      <c r="AB71" s="4">
        <f t="shared" si="9"/>
        <v>98.791666666666671</v>
      </c>
      <c r="AC71" s="4">
        <f t="shared" si="10"/>
        <v>3.7960597261429441</v>
      </c>
      <c r="AD71" s="3"/>
      <c r="AE71" s="3"/>
      <c r="AF71" s="3"/>
      <c r="AG71" s="3"/>
      <c r="AH71" s="3"/>
    </row>
    <row r="72" spans="2:87" ht="24" customHeight="1" thickBot="1" x14ac:dyDescent="0.25">
      <c r="B72" s="7">
        <f t="shared" si="12"/>
        <v>405</v>
      </c>
      <c r="C72" s="15" t="s">
        <v>155</v>
      </c>
      <c r="D72" s="15">
        <v>6</v>
      </c>
      <c r="E72" s="15">
        <v>1</v>
      </c>
      <c r="F72" s="15">
        <v>3</v>
      </c>
      <c r="G72" s="15">
        <v>1</v>
      </c>
      <c r="H72" s="15">
        <v>4</v>
      </c>
      <c r="I72" s="15" t="s">
        <v>156</v>
      </c>
      <c r="J72" s="16"/>
      <c r="K72" s="15" t="s">
        <v>0</v>
      </c>
      <c r="L72" s="14">
        <v>68</v>
      </c>
      <c r="M72" s="13"/>
      <c r="N72" s="14">
        <v>74</v>
      </c>
      <c r="O72" s="13"/>
      <c r="P72" s="14">
        <v>70</v>
      </c>
      <c r="Q72" s="14">
        <v>68</v>
      </c>
      <c r="R72" s="14">
        <v>71</v>
      </c>
      <c r="S72" s="14"/>
      <c r="T72" s="13"/>
      <c r="U72" s="14">
        <v>76</v>
      </c>
      <c r="V72" s="13"/>
      <c r="W72" s="14">
        <v>81</v>
      </c>
      <c r="X72" s="13"/>
      <c r="Y72" s="14">
        <v>69</v>
      </c>
      <c r="Z72" s="13"/>
      <c r="AA72" s="4">
        <f t="shared" si="8"/>
        <v>71.25</v>
      </c>
      <c r="AB72" s="4">
        <f t="shared" si="9"/>
        <v>73.208333333333329</v>
      </c>
      <c r="AC72" s="4">
        <f t="shared" si="10"/>
        <v>1.9815993820929374</v>
      </c>
      <c r="AD72" s="3"/>
      <c r="AE72" s="3"/>
      <c r="AF72" s="3"/>
      <c r="AG72" s="3"/>
      <c r="AH72" s="3"/>
      <c r="AT72" s="12"/>
      <c r="AU72" s="12"/>
      <c r="AV72" s="11"/>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2:87" ht="24" customHeight="1" thickBot="1" x14ac:dyDescent="0.25">
      <c r="B73" s="7">
        <f t="shared" si="12"/>
        <v>404</v>
      </c>
      <c r="C73" s="7" t="s">
        <v>111</v>
      </c>
      <c r="D73" s="7">
        <v>3</v>
      </c>
      <c r="E73" s="7">
        <v>1</v>
      </c>
      <c r="F73" s="7">
        <v>2</v>
      </c>
      <c r="G73" s="7">
        <v>2</v>
      </c>
      <c r="H73" s="7">
        <v>3</v>
      </c>
      <c r="I73" s="7" t="s">
        <v>157</v>
      </c>
      <c r="J73" s="16"/>
      <c r="K73" s="7" t="s">
        <v>2</v>
      </c>
      <c r="L73" s="6">
        <v>103</v>
      </c>
      <c r="M73" s="6"/>
      <c r="N73" s="6">
        <v>98</v>
      </c>
      <c r="O73" s="6"/>
      <c r="P73" s="6">
        <v>95</v>
      </c>
      <c r="Q73" s="6">
        <v>87</v>
      </c>
      <c r="R73" s="6">
        <v>96</v>
      </c>
      <c r="S73" s="6"/>
      <c r="T73" s="6"/>
      <c r="U73" s="6">
        <v>111</v>
      </c>
      <c r="V73" s="6"/>
      <c r="W73" s="6">
        <v>102</v>
      </c>
      <c r="X73" s="6"/>
      <c r="Y73" s="6">
        <v>98</v>
      </c>
      <c r="Z73" s="6"/>
      <c r="AA73" s="4">
        <f t="shared" si="8"/>
        <v>97.25</v>
      </c>
      <c r="AB73" s="4">
        <f>AVERAGE(AVERAGE(L73:M73),AVERAGE(N73:O73),AVERAGE(P73:T73),AVERAGE(U73:V73),AVERAGE(W73:X73),AVERAGE(Y73:Z73))</f>
        <v>100.77777777777779</v>
      </c>
      <c r="AC73" s="4">
        <f t="shared" si="10"/>
        <v>2.123692408152472</v>
      </c>
      <c r="AD73" s="3"/>
      <c r="AE73" s="3"/>
      <c r="AF73" s="3"/>
      <c r="AG73" s="3"/>
      <c r="AH73" s="3"/>
    </row>
    <row r="74" spans="2:87" ht="24" customHeight="1" thickBot="1" x14ac:dyDescent="0.25">
      <c r="B74" s="7">
        <f t="shared" si="12"/>
        <v>404</v>
      </c>
      <c r="C74" s="15" t="s">
        <v>111</v>
      </c>
      <c r="D74" s="15">
        <v>3</v>
      </c>
      <c r="E74" s="15">
        <v>1</v>
      </c>
      <c r="F74" s="15">
        <v>2</v>
      </c>
      <c r="G74" s="15">
        <v>2</v>
      </c>
      <c r="H74" s="15">
        <v>3</v>
      </c>
      <c r="I74" s="15" t="s">
        <v>157</v>
      </c>
      <c r="J74" s="16"/>
      <c r="K74" s="15" t="s">
        <v>0</v>
      </c>
      <c r="L74" s="14">
        <v>79</v>
      </c>
      <c r="M74" s="13"/>
      <c r="N74" s="14">
        <v>85</v>
      </c>
      <c r="O74" s="13"/>
      <c r="P74" s="14">
        <v>79</v>
      </c>
      <c r="Q74" s="14">
        <v>84</v>
      </c>
      <c r="R74" s="14">
        <v>102</v>
      </c>
      <c r="S74" s="14"/>
      <c r="T74" s="13"/>
      <c r="U74" s="14">
        <v>92</v>
      </c>
      <c r="V74" s="13"/>
      <c r="W74" s="14">
        <v>94</v>
      </c>
      <c r="X74" s="13"/>
      <c r="Y74" s="14">
        <v>86</v>
      </c>
      <c r="Z74" s="13"/>
      <c r="AA74" s="4">
        <f t="shared" si="8"/>
        <v>89.25</v>
      </c>
      <c r="AB74" s="4">
        <f t="shared" ref="AB74:AB80" si="13">AVERAGE(AVERAGE(L74:M74),AVERAGE(N74:O74),AVERAGE(P74:U74),AVERAGE(U74:V74),AVERAGE(W74:X74),AVERAGE(Y74:Z74))</f>
        <v>87.541666666666671</v>
      </c>
      <c r="AC74" s="4">
        <f t="shared" si="10"/>
        <v>2.2083333333333335</v>
      </c>
      <c r="AD74" s="3"/>
      <c r="AE74" s="3"/>
      <c r="AF74" s="3"/>
      <c r="AG74" s="3"/>
      <c r="AH74" s="3"/>
      <c r="AT74" s="12"/>
      <c r="AU74" s="12"/>
      <c r="AV74" s="11"/>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2:87" ht="24" customHeight="1" x14ac:dyDescent="0.2">
      <c r="B75" s="7">
        <f t="shared" si="12"/>
        <v>403</v>
      </c>
      <c r="C75" s="7" t="s">
        <v>155</v>
      </c>
      <c r="D75" s="7">
        <v>6</v>
      </c>
      <c r="E75" s="7">
        <v>1</v>
      </c>
      <c r="F75" s="7">
        <v>3</v>
      </c>
      <c r="G75" s="7">
        <v>1</v>
      </c>
      <c r="H75" s="7">
        <v>3</v>
      </c>
      <c r="I75" s="7" t="s">
        <v>158</v>
      </c>
      <c r="J75" s="9"/>
      <c r="K75" s="7" t="s">
        <v>2</v>
      </c>
      <c r="L75" s="6">
        <v>104</v>
      </c>
      <c r="M75" s="6"/>
      <c r="N75" s="6">
        <v>105</v>
      </c>
      <c r="O75" s="6"/>
      <c r="P75" s="6">
        <v>108</v>
      </c>
      <c r="Q75" s="6">
        <v>98</v>
      </c>
      <c r="R75" s="6">
        <v>101</v>
      </c>
      <c r="S75" s="6"/>
      <c r="T75" s="6"/>
      <c r="U75" s="6">
        <v>98</v>
      </c>
      <c r="V75" s="6"/>
      <c r="W75" s="6">
        <v>106</v>
      </c>
      <c r="X75" s="6"/>
      <c r="Y75" s="6">
        <v>99</v>
      </c>
      <c r="Z75" s="6"/>
      <c r="AA75" s="4">
        <f t="shared" si="8"/>
        <v>101.25</v>
      </c>
      <c r="AB75" s="4">
        <f t="shared" si="13"/>
        <v>102.20833333333333</v>
      </c>
      <c r="AC75" s="4">
        <f t="shared" si="10"/>
        <v>1.345388213284346</v>
      </c>
      <c r="AD75" s="3"/>
      <c r="AE75" s="3"/>
      <c r="AF75" s="3"/>
      <c r="AG75" s="3"/>
      <c r="AH75" s="3"/>
    </row>
    <row r="76" spans="2:87" ht="24" customHeight="1" thickBot="1" x14ac:dyDescent="0.25">
      <c r="B76" s="7">
        <f t="shared" si="12"/>
        <v>403</v>
      </c>
      <c r="C76" s="15" t="s">
        <v>155</v>
      </c>
      <c r="D76" s="15">
        <v>6</v>
      </c>
      <c r="E76" s="15">
        <v>1</v>
      </c>
      <c r="F76" s="15">
        <v>3</v>
      </c>
      <c r="G76" s="15">
        <v>1</v>
      </c>
      <c r="H76" s="15">
        <v>3</v>
      </c>
      <c r="I76" s="15" t="s">
        <v>158</v>
      </c>
      <c r="J76" s="16"/>
      <c r="K76" s="15" t="s">
        <v>0</v>
      </c>
      <c r="L76" s="14">
        <v>82</v>
      </c>
      <c r="M76" s="13"/>
      <c r="N76" s="14">
        <v>83</v>
      </c>
      <c r="O76" s="13"/>
      <c r="P76" s="14">
        <v>76</v>
      </c>
      <c r="Q76" s="14">
        <v>72</v>
      </c>
      <c r="R76" s="14">
        <v>70</v>
      </c>
      <c r="S76" s="14"/>
      <c r="T76" s="13"/>
      <c r="U76" s="14">
        <v>76</v>
      </c>
      <c r="V76" s="13"/>
      <c r="W76" s="14">
        <v>89</v>
      </c>
      <c r="X76" s="13"/>
      <c r="Y76" s="14">
        <v>74</v>
      </c>
      <c r="Z76" s="13"/>
      <c r="AA76" s="4">
        <f t="shared" si="8"/>
        <v>73.5</v>
      </c>
      <c r="AB76" s="4">
        <f t="shared" si="13"/>
        <v>79.583333333333329</v>
      </c>
      <c r="AC76" s="4">
        <f t="shared" si="10"/>
        <v>2.4980547987940094</v>
      </c>
      <c r="AD76" s="3"/>
      <c r="AE76" s="3"/>
      <c r="AF76" s="3"/>
      <c r="AG76" s="3"/>
      <c r="AH76" s="3"/>
      <c r="AT76" s="12"/>
      <c r="AU76" s="12"/>
      <c r="AV76" s="11"/>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2:87" ht="24" customHeight="1" x14ac:dyDescent="0.2">
      <c r="B77" s="7">
        <f t="shared" si="12"/>
        <v>402</v>
      </c>
      <c r="C77" s="7" t="s">
        <v>115</v>
      </c>
      <c r="D77" s="7">
        <v>9</v>
      </c>
      <c r="E77" s="7">
        <v>2</v>
      </c>
      <c r="F77" s="7">
        <v>2</v>
      </c>
      <c r="G77" s="7">
        <v>2</v>
      </c>
      <c r="H77" s="7">
        <v>3</v>
      </c>
      <c r="I77" s="7" t="s">
        <v>159</v>
      </c>
      <c r="J77" s="9"/>
      <c r="K77" s="7" t="s">
        <v>2</v>
      </c>
      <c r="L77" s="6">
        <v>94</v>
      </c>
      <c r="M77" s="5"/>
      <c r="N77" s="6">
        <v>78</v>
      </c>
      <c r="O77" s="5"/>
      <c r="P77" s="6">
        <v>102</v>
      </c>
      <c r="Q77" s="6">
        <v>91</v>
      </c>
      <c r="R77" s="6">
        <v>72</v>
      </c>
      <c r="S77" s="6">
        <v>89</v>
      </c>
      <c r="T77" s="5">
        <v>77</v>
      </c>
      <c r="U77" s="6">
        <v>91</v>
      </c>
      <c r="V77" s="5"/>
      <c r="W77" s="6">
        <v>77</v>
      </c>
      <c r="X77" s="5"/>
      <c r="Y77" s="6">
        <v>92</v>
      </c>
      <c r="Z77" s="5"/>
      <c r="AA77" s="4">
        <f t="shared" si="8"/>
        <v>87</v>
      </c>
      <c r="AB77" s="4">
        <f t="shared" si="13"/>
        <v>86.5</v>
      </c>
      <c r="AC77" s="4">
        <f t="shared" si="10"/>
        <v>2.9972209350218639</v>
      </c>
      <c r="AD77" s="3"/>
      <c r="AE77" s="3"/>
      <c r="AF77" s="3"/>
      <c r="AG77" s="3"/>
      <c r="AH77" s="3"/>
    </row>
    <row r="78" spans="2:87" ht="24" customHeight="1" thickBot="1" x14ac:dyDescent="0.25">
      <c r="B78" s="7">
        <f t="shared" si="12"/>
        <v>402</v>
      </c>
      <c r="C78" s="15" t="s">
        <v>115</v>
      </c>
      <c r="D78" s="15">
        <v>9</v>
      </c>
      <c r="E78" s="15">
        <v>2</v>
      </c>
      <c r="F78" s="15">
        <v>2</v>
      </c>
      <c r="G78" s="15">
        <v>2</v>
      </c>
      <c r="H78" s="15">
        <v>3</v>
      </c>
      <c r="I78" s="15" t="s">
        <v>159</v>
      </c>
      <c r="J78" s="16"/>
      <c r="K78" s="15" t="s">
        <v>0</v>
      </c>
      <c r="L78" s="14">
        <v>73</v>
      </c>
      <c r="M78" s="13"/>
      <c r="N78" s="14">
        <v>75</v>
      </c>
      <c r="O78" s="13"/>
      <c r="P78" s="14">
        <v>76</v>
      </c>
      <c r="Q78" s="14">
        <v>80</v>
      </c>
      <c r="R78" s="14">
        <v>86</v>
      </c>
      <c r="S78" s="14">
        <v>96</v>
      </c>
      <c r="T78" s="13">
        <v>84</v>
      </c>
      <c r="U78" s="14">
        <v>86</v>
      </c>
      <c r="V78" s="13"/>
      <c r="W78" s="14">
        <v>78</v>
      </c>
      <c r="X78" s="13"/>
      <c r="Y78" s="14">
        <v>83</v>
      </c>
      <c r="Z78" s="13"/>
      <c r="AA78" s="4">
        <f t="shared" si="8"/>
        <v>84.666666666666671</v>
      </c>
      <c r="AB78" s="4">
        <f t="shared" si="13"/>
        <v>79.944444444444443</v>
      </c>
      <c r="AC78" s="4">
        <f t="shared" si="10"/>
        <v>2.1966585173793653</v>
      </c>
      <c r="AD78" s="3"/>
      <c r="AE78" s="3"/>
      <c r="AF78" s="3"/>
      <c r="AG78" s="3"/>
      <c r="AH78" s="3"/>
      <c r="AT78" s="12"/>
      <c r="AU78" s="12"/>
      <c r="AV78" s="11"/>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2:87" ht="24" customHeight="1" x14ac:dyDescent="0.2">
      <c r="B79" s="7">
        <f t="shared" si="12"/>
        <v>401</v>
      </c>
      <c r="C79" s="7" t="s">
        <v>152</v>
      </c>
      <c r="D79" s="7">
        <v>7</v>
      </c>
      <c r="E79" s="7">
        <v>2</v>
      </c>
      <c r="F79" s="7">
        <v>1</v>
      </c>
      <c r="G79" s="7">
        <v>2</v>
      </c>
      <c r="H79" s="7">
        <v>3</v>
      </c>
      <c r="I79" s="7" t="s">
        <v>160</v>
      </c>
      <c r="J79" s="9"/>
      <c r="K79" s="7" t="s">
        <v>2</v>
      </c>
      <c r="L79" s="6">
        <v>60</v>
      </c>
      <c r="M79" s="5"/>
      <c r="N79" s="6">
        <v>65</v>
      </c>
      <c r="O79" s="5"/>
      <c r="P79" s="6">
        <v>77</v>
      </c>
      <c r="Q79" s="6">
        <v>62</v>
      </c>
      <c r="R79" s="6">
        <v>69</v>
      </c>
      <c r="S79" s="6">
        <v>62</v>
      </c>
      <c r="T79" s="5">
        <v>83</v>
      </c>
      <c r="U79" s="6">
        <v>64</v>
      </c>
      <c r="V79" s="5"/>
      <c r="W79" s="6">
        <v>79</v>
      </c>
      <c r="X79" s="5"/>
      <c r="Y79" s="6">
        <v>62</v>
      </c>
      <c r="Z79" s="5"/>
      <c r="AA79" s="4">
        <f t="shared" si="8"/>
        <v>69.5</v>
      </c>
      <c r="AB79" s="4">
        <f t="shared" si="13"/>
        <v>66.583333333333329</v>
      </c>
      <c r="AC79" s="4">
        <f t="shared" si="10"/>
        <v>2.805995565055496</v>
      </c>
      <c r="AD79" s="3"/>
      <c r="AE79" s="3"/>
      <c r="AF79" s="3"/>
      <c r="AG79" s="3"/>
      <c r="AH79" s="3"/>
    </row>
    <row r="80" spans="2:87" ht="24" customHeight="1" x14ac:dyDescent="0.2">
      <c r="B80" s="7">
        <f t="shared" si="12"/>
        <v>401</v>
      </c>
      <c r="C80" s="7" t="s">
        <v>152</v>
      </c>
      <c r="D80" s="7">
        <v>7</v>
      </c>
      <c r="E80" s="7">
        <v>2</v>
      </c>
      <c r="F80" s="7">
        <v>1</v>
      </c>
      <c r="G80" s="7">
        <v>2</v>
      </c>
      <c r="H80" s="7">
        <v>3</v>
      </c>
      <c r="I80" s="7" t="s">
        <v>160</v>
      </c>
      <c r="J80" s="7"/>
      <c r="K80" s="7" t="s">
        <v>0</v>
      </c>
      <c r="L80" s="6">
        <v>61</v>
      </c>
      <c r="M80" s="5"/>
      <c r="N80" s="6">
        <v>66</v>
      </c>
      <c r="O80" s="5"/>
      <c r="P80" s="6">
        <v>58</v>
      </c>
      <c r="Q80" s="6">
        <v>65</v>
      </c>
      <c r="R80" s="6">
        <v>60</v>
      </c>
      <c r="S80" s="6">
        <v>72</v>
      </c>
      <c r="T80" s="5">
        <v>64</v>
      </c>
      <c r="U80" s="6">
        <v>66</v>
      </c>
      <c r="V80" s="5"/>
      <c r="W80" s="6">
        <v>71</v>
      </c>
      <c r="X80" s="5"/>
      <c r="Y80" s="6">
        <v>74</v>
      </c>
      <c r="Z80" s="5"/>
      <c r="AA80" s="4">
        <f t="shared" si="8"/>
        <v>64.166666666666671</v>
      </c>
      <c r="AB80" s="4">
        <f t="shared" si="13"/>
        <v>67.027777777777786</v>
      </c>
      <c r="AC80" s="4">
        <f t="shared" si="10"/>
        <v>1.9237389648645866</v>
      </c>
      <c r="AD80" s="3"/>
      <c r="AE80" s="3"/>
      <c r="AF80" s="3"/>
      <c r="AG80" s="3"/>
      <c r="AH80" s="3"/>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sheetData>
  <mergeCells count="12">
    <mergeCell ref="AT5:AV5"/>
    <mergeCell ref="J7:K7"/>
    <mergeCell ref="B7:H7"/>
    <mergeCell ref="AA6:AA7"/>
    <mergeCell ref="AB6:AB7"/>
    <mergeCell ref="AC6:AC7"/>
    <mergeCell ref="L6:M6"/>
    <mergeCell ref="N6:O6"/>
    <mergeCell ref="W6:X6"/>
    <mergeCell ref="Y6:Z6"/>
    <mergeCell ref="P6:T6"/>
    <mergeCell ref="U6:V6"/>
  </mergeCells>
  <pageMargins left="0.51" right="0" top="0.85" bottom="0" header="0.64" footer="0"/>
  <pageSetup paperSize="512" scale="30" orientation="landscape" r:id="rId1"/>
  <headerFooter alignWithMargins="0">
    <oddHeader xml:space="preserve">&amp;L&amp;"Comic Sans MS,Bold"&amp;14FISE2003 ---Cotton Plant Cover and Heights in North 1 m of Harvest Area&amp;C&amp;"Comic Sans MS,Bold"&amp;12       </oddHeader>
    <oddFooter>&amp;L&amp;F   USWCL Remote Sensing&amp;R&amp;D</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46E8-47FD-4E7D-9F8A-5C9E510770E2}">
  <sheetPr>
    <pageSetUpPr fitToPage="1"/>
  </sheetPr>
  <dimension ref="A1:CI87"/>
  <sheetViews>
    <sheetView workbookViewId="0">
      <selection activeCell="N2" sqref="N2"/>
    </sheetView>
  </sheetViews>
  <sheetFormatPr defaultRowHeight="12.75" x14ac:dyDescent="0.2"/>
  <cols>
    <col min="1" max="1" width="9.140625" style="1"/>
    <col min="2" max="2" width="4.85546875" style="1" customWidth="1"/>
    <col min="3" max="3" width="5.7109375" style="1" customWidth="1"/>
    <col min="4" max="8" width="5.28515625" style="1" hidden="1" customWidth="1"/>
    <col min="9" max="9" width="7" style="1" hidden="1" customWidth="1"/>
    <col min="10" max="11" width="9" style="1" customWidth="1"/>
    <col min="12" max="13" width="9.140625" style="1"/>
    <col min="14" max="14" width="9.7109375" style="1" customWidth="1"/>
    <col min="15" max="25" width="9.140625" style="1"/>
    <col min="26" max="26" width="10.140625" style="1" customWidth="1"/>
    <col min="27" max="27" width="12.7109375" style="1" customWidth="1"/>
    <col min="28" max="35" width="9.140625" style="1"/>
    <col min="36" max="36" width="7.5703125" style="1" customWidth="1"/>
    <col min="37" max="46" width="7.7109375" style="1" customWidth="1"/>
    <col min="47" max="16384" width="9.140625" style="1"/>
  </cols>
  <sheetData>
    <row r="1" spans="1:87" ht="15" customHeight="1" x14ac:dyDescent="0.25">
      <c r="A1" s="44" t="s">
        <v>82</v>
      </c>
    </row>
    <row r="2" spans="1:87" ht="15" customHeight="1" thickBot="1" x14ac:dyDescent="0.3">
      <c r="A2" s="44"/>
      <c r="N2" s="43"/>
      <c r="X2" s="20" t="s">
        <v>81</v>
      </c>
      <c r="Y2" s="42">
        <v>37838</v>
      </c>
      <c r="Z2" s="39"/>
    </row>
    <row r="3" spans="1:87" ht="15" customHeight="1" thickBot="1" x14ac:dyDescent="0.25">
      <c r="B3" s="1" t="s">
        <v>80</v>
      </c>
      <c r="D3" s="41"/>
      <c r="E3" s="41"/>
      <c r="F3" s="41"/>
      <c r="G3" s="41"/>
      <c r="H3" s="41"/>
      <c r="I3" s="41"/>
      <c r="J3" s="41"/>
      <c r="K3" s="41"/>
      <c r="L3" s="41"/>
      <c r="M3" s="41"/>
      <c r="N3" s="41"/>
      <c r="O3" s="41"/>
      <c r="P3" s="41"/>
      <c r="Q3" s="41"/>
      <c r="R3" s="41"/>
      <c r="S3" s="41"/>
      <c r="T3" s="41"/>
      <c r="U3" s="41"/>
      <c r="V3" s="41"/>
    </row>
    <row r="4" spans="1:87" ht="13.5" thickBot="1" x14ac:dyDescent="0.25">
      <c r="D4" s="40"/>
      <c r="E4" s="40"/>
      <c r="F4" s="40"/>
      <c r="G4" s="40"/>
      <c r="H4" s="40"/>
      <c r="I4" s="40"/>
      <c r="J4" s="40"/>
      <c r="K4" s="40"/>
      <c r="L4" s="40"/>
      <c r="M4" s="40"/>
      <c r="N4" s="40"/>
      <c r="O4" s="40"/>
      <c r="P4" s="40"/>
      <c r="Q4" s="40"/>
      <c r="R4" s="40"/>
      <c r="S4" s="40"/>
      <c r="T4" s="40"/>
      <c r="U4" s="40"/>
      <c r="V4" s="40"/>
      <c r="X4" s="20" t="s">
        <v>78</v>
      </c>
      <c r="Y4" s="39" t="s">
        <v>97</v>
      </c>
      <c r="Z4" s="39"/>
    </row>
    <row r="5" spans="1:87" ht="18" x14ac:dyDescent="0.2">
      <c r="AS5" s="38"/>
      <c r="AT5" s="134" t="s">
        <v>76</v>
      </c>
      <c r="AU5" s="134"/>
      <c r="AV5" s="134"/>
    </row>
    <row r="6" spans="1:87" ht="25.5" customHeight="1" x14ac:dyDescent="0.2">
      <c r="B6" s="36" t="s">
        <v>51</v>
      </c>
      <c r="C6" s="37" t="s">
        <v>50</v>
      </c>
      <c r="D6" s="37" t="s">
        <v>75</v>
      </c>
      <c r="E6" s="36" t="s">
        <v>74</v>
      </c>
      <c r="F6" s="37" t="s">
        <v>73</v>
      </c>
      <c r="G6" s="36" t="s">
        <v>72</v>
      </c>
      <c r="H6" s="36" t="s">
        <v>45</v>
      </c>
      <c r="I6" s="36" t="s">
        <v>71</v>
      </c>
      <c r="J6" s="36" t="s">
        <v>43</v>
      </c>
      <c r="K6" s="35" t="s">
        <v>70</v>
      </c>
      <c r="L6" s="143" t="s">
        <v>69</v>
      </c>
      <c r="M6" s="144"/>
      <c r="N6" s="143" t="s">
        <v>68</v>
      </c>
      <c r="O6" s="144"/>
      <c r="P6" s="143" t="s">
        <v>67</v>
      </c>
      <c r="Q6" s="145"/>
      <c r="R6" s="145"/>
      <c r="S6" s="145"/>
      <c r="T6" s="144"/>
      <c r="U6" s="143" t="s">
        <v>66</v>
      </c>
      <c r="V6" s="144"/>
      <c r="W6" s="143" t="s">
        <v>65</v>
      </c>
      <c r="X6" s="144"/>
      <c r="Y6" s="143" t="s">
        <v>64</v>
      </c>
      <c r="Z6" s="144"/>
      <c r="AA6" s="139" t="s">
        <v>63</v>
      </c>
      <c r="AB6" s="139" t="s">
        <v>62</v>
      </c>
      <c r="AC6" s="141" t="s">
        <v>61</v>
      </c>
      <c r="AS6" s="34"/>
      <c r="AT6" s="2" t="s">
        <v>60</v>
      </c>
      <c r="AU6" s="2"/>
    </row>
    <row r="7" spans="1:87" ht="15.75" customHeight="1" x14ac:dyDescent="0.2">
      <c r="B7" s="137"/>
      <c r="C7" s="138"/>
      <c r="D7" s="138"/>
      <c r="E7" s="138"/>
      <c r="F7" s="138"/>
      <c r="G7" s="138"/>
      <c r="H7" s="138"/>
      <c r="I7" s="33"/>
      <c r="J7" s="135" t="s">
        <v>59</v>
      </c>
      <c r="K7" s="136"/>
      <c r="L7" s="32" t="s">
        <v>55</v>
      </c>
      <c r="M7" s="31" t="s">
        <v>54</v>
      </c>
      <c r="N7" s="32" t="s">
        <v>55</v>
      </c>
      <c r="O7" s="31" t="s">
        <v>54</v>
      </c>
      <c r="P7" s="32" t="s">
        <v>58</v>
      </c>
      <c r="Q7" s="31" t="s">
        <v>55</v>
      </c>
      <c r="R7" s="31" t="s">
        <v>57</v>
      </c>
      <c r="S7" s="31" t="s">
        <v>54</v>
      </c>
      <c r="T7" s="31" t="s">
        <v>56</v>
      </c>
      <c r="U7" s="32" t="s">
        <v>55</v>
      </c>
      <c r="V7" s="31" t="s">
        <v>54</v>
      </c>
      <c r="W7" s="32" t="s">
        <v>55</v>
      </c>
      <c r="X7" s="31" t="s">
        <v>54</v>
      </c>
      <c r="Y7" s="32" t="s">
        <v>55</v>
      </c>
      <c r="Z7" s="31" t="s">
        <v>54</v>
      </c>
      <c r="AA7" s="140"/>
      <c r="AB7" s="140"/>
      <c r="AC7" s="142"/>
      <c r="AT7" s="12" t="s">
        <v>7</v>
      </c>
      <c r="AU7" s="12" t="s">
        <v>53</v>
      </c>
      <c r="AV7" s="12" t="s">
        <v>52</v>
      </c>
    </row>
    <row r="8" spans="1:87" ht="15.75" hidden="1" customHeight="1" x14ac:dyDescent="0.2">
      <c r="B8" s="28" t="s">
        <v>51</v>
      </c>
      <c r="C8" s="30" t="s">
        <v>50</v>
      </c>
      <c r="D8" s="30" t="s">
        <v>49</v>
      </c>
      <c r="E8" s="28" t="s">
        <v>48</v>
      </c>
      <c r="F8" s="30" t="s">
        <v>47</v>
      </c>
      <c r="G8" s="28" t="s">
        <v>46</v>
      </c>
      <c r="H8" s="28" t="s">
        <v>45</v>
      </c>
      <c r="I8" s="28" t="s">
        <v>44</v>
      </c>
      <c r="J8" s="27" t="s">
        <v>43</v>
      </c>
      <c r="K8" s="27" t="s">
        <v>42</v>
      </c>
      <c r="L8" s="29" t="s">
        <v>41</v>
      </c>
      <c r="M8" s="29" t="s">
        <v>40</v>
      </c>
      <c r="N8" s="29" t="s">
        <v>39</v>
      </c>
      <c r="O8" s="29" t="s">
        <v>38</v>
      </c>
      <c r="P8" s="29" t="s">
        <v>37</v>
      </c>
      <c r="Q8" s="29" t="s">
        <v>36</v>
      </c>
      <c r="R8" s="29" t="s">
        <v>35</v>
      </c>
      <c r="S8" s="29" t="s">
        <v>34</v>
      </c>
      <c r="T8" s="29" t="s">
        <v>33</v>
      </c>
      <c r="U8" s="29" t="s">
        <v>32</v>
      </c>
      <c r="V8" s="29" t="s">
        <v>31</v>
      </c>
      <c r="W8" s="29" t="s">
        <v>30</v>
      </c>
      <c r="X8" s="29" t="s">
        <v>29</v>
      </c>
      <c r="Y8" s="29" t="s">
        <v>28</v>
      </c>
      <c r="Z8" s="29" t="s">
        <v>27</v>
      </c>
      <c r="AA8" s="28" t="s">
        <v>26</v>
      </c>
      <c r="AB8" s="28" t="s">
        <v>25</v>
      </c>
      <c r="AC8" s="27" t="s">
        <v>24</v>
      </c>
      <c r="AT8" s="12"/>
      <c r="AU8" s="12"/>
      <c r="AV8" s="12"/>
    </row>
    <row r="9" spans="1:87" ht="24" customHeight="1" x14ac:dyDescent="0.2">
      <c r="B9" s="7">
        <v>108</v>
      </c>
      <c r="C9" s="7" t="s">
        <v>111</v>
      </c>
      <c r="D9" s="7">
        <v>3</v>
      </c>
      <c r="E9" s="7">
        <v>1</v>
      </c>
      <c r="F9" s="7">
        <v>2</v>
      </c>
      <c r="G9" s="7">
        <v>2</v>
      </c>
      <c r="H9" s="7">
        <v>2</v>
      </c>
      <c r="I9" s="7" t="s">
        <v>112</v>
      </c>
      <c r="J9" s="7"/>
      <c r="K9" s="7" t="s">
        <v>2</v>
      </c>
      <c r="L9" s="6">
        <v>97</v>
      </c>
      <c r="M9" s="5"/>
      <c r="N9" s="6">
        <v>100</v>
      </c>
      <c r="O9" s="5"/>
      <c r="P9" s="6">
        <v>87</v>
      </c>
      <c r="Q9" s="6">
        <v>91</v>
      </c>
      <c r="R9" s="6">
        <v>97</v>
      </c>
      <c r="S9" s="6">
        <v>93</v>
      </c>
      <c r="T9" s="5">
        <v>91</v>
      </c>
      <c r="U9" s="6">
        <v>94</v>
      </c>
      <c r="V9" s="5"/>
      <c r="W9" s="6">
        <v>92</v>
      </c>
      <c r="X9" s="5"/>
      <c r="Y9" s="6">
        <v>94</v>
      </c>
      <c r="Z9" s="5"/>
      <c r="AA9" s="4">
        <f t="shared" ref="AA9:AA40" si="0">AVERAGE(P9:U9)</f>
        <v>92.166666666666671</v>
      </c>
      <c r="AB9" s="4">
        <f t="shared" ref="AB9:AB40" si="1">AVERAGE(AVERAGE(L9:M9),AVERAGE(N9:O9),AVERAGE(P9:U9),AVERAGE(U9:V9),AVERAGE(W9:X9),AVERAGE(Y9:Z9))</f>
        <v>94.861111111111128</v>
      </c>
      <c r="AC9" s="4">
        <f t="shared" ref="AC9:AC40" si="2">STDEV(AVERAGE(L9:M9),AVERAGE(N9:O9),AVERAGE(P9:U9),AVERAGE(U9:V9),AVERAGE(W9:X9),AVERAGE(Y9:Z9))/SQRT(6)</f>
        <v>1.2637515187862554</v>
      </c>
      <c r="AD9" s="3"/>
      <c r="AE9" s="3"/>
      <c r="AF9" s="3"/>
      <c r="AG9" s="3"/>
      <c r="AH9" s="3"/>
      <c r="AT9" s="12">
        <v>1</v>
      </c>
      <c r="AU9" s="12" t="s">
        <v>23</v>
      </c>
      <c r="AV9" s="11"/>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24" customHeight="1" thickBot="1" x14ac:dyDescent="0.25">
      <c r="B10" s="15">
        <v>108</v>
      </c>
      <c r="C10" s="15" t="s">
        <v>111</v>
      </c>
      <c r="D10" s="15">
        <v>3</v>
      </c>
      <c r="E10" s="15">
        <v>1</v>
      </c>
      <c r="F10" s="15">
        <v>2</v>
      </c>
      <c r="G10" s="15">
        <v>2</v>
      </c>
      <c r="H10" s="15">
        <v>2</v>
      </c>
      <c r="I10" s="15" t="s">
        <v>112</v>
      </c>
      <c r="J10" s="16"/>
      <c r="K10" s="15" t="s">
        <v>0</v>
      </c>
      <c r="L10" s="14">
        <v>103</v>
      </c>
      <c r="M10" s="13"/>
      <c r="N10" s="14">
        <v>94</v>
      </c>
      <c r="O10" s="13"/>
      <c r="P10" s="14">
        <v>89</v>
      </c>
      <c r="Q10" s="14">
        <v>82</v>
      </c>
      <c r="R10" s="14">
        <v>102</v>
      </c>
      <c r="S10" s="14">
        <v>90</v>
      </c>
      <c r="T10" s="13">
        <v>87</v>
      </c>
      <c r="U10" s="14">
        <v>97.5</v>
      </c>
      <c r="V10" s="13"/>
      <c r="W10" s="14">
        <v>103</v>
      </c>
      <c r="X10" s="13"/>
      <c r="Y10" s="14">
        <v>99.6</v>
      </c>
      <c r="Z10" s="13"/>
      <c r="AA10" s="4">
        <f t="shared" si="0"/>
        <v>91.25</v>
      </c>
      <c r="AB10" s="4">
        <f t="shared" si="1"/>
        <v>98.058333333333337</v>
      </c>
      <c r="AC10" s="4">
        <f t="shared" si="2"/>
        <v>1.9523667972773742</v>
      </c>
      <c r="AD10" s="3"/>
      <c r="AE10" s="3"/>
      <c r="AF10" s="3"/>
      <c r="AG10" s="3"/>
      <c r="AH10" s="3"/>
      <c r="AT10" s="12">
        <v>2</v>
      </c>
      <c r="AU10" s="12" t="s">
        <v>22</v>
      </c>
      <c r="AV10" s="11"/>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24" customHeight="1" x14ac:dyDescent="0.2">
      <c r="B11" s="25">
        <f t="shared" ref="B11:B24" si="3">B9-1</f>
        <v>107</v>
      </c>
      <c r="C11" s="25" t="s">
        <v>113</v>
      </c>
      <c r="D11" s="25">
        <v>10</v>
      </c>
      <c r="E11" s="25">
        <v>2</v>
      </c>
      <c r="F11" s="25">
        <v>2</v>
      </c>
      <c r="G11" s="25">
        <v>1</v>
      </c>
      <c r="H11" s="25">
        <v>2</v>
      </c>
      <c r="I11" s="25" t="s">
        <v>114</v>
      </c>
      <c r="J11" s="26"/>
      <c r="K11" s="25" t="s">
        <v>2</v>
      </c>
      <c r="L11" s="24">
        <v>74</v>
      </c>
      <c r="M11" s="23"/>
      <c r="N11" s="24">
        <v>96</v>
      </c>
      <c r="O11" s="23"/>
      <c r="P11" s="24">
        <v>86</v>
      </c>
      <c r="Q11" s="24">
        <v>79</v>
      </c>
      <c r="R11" s="24">
        <v>87</v>
      </c>
      <c r="S11" s="24">
        <v>98</v>
      </c>
      <c r="T11" s="23">
        <v>82</v>
      </c>
      <c r="U11" s="24">
        <v>100</v>
      </c>
      <c r="V11" s="23"/>
      <c r="W11" s="24">
        <v>88</v>
      </c>
      <c r="X11" s="23"/>
      <c r="Y11" s="24">
        <v>94</v>
      </c>
      <c r="Z11" s="23"/>
      <c r="AA11" s="4">
        <f t="shared" si="0"/>
        <v>88.666666666666671</v>
      </c>
      <c r="AB11" s="4">
        <f t="shared" si="1"/>
        <v>90.111111111111128</v>
      </c>
      <c r="AC11" s="4">
        <f t="shared" si="2"/>
        <v>3.7135055482374235</v>
      </c>
      <c r="AD11" s="3"/>
      <c r="AE11" s="22"/>
      <c r="AF11" s="3"/>
      <c r="AG11" s="21"/>
      <c r="AH11" s="3"/>
      <c r="AT11" s="12">
        <v>3</v>
      </c>
      <c r="AU11" s="12" t="s">
        <v>21</v>
      </c>
      <c r="AV11" s="12" t="s">
        <v>19</v>
      </c>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row>
    <row r="12" spans="1:87" ht="24" customHeight="1" thickBot="1" x14ac:dyDescent="0.25">
      <c r="B12" s="15">
        <f t="shared" si="3"/>
        <v>107</v>
      </c>
      <c r="C12" s="15" t="s">
        <v>113</v>
      </c>
      <c r="D12" s="15">
        <v>10</v>
      </c>
      <c r="E12" s="15">
        <v>2</v>
      </c>
      <c r="F12" s="15">
        <v>2</v>
      </c>
      <c r="G12" s="15">
        <v>1</v>
      </c>
      <c r="H12" s="15">
        <v>2</v>
      </c>
      <c r="I12" s="15" t="s">
        <v>114</v>
      </c>
      <c r="J12" s="16"/>
      <c r="K12" s="15" t="s">
        <v>0</v>
      </c>
      <c r="L12" s="14">
        <v>97</v>
      </c>
      <c r="M12" s="13"/>
      <c r="N12" s="14">
        <v>111</v>
      </c>
      <c r="O12" s="13"/>
      <c r="P12" s="14">
        <v>87</v>
      </c>
      <c r="Q12" s="14">
        <v>86</v>
      </c>
      <c r="R12" s="14">
        <v>94</v>
      </c>
      <c r="S12" s="14">
        <v>93</v>
      </c>
      <c r="T12" s="13">
        <v>99</v>
      </c>
      <c r="U12" s="14">
        <v>96</v>
      </c>
      <c r="V12" s="13"/>
      <c r="W12" s="14">
        <v>110</v>
      </c>
      <c r="X12" s="13"/>
      <c r="Y12" s="14">
        <v>105</v>
      </c>
      <c r="Z12" s="13"/>
      <c r="AA12" s="4">
        <f t="shared" si="0"/>
        <v>92.5</v>
      </c>
      <c r="AB12" s="4">
        <f t="shared" si="1"/>
        <v>101.91666666666667</v>
      </c>
      <c r="AC12" s="4">
        <f t="shared" si="2"/>
        <v>3.1896098681674396</v>
      </c>
      <c r="AD12" s="3"/>
      <c r="AE12" s="3"/>
      <c r="AF12" s="3"/>
      <c r="AG12" s="3"/>
      <c r="AH12" s="3"/>
      <c r="AT12" s="12">
        <v>4</v>
      </c>
      <c r="AU12" s="12" t="s">
        <v>20</v>
      </c>
      <c r="AV12" s="11" t="s">
        <v>19</v>
      </c>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24" customHeight="1" x14ac:dyDescent="0.2">
      <c r="B13" s="7">
        <f t="shared" si="3"/>
        <v>106</v>
      </c>
      <c r="C13" s="7" t="s">
        <v>115</v>
      </c>
      <c r="D13" s="7">
        <v>9</v>
      </c>
      <c r="E13" s="7">
        <v>2</v>
      </c>
      <c r="F13" s="7">
        <v>2</v>
      </c>
      <c r="G13" s="7">
        <v>2</v>
      </c>
      <c r="H13" s="7">
        <v>2</v>
      </c>
      <c r="I13" s="7" t="s">
        <v>116</v>
      </c>
      <c r="J13" s="9"/>
      <c r="K13" s="7" t="s">
        <v>2</v>
      </c>
      <c r="L13" s="6">
        <v>102</v>
      </c>
      <c r="M13" s="5"/>
      <c r="N13" s="6">
        <v>100</v>
      </c>
      <c r="O13" s="5"/>
      <c r="P13" s="6">
        <v>104</v>
      </c>
      <c r="Q13" s="6">
        <v>113</v>
      </c>
      <c r="R13" s="6">
        <v>96</v>
      </c>
      <c r="S13" s="6">
        <v>84</v>
      </c>
      <c r="T13" s="5">
        <v>100</v>
      </c>
      <c r="U13" s="6">
        <v>94</v>
      </c>
      <c r="V13" s="5"/>
      <c r="W13" s="6">
        <v>108</v>
      </c>
      <c r="X13" s="5"/>
      <c r="Y13" s="6">
        <v>97</v>
      </c>
      <c r="Z13" s="5"/>
      <c r="AA13" s="4">
        <f t="shared" si="0"/>
        <v>98.5</v>
      </c>
      <c r="AB13" s="4">
        <f t="shared" si="1"/>
        <v>99.916666666666671</v>
      </c>
      <c r="AC13" s="4">
        <f t="shared" si="2"/>
        <v>1.9596626693841412</v>
      </c>
      <c r="AD13" s="3"/>
      <c r="AE13" s="3"/>
      <c r="AF13" s="3"/>
      <c r="AG13" s="3"/>
      <c r="AH13" s="3"/>
      <c r="AT13" s="12">
        <v>8</v>
      </c>
      <c r="AU13" s="12" t="s">
        <v>18</v>
      </c>
      <c r="AV13" s="12" t="s">
        <v>17</v>
      </c>
    </row>
    <row r="14" spans="1:87" ht="24" customHeight="1" thickBot="1" x14ac:dyDescent="0.25">
      <c r="B14" s="15">
        <f t="shared" si="3"/>
        <v>106</v>
      </c>
      <c r="C14" s="15" t="s">
        <v>115</v>
      </c>
      <c r="D14" s="15">
        <v>9</v>
      </c>
      <c r="E14" s="15">
        <v>2</v>
      </c>
      <c r="F14" s="15">
        <v>2</v>
      </c>
      <c r="G14" s="15">
        <v>2</v>
      </c>
      <c r="H14" s="15">
        <v>2</v>
      </c>
      <c r="I14" s="15" t="s">
        <v>116</v>
      </c>
      <c r="J14" s="16"/>
      <c r="K14" s="15" t="s">
        <v>0</v>
      </c>
      <c r="L14" s="14">
        <v>116</v>
      </c>
      <c r="M14" s="13"/>
      <c r="N14" s="14">
        <v>112</v>
      </c>
      <c r="O14" s="13"/>
      <c r="P14" s="14">
        <v>107</v>
      </c>
      <c r="Q14" s="14">
        <v>110</v>
      </c>
      <c r="R14" s="14">
        <v>112</v>
      </c>
      <c r="S14" s="14">
        <v>113</v>
      </c>
      <c r="T14" s="13">
        <v>108</v>
      </c>
      <c r="U14" s="14">
        <v>103</v>
      </c>
      <c r="V14" s="13"/>
      <c r="W14" s="14">
        <v>108</v>
      </c>
      <c r="X14" s="13"/>
      <c r="Y14" s="14">
        <v>104</v>
      </c>
      <c r="Z14" s="13"/>
      <c r="AA14" s="4">
        <f t="shared" si="0"/>
        <v>108.83333333333333</v>
      </c>
      <c r="AB14" s="4">
        <f t="shared" si="1"/>
        <v>108.63888888888887</v>
      </c>
      <c r="AC14" s="4">
        <f t="shared" si="2"/>
        <v>1.9937015019837714</v>
      </c>
      <c r="AD14" s="3"/>
      <c r="AE14" s="3"/>
      <c r="AF14" s="3"/>
      <c r="AG14" s="3"/>
      <c r="AH14" s="3"/>
      <c r="AT14" s="12">
        <v>9</v>
      </c>
      <c r="AU14" s="12" t="s">
        <v>16</v>
      </c>
      <c r="AV14" s="11" t="s">
        <v>15</v>
      </c>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24" customHeight="1" x14ac:dyDescent="0.2">
      <c r="B15" s="7">
        <f t="shared" si="3"/>
        <v>105</v>
      </c>
      <c r="C15" s="7" t="s">
        <v>117</v>
      </c>
      <c r="D15" s="7">
        <v>12</v>
      </c>
      <c r="E15" s="7">
        <v>2</v>
      </c>
      <c r="F15" s="7">
        <v>3</v>
      </c>
      <c r="G15" s="7">
        <v>1</v>
      </c>
      <c r="H15" s="7">
        <v>2</v>
      </c>
      <c r="I15" s="7" t="s">
        <v>118</v>
      </c>
      <c r="J15" s="9"/>
      <c r="K15" s="7" t="s">
        <v>2</v>
      </c>
      <c r="L15" s="6">
        <v>99</v>
      </c>
      <c r="M15" s="5"/>
      <c r="N15" s="6">
        <v>98</v>
      </c>
      <c r="O15" s="5"/>
      <c r="P15" s="6">
        <v>98</v>
      </c>
      <c r="Q15" s="6">
        <v>106</v>
      </c>
      <c r="R15" s="6">
        <v>100</v>
      </c>
      <c r="S15" s="6">
        <v>100</v>
      </c>
      <c r="T15" s="5">
        <v>102</v>
      </c>
      <c r="U15" s="6">
        <v>102</v>
      </c>
      <c r="V15" s="5"/>
      <c r="W15" s="6">
        <v>96</v>
      </c>
      <c r="X15" s="5"/>
      <c r="Y15" s="6">
        <v>96</v>
      </c>
      <c r="Z15" s="5"/>
      <c r="AA15" s="4">
        <f t="shared" si="0"/>
        <v>101.33333333333333</v>
      </c>
      <c r="AB15" s="4">
        <f t="shared" si="1"/>
        <v>98.722222222222214</v>
      </c>
      <c r="AC15" s="4">
        <f t="shared" si="2"/>
        <v>1.0485145282967625</v>
      </c>
      <c r="AD15" s="3"/>
      <c r="AE15" s="3"/>
      <c r="AF15" s="3"/>
      <c r="AG15" s="3"/>
      <c r="AH15" s="3"/>
    </row>
    <row r="16" spans="1:87" ht="24" customHeight="1" thickBot="1" x14ac:dyDescent="0.25">
      <c r="B16" s="15">
        <f t="shared" si="3"/>
        <v>105</v>
      </c>
      <c r="C16" s="15" t="s">
        <v>117</v>
      </c>
      <c r="D16" s="15">
        <v>12</v>
      </c>
      <c r="E16" s="15">
        <v>2</v>
      </c>
      <c r="F16" s="15">
        <v>3</v>
      </c>
      <c r="G16" s="15">
        <v>1</v>
      </c>
      <c r="H16" s="15">
        <v>2</v>
      </c>
      <c r="I16" s="15" t="s">
        <v>118</v>
      </c>
      <c r="J16" s="16"/>
      <c r="K16" s="15" t="s">
        <v>0</v>
      </c>
      <c r="L16" s="14">
        <v>93</v>
      </c>
      <c r="M16" s="13"/>
      <c r="N16" s="14">
        <v>100</v>
      </c>
      <c r="O16" s="13"/>
      <c r="P16" s="14">
        <v>94</v>
      </c>
      <c r="Q16" s="14">
        <v>78</v>
      </c>
      <c r="R16" s="14">
        <v>84</v>
      </c>
      <c r="S16" s="14">
        <v>89</v>
      </c>
      <c r="T16" s="13">
        <v>83</v>
      </c>
      <c r="U16" s="14">
        <v>98</v>
      </c>
      <c r="V16" s="13"/>
      <c r="W16" s="14">
        <v>79</v>
      </c>
      <c r="X16" s="13"/>
      <c r="Y16" s="14">
        <v>86</v>
      </c>
      <c r="Z16" s="13"/>
      <c r="AA16" s="4">
        <f t="shared" si="0"/>
        <v>87.666666666666671</v>
      </c>
      <c r="AB16" s="4">
        <f t="shared" si="1"/>
        <v>90.611111111111128</v>
      </c>
      <c r="AC16" s="4">
        <f t="shared" si="2"/>
        <v>3.2311179886828838</v>
      </c>
      <c r="AD16" s="3"/>
      <c r="AE16" s="3"/>
      <c r="AF16" s="3"/>
      <c r="AG16" s="3"/>
      <c r="AH16" s="3"/>
      <c r="AT16" s="12" t="s">
        <v>14</v>
      </c>
      <c r="AU16" s="12"/>
      <c r="AV16" s="11"/>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2:87" ht="24" customHeight="1" x14ac:dyDescent="0.2">
      <c r="B17" s="7">
        <f t="shared" si="3"/>
        <v>104</v>
      </c>
      <c r="C17" s="7" t="s">
        <v>113</v>
      </c>
      <c r="D17" s="7">
        <v>10</v>
      </c>
      <c r="E17" s="7">
        <v>2</v>
      </c>
      <c r="F17" s="7">
        <v>2</v>
      </c>
      <c r="G17" s="7">
        <v>1</v>
      </c>
      <c r="H17" s="7">
        <v>1</v>
      </c>
      <c r="I17" s="7" t="s">
        <v>119</v>
      </c>
      <c r="J17" s="9"/>
      <c r="K17" s="7" t="s">
        <v>2</v>
      </c>
      <c r="L17" s="18">
        <v>87</v>
      </c>
      <c r="M17" s="5"/>
      <c r="N17" s="18">
        <v>105</v>
      </c>
      <c r="O17" s="5"/>
      <c r="P17" s="18">
        <v>99</v>
      </c>
      <c r="Q17" s="18">
        <v>101</v>
      </c>
      <c r="R17" s="18">
        <v>101</v>
      </c>
      <c r="S17" s="18">
        <v>97</v>
      </c>
      <c r="T17" s="5">
        <v>93</v>
      </c>
      <c r="U17" s="18">
        <v>86</v>
      </c>
      <c r="V17" s="5"/>
      <c r="W17" s="18">
        <v>96</v>
      </c>
      <c r="X17" s="5"/>
      <c r="Y17" s="18">
        <v>97</v>
      </c>
      <c r="Z17" s="5"/>
      <c r="AA17" s="4">
        <f t="shared" si="0"/>
        <v>96.166666666666671</v>
      </c>
      <c r="AB17" s="4">
        <f t="shared" si="1"/>
        <v>94.527777777777786</v>
      </c>
      <c r="AC17" s="4">
        <f t="shared" si="2"/>
        <v>2.8868849887502628</v>
      </c>
      <c r="AD17" s="3"/>
      <c r="AE17" s="3"/>
      <c r="AF17" s="3"/>
      <c r="AG17" s="3"/>
      <c r="AH17" s="3"/>
      <c r="AT17" s="12" t="s">
        <v>7</v>
      </c>
      <c r="AU17" s="12" t="s">
        <v>13</v>
      </c>
      <c r="AV17" s="12" t="s">
        <v>12</v>
      </c>
    </row>
    <row r="18" spans="2:87" ht="24" customHeight="1" thickBot="1" x14ac:dyDescent="0.25">
      <c r="B18" s="15">
        <f t="shared" si="3"/>
        <v>104</v>
      </c>
      <c r="C18" s="15" t="s">
        <v>113</v>
      </c>
      <c r="D18" s="15">
        <v>10</v>
      </c>
      <c r="E18" s="15">
        <v>2</v>
      </c>
      <c r="F18" s="15">
        <v>2</v>
      </c>
      <c r="G18" s="15">
        <v>1</v>
      </c>
      <c r="H18" s="15">
        <v>1</v>
      </c>
      <c r="I18" s="15" t="s">
        <v>119</v>
      </c>
      <c r="J18" s="16"/>
      <c r="K18" s="15" t="s">
        <v>0</v>
      </c>
      <c r="L18" s="14">
        <v>96</v>
      </c>
      <c r="M18" s="13"/>
      <c r="N18" s="14">
        <v>84</v>
      </c>
      <c r="O18" s="13"/>
      <c r="P18" s="14">
        <v>90</v>
      </c>
      <c r="Q18" s="14">
        <v>98</v>
      </c>
      <c r="R18" s="14">
        <v>105</v>
      </c>
      <c r="S18" s="14">
        <v>84</v>
      </c>
      <c r="T18" s="13">
        <v>93</v>
      </c>
      <c r="U18" s="14">
        <v>98</v>
      </c>
      <c r="V18" s="13"/>
      <c r="W18" s="14">
        <v>112</v>
      </c>
      <c r="X18" s="13"/>
      <c r="Y18" s="14">
        <v>100</v>
      </c>
      <c r="Z18" s="13"/>
      <c r="AA18" s="4">
        <f t="shared" si="0"/>
        <v>94.666666666666671</v>
      </c>
      <c r="AB18" s="4">
        <f t="shared" si="1"/>
        <v>97.444444444444457</v>
      </c>
      <c r="AC18" s="4">
        <f t="shared" si="2"/>
        <v>3.6935044752432584</v>
      </c>
      <c r="AD18" s="3"/>
      <c r="AE18" s="3"/>
      <c r="AF18" s="3"/>
      <c r="AG18" s="3"/>
      <c r="AH18" s="3"/>
      <c r="AT18" s="12">
        <v>0</v>
      </c>
      <c r="AU18" s="12">
        <v>0</v>
      </c>
      <c r="AV18" s="11" t="s">
        <v>11</v>
      </c>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2:87" ht="24" customHeight="1" x14ac:dyDescent="0.2">
      <c r="B19" s="7">
        <f t="shared" si="3"/>
        <v>103</v>
      </c>
      <c r="C19" s="7" t="s">
        <v>120</v>
      </c>
      <c r="D19" s="7">
        <v>5</v>
      </c>
      <c r="E19" s="7">
        <v>1</v>
      </c>
      <c r="F19" s="7">
        <v>3</v>
      </c>
      <c r="G19" s="7">
        <v>2</v>
      </c>
      <c r="H19" s="7">
        <v>1</v>
      </c>
      <c r="I19" s="7" t="s">
        <v>121</v>
      </c>
      <c r="J19" s="9"/>
      <c r="K19" s="7" t="s">
        <v>2</v>
      </c>
      <c r="L19" s="18">
        <v>107</v>
      </c>
      <c r="M19" s="5"/>
      <c r="N19" s="18">
        <v>94</v>
      </c>
      <c r="O19" s="5"/>
      <c r="P19" s="18">
        <v>105</v>
      </c>
      <c r="Q19" s="18">
        <v>107</v>
      </c>
      <c r="R19" s="18">
        <v>98</v>
      </c>
      <c r="S19" s="18">
        <v>94</v>
      </c>
      <c r="T19" s="5">
        <v>96</v>
      </c>
      <c r="U19" s="18">
        <v>102</v>
      </c>
      <c r="V19" s="5"/>
      <c r="W19" s="18">
        <v>91</v>
      </c>
      <c r="X19" s="5"/>
      <c r="Y19" s="18">
        <v>100</v>
      </c>
      <c r="Z19" s="5"/>
      <c r="AA19" s="4">
        <f t="shared" si="0"/>
        <v>100.33333333333333</v>
      </c>
      <c r="AB19" s="4">
        <f t="shared" si="1"/>
        <v>99.055555555555543</v>
      </c>
      <c r="AC19" s="4">
        <f t="shared" si="2"/>
        <v>2.3434963854552833</v>
      </c>
      <c r="AD19" s="3"/>
      <c r="AE19" s="3"/>
      <c r="AF19" s="3"/>
      <c r="AG19" s="3"/>
      <c r="AH19" s="3"/>
      <c r="AT19" s="12">
        <v>1</v>
      </c>
      <c r="AU19" s="12">
        <v>5</v>
      </c>
      <c r="AV19" s="12" t="s">
        <v>10</v>
      </c>
    </row>
    <row r="20" spans="2:87" ht="24" customHeight="1" thickBot="1" x14ac:dyDescent="0.25">
      <c r="B20" s="15">
        <f t="shared" si="3"/>
        <v>103</v>
      </c>
      <c r="C20" s="15" t="s">
        <v>120</v>
      </c>
      <c r="D20" s="15">
        <v>5</v>
      </c>
      <c r="E20" s="15">
        <v>1</v>
      </c>
      <c r="F20" s="15">
        <v>3</v>
      </c>
      <c r="G20" s="15">
        <v>2</v>
      </c>
      <c r="H20" s="15">
        <v>1</v>
      </c>
      <c r="I20" s="15" t="s">
        <v>121</v>
      </c>
      <c r="J20" s="16"/>
      <c r="K20" s="15" t="s">
        <v>0</v>
      </c>
      <c r="L20" s="14">
        <v>89</v>
      </c>
      <c r="M20" s="13"/>
      <c r="N20" s="14">
        <v>106</v>
      </c>
      <c r="O20" s="13"/>
      <c r="P20" s="14">
        <v>94</v>
      </c>
      <c r="Q20" s="14">
        <v>92</v>
      </c>
      <c r="R20" s="14">
        <v>94</v>
      </c>
      <c r="S20" s="14">
        <v>98</v>
      </c>
      <c r="T20" s="13">
        <v>83</v>
      </c>
      <c r="U20" s="14">
        <v>91</v>
      </c>
      <c r="V20" s="13"/>
      <c r="W20" s="14">
        <v>80</v>
      </c>
      <c r="X20" s="13"/>
      <c r="Y20" s="14">
        <v>85</v>
      </c>
      <c r="Z20" s="13"/>
      <c r="AA20" s="4">
        <f t="shared" si="0"/>
        <v>92</v>
      </c>
      <c r="AB20" s="4">
        <f t="shared" si="1"/>
        <v>90.5</v>
      </c>
      <c r="AC20" s="4">
        <f t="shared" si="2"/>
        <v>3.5846896657869847</v>
      </c>
      <c r="AD20" s="3"/>
      <c r="AE20" s="3"/>
      <c r="AF20" s="3"/>
      <c r="AG20" s="3"/>
      <c r="AH20" s="3"/>
      <c r="AT20" s="12">
        <v>2</v>
      </c>
      <c r="AU20" s="12">
        <v>10</v>
      </c>
      <c r="AV20" s="11" t="s">
        <v>10</v>
      </c>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2:87" ht="24" customHeight="1" x14ac:dyDescent="0.2">
      <c r="B21" s="7">
        <f t="shared" si="3"/>
        <v>102</v>
      </c>
      <c r="C21" s="7" t="s">
        <v>122</v>
      </c>
      <c r="D21" s="7">
        <v>4</v>
      </c>
      <c r="E21" s="7">
        <v>1</v>
      </c>
      <c r="F21" s="7">
        <v>2</v>
      </c>
      <c r="G21" s="7">
        <v>1</v>
      </c>
      <c r="H21" s="7">
        <v>1</v>
      </c>
      <c r="I21" s="7" t="s">
        <v>123</v>
      </c>
      <c r="J21" s="9"/>
      <c r="K21" s="7" t="s">
        <v>2</v>
      </c>
      <c r="L21" s="6">
        <v>84</v>
      </c>
      <c r="M21" s="5"/>
      <c r="N21" s="6">
        <v>87</v>
      </c>
      <c r="O21" s="5"/>
      <c r="P21" s="6">
        <v>73</v>
      </c>
      <c r="Q21" s="6">
        <v>80</v>
      </c>
      <c r="R21" s="6">
        <v>83</v>
      </c>
      <c r="S21" s="6">
        <v>92</v>
      </c>
      <c r="T21" s="5">
        <v>85</v>
      </c>
      <c r="U21" s="6">
        <v>79</v>
      </c>
      <c r="V21" s="5"/>
      <c r="W21" s="6">
        <v>85</v>
      </c>
      <c r="X21" s="5"/>
      <c r="Y21" s="6">
        <v>105</v>
      </c>
      <c r="Z21" s="5"/>
      <c r="AA21" s="4">
        <f t="shared" si="0"/>
        <v>82</v>
      </c>
      <c r="AB21" s="4">
        <f t="shared" si="1"/>
        <v>87</v>
      </c>
      <c r="AC21" s="4">
        <f t="shared" si="2"/>
        <v>3.7682887362833544</v>
      </c>
      <c r="AD21" s="3"/>
      <c r="AE21" s="3"/>
      <c r="AF21" s="3"/>
      <c r="AG21" s="3"/>
      <c r="AH21" s="3"/>
      <c r="AT21" s="12">
        <v>3</v>
      </c>
      <c r="AU21" s="12">
        <v>20</v>
      </c>
      <c r="AV21" s="12" t="s">
        <v>9</v>
      </c>
    </row>
    <row r="22" spans="2:87" ht="24" customHeight="1" thickBot="1" x14ac:dyDescent="0.25">
      <c r="B22" s="15">
        <f t="shared" si="3"/>
        <v>102</v>
      </c>
      <c r="C22" s="15" t="s">
        <v>122</v>
      </c>
      <c r="D22" s="15">
        <v>4</v>
      </c>
      <c r="E22" s="15">
        <v>1</v>
      </c>
      <c r="F22" s="15">
        <v>2</v>
      </c>
      <c r="G22" s="15">
        <v>1</v>
      </c>
      <c r="H22" s="15">
        <v>1</v>
      </c>
      <c r="I22" s="15" t="s">
        <v>123</v>
      </c>
      <c r="J22" s="16"/>
      <c r="K22" s="15" t="s">
        <v>0</v>
      </c>
      <c r="L22" s="14">
        <v>90</v>
      </c>
      <c r="M22" s="13"/>
      <c r="N22" s="14">
        <v>87</v>
      </c>
      <c r="O22" s="13"/>
      <c r="P22" s="14">
        <v>91</v>
      </c>
      <c r="Q22" s="14">
        <v>80</v>
      </c>
      <c r="R22" s="14">
        <v>82</v>
      </c>
      <c r="S22" s="14">
        <v>92</v>
      </c>
      <c r="T22" s="13">
        <v>88</v>
      </c>
      <c r="U22" s="14">
        <v>90</v>
      </c>
      <c r="V22" s="13"/>
      <c r="W22" s="14">
        <v>102</v>
      </c>
      <c r="X22" s="13"/>
      <c r="Y22" s="14">
        <v>91</v>
      </c>
      <c r="Z22" s="13"/>
      <c r="AA22" s="4">
        <f t="shared" si="0"/>
        <v>87.166666666666671</v>
      </c>
      <c r="AB22" s="4">
        <f t="shared" si="1"/>
        <v>91.194444444444457</v>
      </c>
      <c r="AC22" s="4">
        <f t="shared" si="2"/>
        <v>2.261766216865281</v>
      </c>
      <c r="AD22" s="3"/>
      <c r="AE22" s="3"/>
      <c r="AF22" s="3"/>
      <c r="AG22" s="3"/>
      <c r="AH22" s="3"/>
      <c r="AT22" s="12"/>
      <c r="AU22" s="12"/>
      <c r="AV22" s="11"/>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2:87" ht="24" customHeight="1" x14ac:dyDescent="0.2">
      <c r="B23" s="7">
        <f t="shared" si="3"/>
        <v>101</v>
      </c>
      <c r="C23" s="7" t="s">
        <v>124</v>
      </c>
      <c r="D23" s="7">
        <v>1</v>
      </c>
      <c r="E23" s="7">
        <v>1</v>
      </c>
      <c r="F23" s="7">
        <v>1</v>
      </c>
      <c r="G23" s="7">
        <v>2</v>
      </c>
      <c r="H23" s="7">
        <v>1</v>
      </c>
      <c r="I23" s="7" t="s">
        <v>125</v>
      </c>
      <c r="J23" s="9"/>
      <c r="K23" s="7" t="s">
        <v>2</v>
      </c>
      <c r="L23" s="6">
        <v>83</v>
      </c>
      <c r="M23" s="5"/>
      <c r="N23" s="6">
        <v>93</v>
      </c>
      <c r="O23" s="5"/>
      <c r="P23" s="6">
        <v>82</v>
      </c>
      <c r="Q23" s="6">
        <v>95</v>
      </c>
      <c r="R23" s="6">
        <v>99</v>
      </c>
      <c r="S23" s="6">
        <v>92</v>
      </c>
      <c r="T23" s="5">
        <v>95</v>
      </c>
      <c r="U23" s="6">
        <v>86</v>
      </c>
      <c r="V23" s="5"/>
      <c r="W23" s="6">
        <v>83</v>
      </c>
      <c r="X23" s="5"/>
      <c r="Y23" s="6">
        <v>95</v>
      </c>
      <c r="Z23" s="5"/>
      <c r="AA23" s="4">
        <f t="shared" si="0"/>
        <v>91.5</v>
      </c>
      <c r="AB23" s="4">
        <f t="shared" si="1"/>
        <v>88.583333333333329</v>
      </c>
      <c r="AC23" s="4">
        <f t="shared" si="2"/>
        <v>2.1463793803622986</v>
      </c>
      <c r="AD23" s="3"/>
      <c r="AE23" s="3"/>
      <c r="AF23" s="3"/>
      <c r="AG23" s="3"/>
      <c r="AH23" s="3"/>
      <c r="AT23" s="2" t="s">
        <v>8</v>
      </c>
      <c r="AU23" s="2"/>
      <c r="AV23" s="2"/>
    </row>
    <row r="24" spans="2:87" ht="24" customHeight="1" thickBot="1" x14ac:dyDescent="0.25">
      <c r="B24" s="15">
        <f t="shared" si="3"/>
        <v>101</v>
      </c>
      <c r="C24" s="15" t="s">
        <v>124</v>
      </c>
      <c r="D24" s="15">
        <v>1</v>
      </c>
      <c r="E24" s="15">
        <v>1</v>
      </c>
      <c r="F24" s="15">
        <v>1</v>
      </c>
      <c r="G24" s="15">
        <v>2</v>
      </c>
      <c r="H24" s="15">
        <v>1</v>
      </c>
      <c r="I24" s="15" t="s">
        <v>125</v>
      </c>
      <c r="J24" s="16"/>
      <c r="K24" s="15" t="s">
        <v>0</v>
      </c>
      <c r="L24" s="14">
        <v>96</v>
      </c>
      <c r="M24" s="13"/>
      <c r="N24" s="14">
        <v>104</v>
      </c>
      <c r="O24" s="13"/>
      <c r="P24" s="14">
        <v>91</v>
      </c>
      <c r="Q24" s="14">
        <v>86</v>
      </c>
      <c r="R24" s="14">
        <v>88</v>
      </c>
      <c r="S24" s="14">
        <v>90</v>
      </c>
      <c r="T24" s="13">
        <v>91</v>
      </c>
      <c r="U24" s="14">
        <v>92</v>
      </c>
      <c r="V24" s="13"/>
      <c r="W24" s="14">
        <v>87</v>
      </c>
      <c r="X24" s="13"/>
      <c r="Y24" s="14">
        <v>76</v>
      </c>
      <c r="Z24" s="13"/>
      <c r="AA24" s="4">
        <f t="shared" si="0"/>
        <v>89.666666666666671</v>
      </c>
      <c r="AB24" s="4">
        <f t="shared" si="1"/>
        <v>90.777777777777786</v>
      </c>
      <c r="AC24" s="4">
        <f t="shared" si="2"/>
        <v>3.8187322568337674</v>
      </c>
      <c r="AD24" s="3"/>
      <c r="AE24" s="3"/>
      <c r="AF24" s="3"/>
      <c r="AG24" s="3"/>
      <c r="AH24" s="3"/>
      <c r="AT24" s="12" t="s">
        <v>7</v>
      </c>
      <c r="AU24" s="12" t="s">
        <v>6</v>
      </c>
      <c r="AV24" s="11" t="s">
        <v>5</v>
      </c>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2:87" ht="24" customHeight="1" x14ac:dyDescent="0.2">
      <c r="B25" s="7">
        <f>B23+100</f>
        <v>201</v>
      </c>
      <c r="C25" s="7" t="s">
        <v>117</v>
      </c>
      <c r="D25" s="7">
        <v>12</v>
      </c>
      <c r="E25" s="7">
        <v>2</v>
      </c>
      <c r="F25" s="7">
        <v>3</v>
      </c>
      <c r="G25" s="7">
        <v>1</v>
      </c>
      <c r="H25" s="7">
        <v>1</v>
      </c>
      <c r="I25" s="7" t="s">
        <v>126</v>
      </c>
      <c r="J25" s="7"/>
      <c r="K25" s="7" t="s">
        <v>2</v>
      </c>
      <c r="L25" s="6">
        <v>103</v>
      </c>
      <c r="M25" s="6"/>
      <c r="N25" s="6">
        <v>110</v>
      </c>
      <c r="O25" s="6"/>
      <c r="P25" s="6">
        <v>105</v>
      </c>
      <c r="Q25" s="6">
        <v>108</v>
      </c>
      <c r="R25" s="6">
        <v>99</v>
      </c>
      <c r="S25" s="6">
        <v>102</v>
      </c>
      <c r="T25" s="6">
        <v>99</v>
      </c>
      <c r="U25" s="6">
        <v>101</v>
      </c>
      <c r="V25" s="6"/>
      <c r="W25" s="6">
        <v>91</v>
      </c>
      <c r="X25" s="6"/>
      <c r="Y25" s="6">
        <v>98</v>
      </c>
      <c r="Z25" s="6"/>
      <c r="AA25" s="4">
        <f t="shared" si="0"/>
        <v>102.33333333333333</v>
      </c>
      <c r="AB25" s="4">
        <f t="shared" si="1"/>
        <v>100.88888888888887</v>
      </c>
      <c r="AC25" s="4">
        <f t="shared" si="2"/>
        <v>2.5541058690123748</v>
      </c>
      <c r="AD25" s="3"/>
      <c r="AE25" s="3"/>
      <c r="AF25" s="3"/>
      <c r="AG25" s="3"/>
      <c r="AH25" s="3"/>
      <c r="AT25" s="12">
        <v>1</v>
      </c>
      <c r="AU25" s="12" t="s">
        <v>4</v>
      </c>
      <c r="AV25" s="12">
        <v>0</v>
      </c>
    </row>
    <row r="26" spans="2:87" ht="24" customHeight="1" thickBot="1" x14ac:dyDescent="0.25">
      <c r="B26" s="15">
        <f>B24+100</f>
        <v>201</v>
      </c>
      <c r="C26" s="15" t="s">
        <v>117</v>
      </c>
      <c r="D26" s="15">
        <v>12</v>
      </c>
      <c r="E26" s="15">
        <v>2</v>
      </c>
      <c r="F26" s="15">
        <v>3</v>
      </c>
      <c r="G26" s="15">
        <v>1</v>
      </c>
      <c r="H26" s="15">
        <v>1</v>
      </c>
      <c r="I26" s="15" t="s">
        <v>126</v>
      </c>
      <c r="J26" s="16"/>
      <c r="K26" s="15" t="s">
        <v>0</v>
      </c>
      <c r="L26" s="14">
        <v>93</v>
      </c>
      <c r="M26" s="13"/>
      <c r="N26" s="14">
        <v>96</v>
      </c>
      <c r="O26" s="13"/>
      <c r="P26" s="14">
        <v>94</v>
      </c>
      <c r="Q26" s="14">
        <v>79</v>
      </c>
      <c r="R26" s="14">
        <v>91</v>
      </c>
      <c r="S26" s="14">
        <v>83</v>
      </c>
      <c r="T26" s="13">
        <v>79</v>
      </c>
      <c r="U26" s="14">
        <v>80</v>
      </c>
      <c r="V26" s="13"/>
      <c r="W26" s="14">
        <v>92</v>
      </c>
      <c r="X26" s="13"/>
      <c r="Y26" s="14">
        <v>94</v>
      </c>
      <c r="Z26" s="13"/>
      <c r="AA26" s="4">
        <f t="shared" si="0"/>
        <v>84.333333333333329</v>
      </c>
      <c r="AB26" s="4">
        <f t="shared" si="1"/>
        <v>89.888888888888872</v>
      </c>
      <c r="AC26" s="4">
        <f t="shared" si="2"/>
        <v>2.5627916877046224</v>
      </c>
      <c r="AD26" s="3"/>
      <c r="AE26" s="3"/>
      <c r="AF26" s="3"/>
      <c r="AG26" s="3"/>
      <c r="AH26" s="3"/>
      <c r="AT26" s="12">
        <v>2</v>
      </c>
      <c r="AU26" s="12" t="s">
        <v>3</v>
      </c>
      <c r="AV26" s="11">
        <v>150</v>
      </c>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2:87" ht="24" customHeight="1" x14ac:dyDescent="0.2">
      <c r="B27" s="7">
        <f t="shared" ref="B27:B40" si="4">B25+1</f>
        <v>202</v>
      </c>
      <c r="C27" s="7" t="s">
        <v>115</v>
      </c>
      <c r="D27" s="7">
        <v>9</v>
      </c>
      <c r="E27" s="7">
        <v>2</v>
      </c>
      <c r="F27" s="7">
        <v>2</v>
      </c>
      <c r="G27" s="7">
        <v>2</v>
      </c>
      <c r="H27" s="7">
        <v>1</v>
      </c>
      <c r="I27" s="7" t="s">
        <v>127</v>
      </c>
      <c r="J27" s="9"/>
      <c r="K27" s="7" t="s">
        <v>2</v>
      </c>
      <c r="L27" s="6">
        <v>106</v>
      </c>
      <c r="M27" s="6"/>
      <c r="N27" s="6">
        <v>93</v>
      </c>
      <c r="O27" s="6"/>
      <c r="P27" s="6">
        <v>101</v>
      </c>
      <c r="Q27" s="6">
        <v>91</v>
      </c>
      <c r="R27" s="6">
        <v>93</v>
      </c>
      <c r="S27" s="6">
        <v>84</v>
      </c>
      <c r="T27" s="6">
        <v>106</v>
      </c>
      <c r="U27" s="6">
        <v>78</v>
      </c>
      <c r="V27" s="6"/>
      <c r="W27" s="6">
        <v>92</v>
      </c>
      <c r="X27" s="6"/>
      <c r="Y27" s="6">
        <v>94</v>
      </c>
      <c r="Z27" s="6"/>
      <c r="AA27" s="4">
        <f t="shared" si="0"/>
        <v>92.166666666666671</v>
      </c>
      <c r="AB27" s="4">
        <f t="shared" si="1"/>
        <v>92.527777777777786</v>
      </c>
      <c r="AC27" s="4">
        <f t="shared" si="2"/>
        <v>3.6302271805929798</v>
      </c>
      <c r="AD27" s="3"/>
      <c r="AE27" s="3"/>
      <c r="AF27" s="3"/>
      <c r="AG27" s="3"/>
      <c r="AH27" s="3"/>
    </row>
    <row r="28" spans="2:87" ht="24" customHeight="1" thickBot="1" x14ac:dyDescent="0.25">
      <c r="B28" s="15">
        <f t="shared" si="4"/>
        <v>202</v>
      </c>
      <c r="C28" s="15" t="s">
        <v>115</v>
      </c>
      <c r="D28" s="15">
        <v>9</v>
      </c>
      <c r="E28" s="15">
        <v>2</v>
      </c>
      <c r="F28" s="15">
        <v>2</v>
      </c>
      <c r="G28" s="15">
        <v>2</v>
      </c>
      <c r="H28" s="15">
        <v>1</v>
      </c>
      <c r="I28" s="15" t="s">
        <v>127</v>
      </c>
      <c r="J28" s="16"/>
      <c r="K28" s="15" t="s">
        <v>0</v>
      </c>
      <c r="L28" s="14">
        <v>98</v>
      </c>
      <c r="M28" s="13"/>
      <c r="N28" s="14">
        <v>102</v>
      </c>
      <c r="O28" s="13"/>
      <c r="P28" s="14">
        <v>81</v>
      </c>
      <c r="Q28" s="14">
        <v>84</v>
      </c>
      <c r="R28" s="14">
        <v>80</v>
      </c>
      <c r="S28" s="14">
        <v>77</v>
      </c>
      <c r="T28" s="13">
        <v>94</v>
      </c>
      <c r="U28" s="14">
        <v>85</v>
      </c>
      <c r="V28" s="13"/>
      <c r="W28" s="14">
        <v>93</v>
      </c>
      <c r="X28" s="13"/>
      <c r="Y28" s="14">
        <v>103</v>
      </c>
      <c r="Z28" s="13"/>
      <c r="AA28" s="4">
        <f t="shared" si="0"/>
        <v>83.5</v>
      </c>
      <c r="AB28" s="4">
        <f t="shared" si="1"/>
        <v>94.083333333333329</v>
      </c>
      <c r="AC28" s="4">
        <f t="shared" si="2"/>
        <v>3.4312696062989732</v>
      </c>
      <c r="AD28" s="3"/>
      <c r="AE28" s="3"/>
      <c r="AF28" s="3"/>
      <c r="AG28" s="3"/>
      <c r="AH28" s="3"/>
      <c r="AT28" s="12"/>
      <c r="AU28" s="12"/>
      <c r="AV28" s="11"/>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2:87" ht="24" customHeight="1" x14ac:dyDescent="0.2">
      <c r="B29" s="7">
        <f t="shared" si="4"/>
        <v>203</v>
      </c>
      <c r="C29" s="7" t="s">
        <v>111</v>
      </c>
      <c r="D29" s="7">
        <v>3</v>
      </c>
      <c r="E29" s="7">
        <v>1</v>
      </c>
      <c r="F29" s="7">
        <v>2</v>
      </c>
      <c r="G29" s="7">
        <v>2</v>
      </c>
      <c r="H29" s="7">
        <v>1</v>
      </c>
      <c r="I29" s="7" t="s">
        <v>128</v>
      </c>
      <c r="J29" s="9"/>
      <c r="K29" s="7" t="s">
        <v>2</v>
      </c>
      <c r="L29" s="6">
        <v>87</v>
      </c>
      <c r="M29" s="6"/>
      <c r="N29" s="6">
        <v>92</v>
      </c>
      <c r="O29" s="6"/>
      <c r="P29" s="6">
        <v>106</v>
      </c>
      <c r="Q29" s="6">
        <v>95</v>
      </c>
      <c r="R29" s="6">
        <v>95</v>
      </c>
      <c r="S29" s="6">
        <v>90</v>
      </c>
      <c r="T29" s="6">
        <v>97</v>
      </c>
      <c r="U29" s="6">
        <v>94</v>
      </c>
      <c r="V29" s="6"/>
      <c r="W29" s="6">
        <v>87</v>
      </c>
      <c r="X29" s="6"/>
      <c r="Y29" s="6">
        <v>95</v>
      </c>
      <c r="Z29" s="6"/>
      <c r="AA29" s="4">
        <f t="shared" si="0"/>
        <v>96.166666666666671</v>
      </c>
      <c r="AB29" s="4">
        <f t="shared" si="1"/>
        <v>91.861111111111128</v>
      </c>
      <c r="AC29" s="4">
        <f t="shared" si="2"/>
        <v>1.6354955453966691</v>
      </c>
      <c r="AD29" s="3"/>
      <c r="AE29" s="3"/>
      <c r="AF29" s="3"/>
      <c r="AG29" s="3"/>
      <c r="AH29" s="3"/>
    </row>
    <row r="30" spans="2:87" ht="24" customHeight="1" thickBot="1" x14ac:dyDescent="0.25">
      <c r="B30" s="15">
        <f t="shared" si="4"/>
        <v>203</v>
      </c>
      <c r="C30" s="15" t="s">
        <v>111</v>
      </c>
      <c r="D30" s="15">
        <v>3</v>
      </c>
      <c r="E30" s="15">
        <v>1</v>
      </c>
      <c r="F30" s="15">
        <v>2</v>
      </c>
      <c r="G30" s="15">
        <v>2</v>
      </c>
      <c r="H30" s="15">
        <v>1</v>
      </c>
      <c r="I30" s="15" t="s">
        <v>128</v>
      </c>
      <c r="J30" s="16"/>
      <c r="K30" s="15" t="s">
        <v>0</v>
      </c>
      <c r="L30" s="14">
        <v>88</v>
      </c>
      <c r="M30" s="13"/>
      <c r="N30" s="14">
        <v>101</v>
      </c>
      <c r="O30" s="13"/>
      <c r="P30" s="14">
        <v>93</v>
      </c>
      <c r="Q30" s="14">
        <v>97</v>
      </c>
      <c r="R30" s="14">
        <v>96</v>
      </c>
      <c r="S30" s="14">
        <v>100</v>
      </c>
      <c r="T30" s="13">
        <v>93</v>
      </c>
      <c r="U30" s="14">
        <v>103</v>
      </c>
      <c r="V30" s="13"/>
      <c r="W30" s="14">
        <v>96</v>
      </c>
      <c r="X30" s="13"/>
      <c r="Y30" s="14">
        <v>99</v>
      </c>
      <c r="Z30" s="13"/>
      <c r="AA30" s="4">
        <f t="shared" si="0"/>
        <v>97</v>
      </c>
      <c r="AB30" s="4">
        <f t="shared" si="1"/>
        <v>97.333333333333329</v>
      </c>
      <c r="AC30" s="4">
        <f t="shared" si="2"/>
        <v>2.1395742047841622</v>
      </c>
      <c r="AD30" s="3"/>
      <c r="AE30" s="3"/>
      <c r="AF30" s="3"/>
      <c r="AG30" s="3"/>
      <c r="AH30" s="3"/>
      <c r="AT30" s="12"/>
      <c r="AU30" s="12"/>
      <c r="AV30" s="11"/>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2:87" ht="24" customHeight="1" x14ac:dyDescent="0.2">
      <c r="B31" s="7">
        <f t="shared" si="4"/>
        <v>204</v>
      </c>
      <c r="C31" s="7" t="s">
        <v>129</v>
      </c>
      <c r="D31" s="7">
        <v>11</v>
      </c>
      <c r="E31" s="7">
        <v>2</v>
      </c>
      <c r="F31" s="7">
        <v>3</v>
      </c>
      <c r="G31" s="7">
        <v>2</v>
      </c>
      <c r="H31" s="7">
        <v>1</v>
      </c>
      <c r="I31" s="7" t="s">
        <v>130</v>
      </c>
      <c r="J31" s="9"/>
      <c r="K31" s="7" t="s">
        <v>2</v>
      </c>
      <c r="L31" s="6">
        <v>107</v>
      </c>
      <c r="M31" s="6"/>
      <c r="N31" s="6">
        <v>108</v>
      </c>
      <c r="O31" s="6"/>
      <c r="P31" s="6">
        <v>110</v>
      </c>
      <c r="Q31" s="6">
        <v>101</v>
      </c>
      <c r="R31" s="6">
        <v>105</v>
      </c>
      <c r="S31" s="6">
        <v>101</v>
      </c>
      <c r="T31" s="6">
        <v>101</v>
      </c>
      <c r="U31" s="6">
        <v>103</v>
      </c>
      <c r="V31" s="6"/>
      <c r="W31" s="6">
        <v>101</v>
      </c>
      <c r="X31" s="6"/>
      <c r="Y31" s="6">
        <v>107</v>
      </c>
      <c r="Z31" s="6"/>
      <c r="AA31" s="4">
        <f t="shared" si="0"/>
        <v>103.5</v>
      </c>
      <c r="AB31" s="4">
        <f t="shared" si="1"/>
        <v>104.91666666666667</v>
      </c>
      <c r="AC31" s="4">
        <f t="shared" si="2"/>
        <v>1.1432167093095014</v>
      </c>
      <c r="AD31" s="3"/>
      <c r="AE31" s="3"/>
      <c r="AF31" s="3"/>
      <c r="AG31" s="3"/>
      <c r="AH31" s="3"/>
    </row>
    <row r="32" spans="2:87" ht="24" customHeight="1" thickBot="1" x14ac:dyDescent="0.25">
      <c r="B32" s="15">
        <f t="shared" si="4"/>
        <v>204</v>
      </c>
      <c r="C32" s="15" t="s">
        <v>129</v>
      </c>
      <c r="D32" s="15">
        <v>11</v>
      </c>
      <c r="E32" s="15">
        <v>2</v>
      </c>
      <c r="F32" s="15">
        <v>3</v>
      </c>
      <c r="G32" s="15">
        <v>2</v>
      </c>
      <c r="H32" s="15">
        <v>1</v>
      </c>
      <c r="I32" s="15" t="s">
        <v>130</v>
      </c>
      <c r="J32" s="16"/>
      <c r="K32" s="15" t="s">
        <v>0</v>
      </c>
      <c r="L32" s="14">
        <v>118</v>
      </c>
      <c r="M32" s="13"/>
      <c r="N32" s="14">
        <v>104</v>
      </c>
      <c r="O32" s="13"/>
      <c r="P32" s="14">
        <v>109</v>
      </c>
      <c r="Q32" s="14">
        <v>102</v>
      </c>
      <c r="R32" s="14">
        <v>103</v>
      </c>
      <c r="S32" s="14">
        <v>98</v>
      </c>
      <c r="T32" s="13">
        <v>97</v>
      </c>
      <c r="U32" s="14">
        <v>108</v>
      </c>
      <c r="V32" s="13"/>
      <c r="W32" s="14">
        <v>102</v>
      </c>
      <c r="X32" s="13"/>
      <c r="Y32" s="14">
        <v>105</v>
      </c>
      <c r="Z32" s="13"/>
      <c r="AA32" s="4">
        <f t="shared" si="0"/>
        <v>102.83333333333333</v>
      </c>
      <c r="AB32" s="4">
        <f t="shared" si="1"/>
        <v>106.63888888888887</v>
      </c>
      <c r="AC32" s="4">
        <f t="shared" si="2"/>
        <v>2.4260990890982708</v>
      </c>
      <c r="AD32" s="3"/>
      <c r="AE32" s="3"/>
      <c r="AF32" s="3"/>
      <c r="AG32" s="3"/>
      <c r="AH32" s="3"/>
      <c r="AT32" s="12"/>
      <c r="AU32" s="12"/>
      <c r="AV32" s="11"/>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2:87" ht="24" customHeight="1" x14ac:dyDescent="0.2">
      <c r="B33" s="7">
        <f t="shared" si="4"/>
        <v>205</v>
      </c>
      <c r="C33" s="7" t="s">
        <v>124</v>
      </c>
      <c r="D33" s="7">
        <v>1</v>
      </c>
      <c r="E33" s="7">
        <v>1</v>
      </c>
      <c r="F33" s="7">
        <v>1</v>
      </c>
      <c r="G33" s="7">
        <v>2</v>
      </c>
      <c r="H33" s="7">
        <v>2</v>
      </c>
      <c r="I33" s="7" t="s">
        <v>131</v>
      </c>
      <c r="J33" s="9"/>
      <c r="K33" s="7" t="s">
        <v>2</v>
      </c>
      <c r="L33" s="6">
        <v>92</v>
      </c>
      <c r="M33" s="6"/>
      <c r="N33" s="6">
        <v>101</v>
      </c>
      <c r="O33" s="6"/>
      <c r="P33" s="6">
        <v>103</v>
      </c>
      <c r="Q33" s="6">
        <v>110</v>
      </c>
      <c r="R33" s="6">
        <v>99</v>
      </c>
      <c r="S33" s="6">
        <v>101</v>
      </c>
      <c r="T33" s="6">
        <v>89</v>
      </c>
      <c r="U33" s="6">
        <v>93</v>
      </c>
      <c r="V33" s="6"/>
      <c r="W33" s="6">
        <v>90</v>
      </c>
      <c r="X33" s="6"/>
      <c r="Y33" s="6">
        <v>105</v>
      </c>
      <c r="Z33" s="6"/>
      <c r="AA33" s="4">
        <f t="shared" si="0"/>
        <v>99.166666666666671</v>
      </c>
      <c r="AB33" s="4">
        <f t="shared" si="1"/>
        <v>96.694444444444457</v>
      </c>
      <c r="AC33" s="4">
        <f t="shared" si="2"/>
        <v>2.4092478719803774</v>
      </c>
      <c r="AD33" s="3"/>
      <c r="AE33" s="3"/>
      <c r="AF33" s="3"/>
      <c r="AG33" s="3"/>
      <c r="AH33" s="3"/>
    </row>
    <row r="34" spans="2:87" ht="24" customHeight="1" thickBot="1" x14ac:dyDescent="0.25">
      <c r="B34" s="15">
        <f t="shared" si="4"/>
        <v>205</v>
      </c>
      <c r="C34" s="15" t="s">
        <v>124</v>
      </c>
      <c r="D34" s="15">
        <v>1</v>
      </c>
      <c r="E34" s="15">
        <v>1</v>
      </c>
      <c r="F34" s="15">
        <v>1</v>
      </c>
      <c r="G34" s="15">
        <v>2</v>
      </c>
      <c r="H34" s="15">
        <v>2</v>
      </c>
      <c r="I34" s="15" t="s">
        <v>131</v>
      </c>
      <c r="J34" s="16"/>
      <c r="K34" s="15" t="s">
        <v>0</v>
      </c>
      <c r="L34" s="14">
        <v>100</v>
      </c>
      <c r="M34" s="13"/>
      <c r="N34" s="14">
        <v>113</v>
      </c>
      <c r="O34" s="13"/>
      <c r="P34" s="14">
        <v>107</v>
      </c>
      <c r="Q34" s="14">
        <v>104</v>
      </c>
      <c r="R34" s="14">
        <v>102</v>
      </c>
      <c r="S34" s="14">
        <v>95</v>
      </c>
      <c r="T34" s="13">
        <v>108</v>
      </c>
      <c r="U34" s="14">
        <v>96</v>
      </c>
      <c r="V34" s="13"/>
      <c r="W34" s="14">
        <v>101</v>
      </c>
      <c r="X34" s="13"/>
      <c r="Y34" s="14">
        <v>100</v>
      </c>
      <c r="Z34" s="13"/>
      <c r="AA34" s="4">
        <f t="shared" si="0"/>
        <v>102</v>
      </c>
      <c r="AB34" s="4">
        <f t="shared" si="1"/>
        <v>102</v>
      </c>
      <c r="AC34" s="4">
        <f t="shared" si="2"/>
        <v>2.3523038352503134</v>
      </c>
      <c r="AD34" s="3"/>
      <c r="AE34" s="3"/>
      <c r="AF34" s="3"/>
      <c r="AG34" s="3"/>
      <c r="AH34" s="3"/>
      <c r="AT34" s="12"/>
      <c r="AU34" s="12"/>
      <c r="AV34" s="11"/>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2:87" ht="24" customHeight="1" x14ac:dyDescent="0.2">
      <c r="B35" s="7">
        <f t="shared" si="4"/>
        <v>206</v>
      </c>
      <c r="C35" s="7" t="s">
        <v>132</v>
      </c>
      <c r="D35" s="7">
        <v>8</v>
      </c>
      <c r="E35" s="7">
        <v>2</v>
      </c>
      <c r="F35" s="7">
        <v>1</v>
      </c>
      <c r="G35" s="7">
        <v>1</v>
      </c>
      <c r="H35" s="7">
        <v>2</v>
      </c>
      <c r="I35" s="7" t="s">
        <v>133</v>
      </c>
      <c r="J35" s="9"/>
      <c r="K35" s="7" t="s">
        <v>2</v>
      </c>
      <c r="L35" s="6">
        <v>91</v>
      </c>
      <c r="M35" s="6"/>
      <c r="N35" s="6">
        <v>77</v>
      </c>
      <c r="O35" s="6"/>
      <c r="P35" s="6">
        <v>82</v>
      </c>
      <c r="Q35" s="6">
        <v>97</v>
      </c>
      <c r="R35" s="6">
        <v>74</v>
      </c>
      <c r="S35" s="6"/>
      <c r="T35" s="6"/>
      <c r="U35" s="6">
        <v>95</v>
      </c>
      <c r="V35" s="6"/>
      <c r="W35" s="6">
        <v>87</v>
      </c>
      <c r="X35" s="6"/>
      <c r="Y35" s="6">
        <v>85</v>
      </c>
      <c r="Z35" s="6"/>
      <c r="AA35" s="4">
        <f t="shared" si="0"/>
        <v>87</v>
      </c>
      <c r="AB35" s="4">
        <f t="shared" si="1"/>
        <v>87</v>
      </c>
      <c r="AC35" s="4">
        <f t="shared" si="2"/>
        <v>2.4765567494675613</v>
      </c>
      <c r="AD35" s="3"/>
      <c r="AE35" s="3"/>
      <c r="AF35" s="3"/>
      <c r="AG35" s="3"/>
      <c r="AH35" s="3"/>
    </row>
    <row r="36" spans="2:87" ht="24" customHeight="1" thickBot="1" x14ac:dyDescent="0.25">
      <c r="B36" s="15">
        <f t="shared" si="4"/>
        <v>206</v>
      </c>
      <c r="C36" s="15" t="s">
        <v>132</v>
      </c>
      <c r="D36" s="15">
        <v>8</v>
      </c>
      <c r="E36" s="15">
        <v>2</v>
      </c>
      <c r="F36" s="15">
        <v>1</v>
      </c>
      <c r="G36" s="15">
        <v>1</v>
      </c>
      <c r="H36" s="15">
        <v>2</v>
      </c>
      <c r="I36" s="15" t="s">
        <v>133</v>
      </c>
      <c r="J36" s="16"/>
      <c r="K36" s="15" t="s">
        <v>0</v>
      </c>
      <c r="L36" s="14">
        <v>103</v>
      </c>
      <c r="M36" s="13"/>
      <c r="N36" s="14">
        <v>83</v>
      </c>
      <c r="O36" s="13"/>
      <c r="P36" s="14">
        <v>79</v>
      </c>
      <c r="Q36" s="14">
        <v>73</v>
      </c>
      <c r="R36" s="14">
        <v>80</v>
      </c>
      <c r="S36" s="14"/>
      <c r="T36" s="13"/>
      <c r="U36" s="14">
        <v>91</v>
      </c>
      <c r="V36" s="13"/>
      <c r="W36" s="14">
        <v>88</v>
      </c>
      <c r="X36" s="13"/>
      <c r="Y36" s="14">
        <v>92</v>
      </c>
      <c r="Z36" s="13"/>
      <c r="AA36" s="4">
        <f t="shared" si="0"/>
        <v>80.75</v>
      </c>
      <c r="AB36" s="4">
        <f t="shared" si="1"/>
        <v>89.625</v>
      </c>
      <c r="AC36" s="4">
        <f t="shared" si="2"/>
        <v>3.2234492395569068</v>
      </c>
      <c r="AD36" s="3"/>
      <c r="AE36" s="3"/>
      <c r="AF36" s="3"/>
      <c r="AG36" s="3"/>
      <c r="AH36" s="3"/>
      <c r="AT36" s="12"/>
      <c r="AU36" s="12"/>
      <c r="AV36" s="11"/>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2:87" ht="24" customHeight="1" x14ac:dyDescent="0.2">
      <c r="B37" s="7">
        <f t="shared" si="4"/>
        <v>207</v>
      </c>
      <c r="C37" s="7" t="s">
        <v>122</v>
      </c>
      <c r="D37" s="7">
        <v>4</v>
      </c>
      <c r="E37" s="7">
        <v>1</v>
      </c>
      <c r="F37" s="7">
        <v>2</v>
      </c>
      <c r="G37" s="7">
        <v>1</v>
      </c>
      <c r="H37" s="7">
        <v>2</v>
      </c>
      <c r="I37" s="7" t="s">
        <v>134</v>
      </c>
      <c r="J37" s="9"/>
      <c r="K37" s="7" t="s">
        <v>2</v>
      </c>
      <c r="L37" s="6">
        <v>96</v>
      </c>
      <c r="M37" s="6"/>
      <c r="N37" s="6">
        <v>89</v>
      </c>
      <c r="O37" s="6"/>
      <c r="P37" s="6">
        <v>93</v>
      </c>
      <c r="Q37" s="6">
        <v>98</v>
      </c>
      <c r="R37" s="6">
        <v>93</v>
      </c>
      <c r="S37" s="6">
        <v>82</v>
      </c>
      <c r="T37" s="6">
        <v>98</v>
      </c>
      <c r="U37" s="6">
        <v>103</v>
      </c>
      <c r="V37" s="6"/>
      <c r="W37" s="6">
        <v>88</v>
      </c>
      <c r="X37" s="6"/>
      <c r="Y37" s="6">
        <v>97</v>
      </c>
      <c r="Z37" s="6"/>
      <c r="AA37" s="4">
        <f t="shared" si="0"/>
        <v>94.5</v>
      </c>
      <c r="AB37" s="4">
        <f t="shared" si="1"/>
        <v>94.583333333333329</v>
      </c>
      <c r="AC37" s="4">
        <f t="shared" si="2"/>
        <v>2.259854960930999</v>
      </c>
      <c r="AD37" s="3"/>
      <c r="AE37" s="3"/>
      <c r="AF37" s="3"/>
      <c r="AG37" s="3"/>
      <c r="AH37" s="3"/>
    </row>
    <row r="38" spans="2:87" ht="24" customHeight="1" thickBot="1" x14ac:dyDescent="0.25">
      <c r="B38" s="15">
        <f t="shared" si="4"/>
        <v>207</v>
      </c>
      <c r="C38" s="15" t="s">
        <v>122</v>
      </c>
      <c r="D38" s="15">
        <v>4</v>
      </c>
      <c r="E38" s="15">
        <v>1</v>
      </c>
      <c r="F38" s="15">
        <v>2</v>
      </c>
      <c r="G38" s="15">
        <v>1</v>
      </c>
      <c r="H38" s="15">
        <v>2</v>
      </c>
      <c r="I38" s="15" t="s">
        <v>134</v>
      </c>
      <c r="J38" s="16"/>
      <c r="K38" s="15" t="s">
        <v>0</v>
      </c>
      <c r="L38" s="14">
        <v>90</v>
      </c>
      <c r="M38" s="13"/>
      <c r="N38" s="14">
        <v>105</v>
      </c>
      <c r="O38" s="13"/>
      <c r="P38" s="14">
        <v>89</v>
      </c>
      <c r="Q38" s="14">
        <v>99</v>
      </c>
      <c r="R38" s="14">
        <v>90</v>
      </c>
      <c r="S38" s="14">
        <v>88</v>
      </c>
      <c r="T38" s="13">
        <v>86</v>
      </c>
      <c r="U38" s="14">
        <v>96</v>
      </c>
      <c r="V38" s="13"/>
      <c r="W38" s="14">
        <v>102</v>
      </c>
      <c r="X38" s="13"/>
      <c r="Y38" s="14">
        <v>104</v>
      </c>
      <c r="Z38" s="13"/>
      <c r="AA38" s="4">
        <f t="shared" si="0"/>
        <v>91.333333333333329</v>
      </c>
      <c r="AB38" s="4">
        <f t="shared" si="1"/>
        <v>98.055555555555543</v>
      </c>
      <c r="AC38" s="4">
        <f t="shared" si="2"/>
        <v>2.6672453075906239</v>
      </c>
      <c r="AD38" s="3"/>
      <c r="AE38" s="3"/>
      <c r="AF38" s="3"/>
      <c r="AG38" s="3"/>
      <c r="AH38" s="3"/>
      <c r="AT38" s="12"/>
      <c r="AU38" s="12"/>
      <c r="AV38" s="11"/>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2:87" ht="24" customHeight="1" x14ac:dyDescent="0.2">
      <c r="B39" s="7">
        <f t="shared" si="4"/>
        <v>208</v>
      </c>
      <c r="C39" s="7" t="s">
        <v>135</v>
      </c>
      <c r="D39" s="7">
        <v>2</v>
      </c>
      <c r="E39" s="7">
        <v>1</v>
      </c>
      <c r="F39" s="7">
        <v>1</v>
      </c>
      <c r="G39" s="7">
        <v>1</v>
      </c>
      <c r="H39" s="7">
        <v>2</v>
      </c>
      <c r="I39" s="7" t="s">
        <v>136</v>
      </c>
      <c r="J39" s="9"/>
      <c r="K39" s="7" t="s">
        <v>2</v>
      </c>
      <c r="L39" s="6">
        <v>89</v>
      </c>
      <c r="M39" s="5"/>
      <c r="N39" s="6">
        <v>97</v>
      </c>
      <c r="O39" s="5"/>
      <c r="P39" s="6">
        <v>87</v>
      </c>
      <c r="Q39" s="6">
        <v>86</v>
      </c>
      <c r="R39" s="6">
        <v>78</v>
      </c>
      <c r="S39" s="6">
        <v>66</v>
      </c>
      <c r="T39" s="5">
        <v>75</v>
      </c>
      <c r="U39" s="6">
        <v>89</v>
      </c>
      <c r="V39" s="5"/>
      <c r="W39" s="6">
        <v>96</v>
      </c>
      <c r="X39" s="5"/>
      <c r="Y39" s="6">
        <v>92</v>
      </c>
      <c r="Z39" s="5"/>
      <c r="AA39" s="4">
        <f t="shared" si="0"/>
        <v>80.166666666666671</v>
      </c>
      <c r="AB39" s="4">
        <f t="shared" si="1"/>
        <v>90.527777777777786</v>
      </c>
      <c r="AC39" s="4">
        <f t="shared" si="2"/>
        <v>2.4901348567774932</v>
      </c>
      <c r="AD39" s="3"/>
      <c r="AE39" s="3"/>
      <c r="AF39" s="3"/>
      <c r="AG39" s="3"/>
      <c r="AH39" s="3"/>
    </row>
    <row r="40" spans="2:87" ht="24" customHeight="1" thickBot="1" x14ac:dyDescent="0.25">
      <c r="B40" s="15">
        <f t="shared" si="4"/>
        <v>208</v>
      </c>
      <c r="C40" s="15" t="s">
        <v>135</v>
      </c>
      <c r="D40" s="15">
        <v>2</v>
      </c>
      <c r="E40" s="15">
        <v>1</v>
      </c>
      <c r="F40" s="15">
        <v>1</v>
      </c>
      <c r="G40" s="15">
        <v>1</v>
      </c>
      <c r="H40" s="15">
        <v>2</v>
      </c>
      <c r="I40" s="15" t="s">
        <v>136</v>
      </c>
      <c r="J40" s="16"/>
      <c r="K40" s="15" t="s">
        <v>0</v>
      </c>
      <c r="L40" s="14">
        <v>91</v>
      </c>
      <c r="M40" s="13"/>
      <c r="N40" s="14">
        <v>86</v>
      </c>
      <c r="O40" s="13"/>
      <c r="P40" s="14">
        <v>82</v>
      </c>
      <c r="Q40" s="14">
        <v>84</v>
      </c>
      <c r="R40" s="14">
        <v>87</v>
      </c>
      <c r="S40" s="14">
        <v>72</v>
      </c>
      <c r="T40" s="13">
        <v>96</v>
      </c>
      <c r="U40" s="14">
        <v>83</v>
      </c>
      <c r="V40" s="13"/>
      <c r="W40" s="14">
        <v>89</v>
      </c>
      <c r="X40" s="13"/>
      <c r="Y40" s="14">
        <v>96</v>
      </c>
      <c r="Z40" s="13"/>
      <c r="AA40" s="4">
        <f t="shared" si="0"/>
        <v>84</v>
      </c>
      <c r="AB40" s="4">
        <f t="shared" si="1"/>
        <v>88.166666666666671</v>
      </c>
      <c r="AC40" s="4">
        <f t="shared" si="2"/>
        <v>1.9902540318037572</v>
      </c>
      <c r="AD40" s="3"/>
      <c r="AE40" s="3"/>
      <c r="AF40" s="3"/>
      <c r="AG40" s="3"/>
      <c r="AH40" s="3"/>
      <c r="AT40" s="12"/>
      <c r="AU40" s="12"/>
      <c r="AV40" s="11"/>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2:87" ht="24" customHeight="1" x14ac:dyDescent="0.2">
      <c r="B41" s="7">
        <f>B39+700</f>
        <v>908</v>
      </c>
      <c r="C41" s="7" t="s">
        <v>137</v>
      </c>
      <c r="D41" s="7">
        <v>21</v>
      </c>
      <c r="E41" s="7">
        <v>3</v>
      </c>
      <c r="F41" s="7">
        <v>2</v>
      </c>
      <c r="G41" s="7">
        <v>2</v>
      </c>
      <c r="H41" s="7">
        <v>2</v>
      </c>
      <c r="I41" s="7" t="s">
        <v>138</v>
      </c>
      <c r="J41" s="7"/>
      <c r="K41" s="7" t="s">
        <v>2</v>
      </c>
      <c r="L41" s="6">
        <v>65</v>
      </c>
      <c r="M41" s="5"/>
      <c r="N41" s="6">
        <v>71</v>
      </c>
      <c r="O41" s="5"/>
      <c r="P41" s="6">
        <v>63</v>
      </c>
      <c r="Q41" s="6">
        <v>56</v>
      </c>
      <c r="R41" s="6">
        <v>64</v>
      </c>
      <c r="S41" s="6">
        <v>60</v>
      </c>
      <c r="T41" s="5">
        <v>50</v>
      </c>
      <c r="U41" s="6">
        <v>63</v>
      </c>
      <c r="V41" s="5"/>
      <c r="W41" s="6">
        <v>55</v>
      </c>
      <c r="X41" s="5"/>
      <c r="Y41" s="6">
        <v>71</v>
      </c>
      <c r="Z41" s="5"/>
      <c r="AA41" s="4">
        <f t="shared" ref="AA41:AA72" si="5">AVERAGE(P41:U41)</f>
        <v>59.333333333333336</v>
      </c>
      <c r="AB41" s="4">
        <f t="shared" ref="AB41:AB72" si="6">AVERAGE(AVERAGE(L41:M41),AVERAGE(N41:O41),AVERAGE(P41:U41),AVERAGE(U41:V41),AVERAGE(W41:X41),AVERAGE(Y41:Z41))</f>
        <v>64.055555555555557</v>
      </c>
      <c r="AC41" s="4">
        <f t="shared" ref="AC41:AC72" si="7">STDEV(AVERAGE(L41:M41),AVERAGE(N41:O41),AVERAGE(P41:U41),AVERAGE(U41:V41),AVERAGE(W41:X41),AVERAGE(Y41:Z41))/SQRT(6)</f>
        <v>2.5997388282880731</v>
      </c>
      <c r="AD41" s="3"/>
      <c r="AE41" s="3"/>
      <c r="AF41" s="3"/>
      <c r="AG41" s="3"/>
      <c r="AH41" s="3"/>
    </row>
    <row r="42" spans="2:87" ht="24" customHeight="1" thickBot="1" x14ac:dyDescent="0.25">
      <c r="B42" s="15">
        <f>B40+700</f>
        <v>908</v>
      </c>
      <c r="C42" s="15" t="s">
        <v>137</v>
      </c>
      <c r="D42" s="15">
        <v>21</v>
      </c>
      <c r="E42" s="15">
        <v>3</v>
      </c>
      <c r="F42" s="15">
        <v>2</v>
      </c>
      <c r="G42" s="15">
        <v>2</v>
      </c>
      <c r="H42" s="15">
        <v>2</v>
      </c>
      <c r="I42" s="15" t="s">
        <v>138</v>
      </c>
      <c r="J42" s="16"/>
      <c r="K42" s="15" t="s">
        <v>0</v>
      </c>
      <c r="L42" s="14">
        <v>80</v>
      </c>
      <c r="M42" s="13"/>
      <c r="N42" s="14">
        <v>72</v>
      </c>
      <c r="O42" s="13"/>
      <c r="P42" s="14">
        <v>66</v>
      </c>
      <c r="Q42" s="14">
        <v>72</v>
      </c>
      <c r="R42" s="14">
        <v>65</v>
      </c>
      <c r="S42" s="14">
        <v>72</v>
      </c>
      <c r="T42" s="13">
        <v>55</v>
      </c>
      <c r="U42" s="14">
        <v>75</v>
      </c>
      <c r="V42" s="13"/>
      <c r="W42" s="14">
        <v>78</v>
      </c>
      <c r="X42" s="13"/>
      <c r="Y42" s="14">
        <v>75</v>
      </c>
      <c r="Z42" s="13"/>
      <c r="AA42" s="4">
        <f t="shared" si="5"/>
        <v>67.5</v>
      </c>
      <c r="AB42" s="4">
        <f t="shared" si="6"/>
        <v>74.583333333333329</v>
      </c>
      <c r="AC42" s="4">
        <f t="shared" si="7"/>
        <v>1.8093123310006793</v>
      </c>
      <c r="AD42" s="3"/>
      <c r="AE42" s="3"/>
      <c r="AF42" s="3"/>
      <c r="AG42" s="3"/>
      <c r="AH42" s="3"/>
      <c r="AT42" s="12"/>
      <c r="AU42" s="12"/>
      <c r="AV42" s="11"/>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2:87" ht="24" customHeight="1" x14ac:dyDescent="0.2">
      <c r="B43" s="7">
        <v>906</v>
      </c>
      <c r="C43" s="7" t="s">
        <v>139</v>
      </c>
      <c r="D43" s="7">
        <v>22</v>
      </c>
      <c r="E43" s="7">
        <v>4</v>
      </c>
      <c r="F43" s="7">
        <v>2</v>
      </c>
      <c r="G43" s="7">
        <v>2</v>
      </c>
      <c r="H43" s="7">
        <v>2</v>
      </c>
      <c r="I43" s="7" t="s">
        <v>140</v>
      </c>
      <c r="J43" s="9"/>
      <c r="K43" s="7" t="s">
        <v>2</v>
      </c>
      <c r="L43" s="6">
        <v>77</v>
      </c>
      <c r="M43" s="6"/>
      <c r="N43" s="6">
        <v>85</v>
      </c>
      <c r="O43" s="6"/>
      <c r="P43" s="6">
        <v>68</v>
      </c>
      <c r="Q43" s="6">
        <v>81</v>
      </c>
      <c r="R43" s="6">
        <v>67</v>
      </c>
      <c r="S43" s="6">
        <v>82</v>
      </c>
      <c r="T43" s="6">
        <v>73</v>
      </c>
      <c r="U43" s="6">
        <v>87</v>
      </c>
      <c r="V43" s="6"/>
      <c r="W43" s="6">
        <v>73</v>
      </c>
      <c r="X43" s="6"/>
      <c r="Y43" s="6">
        <v>89</v>
      </c>
      <c r="Z43" s="6"/>
      <c r="AA43" s="4">
        <f t="shared" si="5"/>
        <v>76.333333333333329</v>
      </c>
      <c r="AB43" s="4">
        <f t="shared" si="6"/>
        <v>81.222222222222214</v>
      </c>
      <c r="AC43" s="4">
        <f t="shared" si="7"/>
        <v>2.6924677743752823</v>
      </c>
      <c r="AD43" s="3"/>
      <c r="AE43" s="3"/>
      <c r="AF43" s="3"/>
      <c r="AG43" s="3"/>
      <c r="AH43" s="3"/>
    </row>
    <row r="44" spans="2:87" ht="24" customHeight="1" thickBot="1" x14ac:dyDescent="0.25">
      <c r="B44" s="15">
        <v>906</v>
      </c>
      <c r="C44" s="15" t="s">
        <v>139</v>
      </c>
      <c r="D44" s="15">
        <v>22</v>
      </c>
      <c r="E44" s="15">
        <v>4</v>
      </c>
      <c r="F44" s="15">
        <v>2</v>
      </c>
      <c r="G44" s="15">
        <v>2</v>
      </c>
      <c r="H44" s="15">
        <v>2</v>
      </c>
      <c r="I44" s="15" t="s">
        <v>140</v>
      </c>
      <c r="J44" s="16"/>
      <c r="K44" s="15" t="s">
        <v>0</v>
      </c>
      <c r="L44" s="14">
        <v>95</v>
      </c>
      <c r="M44" s="13"/>
      <c r="N44" s="14">
        <v>101</v>
      </c>
      <c r="O44" s="13"/>
      <c r="P44" s="14">
        <v>83</v>
      </c>
      <c r="Q44" s="14">
        <v>83</v>
      </c>
      <c r="R44" s="14">
        <v>87</v>
      </c>
      <c r="S44" s="14">
        <v>94</v>
      </c>
      <c r="T44" s="13">
        <v>84</v>
      </c>
      <c r="U44" s="14">
        <v>91</v>
      </c>
      <c r="V44" s="13"/>
      <c r="W44" s="14">
        <v>76</v>
      </c>
      <c r="X44" s="13"/>
      <c r="Y44" s="14">
        <v>92</v>
      </c>
      <c r="Z44" s="13"/>
      <c r="AA44" s="4">
        <f t="shared" si="5"/>
        <v>87</v>
      </c>
      <c r="AB44" s="4">
        <f t="shared" si="6"/>
        <v>90.333333333333329</v>
      </c>
      <c r="AC44" s="4">
        <f t="shared" si="7"/>
        <v>3.4415758664374154</v>
      </c>
      <c r="AD44" s="3"/>
      <c r="AE44" s="3"/>
      <c r="AF44" s="3"/>
      <c r="AG44" s="3"/>
      <c r="AH44" s="3"/>
      <c r="AT44" s="12"/>
      <c r="AU44" s="12"/>
      <c r="AV44" s="11"/>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2:87" ht="24" customHeight="1" x14ac:dyDescent="0.2">
      <c r="B45" s="7">
        <v>904</v>
      </c>
      <c r="C45" s="7" t="s">
        <v>137</v>
      </c>
      <c r="D45" s="7">
        <v>21</v>
      </c>
      <c r="E45" s="7">
        <v>3</v>
      </c>
      <c r="F45" s="7">
        <v>2</v>
      </c>
      <c r="G45" s="7">
        <v>2</v>
      </c>
      <c r="H45" s="7">
        <v>1</v>
      </c>
      <c r="I45" s="7" t="s">
        <v>141</v>
      </c>
      <c r="J45" s="9"/>
      <c r="K45" s="7" t="s">
        <v>2</v>
      </c>
      <c r="L45" s="6">
        <v>58</v>
      </c>
      <c r="M45" s="6"/>
      <c r="N45" s="6">
        <v>56</v>
      </c>
      <c r="O45" s="6"/>
      <c r="P45" s="6">
        <v>45</v>
      </c>
      <c r="Q45" s="6">
        <v>51</v>
      </c>
      <c r="R45" s="6">
        <v>56</v>
      </c>
      <c r="S45" s="6">
        <v>62</v>
      </c>
      <c r="T45" s="6">
        <v>63</v>
      </c>
      <c r="U45" s="6">
        <v>66</v>
      </c>
      <c r="V45" s="6"/>
      <c r="W45" s="6">
        <v>71</v>
      </c>
      <c r="X45" s="6"/>
      <c r="Y45" s="6">
        <v>51</v>
      </c>
      <c r="Z45" s="6"/>
      <c r="AA45" s="4">
        <f t="shared" si="5"/>
        <v>57.166666666666664</v>
      </c>
      <c r="AB45" s="4">
        <f t="shared" si="6"/>
        <v>59.861111111111107</v>
      </c>
      <c r="AC45" s="4">
        <f t="shared" si="7"/>
        <v>2.9772024734474041</v>
      </c>
      <c r="AD45" s="3"/>
      <c r="AE45" s="3"/>
      <c r="AF45" s="3"/>
      <c r="AG45" s="3"/>
      <c r="AH45" s="3"/>
    </row>
    <row r="46" spans="2:87" ht="24" customHeight="1" thickBot="1" x14ac:dyDescent="0.25">
      <c r="B46" s="15">
        <v>904</v>
      </c>
      <c r="C46" s="15" t="s">
        <v>137</v>
      </c>
      <c r="D46" s="15">
        <v>21</v>
      </c>
      <c r="E46" s="15">
        <v>3</v>
      </c>
      <c r="F46" s="15">
        <v>2</v>
      </c>
      <c r="G46" s="15">
        <v>2</v>
      </c>
      <c r="H46" s="15">
        <v>1</v>
      </c>
      <c r="I46" s="15" t="s">
        <v>141</v>
      </c>
      <c r="J46" s="16"/>
      <c r="K46" s="15" t="s">
        <v>0</v>
      </c>
      <c r="L46" s="14">
        <v>75</v>
      </c>
      <c r="M46" s="13"/>
      <c r="N46" s="14">
        <v>73</v>
      </c>
      <c r="O46" s="13"/>
      <c r="P46" s="14">
        <v>66</v>
      </c>
      <c r="Q46" s="14">
        <v>63</v>
      </c>
      <c r="R46" s="14">
        <v>47</v>
      </c>
      <c r="S46" s="14">
        <v>54</v>
      </c>
      <c r="T46" s="13">
        <v>59</v>
      </c>
      <c r="U46" s="14">
        <v>71</v>
      </c>
      <c r="V46" s="13"/>
      <c r="W46" s="14">
        <v>70</v>
      </c>
      <c r="X46" s="13"/>
      <c r="Y46" s="14">
        <v>58</v>
      </c>
      <c r="Z46" s="13"/>
      <c r="AA46" s="4">
        <f t="shared" si="5"/>
        <v>60</v>
      </c>
      <c r="AB46" s="4">
        <f t="shared" si="6"/>
        <v>67.833333333333329</v>
      </c>
      <c r="AC46" s="4">
        <f t="shared" si="7"/>
        <v>2.8915585954829126</v>
      </c>
      <c r="AD46" s="3"/>
      <c r="AE46" s="3"/>
      <c r="AF46" s="3"/>
      <c r="AG46" s="3"/>
      <c r="AH46" s="3"/>
      <c r="AT46" s="12"/>
      <c r="AU46" s="12"/>
      <c r="AV46" s="11"/>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2:87" ht="24" customHeight="1" x14ac:dyDescent="0.2">
      <c r="B47" s="7">
        <v>902</v>
      </c>
      <c r="C47" s="7" t="s">
        <v>139</v>
      </c>
      <c r="D47" s="7">
        <v>22</v>
      </c>
      <c r="E47" s="7">
        <v>4</v>
      </c>
      <c r="F47" s="7">
        <v>2</v>
      </c>
      <c r="G47" s="7">
        <v>2</v>
      </c>
      <c r="H47" s="7">
        <v>1</v>
      </c>
      <c r="I47" s="7" t="s">
        <v>142</v>
      </c>
      <c r="J47" s="9"/>
      <c r="K47" s="7" t="s">
        <v>2</v>
      </c>
      <c r="L47" s="6">
        <v>85</v>
      </c>
      <c r="M47" s="6"/>
      <c r="N47" s="6">
        <v>68</v>
      </c>
      <c r="O47" s="6"/>
      <c r="P47" s="6">
        <v>73</v>
      </c>
      <c r="Q47" s="6">
        <v>64</v>
      </c>
      <c r="R47" s="6">
        <v>67</v>
      </c>
      <c r="S47" s="6">
        <v>61</v>
      </c>
      <c r="T47" s="6">
        <v>63</v>
      </c>
      <c r="U47" s="6">
        <v>67</v>
      </c>
      <c r="V47" s="6"/>
      <c r="W47" s="6">
        <v>65</v>
      </c>
      <c r="X47" s="6"/>
      <c r="Y47" s="6">
        <v>67</v>
      </c>
      <c r="Z47" s="6"/>
      <c r="AA47" s="4">
        <f t="shared" si="5"/>
        <v>65.833333333333329</v>
      </c>
      <c r="AB47" s="4">
        <f t="shared" si="6"/>
        <v>69.638888888888886</v>
      </c>
      <c r="AC47" s="4">
        <f t="shared" si="7"/>
        <v>3.1014980450512608</v>
      </c>
      <c r="AD47" s="3"/>
      <c r="AE47" s="3"/>
      <c r="AF47" s="3"/>
      <c r="AG47" s="3"/>
      <c r="AH47" s="3"/>
    </row>
    <row r="48" spans="2:87" ht="24" customHeight="1" thickBot="1" x14ac:dyDescent="0.25">
      <c r="B48" s="15">
        <v>902</v>
      </c>
      <c r="C48" s="15" t="s">
        <v>139</v>
      </c>
      <c r="D48" s="15">
        <v>22</v>
      </c>
      <c r="E48" s="15">
        <v>4</v>
      </c>
      <c r="F48" s="15">
        <v>2</v>
      </c>
      <c r="G48" s="15">
        <v>2</v>
      </c>
      <c r="H48" s="15">
        <v>1</v>
      </c>
      <c r="I48" s="15" t="s">
        <v>142</v>
      </c>
      <c r="J48" s="16"/>
      <c r="K48" s="15" t="s">
        <v>0</v>
      </c>
      <c r="L48" s="14">
        <v>82</v>
      </c>
      <c r="M48" s="13"/>
      <c r="N48" s="14">
        <v>84</v>
      </c>
      <c r="O48" s="13"/>
      <c r="P48" s="14">
        <v>89</v>
      </c>
      <c r="Q48" s="14">
        <v>79</v>
      </c>
      <c r="R48" s="14">
        <v>73</v>
      </c>
      <c r="S48" s="14">
        <v>77</v>
      </c>
      <c r="T48" s="13">
        <v>85</v>
      </c>
      <c r="U48" s="14">
        <v>101</v>
      </c>
      <c r="V48" s="13"/>
      <c r="W48" s="14">
        <v>70</v>
      </c>
      <c r="X48" s="13"/>
      <c r="Y48" s="14">
        <v>76</v>
      </c>
      <c r="Z48" s="13"/>
      <c r="AA48" s="4">
        <f t="shared" si="5"/>
        <v>84</v>
      </c>
      <c r="AB48" s="4">
        <f t="shared" si="6"/>
        <v>82.833333333333329</v>
      </c>
      <c r="AC48" s="4">
        <f t="shared" si="7"/>
        <v>4.2615855161091387</v>
      </c>
      <c r="AD48" s="3"/>
      <c r="AE48" s="3"/>
      <c r="AF48" s="3"/>
      <c r="AG48" s="3"/>
      <c r="AH48" s="3"/>
      <c r="AT48" s="12"/>
      <c r="AU48" s="12"/>
      <c r="AV48" s="11"/>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2:87" ht="24" customHeight="1" x14ac:dyDescent="0.2">
      <c r="B49" s="7">
        <f>B47-601</f>
        <v>301</v>
      </c>
      <c r="C49" s="7" t="s">
        <v>113</v>
      </c>
      <c r="D49" s="7">
        <v>10</v>
      </c>
      <c r="E49" s="7">
        <v>2</v>
      </c>
      <c r="F49" s="7">
        <v>2</v>
      </c>
      <c r="G49" s="7">
        <v>1</v>
      </c>
      <c r="H49" s="7">
        <v>3</v>
      </c>
      <c r="I49" s="7" t="s">
        <v>143</v>
      </c>
      <c r="J49" s="7"/>
      <c r="K49" s="7" t="s">
        <v>2</v>
      </c>
      <c r="L49" s="6">
        <v>81</v>
      </c>
      <c r="M49" s="6"/>
      <c r="N49" s="6">
        <v>93</v>
      </c>
      <c r="O49" s="6"/>
      <c r="P49" s="6">
        <v>85</v>
      </c>
      <c r="Q49" s="6">
        <v>100</v>
      </c>
      <c r="R49" s="6">
        <v>92</v>
      </c>
      <c r="S49" s="6">
        <v>88</v>
      </c>
      <c r="T49" s="6">
        <v>83</v>
      </c>
      <c r="U49" s="6">
        <v>99</v>
      </c>
      <c r="V49" s="6"/>
      <c r="W49" s="6">
        <v>96</v>
      </c>
      <c r="X49" s="6"/>
      <c r="Y49" s="6">
        <v>98</v>
      </c>
      <c r="Z49" s="6"/>
      <c r="AA49" s="4">
        <f t="shared" si="5"/>
        <v>91.166666666666671</v>
      </c>
      <c r="AB49" s="4">
        <f t="shared" si="6"/>
        <v>93.027777777777786</v>
      </c>
      <c r="AC49" s="4">
        <f t="shared" si="7"/>
        <v>2.6916938996443704</v>
      </c>
      <c r="AT49" s="12">
        <v>2</v>
      </c>
      <c r="AU49" s="12" t="s">
        <v>3</v>
      </c>
      <c r="AV49" s="12">
        <v>150</v>
      </c>
    </row>
    <row r="50" spans="2:87" ht="24" customHeight="1" thickBot="1" x14ac:dyDescent="0.25">
      <c r="B50" s="15">
        <f>B48-601</f>
        <v>301</v>
      </c>
      <c r="C50" s="15" t="s">
        <v>113</v>
      </c>
      <c r="D50" s="15">
        <v>10</v>
      </c>
      <c r="E50" s="15">
        <v>2</v>
      </c>
      <c r="F50" s="15">
        <v>2</v>
      </c>
      <c r="G50" s="15">
        <v>1</v>
      </c>
      <c r="H50" s="15">
        <v>3</v>
      </c>
      <c r="I50" s="15" t="s">
        <v>143</v>
      </c>
      <c r="J50" s="16"/>
      <c r="K50" s="15" t="s">
        <v>0</v>
      </c>
      <c r="L50" s="14">
        <v>104</v>
      </c>
      <c r="M50" s="13"/>
      <c r="N50" s="14">
        <v>101</v>
      </c>
      <c r="O50" s="13"/>
      <c r="P50" s="14">
        <v>101</v>
      </c>
      <c r="Q50" s="14">
        <v>101</v>
      </c>
      <c r="R50" s="14">
        <v>102</v>
      </c>
      <c r="S50" s="14">
        <v>90</v>
      </c>
      <c r="T50" s="13">
        <v>88</v>
      </c>
      <c r="U50" s="14">
        <v>101</v>
      </c>
      <c r="V50" s="13"/>
      <c r="W50" s="14">
        <v>99</v>
      </c>
      <c r="X50" s="13"/>
      <c r="Y50" s="14">
        <v>98</v>
      </c>
      <c r="Z50" s="13"/>
      <c r="AA50" s="4">
        <f t="shared" si="5"/>
        <v>97.166666666666671</v>
      </c>
      <c r="AB50" s="4">
        <f t="shared" si="6"/>
        <v>100.02777777777779</v>
      </c>
      <c r="AC50" s="4">
        <f t="shared" si="7"/>
        <v>1.0169095034818016</v>
      </c>
      <c r="AD50" s="3"/>
      <c r="AE50" s="3"/>
      <c r="AF50" s="3"/>
      <c r="AG50" s="3"/>
      <c r="AH50" s="3"/>
      <c r="AT50" s="12"/>
      <c r="AU50" s="12"/>
      <c r="AV50" s="11"/>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2:87" ht="24" customHeight="1" x14ac:dyDescent="0.2">
      <c r="B51" s="7">
        <f t="shared" ref="B51:B64" si="8">B49+1</f>
        <v>302</v>
      </c>
      <c r="C51" s="7" t="s">
        <v>122</v>
      </c>
      <c r="D51" s="7">
        <v>4</v>
      </c>
      <c r="E51" s="7">
        <v>1</v>
      </c>
      <c r="F51" s="7">
        <v>2</v>
      </c>
      <c r="G51" s="7">
        <v>1</v>
      </c>
      <c r="H51" s="7">
        <v>3</v>
      </c>
      <c r="I51" s="7" t="s">
        <v>144</v>
      </c>
      <c r="J51" s="9"/>
      <c r="K51" s="7" t="s">
        <v>2</v>
      </c>
      <c r="L51" s="6">
        <v>88</v>
      </c>
      <c r="M51" s="6"/>
      <c r="N51" s="6">
        <v>103</v>
      </c>
      <c r="O51" s="6"/>
      <c r="P51" s="6">
        <v>87</v>
      </c>
      <c r="Q51" s="6">
        <v>90</v>
      </c>
      <c r="R51" s="6">
        <v>91</v>
      </c>
      <c r="S51" s="6">
        <v>80</v>
      </c>
      <c r="T51" s="6">
        <v>84</v>
      </c>
      <c r="U51" s="6">
        <v>95</v>
      </c>
      <c r="V51" s="6"/>
      <c r="W51" s="6">
        <v>86</v>
      </c>
      <c r="X51" s="6"/>
      <c r="Y51" s="6">
        <v>87</v>
      </c>
      <c r="Z51" s="6"/>
      <c r="AA51" s="4">
        <f t="shared" si="5"/>
        <v>87.833333333333329</v>
      </c>
      <c r="AB51" s="4">
        <f t="shared" si="6"/>
        <v>91.138888888888872</v>
      </c>
      <c r="AC51" s="4">
        <f t="shared" si="7"/>
        <v>2.7074713728067197</v>
      </c>
      <c r="AD51" s="3"/>
      <c r="AE51" s="3"/>
      <c r="AF51" s="3"/>
      <c r="AG51" s="3"/>
      <c r="AH51" s="3"/>
    </row>
    <row r="52" spans="2:87" ht="24" customHeight="1" thickBot="1" x14ac:dyDescent="0.25">
      <c r="B52" s="15">
        <f t="shared" si="8"/>
        <v>302</v>
      </c>
      <c r="C52" s="15" t="s">
        <v>122</v>
      </c>
      <c r="D52" s="15">
        <v>4</v>
      </c>
      <c r="E52" s="15">
        <v>1</v>
      </c>
      <c r="F52" s="15">
        <v>2</v>
      </c>
      <c r="G52" s="15">
        <v>1</v>
      </c>
      <c r="H52" s="15">
        <v>3</v>
      </c>
      <c r="I52" s="15" t="s">
        <v>144</v>
      </c>
      <c r="J52" s="16"/>
      <c r="K52" s="15" t="s">
        <v>0</v>
      </c>
      <c r="L52" s="14">
        <v>101</v>
      </c>
      <c r="M52" s="13"/>
      <c r="N52" s="14">
        <v>96</v>
      </c>
      <c r="O52" s="13"/>
      <c r="P52" s="14">
        <v>103</v>
      </c>
      <c r="Q52" s="14">
        <v>95</v>
      </c>
      <c r="R52" s="14">
        <v>88</v>
      </c>
      <c r="S52" s="14">
        <v>91</v>
      </c>
      <c r="T52" s="13">
        <v>103</v>
      </c>
      <c r="U52" s="14">
        <v>88</v>
      </c>
      <c r="V52" s="13"/>
      <c r="W52" s="14">
        <v>90</v>
      </c>
      <c r="X52" s="13"/>
      <c r="Y52" s="14">
        <v>86</v>
      </c>
      <c r="Z52" s="13"/>
      <c r="AA52" s="4">
        <f t="shared" si="5"/>
        <v>94.666666666666671</v>
      </c>
      <c r="AB52" s="4">
        <f t="shared" si="6"/>
        <v>92.611111111111128</v>
      </c>
      <c r="AC52" s="4">
        <f t="shared" si="7"/>
        <v>2.2939803135625092</v>
      </c>
      <c r="AD52" s="3"/>
      <c r="AE52" s="3"/>
      <c r="AF52" s="3"/>
      <c r="AG52" s="3"/>
      <c r="AH52" s="3"/>
      <c r="AT52" s="12"/>
      <c r="AU52" s="12"/>
      <c r="AV52" s="11"/>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2:87" ht="24" customHeight="1" x14ac:dyDescent="0.2">
      <c r="B53" s="7">
        <f t="shared" si="8"/>
        <v>303</v>
      </c>
      <c r="C53" s="7" t="s">
        <v>132</v>
      </c>
      <c r="D53" s="7">
        <v>8</v>
      </c>
      <c r="E53" s="7">
        <v>2</v>
      </c>
      <c r="F53" s="7">
        <v>1</v>
      </c>
      <c r="G53" s="7">
        <v>1</v>
      </c>
      <c r="H53" s="7">
        <v>3</v>
      </c>
      <c r="I53" s="7" t="s">
        <v>145</v>
      </c>
      <c r="J53" s="9"/>
      <c r="K53" s="7" t="s">
        <v>2</v>
      </c>
      <c r="L53" s="6">
        <v>94</v>
      </c>
      <c r="M53" s="6"/>
      <c r="N53" s="6">
        <v>95</v>
      </c>
      <c r="O53" s="6"/>
      <c r="P53" s="6">
        <v>81</v>
      </c>
      <c r="Q53" s="6">
        <v>82</v>
      </c>
      <c r="R53" s="6">
        <v>75</v>
      </c>
      <c r="S53" s="6"/>
      <c r="T53" s="6"/>
      <c r="U53" s="6">
        <v>84</v>
      </c>
      <c r="V53" s="6"/>
      <c r="W53" s="6">
        <v>111</v>
      </c>
      <c r="X53" s="6"/>
      <c r="Y53" s="6">
        <v>102</v>
      </c>
      <c r="Z53" s="6"/>
      <c r="AA53" s="4">
        <f t="shared" si="5"/>
        <v>80.5</v>
      </c>
      <c r="AB53" s="4">
        <f t="shared" si="6"/>
        <v>94.416666666666671</v>
      </c>
      <c r="AC53" s="4">
        <f t="shared" si="7"/>
        <v>4.6014792307595176</v>
      </c>
      <c r="AD53" s="3"/>
      <c r="AE53" s="3"/>
      <c r="AF53" s="3"/>
      <c r="AG53" s="3"/>
      <c r="AH53" s="3"/>
    </row>
    <row r="54" spans="2:87" ht="24" customHeight="1" thickBot="1" x14ac:dyDescent="0.25">
      <c r="B54" s="15">
        <f t="shared" si="8"/>
        <v>303</v>
      </c>
      <c r="C54" s="15" t="s">
        <v>132</v>
      </c>
      <c r="D54" s="15">
        <v>8</v>
      </c>
      <c r="E54" s="15">
        <v>2</v>
      </c>
      <c r="F54" s="15">
        <v>1</v>
      </c>
      <c r="G54" s="15">
        <v>1</v>
      </c>
      <c r="H54" s="15">
        <v>3</v>
      </c>
      <c r="I54" s="15" t="s">
        <v>145</v>
      </c>
      <c r="J54" s="16"/>
      <c r="K54" s="15" t="s">
        <v>0</v>
      </c>
      <c r="L54" s="14">
        <v>99</v>
      </c>
      <c r="M54" s="13"/>
      <c r="N54" s="14">
        <v>88</v>
      </c>
      <c r="O54" s="13"/>
      <c r="P54" s="14">
        <v>102</v>
      </c>
      <c r="Q54" s="14">
        <v>78</v>
      </c>
      <c r="R54" s="14">
        <v>84</v>
      </c>
      <c r="S54" s="14"/>
      <c r="T54" s="13"/>
      <c r="U54" s="14">
        <v>87</v>
      </c>
      <c r="V54" s="13"/>
      <c r="W54" s="14">
        <v>97</v>
      </c>
      <c r="X54" s="13"/>
      <c r="Y54" s="14">
        <v>93</v>
      </c>
      <c r="Z54" s="13"/>
      <c r="AA54" s="4">
        <f t="shared" si="5"/>
        <v>87.75</v>
      </c>
      <c r="AB54" s="4">
        <f t="shared" si="6"/>
        <v>91.958333333333329</v>
      </c>
      <c r="AC54" s="4">
        <f t="shared" si="7"/>
        <v>2.1138596873439304</v>
      </c>
      <c r="AD54" s="3"/>
      <c r="AE54" s="3"/>
      <c r="AF54" s="3"/>
      <c r="AG54" s="3"/>
      <c r="AH54" s="3"/>
      <c r="AT54" s="12"/>
      <c r="AU54" s="12"/>
      <c r="AV54" s="11"/>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2:87" ht="24" customHeight="1" x14ac:dyDescent="0.2">
      <c r="B55" s="7">
        <f t="shared" si="8"/>
        <v>304</v>
      </c>
      <c r="C55" s="7" t="s">
        <v>135</v>
      </c>
      <c r="D55" s="7">
        <v>2</v>
      </c>
      <c r="E55" s="7">
        <v>1</v>
      </c>
      <c r="F55" s="7">
        <v>1</v>
      </c>
      <c r="G55" s="7">
        <v>1</v>
      </c>
      <c r="H55" s="7">
        <v>3</v>
      </c>
      <c r="I55" s="7" t="s">
        <v>146</v>
      </c>
      <c r="J55" s="9"/>
      <c r="K55" s="7" t="s">
        <v>2</v>
      </c>
      <c r="L55" s="6">
        <v>96</v>
      </c>
      <c r="M55" s="6"/>
      <c r="N55" s="6">
        <v>90</v>
      </c>
      <c r="O55" s="6"/>
      <c r="P55" s="6">
        <v>88</v>
      </c>
      <c r="Q55" s="6">
        <v>79</v>
      </c>
      <c r="R55" s="6">
        <v>94</v>
      </c>
      <c r="S55" s="6">
        <v>95</v>
      </c>
      <c r="T55" s="6">
        <v>90</v>
      </c>
      <c r="U55" s="6">
        <v>97</v>
      </c>
      <c r="V55" s="6"/>
      <c r="W55" s="6">
        <v>77</v>
      </c>
      <c r="X55" s="6"/>
      <c r="Y55" s="6">
        <v>85</v>
      </c>
      <c r="Z55" s="6"/>
      <c r="AA55" s="4">
        <f t="shared" si="5"/>
        <v>90.5</v>
      </c>
      <c r="AB55" s="4">
        <f t="shared" si="6"/>
        <v>89.25</v>
      </c>
      <c r="AC55" s="4">
        <f t="shared" si="7"/>
        <v>3.0324632451743474</v>
      </c>
      <c r="AD55" s="3"/>
      <c r="AE55" s="3"/>
      <c r="AF55" s="3"/>
      <c r="AG55" s="3"/>
      <c r="AH55" s="3"/>
    </row>
    <row r="56" spans="2:87" ht="24" customHeight="1" thickBot="1" x14ac:dyDescent="0.25">
      <c r="B56" s="15">
        <f t="shared" si="8"/>
        <v>304</v>
      </c>
      <c r="C56" s="15" t="s">
        <v>135</v>
      </c>
      <c r="D56" s="15">
        <v>2</v>
      </c>
      <c r="E56" s="15">
        <v>1</v>
      </c>
      <c r="F56" s="15">
        <v>1</v>
      </c>
      <c r="G56" s="15">
        <v>1</v>
      </c>
      <c r="H56" s="15">
        <v>3</v>
      </c>
      <c r="I56" s="15" t="s">
        <v>146</v>
      </c>
      <c r="J56" s="16"/>
      <c r="K56" s="15" t="s">
        <v>0</v>
      </c>
      <c r="L56" s="14">
        <v>91</v>
      </c>
      <c r="M56" s="13"/>
      <c r="N56" s="14">
        <v>95</v>
      </c>
      <c r="O56" s="13"/>
      <c r="P56" s="14">
        <v>96</v>
      </c>
      <c r="Q56" s="14">
        <v>91</v>
      </c>
      <c r="R56" s="14">
        <v>98</v>
      </c>
      <c r="S56" s="14">
        <v>97</v>
      </c>
      <c r="T56" s="13">
        <v>92</v>
      </c>
      <c r="U56" s="14">
        <v>88</v>
      </c>
      <c r="V56" s="13"/>
      <c r="W56" s="14">
        <v>96</v>
      </c>
      <c r="X56" s="13"/>
      <c r="Y56" s="14">
        <v>101</v>
      </c>
      <c r="Z56" s="13"/>
      <c r="AA56" s="4">
        <f t="shared" si="5"/>
        <v>93.666666666666671</v>
      </c>
      <c r="AB56" s="4">
        <f t="shared" si="6"/>
        <v>94.111111111111128</v>
      </c>
      <c r="AC56" s="4">
        <f t="shared" si="7"/>
        <v>1.8169299843145399</v>
      </c>
      <c r="AD56" s="3"/>
      <c r="AE56" s="3"/>
      <c r="AF56" s="3"/>
      <c r="AG56" s="3"/>
      <c r="AH56" s="3"/>
      <c r="AT56" s="12"/>
      <c r="AU56" s="12"/>
      <c r="AV56" s="11"/>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2:87" ht="24" customHeight="1" thickBot="1" x14ac:dyDescent="0.25">
      <c r="B57" s="7">
        <f t="shared" si="8"/>
        <v>305</v>
      </c>
      <c r="C57" s="7" t="s">
        <v>129</v>
      </c>
      <c r="D57" s="7">
        <v>11</v>
      </c>
      <c r="E57" s="7">
        <v>2</v>
      </c>
      <c r="F57" s="7">
        <v>3</v>
      </c>
      <c r="G57" s="7">
        <v>2</v>
      </c>
      <c r="H57" s="7">
        <v>4</v>
      </c>
      <c r="I57" s="7" t="s">
        <v>147</v>
      </c>
      <c r="J57" s="16"/>
      <c r="K57" s="7" t="s">
        <v>2</v>
      </c>
      <c r="L57" s="6">
        <v>103</v>
      </c>
      <c r="M57" s="6"/>
      <c r="N57" s="6">
        <v>107</v>
      </c>
      <c r="O57" s="6"/>
      <c r="P57" s="6">
        <v>98</v>
      </c>
      <c r="Q57" s="6">
        <v>93</v>
      </c>
      <c r="R57" s="6">
        <v>109</v>
      </c>
      <c r="S57" s="6">
        <v>103</v>
      </c>
      <c r="T57" s="6">
        <v>104</v>
      </c>
      <c r="U57" s="6">
        <v>95</v>
      </c>
      <c r="V57" s="6"/>
      <c r="W57" s="6">
        <v>104</v>
      </c>
      <c r="X57" s="6"/>
      <c r="Y57" s="6">
        <v>95</v>
      </c>
      <c r="Z57" s="6"/>
      <c r="AA57" s="4">
        <f t="shared" si="5"/>
        <v>100.33333333333333</v>
      </c>
      <c r="AB57" s="4">
        <f t="shared" si="6"/>
        <v>100.72222222222221</v>
      </c>
      <c r="AC57" s="4">
        <f t="shared" si="7"/>
        <v>2.0081623563304629</v>
      </c>
      <c r="AD57" s="3"/>
      <c r="AE57" s="3"/>
      <c r="AF57" s="3"/>
      <c r="AG57" s="3"/>
      <c r="AH57" s="3"/>
    </row>
    <row r="58" spans="2:87" ht="24" customHeight="1" thickBot="1" x14ac:dyDescent="0.25">
      <c r="B58" s="15">
        <f t="shared" si="8"/>
        <v>305</v>
      </c>
      <c r="C58" s="15" t="s">
        <v>129</v>
      </c>
      <c r="D58" s="15">
        <v>11</v>
      </c>
      <c r="E58" s="15">
        <v>2</v>
      </c>
      <c r="F58" s="15">
        <v>3</v>
      </c>
      <c r="G58" s="15">
        <v>2</v>
      </c>
      <c r="H58" s="15">
        <v>4</v>
      </c>
      <c r="I58" s="15" t="s">
        <v>147</v>
      </c>
      <c r="J58" s="16"/>
      <c r="K58" s="15" t="s">
        <v>0</v>
      </c>
      <c r="L58" s="14">
        <v>109</v>
      </c>
      <c r="M58" s="13"/>
      <c r="N58" s="14">
        <v>108</v>
      </c>
      <c r="O58" s="13"/>
      <c r="P58" s="14">
        <v>105</v>
      </c>
      <c r="Q58" s="14">
        <v>105</v>
      </c>
      <c r="R58" s="14">
        <v>110</v>
      </c>
      <c r="S58" s="14">
        <v>103</v>
      </c>
      <c r="T58" s="13">
        <v>92</v>
      </c>
      <c r="U58" s="14">
        <v>107</v>
      </c>
      <c r="V58" s="13"/>
      <c r="W58" s="14">
        <v>102</v>
      </c>
      <c r="X58" s="13"/>
      <c r="Y58" s="14">
        <v>103</v>
      </c>
      <c r="Z58" s="13"/>
      <c r="AA58" s="4">
        <f t="shared" si="5"/>
        <v>103.66666666666667</v>
      </c>
      <c r="AB58" s="4">
        <f t="shared" si="6"/>
        <v>105.44444444444446</v>
      </c>
      <c r="AC58" s="4">
        <f t="shared" si="7"/>
        <v>1.1915339216404008</v>
      </c>
      <c r="AD58" s="3"/>
      <c r="AE58" s="3"/>
      <c r="AF58" s="3"/>
      <c r="AG58" s="3"/>
      <c r="AH58" s="3"/>
      <c r="AT58" s="12"/>
      <c r="AU58" s="12"/>
      <c r="AV58" s="11"/>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2:87" ht="24" customHeight="1" x14ac:dyDescent="0.2">
      <c r="B59" s="7">
        <f t="shared" si="8"/>
        <v>306</v>
      </c>
      <c r="C59" s="7" t="s">
        <v>122</v>
      </c>
      <c r="D59" s="7">
        <v>4</v>
      </c>
      <c r="E59" s="7">
        <v>1</v>
      </c>
      <c r="F59" s="7">
        <v>2</v>
      </c>
      <c r="G59" s="7">
        <v>1</v>
      </c>
      <c r="H59" s="7">
        <v>4</v>
      </c>
      <c r="I59" s="7" t="s">
        <v>148</v>
      </c>
      <c r="J59" s="9"/>
      <c r="K59" s="7" t="s">
        <v>2</v>
      </c>
      <c r="L59" s="6">
        <v>95</v>
      </c>
      <c r="M59" s="6"/>
      <c r="N59" s="6">
        <v>81</v>
      </c>
      <c r="O59" s="6"/>
      <c r="P59" s="6">
        <v>91</v>
      </c>
      <c r="Q59" s="6">
        <v>78</v>
      </c>
      <c r="R59" s="6">
        <v>92</v>
      </c>
      <c r="S59" s="6">
        <v>92</v>
      </c>
      <c r="T59" s="6">
        <v>88</v>
      </c>
      <c r="U59" s="6">
        <v>88</v>
      </c>
      <c r="V59" s="6"/>
      <c r="W59" s="6">
        <v>99</v>
      </c>
      <c r="X59" s="6"/>
      <c r="Y59" s="6">
        <v>88</v>
      </c>
      <c r="Z59" s="6"/>
      <c r="AA59" s="4">
        <f t="shared" si="5"/>
        <v>88.166666666666671</v>
      </c>
      <c r="AB59" s="4">
        <f t="shared" si="6"/>
        <v>89.861111111111128</v>
      </c>
      <c r="AC59" s="4">
        <f t="shared" si="7"/>
        <v>2.57063786098814</v>
      </c>
      <c r="AD59" s="3"/>
      <c r="AE59" s="3"/>
      <c r="AF59" s="3"/>
      <c r="AG59" s="3"/>
      <c r="AH59" s="3"/>
    </row>
    <row r="60" spans="2:87" ht="24" customHeight="1" thickBot="1" x14ac:dyDescent="0.25">
      <c r="B60" s="15">
        <f t="shared" si="8"/>
        <v>306</v>
      </c>
      <c r="C60" s="15" t="s">
        <v>122</v>
      </c>
      <c r="D60" s="15">
        <v>4</v>
      </c>
      <c r="E60" s="15">
        <v>1</v>
      </c>
      <c r="F60" s="15">
        <v>2</v>
      </c>
      <c r="G60" s="15">
        <v>1</v>
      </c>
      <c r="H60" s="15">
        <v>4</v>
      </c>
      <c r="I60" s="15" t="s">
        <v>148</v>
      </c>
      <c r="J60" s="16"/>
      <c r="K60" s="15" t="s">
        <v>0</v>
      </c>
      <c r="L60" s="14">
        <v>88</v>
      </c>
      <c r="M60" s="13"/>
      <c r="N60" s="14">
        <v>86</v>
      </c>
      <c r="O60" s="13"/>
      <c r="P60" s="14">
        <v>79</v>
      </c>
      <c r="Q60" s="14">
        <v>83</v>
      </c>
      <c r="R60" s="14">
        <v>90</v>
      </c>
      <c r="S60" s="14">
        <v>83</v>
      </c>
      <c r="T60" s="13">
        <v>86</v>
      </c>
      <c r="U60" s="14">
        <v>105</v>
      </c>
      <c r="V60" s="13"/>
      <c r="W60" s="14">
        <v>91</v>
      </c>
      <c r="X60" s="13"/>
      <c r="Y60" s="14">
        <v>105</v>
      </c>
      <c r="Z60" s="13"/>
      <c r="AA60" s="4">
        <f t="shared" si="5"/>
        <v>87.666666666666671</v>
      </c>
      <c r="AB60" s="4">
        <f t="shared" si="6"/>
        <v>93.777777777777786</v>
      </c>
      <c r="AC60" s="4">
        <f t="shared" si="7"/>
        <v>3.6093157930315769</v>
      </c>
      <c r="AD60" s="3"/>
      <c r="AE60" s="3"/>
      <c r="AF60" s="3"/>
      <c r="AG60" s="3"/>
      <c r="AH60" s="3"/>
      <c r="AT60" s="12"/>
      <c r="AU60" s="12"/>
      <c r="AV60" s="11"/>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2:87" ht="24" customHeight="1" x14ac:dyDescent="0.2">
      <c r="B61" s="7">
        <f t="shared" si="8"/>
        <v>307</v>
      </c>
      <c r="C61" s="7" t="s">
        <v>115</v>
      </c>
      <c r="D61" s="7">
        <v>9</v>
      </c>
      <c r="E61" s="7">
        <v>2</v>
      </c>
      <c r="F61" s="7">
        <v>2</v>
      </c>
      <c r="G61" s="7">
        <v>2</v>
      </c>
      <c r="H61" s="7">
        <v>4</v>
      </c>
      <c r="I61" s="7" t="s">
        <v>149</v>
      </c>
      <c r="J61" s="9"/>
      <c r="K61" s="7" t="s">
        <v>2</v>
      </c>
      <c r="L61" s="6">
        <v>93</v>
      </c>
      <c r="M61" s="5"/>
      <c r="N61" s="6">
        <v>92</v>
      </c>
      <c r="O61" s="5"/>
      <c r="P61" s="6">
        <v>101</v>
      </c>
      <c r="Q61" s="6">
        <v>104</v>
      </c>
      <c r="R61" s="6">
        <v>99</v>
      </c>
      <c r="S61" s="6">
        <v>97</v>
      </c>
      <c r="T61" s="5">
        <v>90</v>
      </c>
      <c r="U61" s="6">
        <v>95</v>
      </c>
      <c r="V61" s="5"/>
      <c r="W61" s="6">
        <v>94</v>
      </c>
      <c r="X61" s="5"/>
      <c r="Y61" s="6">
        <v>116</v>
      </c>
      <c r="Z61" s="5"/>
      <c r="AA61" s="4">
        <f t="shared" si="5"/>
        <v>97.666666666666671</v>
      </c>
      <c r="AB61" s="4">
        <f t="shared" si="6"/>
        <v>97.944444444444457</v>
      </c>
      <c r="AC61" s="4">
        <f t="shared" si="7"/>
        <v>3.6972629182166306</v>
      </c>
      <c r="AD61" s="3"/>
      <c r="AE61" s="3"/>
      <c r="AF61" s="3"/>
      <c r="AG61" s="3"/>
      <c r="AH61" s="3"/>
    </row>
    <row r="62" spans="2:87" ht="24" customHeight="1" thickBot="1" x14ac:dyDescent="0.25">
      <c r="B62" s="15">
        <f t="shared" si="8"/>
        <v>307</v>
      </c>
      <c r="C62" s="15" t="s">
        <v>115</v>
      </c>
      <c r="D62" s="15">
        <v>9</v>
      </c>
      <c r="E62" s="15">
        <v>2</v>
      </c>
      <c r="F62" s="15">
        <v>2</v>
      </c>
      <c r="G62" s="15">
        <v>2</v>
      </c>
      <c r="H62" s="15">
        <v>4</v>
      </c>
      <c r="I62" s="15" t="s">
        <v>149</v>
      </c>
      <c r="J62" s="16"/>
      <c r="K62" s="15" t="s">
        <v>0</v>
      </c>
      <c r="L62" s="14">
        <v>96</v>
      </c>
      <c r="M62" s="13"/>
      <c r="N62" s="14">
        <v>95</v>
      </c>
      <c r="O62" s="13"/>
      <c r="P62" s="14">
        <v>101</v>
      </c>
      <c r="Q62" s="14">
        <v>98</v>
      </c>
      <c r="R62" s="14">
        <v>96</v>
      </c>
      <c r="S62" s="14">
        <v>86</v>
      </c>
      <c r="T62" s="13">
        <v>79</v>
      </c>
      <c r="U62" s="14">
        <v>101</v>
      </c>
      <c r="V62" s="13"/>
      <c r="W62" s="14">
        <v>92</v>
      </c>
      <c r="X62" s="13"/>
      <c r="Y62" s="14">
        <v>101</v>
      </c>
      <c r="Z62" s="13"/>
      <c r="AA62" s="4">
        <f t="shared" si="5"/>
        <v>93.5</v>
      </c>
      <c r="AB62" s="4">
        <f t="shared" si="6"/>
        <v>96.416666666666671</v>
      </c>
      <c r="AC62" s="4">
        <f t="shared" si="7"/>
        <v>1.5514330293133651</v>
      </c>
      <c r="AD62" s="3"/>
      <c r="AE62" s="3"/>
      <c r="AF62" s="3"/>
      <c r="AG62" s="3"/>
      <c r="AH62" s="3"/>
      <c r="AT62" s="12"/>
      <c r="AU62" s="12"/>
      <c r="AV62" s="11"/>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2:87" ht="24" customHeight="1" x14ac:dyDescent="0.2">
      <c r="B63" s="7">
        <f t="shared" si="8"/>
        <v>308</v>
      </c>
      <c r="C63" s="7" t="s">
        <v>120</v>
      </c>
      <c r="D63" s="7">
        <v>5</v>
      </c>
      <c r="E63" s="7">
        <v>1</v>
      </c>
      <c r="F63" s="7">
        <v>3</v>
      </c>
      <c r="G63" s="7">
        <v>2</v>
      </c>
      <c r="H63" s="7">
        <v>4</v>
      </c>
      <c r="I63" s="7" t="s">
        <v>150</v>
      </c>
      <c r="J63" s="9"/>
      <c r="K63" s="7" t="s">
        <v>2</v>
      </c>
      <c r="L63" s="6">
        <v>83</v>
      </c>
      <c r="M63" s="5"/>
      <c r="N63" s="6">
        <v>103</v>
      </c>
      <c r="O63" s="5"/>
      <c r="P63" s="6">
        <v>75</v>
      </c>
      <c r="Q63" s="6">
        <v>68</v>
      </c>
      <c r="R63" s="6">
        <v>83</v>
      </c>
      <c r="S63" s="6">
        <v>93</v>
      </c>
      <c r="T63" s="5">
        <v>80</v>
      </c>
      <c r="U63" s="6">
        <v>87</v>
      </c>
      <c r="V63" s="5"/>
      <c r="W63" s="6">
        <v>85</v>
      </c>
      <c r="X63" s="5"/>
      <c r="Y63" s="6">
        <v>86</v>
      </c>
      <c r="Z63" s="5"/>
      <c r="AA63" s="4">
        <f t="shared" si="5"/>
        <v>81</v>
      </c>
      <c r="AB63" s="4">
        <f t="shared" si="6"/>
        <v>87.5</v>
      </c>
      <c r="AC63" s="4">
        <f t="shared" si="7"/>
        <v>3.2223180062391941</v>
      </c>
      <c r="AD63" s="3"/>
      <c r="AE63" s="3"/>
      <c r="AF63" s="3"/>
      <c r="AG63" s="3"/>
      <c r="AH63" s="3"/>
    </row>
    <row r="64" spans="2:87" ht="24" customHeight="1" x14ac:dyDescent="0.2">
      <c r="B64" s="7">
        <f t="shared" si="8"/>
        <v>308</v>
      </c>
      <c r="C64" s="7" t="s">
        <v>120</v>
      </c>
      <c r="D64" s="7">
        <v>5</v>
      </c>
      <c r="E64" s="7">
        <v>1</v>
      </c>
      <c r="F64" s="7">
        <v>3</v>
      </c>
      <c r="G64" s="7">
        <v>2</v>
      </c>
      <c r="H64" s="7">
        <v>4</v>
      </c>
      <c r="I64" s="7" t="s">
        <v>150</v>
      </c>
      <c r="J64" s="9"/>
      <c r="K64" s="7" t="s">
        <v>0</v>
      </c>
      <c r="L64" s="6">
        <v>103</v>
      </c>
      <c r="M64" s="6"/>
      <c r="N64" s="6">
        <v>93</v>
      </c>
      <c r="O64" s="6"/>
      <c r="P64" s="6">
        <v>97</v>
      </c>
      <c r="Q64" s="6">
        <v>102</v>
      </c>
      <c r="R64" s="6">
        <v>91</v>
      </c>
      <c r="S64" s="6">
        <v>101</v>
      </c>
      <c r="T64" s="6">
        <v>100</v>
      </c>
      <c r="U64" s="6">
        <v>98</v>
      </c>
      <c r="V64" s="6"/>
      <c r="W64" s="6">
        <v>100</v>
      </c>
      <c r="X64" s="6"/>
      <c r="Y64" s="6">
        <v>103</v>
      </c>
      <c r="Z64" s="6"/>
      <c r="AA64" s="4">
        <f t="shared" si="5"/>
        <v>98.166666666666671</v>
      </c>
      <c r="AB64" s="4">
        <f t="shared" si="6"/>
        <v>99.194444444444457</v>
      </c>
      <c r="AC64" s="4">
        <f t="shared" si="7"/>
        <v>1.5326185934818941</v>
      </c>
      <c r="AD64" s="3"/>
      <c r="AE64" s="3"/>
      <c r="AF64" s="3"/>
      <c r="AG64" s="3"/>
      <c r="AH64" s="3"/>
    </row>
    <row r="65" spans="2:87" ht="24" customHeight="1" x14ac:dyDescent="0.2">
      <c r="B65" s="7">
        <f>B63+100</f>
        <v>408</v>
      </c>
      <c r="C65" s="7" t="s">
        <v>113</v>
      </c>
      <c r="D65" s="7">
        <v>10</v>
      </c>
      <c r="E65" s="7">
        <v>2</v>
      </c>
      <c r="F65" s="7">
        <v>2</v>
      </c>
      <c r="G65" s="7">
        <v>1</v>
      </c>
      <c r="H65" s="7">
        <v>4</v>
      </c>
      <c r="I65" s="7" t="s">
        <v>151</v>
      </c>
      <c r="J65" s="7"/>
      <c r="K65" s="7" t="s">
        <v>2</v>
      </c>
      <c r="L65" s="6">
        <v>96</v>
      </c>
      <c r="M65" s="6"/>
      <c r="N65" s="6">
        <v>89</v>
      </c>
      <c r="O65" s="6"/>
      <c r="P65" s="6">
        <v>96</v>
      </c>
      <c r="Q65" s="6">
        <v>90</v>
      </c>
      <c r="R65" s="6">
        <v>89</v>
      </c>
      <c r="S65" s="6">
        <v>95</v>
      </c>
      <c r="T65" s="6">
        <v>90</v>
      </c>
      <c r="U65" s="6">
        <v>80</v>
      </c>
      <c r="V65" s="6"/>
      <c r="W65" s="6">
        <v>85</v>
      </c>
      <c r="X65" s="6"/>
      <c r="Y65" s="6">
        <v>96</v>
      </c>
      <c r="Z65" s="6"/>
      <c r="AA65" s="4">
        <f t="shared" si="5"/>
        <v>90</v>
      </c>
      <c r="AB65" s="4">
        <f t="shared" si="6"/>
        <v>89.333333333333329</v>
      </c>
      <c r="AC65" s="4">
        <f t="shared" si="7"/>
        <v>2.5516878945339516</v>
      </c>
      <c r="AT65" s="12">
        <v>2</v>
      </c>
      <c r="AU65" s="12" t="s">
        <v>3</v>
      </c>
      <c r="AV65" s="12">
        <v>150</v>
      </c>
    </row>
    <row r="66" spans="2:87" ht="24" customHeight="1" thickBot="1" x14ac:dyDescent="0.25">
      <c r="B66" s="7">
        <f>B64+100</f>
        <v>408</v>
      </c>
      <c r="C66" s="15" t="s">
        <v>113</v>
      </c>
      <c r="D66" s="15">
        <v>10</v>
      </c>
      <c r="E66" s="15">
        <v>2</v>
      </c>
      <c r="F66" s="15">
        <v>2</v>
      </c>
      <c r="G66" s="15">
        <v>1</v>
      </c>
      <c r="H66" s="15">
        <v>4</v>
      </c>
      <c r="I66" s="15" t="s">
        <v>151</v>
      </c>
      <c r="J66" s="16"/>
      <c r="K66" s="15" t="s">
        <v>0</v>
      </c>
      <c r="L66" s="14">
        <v>93</v>
      </c>
      <c r="M66" s="13"/>
      <c r="N66" s="14">
        <v>95</v>
      </c>
      <c r="O66" s="13"/>
      <c r="P66" s="14">
        <v>89</v>
      </c>
      <c r="Q66" s="14">
        <v>89</v>
      </c>
      <c r="R66" s="14">
        <v>94</v>
      </c>
      <c r="S66" s="14">
        <v>86</v>
      </c>
      <c r="T66" s="13">
        <v>80</v>
      </c>
      <c r="U66" s="14">
        <v>88</v>
      </c>
      <c r="V66" s="13"/>
      <c r="W66" s="14">
        <v>94</v>
      </c>
      <c r="X66" s="13"/>
      <c r="Y66" s="14">
        <v>86</v>
      </c>
      <c r="Z66" s="13"/>
      <c r="AA66" s="4">
        <f t="shared" si="5"/>
        <v>87.666666666666671</v>
      </c>
      <c r="AB66" s="4">
        <f t="shared" si="6"/>
        <v>90.611111111111128</v>
      </c>
      <c r="AC66" s="4">
        <f t="shared" si="7"/>
        <v>1.5620894522370103</v>
      </c>
      <c r="AD66" s="3"/>
      <c r="AE66" s="3"/>
      <c r="AF66" s="3"/>
      <c r="AG66" s="3"/>
      <c r="AH66" s="3"/>
      <c r="AT66" s="12"/>
      <c r="AU66" s="12"/>
      <c r="AV66" s="11"/>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2:87" ht="24" customHeight="1" x14ac:dyDescent="0.2">
      <c r="B67" s="7">
        <f t="shared" ref="B67:B80" si="9">B65-1</f>
        <v>407</v>
      </c>
      <c r="C67" s="7" t="s">
        <v>152</v>
      </c>
      <c r="D67" s="7">
        <v>7</v>
      </c>
      <c r="E67" s="7">
        <v>2</v>
      </c>
      <c r="F67" s="7">
        <v>1</v>
      </c>
      <c r="G67" s="7">
        <v>2</v>
      </c>
      <c r="H67" s="7">
        <v>4</v>
      </c>
      <c r="I67" s="7" t="s">
        <v>153</v>
      </c>
      <c r="J67" s="9"/>
      <c r="K67" s="7" t="s">
        <v>2</v>
      </c>
      <c r="L67" s="6">
        <v>87</v>
      </c>
      <c r="M67" s="6"/>
      <c r="N67" s="6">
        <v>89</v>
      </c>
      <c r="O67" s="6"/>
      <c r="P67" s="6">
        <v>76</v>
      </c>
      <c r="Q67" s="6">
        <v>67</v>
      </c>
      <c r="R67" s="6">
        <v>81</v>
      </c>
      <c r="S67" s="6">
        <v>78</v>
      </c>
      <c r="T67" s="6">
        <v>78</v>
      </c>
      <c r="U67" s="6">
        <v>75</v>
      </c>
      <c r="V67" s="6"/>
      <c r="W67" s="6">
        <v>82</v>
      </c>
      <c r="X67" s="6"/>
      <c r="Y67" s="6">
        <v>97</v>
      </c>
      <c r="Z67" s="6"/>
      <c r="AA67" s="4">
        <f t="shared" si="5"/>
        <v>75.833333333333329</v>
      </c>
      <c r="AB67" s="4">
        <f t="shared" si="6"/>
        <v>84.305555555555557</v>
      </c>
      <c r="AC67" s="4">
        <f t="shared" si="7"/>
        <v>3.4357641520689364</v>
      </c>
      <c r="AD67" s="3"/>
      <c r="AE67" s="3"/>
      <c r="AF67" s="3"/>
      <c r="AG67" s="3"/>
      <c r="AH67" s="3"/>
    </row>
    <row r="68" spans="2:87" ht="24" customHeight="1" thickBot="1" x14ac:dyDescent="0.25">
      <c r="B68" s="7">
        <f t="shared" si="9"/>
        <v>407</v>
      </c>
      <c r="C68" s="15" t="s">
        <v>152</v>
      </c>
      <c r="D68" s="15">
        <v>7</v>
      </c>
      <c r="E68" s="15">
        <v>2</v>
      </c>
      <c r="F68" s="15">
        <v>1</v>
      </c>
      <c r="G68" s="15">
        <v>2</v>
      </c>
      <c r="H68" s="15">
        <v>4</v>
      </c>
      <c r="I68" s="15" t="s">
        <v>153</v>
      </c>
      <c r="J68" s="16"/>
      <c r="K68" s="15" t="s">
        <v>0</v>
      </c>
      <c r="L68" s="14">
        <v>78</v>
      </c>
      <c r="M68" s="13"/>
      <c r="N68" s="14">
        <v>95</v>
      </c>
      <c r="O68" s="13"/>
      <c r="P68" s="14">
        <v>83</v>
      </c>
      <c r="Q68" s="14">
        <v>93</v>
      </c>
      <c r="R68" s="14">
        <v>91</v>
      </c>
      <c r="S68" s="14">
        <v>79</v>
      </c>
      <c r="T68" s="13">
        <v>82</v>
      </c>
      <c r="U68" s="14">
        <v>85</v>
      </c>
      <c r="V68" s="13"/>
      <c r="W68" s="14">
        <v>79</v>
      </c>
      <c r="X68" s="13"/>
      <c r="Y68" s="14">
        <v>93</v>
      </c>
      <c r="Z68" s="13"/>
      <c r="AA68" s="4">
        <f t="shared" si="5"/>
        <v>85.5</v>
      </c>
      <c r="AB68" s="4">
        <f t="shared" si="6"/>
        <v>85.916666666666671</v>
      </c>
      <c r="AC68" s="4">
        <f t="shared" si="7"/>
        <v>2.8531172036524852</v>
      </c>
      <c r="AD68" s="3"/>
      <c r="AE68" s="3"/>
      <c r="AF68" s="3"/>
      <c r="AG68" s="3"/>
      <c r="AH68" s="3"/>
      <c r="AT68" s="12"/>
      <c r="AU68" s="12"/>
      <c r="AV68" s="11"/>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2:87" ht="24" customHeight="1" x14ac:dyDescent="0.2">
      <c r="B69" s="7">
        <f t="shared" si="9"/>
        <v>406</v>
      </c>
      <c r="C69" s="7" t="s">
        <v>111</v>
      </c>
      <c r="D69" s="7">
        <v>3</v>
      </c>
      <c r="E69" s="7">
        <v>1</v>
      </c>
      <c r="F69" s="7">
        <v>2</v>
      </c>
      <c r="G69" s="7">
        <v>2</v>
      </c>
      <c r="H69" s="7">
        <v>4</v>
      </c>
      <c r="I69" s="7" t="s">
        <v>154</v>
      </c>
      <c r="J69" s="9"/>
      <c r="K69" s="7" t="s">
        <v>2</v>
      </c>
      <c r="L69" s="6">
        <v>96</v>
      </c>
      <c r="M69" s="6"/>
      <c r="N69" s="6">
        <v>95</v>
      </c>
      <c r="O69" s="6"/>
      <c r="P69" s="6">
        <v>98</v>
      </c>
      <c r="Q69" s="6">
        <v>96</v>
      </c>
      <c r="R69" s="6">
        <v>91</v>
      </c>
      <c r="S69" s="6">
        <v>115</v>
      </c>
      <c r="T69" s="6">
        <v>102</v>
      </c>
      <c r="U69" s="6">
        <v>98</v>
      </c>
      <c r="V69" s="6"/>
      <c r="W69" s="6">
        <v>102</v>
      </c>
      <c r="X69" s="6"/>
      <c r="Y69" s="6">
        <v>107</v>
      </c>
      <c r="Z69" s="6"/>
      <c r="AA69" s="4">
        <f t="shared" si="5"/>
        <v>100</v>
      </c>
      <c r="AB69" s="4">
        <f t="shared" si="6"/>
        <v>99.666666666666671</v>
      </c>
      <c r="AC69" s="4">
        <f t="shared" si="7"/>
        <v>1.8012341448141729</v>
      </c>
      <c r="AD69" s="3"/>
      <c r="AE69" s="3"/>
      <c r="AF69" s="3"/>
      <c r="AG69" s="3"/>
      <c r="AH69" s="3"/>
    </row>
    <row r="70" spans="2:87" ht="24" customHeight="1" thickBot="1" x14ac:dyDescent="0.25">
      <c r="B70" s="7">
        <f t="shared" si="9"/>
        <v>406</v>
      </c>
      <c r="C70" s="15" t="s">
        <v>111</v>
      </c>
      <c r="D70" s="15">
        <v>3</v>
      </c>
      <c r="E70" s="15">
        <v>1</v>
      </c>
      <c r="F70" s="15">
        <v>2</v>
      </c>
      <c r="G70" s="15">
        <v>2</v>
      </c>
      <c r="H70" s="15">
        <v>4</v>
      </c>
      <c r="I70" s="15" t="s">
        <v>154</v>
      </c>
      <c r="J70" s="16"/>
      <c r="K70" s="15" t="s">
        <v>0</v>
      </c>
      <c r="L70" s="14">
        <v>92</v>
      </c>
      <c r="M70" s="13"/>
      <c r="N70" s="14">
        <v>102</v>
      </c>
      <c r="O70" s="13"/>
      <c r="P70" s="14">
        <v>98</v>
      </c>
      <c r="Q70" s="14">
        <v>98</v>
      </c>
      <c r="R70" s="14">
        <v>105</v>
      </c>
      <c r="S70" s="14">
        <v>104</v>
      </c>
      <c r="T70" s="13">
        <v>103</v>
      </c>
      <c r="U70" s="14">
        <v>98</v>
      </c>
      <c r="V70" s="13"/>
      <c r="W70" s="14">
        <v>101</v>
      </c>
      <c r="X70" s="13"/>
      <c r="Y70" s="14">
        <v>100</v>
      </c>
      <c r="Z70" s="13"/>
      <c r="AA70" s="4">
        <f t="shared" si="5"/>
        <v>101</v>
      </c>
      <c r="AB70" s="4">
        <f t="shared" si="6"/>
        <v>99</v>
      </c>
      <c r="AC70" s="4">
        <f t="shared" si="7"/>
        <v>1.5055453054181622</v>
      </c>
      <c r="AD70" s="3"/>
      <c r="AE70" s="3"/>
      <c r="AF70" s="3"/>
      <c r="AG70" s="3"/>
      <c r="AH70" s="3"/>
      <c r="AT70" s="12"/>
      <c r="AU70" s="12"/>
      <c r="AV70" s="11"/>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2:87" ht="24" customHeight="1" x14ac:dyDescent="0.2">
      <c r="B71" s="7">
        <f t="shared" si="9"/>
        <v>405</v>
      </c>
      <c r="C71" s="7" t="s">
        <v>155</v>
      </c>
      <c r="D71" s="7">
        <v>6</v>
      </c>
      <c r="E71" s="7">
        <v>1</v>
      </c>
      <c r="F71" s="7">
        <v>3</v>
      </c>
      <c r="G71" s="7">
        <v>1</v>
      </c>
      <c r="H71" s="7">
        <v>4</v>
      </c>
      <c r="I71" s="7" t="s">
        <v>156</v>
      </c>
      <c r="J71" s="9"/>
      <c r="K71" s="7" t="s">
        <v>2</v>
      </c>
      <c r="L71" s="6">
        <v>82</v>
      </c>
      <c r="M71" s="6"/>
      <c r="N71" s="6">
        <v>86</v>
      </c>
      <c r="O71" s="6"/>
      <c r="P71" s="6">
        <v>72</v>
      </c>
      <c r="Q71" s="6">
        <v>67</v>
      </c>
      <c r="R71" s="6">
        <v>73</v>
      </c>
      <c r="S71" s="6">
        <v>80</v>
      </c>
      <c r="T71" s="6">
        <v>76</v>
      </c>
      <c r="U71" s="6">
        <v>88</v>
      </c>
      <c r="V71" s="6"/>
      <c r="W71" s="6">
        <v>88</v>
      </c>
      <c r="X71" s="6"/>
      <c r="Y71" s="6">
        <v>67</v>
      </c>
      <c r="Z71" s="6"/>
      <c r="AA71" s="4">
        <f t="shared" si="5"/>
        <v>76</v>
      </c>
      <c r="AB71" s="4">
        <f t="shared" si="6"/>
        <v>81.166666666666671</v>
      </c>
      <c r="AC71" s="4">
        <f t="shared" si="7"/>
        <v>3.3903457706323179</v>
      </c>
      <c r="AD71" s="3"/>
      <c r="AE71" s="3"/>
      <c r="AF71" s="3"/>
      <c r="AG71" s="3"/>
      <c r="AH71" s="3"/>
    </row>
    <row r="72" spans="2:87" ht="24" customHeight="1" thickBot="1" x14ac:dyDescent="0.25">
      <c r="B72" s="7">
        <f t="shared" si="9"/>
        <v>405</v>
      </c>
      <c r="C72" s="15" t="s">
        <v>155</v>
      </c>
      <c r="D72" s="15">
        <v>6</v>
      </c>
      <c r="E72" s="15">
        <v>1</v>
      </c>
      <c r="F72" s="15">
        <v>3</v>
      </c>
      <c r="G72" s="15">
        <v>1</v>
      </c>
      <c r="H72" s="15">
        <v>4</v>
      </c>
      <c r="I72" s="15" t="s">
        <v>156</v>
      </c>
      <c r="J72" s="16"/>
      <c r="K72" s="15" t="s">
        <v>0</v>
      </c>
      <c r="L72" s="14">
        <v>101</v>
      </c>
      <c r="M72" s="13"/>
      <c r="N72" s="14">
        <v>103</v>
      </c>
      <c r="O72" s="13"/>
      <c r="P72" s="14">
        <v>112</v>
      </c>
      <c r="Q72" s="14">
        <v>91</v>
      </c>
      <c r="R72" s="14">
        <v>109</v>
      </c>
      <c r="S72" s="14">
        <v>101</v>
      </c>
      <c r="T72" s="13">
        <v>95</v>
      </c>
      <c r="U72" s="14">
        <v>94</v>
      </c>
      <c r="V72" s="13"/>
      <c r="W72" s="14">
        <v>98</v>
      </c>
      <c r="X72" s="13"/>
      <c r="Y72" s="14">
        <v>94</v>
      </c>
      <c r="Z72" s="13"/>
      <c r="AA72" s="4">
        <f t="shared" si="5"/>
        <v>100.33333333333333</v>
      </c>
      <c r="AB72" s="4">
        <f t="shared" si="6"/>
        <v>98.388888888888872</v>
      </c>
      <c r="AC72" s="4">
        <f t="shared" si="7"/>
        <v>1.5333735904538184</v>
      </c>
      <c r="AD72" s="3"/>
      <c r="AE72" s="3"/>
      <c r="AF72" s="3"/>
      <c r="AG72" s="3"/>
      <c r="AH72" s="3"/>
      <c r="AT72" s="12"/>
      <c r="AU72" s="12"/>
      <c r="AV72" s="11"/>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2:87" ht="24" customHeight="1" thickBot="1" x14ac:dyDescent="0.25">
      <c r="B73" s="7">
        <f t="shared" si="9"/>
        <v>404</v>
      </c>
      <c r="C73" s="7" t="s">
        <v>111</v>
      </c>
      <c r="D73" s="7">
        <v>3</v>
      </c>
      <c r="E73" s="7">
        <v>1</v>
      </c>
      <c r="F73" s="7">
        <v>2</v>
      </c>
      <c r="G73" s="7">
        <v>2</v>
      </c>
      <c r="H73" s="7">
        <v>3</v>
      </c>
      <c r="I73" s="7" t="s">
        <v>157</v>
      </c>
      <c r="J73" s="16"/>
      <c r="K73" s="7" t="s">
        <v>2</v>
      </c>
      <c r="L73" s="6">
        <v>103</v>
      </c>
      <c r="M73" s="6"/>
      <c r="N73" s="6">
        <v>104</v>
      </c>
      <c r="O73" s="6"/>
      <c r="P73" s="6">
        <v>87</v>
      </c>
      <c r="Q73" s="6">
        <v>92</v>
      </c>
      <c r="R73" s="6">
        <v>107</v>
      </c>
      <c r="S73" s="6">
        <v>92</v>
      </c>
      <c r="T73" s="6">
        <v>98</v>
      </c>
      <c r="U73" s="6">
        <v>101</v>
      </c>
      <c r="V73" s="6"/>
      <c r="W73" s="6">
        <v>100</v>
      </c>
      <c r="X73" s="6"/>
      <c r="Y73" s="6">
        <v>90</v>
      </c>
      <c r="Z73" s="6"/>
      <c r="AA73" s="4">
        <f t="shared" ref="AA73:AA80" si="10">AVERAGE(P73:U73)</f>
        <v>96.166666666666671</v>
      </c>
      <c r="AB73" s="4">
        <f>AVERAGE(AVERAGE(L73:M73),AVERAGE(N73:O73),AVERAGE(P73:T73),AVERAGE(U73:V73),AVERAGE(W73:X73),AVERAGE(Y73:Z73))</f>
        <v>98.866666666666674</v>
      </c>
      <c r="AC73" s="4">
        <f t="shared" ref="AC73:AC80" si="11">STDEV(AVERAGE(L73:M73),AVERAGE(N73:O73),AVERAGE(P73:U73),AVERAGE(U73:V73),AVERAGE(W73:X73),AVERAGE(Y73:Z73))/SQRT(6)</f>
        <v>2.121502204792225</v>
      </c>
      <c r="AD73" s="3"/>
      <c r="AE73" s="3"/>
      <c r="AF73" s="3"/>
      <c r="AG73" s="3"/>
      <c r="AH73" s="3"/>
    </row>
    <row r="74" spans="2:87" ht="24" customHeight="1" thickBot="1" x14ac:dyDescent="0.25">
      <c r="B74" s="7">
        <f t="shared" si="9"/>
        <v>404</v>
      </c>
      <c r="C74" s="15" t="s">
        <v>111</v>
      </c>
      <c r="D74" s="15">
        <v>3</v>
      </c>
      <c r="E74" s="15">
        <v>1</v>
      </c>
      <c r="F74" s="15">
        <v>2</v>
      </c>
      <c r="G74" s="15">
        <v>2</v>
      </c>
      <c r="H74" s="15">
        <v>3</v>
      </c>
      <c r="I74" s="15" t="s">
        <v>157</v>
      </c>
      <c r="J74" s="16"/>
      <c r="K74" s="15" t="s">
        <v>0</v>
      </c>
      <c r="L74" s="14">
        <v>98</v>
      </c>
      <c r="M74" s="13"/>
      <c r="N74" s="14">
        <v>96</v>
      </c>
      <c r="O74" s="13"/>
      <c r="P74" s="14">
        <v>96</v>
      </c>
      <c r="Q74" s="14">
        <v>87</v>
      </c>
      <c r="R74" s="14">
        <v>80</v>
      </c>
      <c r="S74" s="14">
        <v>90</v>
      </c>
      <c r="T74" s="13">
        <v>93</v>
      </c>
      <c r="U74" s="14">
        <v>106</v>
      </c>
      <c r="V74" s="13"/>
      <c r="W74" s="14">
        <v>98</v>
      </c>
      <c r="X74" s="13"/>
      <c r="Y74" s="14">
        <v>97</v>
      </c>
      <c r="Z74" s="13"/>
      <c r="AA74" s="4">
        <f t="shared" si="10"/>
        <v>92</v>
      </c>
      <c r="AB74" s="4">
        <f t="shared" ref="AB74:AB80" si="12">AVERAGE(AVERAGE(L74:M74),AVERAGE(N74:O74),AVERAGE(P74:U74),AVERAGE(U74:V74),AVERAGE(W74:X74),AVERAGE(Y74:Z74))</f>
        <v>97.833333333333329</v>
      </c>
      <c r="AC74" s="4">
        <f t="shared" si="11"/>
        <v>1.8693433190413271</v>
      </c>
      <c r="AD74" s="3"/>
      <c r="AE74" s="3"/>
      <c r="AF74" s="3"/>
      <c r="AG74" s="3"/>
      <c r="AH74" s="3"/>
      <c r="AT74" s="12"/>
      <c r="AU74" s="12"/>
      <c r="AV74" s="11"/>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2:87" ht="24" customHeight="1" x14ac:dyDescent="0.2">
      <c r="B75" s="7">
        <f t="shared" si="9"/>
        <v>403</v>
      </c>
      <c r="C75" s="7" t="s">
        <v>155</v>
      </c>
      <c r="D75" s="7">
        <v>6</v>
      </c>
      <c r="E75" s="7">
        <v>1</v>
      </c>
      <c r="F75" s="7">
        <v>3</v>
      </c>
      <c r="G75" s="7">
        <v>1</v>
      </c>
      <c r="H75" s="7">
        <v>3</v>
      </c>
      <c r="I75" s="7" t="s">
        <v>158</v>
      </c>
      <c r="J75" s="9"/>
      <c r="K75" s="7" t="s">
        <v>2</v>
      </c>
      <c r="L75" s="6">
        <v>97</v>
      </c>
      <c r="M75" s="6"/>
      <c r="N75" s="6">
        <v>90</v>
      </c>
      <c r="O75" s="6"/>
      <c r="P75" s="6">
        <v>81</v>
      </c>
      <c r="Q75" s="6">
        <v>76</v>
      </c>
      <c r="R75" s="6">
        <v>72</v>
      </c>
      <c r="S75" s="6">
        <v>74</v>
      </c>
      <c r="T75" s="6">
        <v>78</v>
      </c>
      <c r="U75" s="6">
        <v>81</v>
      </c>
      <c r="V75" s="6"/>
      <c r="W75" s="6">
        <v>83</v>
      </c>
      <c r="X75" s="6"/>
      <c r="Y75" s="6">
        <v>82</v>
      </c>
      <c r="Z75" s="6"/>
      <c r="AA75" s="4">
        <f t="shared" si="10"/>
        <v>77</v>
      </c>
      <c r="AB75" s="4">
        <f t="shared" si="12"/>
        <v>85</v>
      </c>
      <c r="AC75" s="4">
        <f t="shared" si="11"/>
        <v>2.9552213679068671</v>
      </c>
      <c r="AD75" s="3"/>
      <c r="AE75" s="3"/>
      <c r="AF75" s="3"/>
      <c r="AG75" s="3"/>
      <c r="AH75" s="3"/>
    </row>
    <row r="76" spans="2:87" ht="24" customHeight="1" thickBot="1" x14ac:dyDescent="0.25">
      <c r="B76" s="7">
        <f t="shared" si="9"/>
        <v>403</v>
      </c>
      <c r="C76" s="15" t="s">
        <v>155</v>
      </c>
      <c r="D76" s="15">
        <v>6</v>
      </c>
      <c r="E76" s="15">
        <v>1</v>
      </c>
      <c r="F76" s="15">
        <v>3</v>
      </c>
      <c r="G76" s="15">
        <v>1</v>
      </c>
      <c r="H76" s="15">
        <v>3</v>
      </c>
      <c r="I76" s="15" t="s">
        <v>158</v>
      </c>
      <c r="J76" s="16"/>
      <c r="K76" s="15" t="s">
        <v>0</v>
      </c>
      <c r="L76" s="14">
        <v>105</v>
      </c>
      <c r="M76" s="13"/>
      <c r="N76" s="14">
        <v>101</v>
      </c>
      <c r="O76" s="13"/>
      <c r="P76" s="14">
        <v>101</v>
      </c>
      <c r="Q76" s="14">
        <v>100</v>
      </c>
      <c r="R76" s="14">
        <v>85</v>
      </c>
      <c r="S76" s="14">
        <v>85</v>
      </c>
      <c r="T76" s="13">
        <v>99</v>
      </c>
      <c r="U76" s="14">
        <v>101</v>
      </c>
      <c r="V76" s="13"/>
      <c r="W76" s="14">
        <v>89</v>
      </c>
      <c r="X76" s="13"/>
      <c r="Y76" s="14">
        <v>108</v>
      </c>
      <c r="Z76" s="13"/>
      <c r="AA76" s="4">
        <f t="shared" si="10"/>
        <v>95.166666666666671</v>
      </c>
      <c r="AB76" s="4">
        <f t="shared" si="12"/>
        <v>99.861111111111128</v>
      </c>
      <c r="AC76" s="4">
        <f t="shared" si="11"/>
        <v>2.800270048705841</v>
      </c>
      <c r="AD76" s="3"/>
      <c r="AE76" s="3"/>
      <c r="AF76" s="3"/>
      <c r="AG76" s="3"/>
      <c r="AH76" s="3"/>
      <c r="AT76" s="12"/>
      <c r="AU76" s="12"/>
      <c r="AV76" s="11"/>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2:87" ht="24" customHeight="1" x14ac:dyDescent="0.2">
      <c r="B77" s="7">
        <f t="shared" si="9"/>
        <v>402</v>
      </c>
      <c r="C77" s="7" t="s">
        <v>115</v>
      </c>
      <c r="D77" s="7">
        <v>9</v>
      </c>
      <c r="E77" s="7">
        <v>2</v>
      </c>
      <c r="F77" s="7">
        <v>2</v>
      </c>
      <c r="G77" s="7">
        <v>2</v>
      </c>
      <c r="H77" s="7">
        <v>3</v>
      </c>
      <c r="I77" s="7" t="s">
        <v>159</v>
      </c>
      <c r="J77" s="9"/>
      <c r="K77" s="7" t="s">
        <v>2</v>
      </c>
      <c r="L77" s="6">
        <v>78</v>
      </c>
      <c r="M77" s="5"/>
      <c r="N77" s="6">
        <v>89</v>
      </c>
      <c r="O77" s="5"/>
      <c r="P77" s="6">
        <v>88</v>
      </c>
      <c r="Q77" s="6">
        <v>95</v>
      </c>
      <c r="R77" s="6">
        <v>94</v>
      </c>
      <c r="S77" s="6">
        <v>104</v>
      </c>
      <c r="T77" s="5">
        <v>95</v>
      </c>
      <c r="U77" s="6">
        <v>92</v>
      </c>
      <c r="V77" s="5"/>
      <c r="W77" s="6">
        <v>97</v>
      </c>
      <c r="X77" s="5"/>
      <c r="Y77" s="6">
        <v>93</v>
      </c>
      <c r="Z77" s="5"/>
      <c r="AA77" s="4">
        <f t="shared" si="10"/>
        <v>94.666666666666671</v>
      </c>
      <c r="AB77" s="4">
        <f t="shared" si="12"/>
        <v>90.611111111111128</v>
      </c>
      <c r="AC77" s="4">
        <f t="shared" si="11"/>
        <v>2.747950976255078</v>
      </c>
      <c r="AD77" s="3"/>
      <c r="AE77" s="3"/>
      <c r="AF77" s="3"/>
      <c r="AG77" s="3"/>
      <c r="AH77" s="3"/>
    </row>
    <row r="78" spans="2:87" ht="24" customHeight="1" thickBot="1" x14ac:dyDescent="0.25">
      <c r="B78" s="7">
        <f t="shared" si="9"/>
        <v>402</v>
      </c>
      <c r="C78" s="15" t="s">
        <v>115</v>
      </c>
      <c r="D78" s="15">
        <v>9</v>
      </c>
      <c r="E78" s="15">
        <v>2</v>
      </c>
      <c r="F78" s="15">
        <v>2</v>
      </c>
      <c r="G78" s="15">
        <v>2</v>
      </c>
      <c r="H78" s="15">
        <v>3</v>
      </c>
      <c r="I78" s="15" t="s">
        <v>159</v>
      </c>
      <c r="J78" s="16"/>
      <c r="K78" s="15" t="s">
        <v>0</v>
      </c>
      <c r="L78" s="14">
        <v>100</v>
      </c>
      <c r="M78" s="13"/>
      <c r="N78" s="14">
        <v>99</v>
      </c>
      <c r="O78" s="13"/>
      <c r="P78" s="14">
        <v>101</v>
      </c>
      <c r="Q78" s="14">
        <v>95</v>
      </c>
      <c r="R78" s="14">
        <v>99</v>
      </c>
      <c r="S78" s="14">
        <v>92</v>
      </c>
      <c r="T78" s="13">
        <v>88</v>
      </c>
      <c r="U78" s="14">
        <v>98</v>
      </c>
      <c r="V78" s="13"/>
      <c r="W78" s="14">
        <v>89</v>
      </c>
      <c r="X78" s="13"/>
      <c r="Y78" s="14">
        <v>97</v>
      </c>
      <c r="Z78" s="13"/>
      <c r="AA78" s="4">
        <f t="shared" si="10"/>
        <v>95.5</v>
      </c>
      <c r="AB78" s="4">
        <f t="shared" si="12"/>
        <v>96.416666666666671</v>
      </c>
      <c r="AC78" s="4">
        <f t="shared" si="11"/>
        <v>1.6146034944977807</v>
      </c>
      <c r="AD78" s="3"/>
      <c r="AE78" s="3"/>
      <c r="AF78" s="3"/>
      <c r="AG78" s="3"/>
      <c r="AH78" s="3"/>
      <c r="AT78" s="12"/>
      <c r="AU78" s="12"/>
      <c r="AV78" s="11"/>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2:87" ht="24" customHeight="1" x14ac:dyDescent="0.2">
      <c r="B79" s="7">
        <f t="shared" si="9"/>
        <v>401</v>
      </c>
      <c r="C79" s="7" t="s">
        <v>152</v>
      </c>
      <c r="D79" s="7">
        <v>7</v>
      </c>
      <c r="E79" s="7">
        <v>2</v>
      </c>
      <c r="F79" s="7">
        <v>1</v>
      </c>
      <c r="G79" s="7">
        <v>2</v>
      </c>
      <c r="H79" s="7">
        <v>3</v>
      </c>
      <c r="I79" s="7" t="s">
        <v>160</v>
      </c>
      <c r="J79" s="9"/>
      <c r="K79" s="7" t="s">
        <v>2</v>
      </c>
      <c r="L79" s="6">
        <v>82</v>
      </c>
      <c r="M79" s="5"/>
      <c r="N79" s="6">
        <v>81</v>
      </c>
      <c r="O79" s="5"/>
      <c r="P79" s="6">
        <v>72</v>
      </c>
      <c r="Q79" s="6">
        <v>74</v>
      </c>
      <c r="R79" s="6">
        <v>84</v>
      </c>
      <c r="S79" s="6">
        <v>75</v>
      </c>
      <c r="T79" s="5">
        <v>77</v>
      </c>
      <c r="U79" s="6">
        <v>80</v>
      </c>
      <c r="V79" s="5"/>
      <c r="W79" s="6">
        <v>86</v>
      </c>
      <c r="X79" s="5"/>
      <c r="Y79" s="6">
        <v>88</v>
      </c>
      <c r="Z79" s="5"/>
      <c r="AA79" s="4">
        <f t="shared" si="10"/>
        <v>77</v>
      </c>
      <c r="AB79" s="4">
        <f t="shared" si="12"/>
        <v>82.333333333333329</v>
      </c>
      <c r="AC79" s="4">
        <f t="shared" si="11"/>
        <v>1.6465452046971294</v>
      </c>
      <c r="AD79" s="3"/>
      <c r="AE79" s="3"/>
      <c r="AF79" s="3"/>
      <c r="AG79" s="3"/>
      <c r="AH79" s="3"/>
    </row>
    <row r="80" spans="2:87" ht="24" customHeight="1" x14ac:dyDescent="0.2">
      <c r="B80" s="7">
        <f t="shared" si="9"/>
        <v>401</v>
      </c>
      <c r="C80" s="7" t="s">
        <v>152</v>
      </c>
      <c r="D80" s="7">
        <v>7</v>
      </c>
      <c r="E80" s="7">
        <v>2</v>
      </c>
      <c r="F80" s="7">
        <v>1</v>
      </c>
      <c r="G80" s="7">
        <v>2</v>
      </c>
      <c r="H80" s="7">
        <v>3</v>
      </c>
      <c r="I80" s="7" t="s">
        <v>160</v>
      </c>
      <c r="J80" s="7"/>
      <c r="K80" s="7" t="s">
        <v>0</v>
      </c>
      <c r="L80" s="6">
        <v>74</v>
      </c>
      <c r="M80" s="5"/>
      <c r="N80" s="6">
        <v>74</v>
      </c>
      <c r="O80" s="5"/>
      <c r="P80" s="6">
        <v>90</v>
      </c>
      <c r="Q80" s="6">
        <v>77</v>
      </c>
      <c r="R80" s="6">
        <v>78</v>
      </c>
      <c r="S80" s="6">
        <v>87</v>
      </c>
      <c r="T80" s="5">
        <v>88</v>
      </c>
      <c r="U80" s="6">
        <v>80</v>
      </c>
      <c r="V80" s="5"/>
      <c r="W80" s="6">
        <v>88</v>
      </c>
      <c r="X80" s="5"/>
      <c r="Y80" s="6">
        <v>85</v>
      </c>
      <c r="Z80" s="5"/>
      <c r="AA80" s="4">
        <f t="shared" si="10"/>
        <v>83.333333333333329</v>
      </c>
      <c r="AB80" s="4">
        <f t="shared" si="12"/>
        <v>80.722222222222214</v>
      </c>
      <c r="AC80" s="4">
        <f t="shared" si="11"/>
        <v>2.3733343736993144</v>
      </c>
      <c r="AD80" s="3"/>
      <c r="AE80" s="3"/>
      <c r="AF80" s="3"/>
      <c r="AG80" s="3"/>
      <c r="AH80" s="3"/>
    </row>
    <row r="81" spans="11:17" x14ac:dyDescent="0.2">
      <c r="K81" s="2"/>
      <c r="Q81" s="49"/>
    </row>
    <row r="82" spans="11:17" x14ac:dyDescent="0.2">
      <c r="K82" s="2"/>
    </row>
    <row r="83" spans="11:17" x14ac:dyDescent="0.2">
      <c r="K83" s="2"/>
    </row>
    <row r="84" spans="11:17" x14ac:dyDescent="0.2">
      <c r="K84" s="2"/>
    </row>
    <row r="85" spans="11:17" x14ac:dyDescent="0.2">
      <c r="K85" s="2"/>
    </row>
    <row r="86" spans="11:17" x14ac:dyDescent="0.2">
      <c r="K86" s="2"/>
    </row>
    <row r="87" spans="11:17" x14ac:dyDescent="0.2">
      <c r="K87" s="2"/>
    </row>
  </sheetData>
  <mergeCells count="12">
    <mergeCell ref="P6:T6"/>
    <mergeCell ref="U6:V6"/>
    <mergeCell ref="AT5:AV5"/>
    <mergeCell ref="J7:K7"/>
    <mergeCell ref="B7:H7"/>
    <mergeCell ref="AA6:AA7"/>
    <mergeCell ref="AB6:AB7"/>
    <mergeCell ref="AC6:AC7"/>
    <mergeCell ref="L6:M6"/>
    <mergeCell ref="N6:O6"/>
    <mergeCell ref="W6:X6"/>
    <mergeCell ref="Y6:Z6"/>
  </mergeCells>
  <pageMargins left="0.51" right="0" top="0.85" bottom="0" header="0.64" footer="0"/>
  <pageSetup paperSize="512" scale="30" orientation="landscape" r:id="rId1"/>
  <headerFooter alignWithMargins="0">
    <oddHeader xml:space="preserve">&amp;L&amp;"Comic Sans MS,Bold"&amp;14FISE2003 ---Cotton Plant Cover and Heights in North 1 m of Harvest Area&amp;C&amp;"Comic Sans MS,Bold"&amp;12       </oddHeader>
    <oddFooter>&amp;L&amp;F   USWCL Remote Sensing&amp;R&amp;D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75078-362F-48B7-A937-AD72710E0EB7}">
  <sheetPr>
    <pageSetUpPr fitToPage="1"/>
  </sheetPr>
  <dimension ref="A1:CI87"/>
  <sheetViews>
    <sheetView workbookViewId="0">
      <selection activeCell="N2" sqref="N2"/>
    </sheetView>
  </sheetViews>
  <sheetFormatPr defaultRowHeight="12.75" x14ac:dyDescent="0.2"/>
  <cols>
    <col min="1" max="1" width="9.140625" style="1"/>
    <col min="2" max="2" width="4.85546875" style="1" customWidth="1"/>
    <col min="3" max="3" width="5.7109375" style="1" customWidth="1"/>
    <col min="4" max="8" width="5.28515625" style="1" hidden="1" customWidth="1"/>
    <col min="9" max="9" width="7" style="1" hidden="1" customWidth="1"/>
    <col min="10" max="11" width="9" style="1" customWidth="1"/>
    <col min="12" max="13" width="9.140625" style="1"/>
    <col min="14" max="14" width="9.7109375" style="1" customWidth="1"/>
    <col min="15" max="25" width="9.140625" style="1"/>
    <col min="26" max="26" width="10.140625" style="1" customWidth="1"/>
    <col min="27" max="27" width="12.7109375" style="1" customWidth="1"/>
    <col min="28" max="35" width="9.140625" style="1"/>
    <col min="36" max="36" width="7.5703125" style="1" customWidth="1"/>
    <col min="37" max="46" width="7.7109375" style="1" customWidth="1"/>
    <col min="47" max="16384" width="9.140625" style="1"/>
  </cols>
  <sheetData>
    <row r="1" spans="1:87" ht="15" customHeight="1" x14ac:dyDescent="0.25">
      <c r="A1" s="44" t="s">
        <v>82</v>
      </c>
    </row>
    <row r="2" spans="1:87" ht="15" customHeight="1" thickBot="1" x14ac:dyDescent="0.3">
      <c r="A2" s="44"/>
      <c r="N2" s="43"/>
      <c r="X2" s="20" t="s">
        <v>81</v>
      </c>
      <c r="Y2" s="42">
        <v>37854</v>
      </c>
      <c r="Z2" s="39"/>
    </row>
    <row r="3" spans="1:87" ht="15" customHeight="1" thickBot="1" x14ac:dyDescent="0.25">
      <c r="B3" s="1" t="s">
        <v>80</v>
      </c>
      <c r="D3" s="41"/>
      <c r="E3" s="41"/>
      <c r="F3" s="41"/>
      <c r="G3" s="41"/>
      <c r="H3" s="41"/>
      <c r="I3" s="41"/>
      <c r="J3" s="41" t="s">
        <v>101</v>
      </c>
      <c r="K3" s="41"/>
      <c r="L3" s="41"/>
      <c r="M3" s="41"/>
      <c r="N3" s="41"/>
      <c r="O3" s="41"/>
      <c r="P3" s="41"/>
      <c r="Q3" s="41"/>
      <c r="R3" s="41"/>
      <c r="S3" s="41"/>
      <c r="T3" s="41"/>
      <c r="U3" s="41"/>
      <c r="V3" s="41"/>
    </row>
    <row r="4" spans="1:87" ht="13.5" thickBot="1" x14ac:dyDescent="0.25">
      <c r="D4" s="40"/>
      <c r="E4" s="40"/>
      <c r="F4" s="40"/>
      <c r="G4" s="40"/>
      <c r="H4" s="40"/>
      <c r="I4" s="40"/>
      <c r="J4" s="54" t="s">
        <v>100</v>
      </c>
      <c r="K4" s="40"/>
      <c r="L4" s="40"/>
      <c r="M4" s="40"/>
      <c r="N4" s="40"/>
      <c r="O4" s="40"/>
      <c r="P4" s="40"/>
      <c r="Q4" s="40"/>
      <c r="R4" s="40"/>
      <c r="S4" s="40"/>
      <c r="T4" s="40"/>
      <c r="U4" s="40"/>
      <c r="V4" s="40"/>
      <c r="X4" s="20" t="s">
        <v>78</v>
      </c>
      <c r="Y4" s="39" t="s">
        <v>99</v>
      </c>
      <c r="Z4" s="39"/>
    </row>
    <row r="5" spans="1:87" ht="18" x14ac:dyDescent="0.2">
      <c r="AS5" s="38"/>
      <c r="AT5" s="134" t="s">
        <v>76</v>
      </c>
      <c r="AU5" s="134"/>
      <c r="AV5" s="134"/>
    </row>
    <row r="6" spans="1:87" ht="25.5" customHeight="1" x14ac:dyDescent="0.2">
      <c r="B6" s="36" t="s">
        <v>51</v>
      </c>
      <c r="C6" s="37" t="s">
        <v>50</v>
      </c>
      <c r="D6" s="37" t="s">
        <v>75</v>
      </c>
      <c r="E6" s="36" t="s">
        <v>74</v>
      </c>
      <c r="F6" s="37" t="s">
        <v>73</v>
      </c>
      <c r="G6" s="36" t="s">
        <v>72</v>
      </c>
      <c r="H6" s="36" t="s">
        <v>45</v>
      </c>
      <c r="I6" s="36" t="s">
        <v>71</v>
      </c>
      <c r="J6" s="36" t="s">
        <v>43</v>
      </c>
      <c r="K6" s="35" t="s">
        <v>70</v>
      </c>
      <c r="L6" s="143" t="s">
        <v>69</v>
      </c>
      <c r="M6" s="144"/>
      <c r="N6" s="143" t="s">
        <v>68</v>
      </c>
      <c r="O6" s="144"/>
      <c r="P6" s="143" t="s">
        <v>67</v>
      </c>
      <c r="Q6" s="145"/>
      <c r="R6" s="145"/>
      <c r="S6" s="145"/>
      <c r="T6" s="144"/>
      <c r="U6" s="143" t="s">
        <v>66</v>
      </c>
      <c r="V6" s="144"/>
      <c r="W6" s="143" t="s">
        <v>65</v>
      </c>
      <c r="X6" s="144"/>
      <c r="Y6" s="143" t="s">
        <v>64</v>
      </c>
      <c r="Z6" s="144"/>
      <c r="AA6" s="139" t="s">
        <v>63</v>
      </c>
      <c r="AB6" s="139" t="s">
        <v>62</v>
      </c>
      <c r="AC6" s="141" t="s">
        <v>61</v>
      </c>
      <c r="AS6" s="34"/>
      <c r="AT6" s="2" t="s">
        <v>60</v>
      </c>
      <c r="AU6" s="2"/>
    </row>
    <row r="7" spans="1:87" ht="15.75" customHeight="1" x14ac:dyDescent="0.2">
      <c r="B7" s="137"/>
      <c r="C7" s="138"/>
      <c r="D7" s="138"/>
      <c r="E7" s="138"/>
      <c r="F7" s="138"/>
      <c r="G7" s="138"/>
      <c r="H7" s="138"/>
      <c r="I7" s="33"/>
      <c r="J7" s="135" t="s">
        <v>59</v>
      </c>
      <c r="K7" s="136"/>
      <c r="L7" s="32" t="s">
        <v>55</v>
      </c>
      <c r="M7" s="31" t="s">
        <v>54</v>
      </c>
      <c r="N7" s="32" t="s">
        <v>55</v>
      </c>
      <c r="O7" s="31" t="s">
        <v>54</v>
      </c>
      <c r="P7" s="32" t="s">
        <v>58</v>
      </c>
      <c r="Q7" s="31" t="s">
        <v>55</v>
      </c>
      <c r="R7" s="31" t="s">
        <v>57</v>
      </c>
      <c r="S7" s="31" t="s">
        <v>54</v>
      </c>
      <c r="T7" s="31" t="s">
        <v>56</v>
      </c>
      <c r="U7" s="32" t="s">
        <v>55</v>
      </c>
      <c r="V7" s="31" t="s">
        <v>54</v>
      </c>
      <c r="W7" s="32" t="s">
        <v>55</v>
      </c>
      <c r="X7" s="31" t="s">
        <v>54</v>
      </c>
      <c r="Y7" s="32" t="s">
        <v>55</v>
      </c>
      <c r="Z7" s="31" t="s">
        <v>54</v>
      </c>
      <c r="AA7" s="140"/>
      <c r="AB7" s="140"/>
      <c r="AC7" s="142"/>
      <c r="AT7" s="12" t="s">
        <v>7</v>
      </c>
      <c r="AU7" s="12" t="s">
        <v>53</v>
      </c>
      <c r="AV7" s="12" t="s">
        <v>52</v>
      </c>
    </row>
    <row r="8" spans="1:87" ht="15.75" hidden="1" customHeight="1" x14ac:dyDescent="0.2">
      <c r="B8" s="28" t="s">
        <v>51</v>
      </c>
      <c r="C8" s="30" t="s">
        <v>50</v>
      </c>
      <c r="D8" s="30" t="s">
        <v>49</v>
      </c>
      <c r="E8" s="28" t="s">
        <v>48</v>
      </c>
      <c r="F8" s="30" t="s">
        <v>47</v>
      </c>
      <c r="G8" s="28" t="s">
        <v>46</v>
      </c>
      <c r="H8" s="28" t="s">
        <v>45</v>
      </c>
      <c r="I8" s="28" t="s">
        <v>44</v>
      </c>
      <c r="J8" s="27" t="s">
        <v>43</v>
      </c>
      <c r="K8" s="27" t="s">
        <v>42</v>
      </c>
      <c r="L8" s="29" t="s">
        <v>41</v>
      </c>
      <c r="M8" s="29" t="s">
        <v>40</v>
      </c>
      <c r="N8" s="29" t="s">
        <v>39</v>
      </c>
      <c r="O8" s="29" t="s">
        <v>38</v>
      </c>
      <c r="P8" s="29" t="s">
        <v>37</v>
      </c>
      <c r="Q8" s="29" t="s">
        <v>36</v>
      </c>
      <c r="R8" s="29" t="s">
        <v>35</v>
      </c>
      <c r="S8" s="29" t="s">
        <v>34</v>
      </c>
      <c r="T8" s="29" t="s">
        <v>33</v>
      </c>
      <c r="U8" s="29" t="s">
        <v>32</v>
      </c>
      <c r="V8" s="29" t="s">
        <v>31</v>
      </c>
      <c r="W8" s="29" t="s">
        <v>30</v>
      </c>
      <c r="X8" s="29" t="s">
        <v>29</v>
      </c>
      <c r="Y8" s="29" t="s">
        <v>28</v>
      </c>
      <c r="Z8" s="29" t="s">
        <v>27</v>
      </c>
      <c r="AA8" s="28" t="s">
        <v>26</v>
      </c>
      <c r="AB8" s="28" t="s">
        <v>25</v>
      </c>
      <c r="AC8" s="27" t="s">
        <v>24</v>
      </c>
      <c r="AT8" s="12"/>
      <c r="AU8" s="12"/>
      <c r="AV8" s="12"/>
    </row>
    <row r="9" spans="1:87" ht="24" customHeight="1" x14ac:dyDescent="0.2">
      <c r="B9" s="7">
        <v>108</v>
      </c>
      <c r="C9" s="7" t="s">
        <v>111</v>
      </c>
      <c r="D9" s="7">
        <v>3</v>
      </c>
      <c r="E9" s="7">
        <v>1</v>
      </c>
      <c r="F9" s="7">
        <v>2</v>
      </c>
      <c r="G9" s="7">
        <v>2</v>
      </c>
      <c r="H9" s="7">
        <v>2</v>
      </c>
      <c r="I9" s="7" t="s">
        <v>112</v>
      </c>
      <c r="J9" s="7"/>
      <c r="K9" s="7" t="s">
        <v>2</v>
      </c>
      <c r="L9" s="6">
        <v>100</v>
      </c>
      <c r="M9" s="5"/>
      <c r="N9" s="6">
        <v>100</v>
      </c>
      <c r="O9" s="5"/>
      <c r="P9" s="6">
        <v>99</v>
      </c>
      <c r="Q9" s="6">
        <v>97</v>
      </c>
      <c r="R9" s="6">
        <v>92</v>
      </c>
      <c r="S9" s="6"/>
      <c r="T9" s="5"/>
      <c r="U9" s="6">
        <v>103</v>
      </c>
      <c r="V9" s="5"/>
      <c r="W9" s="6">
        <v>100</v>
      </c>
      <c r="X9" s="5"/>
      <c r="Y9" s="6">
        <v>100</v>
      </c>
      <c r="Z9" s="5"/>
      <c r="AA9" s="4">
        <f>AVERAGE(P9:T9)</f>
        <v>96</v>
      </c>
      <c r="AB9" s="4">
        <f>AVERAGE(AVERAGE(L9:M9),AVERAGE(N9:O9),AVERAGE(P9:T9),AVERAGE(U9:V9),AVERAGE(W9:X9),AVERAGE(Y9:Z9))</f>
        <v>99.833333333333329</v>
      </c>
      <c r="AC9" s="4">
        <f>STDEV(AVERAGE(L9:M9),AVERAGE(N9:O9),AVERAGE(P9:T9),AVERAGE(U9:V9),AVERAGE(W9:X9),AVERAGE(Y9:Z9))/SQRT(6)</f>
        <v>0.90982293759707866</v>
      </c>
      <c r="AD9" s="3"/>
      <c r="AE9" s="3"/>
      <c r="AF9" s="3"/>
      <c r="AG9" s="3"/>
      <c r="AH9" s="3"/>
      <c r="AT9" s="12">
        <v>1</v>
      </c>
      <c r="AU9" s="12" t="s">
        <v>23</v>
      </c>
      <c r="AV9" s="11"/>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24" customHeight="1" thickBot="1" x14ac:dyDescent="0.25">
      <c r="B10" s="15">
        <v>108</v>
      </c>
      <c r="C10" s="15" t="s">
        <v>111</v>
      </c>
      <c r="D10" s="15">
        <v>3</v>
      </c>
      <c r="E10" s="15">
        <v>1</v>
      </c>
      <c r="F10" s="15">
        <v>2</v>
      </c>
      <c r="G10" s="15">
        <v>2</v>
      </c>
      <c r="H10" s="15">
        <v>2</v>
      </c>
      <c r="I10" s="15" t="s">
        <v>112</v>
      </c>
      <c r="J10" s="16"/>
      <c r="K10" s="15" t="s">
        <v>0</v>
      </c>
      <c r="L10" s="52">
        <v>128</v>
      </c>
      <c r="M10" s="13"/>
      <c r="N10" s="14">
        <v>105</v>
      </c>
      <c r="O10" s="13"/>
      <c r="P10" s="14">
        <v>91</v>
      </c>
      <c r="Q10" s="14">
        <v>88</v>
      </c>
      <c r="R10" s="14">
        <v>109</v>
      </c>
      <c r="S10" s="6"/>
      <c r="T10" s="13"/>
      <c r="U10" s="14">
        <v>103</v>
      </c>
      <c r="V10" s="13"/>
      <c r="W10" s="14">
        <v>110</v>
      </c>
      <c r="X10" s="13"/>
      <c r="Y10" s="14">
        <v>110</v>
      </c>
      <c r="Z10" s="13"/>
      <c r="AA10" s="4">
        <f t="shared" ref="AA10:AA41" si="0">AVERAGE(P10:U10)</f>
        <v>97.75</v>
      </c>
      <c r="AB10" s="4">
        <f t="shared" ref="AB10:AB41" si="1">AVERAGE(AVERAGE(L10:M10),AVERAGE(N10:O10),AVERAGE(P10:U10),AVERAGE(U10:V10),AVERAGE(W10:X10),AVERAGE(Y10:Z10))</f>
        <v>108.95833333333333</v>
      </c>
      <c r="AC10" s="4">
        <f t="shared" ref="AC10:AC41" si="2">STDEV(AVERAGE(L10:M10),AVERAGE(N10:O10),AVERAGE(P10:U10),AVERAGE(U10:V10),AVERAGE(W10:X10),AVERAGE(Y10:Z10))/SQRT(6)</f>
        <v>4.2487334714137006</v>
      </c>
      <c r="AD10" s="3"/>
      <c r="AE10" s="3"/>
      <c r="AF10" s="3"/>
      <c r="AG10" s="3"/>
      <c r="AH10" s="3"/>
      <c r="AT10" s="12">
        <v>2</v>
      </c>
      <c r="AU10" s="12" t="s">
        <v>22</v>
      </c>
      <c r="AV10" s="11"/>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24" customHeight="1" x14ac:dyDescent="0.2">
      <c r="B11" s="25">
        <f t="shared" ref="B11:B24" si="3">B9-1</f>
        <v>107</v>
      </c>
      <c r="C11" s="25" t="s">
        <v>113</v>
      </c>
      <c r="D11" s="25">
        <v>10</v>
      </c>
      <c r="E11" s="25">
        <v>2</v>
      </c>
      <c r="F11" s="25">
        <v>2</v>
      </c>
      <c r="G11" s="25">
        <v>1</v>
      </c>
      <c r="H11" s="25">
        <v>2</v>
      </c>
      <c r="I11" s="25" t="s">
        <v>114</v>
      </c>
      <c r="J11" s="26"/>
      <c r="K11" s="25" t="s">
        <v>2</v>
      </c>
      <c r="L11" s="53">
        <v>92</v>
      </c>
      <c r="M11" s="23"/>
      <c r="N11" s="24">
        <v>105</v>
      </c>
      <c r="O11" s="23"/>
      <c r="P11" s="24">
        <v>86</v>
      </c>
      <c r="Q11" s="24">
        <v>83</v>
      </c>
      <c r="R11" s="24">
        <v>84</v>
      </c>
      <c r="S11" s="6"/>
      <c r="T11" s="23"/>
      <c r="U11" s="24">
        <v>89</v>
      </c>
      <c r="V11" s="23"/>
      <c r="W11" s="24">
        <v>91</v>
      </c>
      <c r="X11" s="23"/>
      <c r="Y11" s="24">
        <v>90</v>
      </c>
      <c r="Z11" s="23"/>
      <c r="AA11" s="4">
        <f t="shared" si="0"/>
        <v>85.5</v>
      </c>
      <c r="AB11" s="4">
        <f t="shared" si="1"/>
        <v>92.083333333333329</v>
      </c>
      <c r="AC11" s="4">
        <f t="shared" si="2"/>
        <v>2.739880370462267</v>
      </c>
      <c r="AD11" s="3"/>
      <c r="AE11" s="22"/>
      <c r="AF11" s="3"/>
      <c r="AG11" s="21"/>
      <c r="AH11" s="3"/>
      <c r="AT11" s="12">
        <v>3</v>
      </c>
      <c r="AU11" s="12" t="s">
        <v>21</v>
      </c>
      <c r="AV11" s="12" t="s">
        <v>19</v>
      </c>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row>
    <row r="12" spans="1:87" ht="24" customHeight="1" thickBot="1" x14ac:dyDescent="0.25">
      <c r="B12" s="15">
        <f t="shared" si="3"/>
        <v>107</v>
      </c>
      <c r="C12" s="15" t="s">
        <v>113</v>
      </c>
      <c r="D12" s="15">
        <v>10</v>
      </c>
      <c r="E12" s="15">
        <v>2</v>
      </c>
      <c r="F12" s="15">
        <v>2</v>
      </c>
      <c r="G12" s="15">
        <v>1</v>
      </c>
      <c r="H12" s="15">
        <v>2</v>
      </c>
      <c r="I12" s="15" t="s">
        <v>114</v>
      </c>
      <c r="J12" s="16"/>
      <c r="K12" s="15" t="s">
        <v>0</v>
      </c>
      <c r="L12" s="52">
        <v>97</v>
      </c>
      <c r="M12" s="13"/>
      <c r="N12" s="14">
        <v>108</v>
      </c>
      <c r="O12" s="13"/>
      <c r="P12" s="14">
        <v>91</v>
      </c>
      <c r="Q12" s="14">
        <v>87</v>
      </c>
      <c r="R12" s="14">
        <v>102</v>
      </c>
      <c r="S12" s="6"/>
      <c r="T12" s="13"/>
      <c r="U12" s="14">
        <v>95</v>
      </c>
      <c r="V12" s="13"/>
      <c r="W12" s="14">
        <v>112</v>
      </c>
      <c r="X12" s="13"/>
      <c r="Y12" s="14">
        <v>103</v>
      </c>
      <c r="Z12" s="13"/>
      <c r="AA12" s="4">
        <f t="shared" si="0"/>
        <v>93.75</v>
      </c>
      <c r="AB12" s="4">
        <f t="shared" si="1"/>
        <v>101.45833333333333</v>
      </c>
      <c r="AC12" s="4">
        <f t="shared" si="2"/>
        <v>3.040296495044156</v>
      </c>
      <c r="AD12" s="3"/>
      <c r="AE12" s="3"/>
      <c r="AF12" s="3"/>
      <c r="AG12" s="3"/>
      <c r="AH12" s="3"/>
      <c r="AT12" s="12">
        <v>4</v>
      </c>
      <c r="AU12" s="12" t="s">
        <v>20</v>
      </c>
      <c r="AV12" s="11" t="s">
        <v>19</v>
      </c>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24" customHeight="1" x14ac:dyDescent="0.2">
      <c r="B13" s="7">
        <f t="shared" si="3"/>
        <v>106</v>
      </c>
      <c r="C13" s="7" t="s">
        <v>115</v>
      </c>
      <c r="D13" s="7">
        <v>9</v>
      </c>
      <c r="E13" s="7">
        <v>2</v>
      </c>
      <c r="F13" s="7">
        <v>2</v>
      </c>
      <c r="G13" s="7">
        <v>2</v>
      </c>
      <c r="H13" s="7">
        <v>2</v>
      </c>
      <c r="I13" s="7" t="s">
        <v>116</v>
      </c>
      <c r="J13" s="9"/>
      <c r="K13" s="7" t="s">
        <v>2</v>
      </c>
      <c r="L13" s="6">
        <v>100</v>
      </c>
      <c r="M13" s="5"/>
      <c r="N13" s="6">
        <v>100</v>
      </c>
      <c r="O13" s="5"/>
      <c r="P13" s="6">
        <v>100</v>
      </c>
      <c r="Q13" s="6">
        <v>100</v>
      </c>
      <c r="R13" s="6">
        <v>100</v>
      </c>
      <c r="S13" s="6"/>
      <c r="T13" s="5"/>
      <c r="U13" s="6">
        <v>100</v>
      </c>
      <c r="V13" s="5"/>
      <c r="W13" s="6">
        <v>100</v>
      </c>
      <c r="X13" s="5"/>
      <c r="Y13" s="6">
        <v>100</v>
      </c>
      <c r="Z13" s="5"/>
      <c r="AA13" s="4">
        <f t="shared" si="0"/>
        <v>100</v>
      </c>
      <c r="AB13" s="4">
        <f t="shared" si="1"/>
        <v>100</v>
      </c>
      <c r="AC13" s="4">
        <f t="shared" si="2"/>
        <v>0</v>
      </c>
      <c r="AD13" s="3"/>
      <c r="AE13" s="3"/>
      <c r="AF13" s="3"/>
      <c r="AG13" s="3"/>
      <c r="AH13" s="3"/>
      <c r="AT13" s="12">
        <v>8</v>
      </c>
      <c r="AU13" s="12" t="s">
        <v>18</v>
      </c>
      <c r="AV13" s="12" t="s">
        <v>17</v>
      </c>
    </row>
    <row r="14" spans="1:87" ht="24" customHeight="1" thickBot="1" x14ac:dyDescent="0.25">
      <c r="B14" s="15">
        <f t="shared" si="3"/>
        <v>106</v>
      </c>
      <c r="C14" s="15" t="s">
        <v>115</v>
      </c>
      <c r="D14" s="15">
        <v>9</v>
      </c>
      <c r="E14" s="15">
        <v>2</v>
      </c>
      <c r="F14" s="15">
        <v>2</v>
      </c>
      <c r="G14" s="15">
        <v>2</v>
      </c>
      <c r="H14" s="15">
        <v>2</v>
      </c>
      <c r="I14" s="15" t="s">
        <v>116</v>
      </c>
      <c r="J14" s="16"/>
      <c r="K14" s="15" t="s">
        <v>0</v>
      </c>
      <c r="L14" s="52">
        <v>137</v>
      </c>
      <c r="M14" s="13"/>
      <c r="N14" s="14">
        <v>122</v>
      </c>
      <c r="O14" s="13"/>
      <c r="P14" s="14">
        <v>113</v>
      </c>
      <c r="Q14" s="14">
        <v>115</v>
      </c>
      <c r="R14" s="14">
        <v>122</v>
      </c>
      <c r="S14" s="6"/>
      <c r="T14" s="13"/>
      <c r="U14" s="14">
        <v>103</v>
      </c>
      <c r="V14" s="13"/>
      <c r="W14" s="14">
        <v>115</v>
      </c>
      <c r="X14" s="13"/>
      <c r="Y14" s="14">
        <v>112</v>
      </c>
      <c r="Z14" s="13"/>
      <c r="AA14" s="4">
        <f t="shared" si="0"/>
        <v>113.25</v>
      </c>
      <c r="AB14" s="4">
        <f t="shared" si="1"/>
        <v>117.04166666666667</v>
      </c>
      <c r="AC14" s="4">
        <f t="shared" si="2"/>
        <v>4.7047921786668159</v>
      </c>
      <c r="AD14" s="3"/>
      <c r="AE14" s="3"/>
      <c r="AF14" s="3"/>
      <c r="AG14" s="3"/>
      <c r="AH14" s="3"/>
      <c r="AT14" s="12">
        <v>9</v>
      </c>
      <c r="AU14" s="12" t="s">
        <v>16</v>
      </c>
      <c r="AV14" s="11" t="s">
        <v>15</v>
      </c>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24" customHeight="1" x14ac:dyDescent="0.2">
      <c r="B15" s="7">
        <f t="shared" si="3"/>
        <v>105</v>
      </c>
      <c r="C15" s="7" t="s">
        <v>117</v>
      </c>
      <c r="D15" s="7">
        <v>12</v>
      </c>
      <c r="E15" s="7">
        <v>2</v>
      </c>
      <c r="F15" s="7">
        <v>3</v>
      </c>
      <c r="G15" s="7">
        <v>1</v>
      </c>
      <c r="H15" s="7">
        <v>2</v>
      </c>
      <c r="I15" s="7" t="s">
        <v>118</v>
      </c>
      <c r="J15" s="9"/>
      <c r="K15" s="7" t="s">
        <v>2</v>
      </c>
      <c r="L15" s="6">
        <v>100</v>
      </c>
      <c r="M15" s="5"/>
      <c r="N15" s="6">
        <v>100</v>
      </c>
      <c r="O15" s="5"/>
      <c r="P15" s="6">
        <v>100</v>
      </c>
      <c r="Q15" s="6">
        <v>100</v>
      </c>
      <c r="R15" s="6">
        <v>100</v>
      </c>
      <c r="S15" s="6"/>
      <c r="T15" s="5"/>
      <c r="U15" s="6">
        <v>100</v>
      </c>
      <c r="V15" s="5"/>
      <c r="W15" s="6">
        <v>100</v>
      </c>
      <c r="X15" s="5"/>
      <c r="Y15" s="6">
        <v>100</v>
      </c>
      <c r="Z15" s="5"/>
      <c r="AA15" s="4">
        <f t="shared" si="0"/>
        <v>100</v>
      </c>
      <c r="AB15" s="4">
        <f t="shared" si="1"/>
        <v>100</v>
      </c>
      <c r="AC15" s="4">
        <f t="shared" si="2"/>
        <v>0</v>
      </c>
      <c r="AD15" s="3"/>
      <c r="AE15" s="3"/>
      <c r="AF15" s="3"/>
      <c r="AG15" s="3"/>
      <c r="AH15" s="3"/>
    </row>
    <row r="16" spans="1:87" ht="24" customHeight="1" thickBot="1" x14ac:dyDescent="0.25">
      <c r="B16" s="15">
        <f t="shared" si="3"/>
        <v>105</v>
      </c>
      <c r="C16" s="15" t="s">
        <v>117</v>
      </c>
      <c r="D16" s="15">
        <v>12</v>
      </c>
      <c r="E16" s="15">
        <v>2</v>
      </c>
      <c r="F16" s="15">
        <v>3</v>
      </c>
      <c r="G16" s="15">
        <v>1</v>
      </c>
      <c r="H16" s="15">
        <v>2</v>
      </c>
      <c r="I16" s="15" t="s">
        <v>118</v>
      </c>
      <c r="J16" s="16"/>
      <c r="K16" s="15" t="s">
        <v>0</v>
      </c>
      <c r="L16" s="52">
        <v>93</v>
      </c>
      <c r="M16" s="13"/>
      <c r="N16" s="14">
        <v>116</v>
      </c>
      <c r="O16" s="13"/>
      <c r="P16" s="14">
        <v>82</v>
      </c>
      <c r="Q16" s="14">
        <v>87</v>
      </c>
      <c r="R16" s="14">
        <v>95</v>
      </c>
      <c r="S16" s="6"/>
      <c r="T16" s="13"/>
      <c r="U16" s="14">
        <v>94</v>
      </c>
      <c r="V16" s="13"/>
      <c r="W16" s="14">
        <v>77</v>
      </c>
      <c r="X16" s="13"/>
      <c r="Y16" s="14">
        <v>78</v>
      </c>
      <c r="Z16" s="13"/>
      <c r="AA16" s="4">
        <f t="shared" si="0"/>
        <v>89.5</v>
      </c>
      <c r="AB16" s="4">
        <f t="shared" si="1"/>
        <v>91.25</v>
      </c>
      <c r="AC16" s="4">
        <f t="shared" si="2"/>
        <v>5.7875584950247667</v>
      </c>
      <c r="AD16" s="3"/>
      <c r="AE16" s="3"/>
      <c r="AF16" s="3"/>
      <c r="AG16" s="3"/>
      <c r="AH16" s="3"/>
      <c r="AT16" s="12" t="s">
        <v>14</v>
      </c>
      <c r="AU16" s="12"/>
      <c r="AV16" s="11"/>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2:87" ht="24" customHeight="1" x14ac:dyDescent="0.2">
      <c r="B17" s="7">
        <f t="shared" si="3"/>
        <v>104</v>
      </c>
      <c r="C17" s="7" t="s">
        <v>113</v>
      </c>
      <c r="D17" s="7">
        <v>10</v>
      </c>
      <c r="E17" s="7">
        <v>2</v>
      </c>
      <c r="F17" s="7">
        <v>2</v>
      </c>
      <c r="G17" s="7">
        <v>1</v>
      </c>
      <c r="H17" s="7">
        <v>1</v>
      </c>
      <c r="I17" s="7" t="s">
        <v>119</v>
      </c>
      <c r="J17" s="9"/>
      <c r="K17" s="7" t="s">
        <v>2</v>
      </c>
      <c r="L17" s="51">
        <v>93</v>
      </c>
      <c r="M17" s="5"/>
      <c r="N17" s="18">
        <v>103</v>
      </c>
      <c r="O17" s="5"/>
      <c r="P17" s="18">
        <v>98</v>
      </c>
      <c r="Q17" s="18">
        <v>100</v>
      </c>
      <c r="R17" s="18">
        <v>109</v>
      </c>
      <c r="S17" s="6"/>
      <c r="T17" s="5"/>
      <c r="U17" s="18">
        <v>92</v>
      </c>
      <c r="V17" s="5"/>
      <c r="W17" s="18">
        <v>95</v>
      </c>
      <c r="X17" s="5"/>
      <c r="Y17" s="18">
        <v>97</v>
      </c>
      <c r="Z17" s="5"/>
      <c r="AA17" s="4">
        <f t="shared" si="0"/>
        <v>99.75</v>
      </c>
      <c r="AB17" s="4">
        <f t="shared" si="1"/>
        <v>96.625</v>
      </c>
      <c r="AC17" s="4">
        <f t="shared" si="2"/>
        <v>1.7099585764963237</v>
      </c>
      <c r="AD17" s="3"/>
      <c r="AE17" s="3"/>
      <c r="AF17" s="3"/>
      <c r="AG17" s="3"/>
      <c r="AH17" s="3"/>
      <c r="AT17" s="12" t="s">
        <v>7</v>
      </c>
      <c r="AU17" s="12" t="s">
        <v>13</v>
      </c>
      <c r="AV17" s="12" t="s">
        <v>12</v>
      </c>
    </row>
    <row r="18" spans="2:87" ht="24" customHeight="1" thickBot="1" x14ac:dyDescent="0.25">
      <c r="B18" s="15">
        <f t="shared" si="3"/>
        <v>104</v>
      </c>
      <c r="C18" s="15" t="s">
        <v>113</v>
      </c>
      <c r="D18" s="15">
        <v>10</v>
      </c>
      <c r="E18" s="15">
        <v>2</v>
      </c>
      <c r="F18" s="15">
        <v>2</v>
      </c>
      <c r="G18" s="15">
        <v>1</v>
      </c>
      <c r="H18" s="15">
        <v>1</v>
      </c>
      <c r="I18" s="15" t="s">
        <v>119</v>
      </c>
      <c r="J18" s="16"/>
      <c r="K18" s="15" t="s">
        <v>0</v>
      </c>
      <c r="L18" s="14">
        <v>98</v>
      </c>
      <c r="M18" s="13"/>
      <c r="N18" s="14">
        <v>89</v>
      </c>
      <c r="O18" s="13"/>
      <c r="P18" s="14">
        <v>85</v>
      </c>
      <c r="Q18" s="14">
        <v>97</v>
      </c>
      <c r="R18" s="14">
        <v>110</v>
      </c>
      <c r="S18" s="6"/>
      <c r="T18" s="13"/>
      <c r="U18" s="14">
        <v>98</v>
      </c>
      <c r="V18" s="13"/>
      <c r="W18" s="14">
        <v>124</v>
      </c>
      <c r="X18" s="13"/>
      <c r="Y18" s="14">
        <v>93</v>
      </c>
      <c r="Z18" s="13"/>
      <c r="AA18" s="4">
        <f t="shared" si="0"/>
        <v>97.5</v>
      </c>
      <c r="AB18" s="4">
        <f t="shared" si="1"/>
        <v>99.916666666666671</v>
      </c>
      <c r="AC18" s="4">
        <f t="shared" si="2"/>
        <v>5.0339127701796604</v>
      </c>
      <c r="AD18" s="3"/>
      <c r="AE18" s="3"/>
      <c r="AF18" s="3"/>
      <c r="AG18" s="3"/>
      <c r="AH18" s="3"/>
      <c r="AT18" s="12">
        <v>0</v>
      </c>
      <c r="AU18" s="12">
        <v>0</v>
      </c>
      <c r="AV18" s="11" t="s">
        <v>11</v>
      </c>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2:87" ht="24" customHeight="1" x14ac:dyDescent="0.2">
      <c r="B19" s="7">
        <f t="shared" si="3"/>
        <v>103</v>
      </c>
      <c r="C19" s="7" t="s">
        <v>120</v>
      </c>
      <c r="D19" s="7">
        <v>5</v>
      </c>
      <c r="E19" s="7">
        <v>1</v>
      </c>
      <c r="F19" s="7">
        <v>3</v>
      </c>
      <c r="G19" s="7">
        <v>2</v>
      </c>
      <c r="H19" s="7">
        <v>1</v>
      </c>
      <c r="I19" s="7" t="s">
        <v>121</v>
      </c>
      <c r="J19" s="9"/>
      <c r="K19" s="7" t="s">
        <v>2</v>
      </c>
      <c r="L19" s="6">
        <v>100</v>
      </c>
      <c r="M19" s="5"/>
      <c r="N19" s="6">
        <v>100</v>
      </c>
      <c r="O19" s="5"/>
      <c r="P19" s="18">
        <v>96</v>
      </c>
      <c r="Q19" s="18">
        <v>98</v>
      </c>
      <c r="R19" s="18">
        <v>102</v>
      </c>
      <c r="S19" s="6"/>
      <c r="T19" s="5"/>
      <c r="U19" s="18">
        <v>100</v>
      </c>
      <c r="V19" s="5"/>
      <c r="W19" s="18">
        <v>98</v>
      </c>
      <c r="X19" s="5"/>
      <c r="Y19" s="18">
        <v>94</v>
      </c>
      <c r="Z19" s="5"/>
      <c r="AA19" s="4">
        <f t="shared" si="0"/>
        <v>99</v>
      </c>
      <c r="AB19" s="4">
        <f t="shared" si="1"/>
        <v>98.5</v>
      </c>
      <c r="AC19" s="4">
        <f t="shared" si="2"/>
        <v>0.95742710775633821</v>
      </c>
      <c r="AD19" s="3"/>
      <c r="AE19" s="3"/>
      <c r="AF19" s="3"/>
      <c r="AG19" s="3"/>
      <c r="AH19" s="3"/>
      <c r="AT19" s="12">
        <v>1</v>
      </c>
      <c r="AU19" s="12">
        <v>5</v>
      </c>
      <c r="AV19" s="12" t="s">
        <v>10</v>
      </c>
    </row>
    <row r="20" spans="2:87" ht="24" customHeight="1" thickBot="1" x14ac:dyDescent="0.25">
      <c r="B20" s="15">
        <f t="shared" si="3"/>
        <v>103</v>
      </c>
      <c r="C20" s="15" t="s">
        <v>120</v>
      </c>
      <c r="D20" s="15">
        <v>5</v>
      </c>
      <c r="E20" s="15">
        <v>1</v>
      </c>
      <c r="F20" s="15">
        <v>3</v>
      </c>
      <c r="G20" s="15">
        <v>2</v>
      </c>
      <c r="H20" s="15">
        <v>1</v>
      </c>
      <c r="I20" s="15" t="s">
        <v>121</v>
      </c>
      <c r="J20" s="16"/>
      <c r="K20" s="15" t="s">
        <v>0</v>
      </c>
      <c r="L20" s="14">
        <v>116</v>
      </c>
      <c r="M20" s="13"/>
      <c r="N20" s="14">
        <v>121</v>
      </c>
      <c r="O20" s="13"/>
      <c r="P20" s="14">
        <v>92</v>
      </c>
      <c r="Q20" s="14">
        <v>94</v>
      </c>
      <c r="R20" s="14">
        <v>97</v>
      </c>
      <c r="S20" s="6"/>
      <c r="T20" s="13"/>
      <c r="U20" s="14">
        <v>100</v>
      </c>
      <c r="V20" s="13"/>
      <c r="W20" s="14">
        <v>92</v>
      </c>
      <c r="X20" s="13"/>
      <c r="Y20" s="14">
        <v>88</v>
      </c>
      <c r="Z20" s="13"/>
      <c r="AA20" s="4">
        <f t="shared" si="0"/>
        <v>95.75</v>
      </c>
      <c r="AB20" s="4">
        <f t="shared" si="1"/>
        <v>102.125</v>
      </c>
      <c r="AC20" s="4">
        <f t="shared" si="2"/>
        <v>5.4649451049392992</v>
      </c>
      <c r="AD20" s="3"/>
      <c r="AE20" s="3"/>
      <c r="AF20" s="3"/>
      <c r="AG20" s="3"/>
      <c r="AH20" s="3"/>
      <c r="AT20" s="12">
        <v>2</v>
      </c>
      <c r="AU20" s="12">
        <v>10</v>
      </c>
      <c r="AV20" s="11" t="s">
        <v>10</v>
      </c>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2:87" ht="24" customHeight="1" x14ac:dyDescent="0.2">
      <c r="B21" s="7">
        <f t="shared" si="3"/>
        <v>102</v>
      </c>
      <c r="C21" s="7" t="s">
        <v>122</v>
      </c>
      <c r="D21" s="7">
        <v>4</v>
      </c>
      <c r="E21" s="7">
        <v>1</v>
      </c>
      <c r="F21" s="7">
        <v>2</v>
      </c>
      <c r="G21" s="7">
        <v>1</v>
      </c>
      <c r="H21" s="7">
        <v>1</v>
      </c>
      <c r="I21" s="7" t="s">
        <v>123</v>
      </c>
      <c r="J21" s="9"/>
      <c r="K21" s="7" t="s">
        <v>2</v>
      </c>
      <c r="L21" s="6">
        <v>79</v>
      </c>
      <c r="M21" s="5"/>
      <c r="N21" s="6">
        <v>97</v>
      </c>
      <c r="O21" s="5"/>
      <c r="P21" s="6">
        <v>83</v>
      </c>
      <c r="Q21" s="6">
        <v>87</v>
      </c>
      <c r="R21" s="6">
        <v>89</v>
      </c>
      <c r="S21" s="6"/>
      <c r="T21" s="5"/>
      <c r="U21" s="6">
        <v>89</v>
      </c>
      <c r="V21" s="5"/>
      <c r="W21" s="6">
        <v>92</v>
      </c>
      <c r="X21" s="5"/>
      <c r="Y21" s="6">
        <v>93</v>
      </c>
      <c r="Z21" s="5"/>
      <c r="AA21" s="4">
        <f t="shared" si="0"/>
        <v>87</v>
      </c>
      <c r="AB21" s="4">
        <f t="shared" si="1"/>
        <v>89.5</v>
      </c>
      <c r="AC21" s="4">
        <f t="shared" si="2"/>
        <v>2.5265259415516268</v>
      </c>
      <c r="AD21" s="3"/>
      <c r="AE21" s="3"/>
      <c r="AF21" s="3"/>
      <c r="AG21" s="3"/>
      <c r="AH21" s="3"/>
      <c r="AT21" s="12">
        <v>3</v>
      </c>
      <c r="AU21" s="12">
        <v>20</v>
      </c>
      <c r="AV21" s="12" t="s">
        <v>9</v>
      </c>
    </row>
    <row r="22" spans="2:87" ht="24" customHeight="1" thickBot="1" x14ac:dyDescent="0.25">
      <c r="B22" s="15">
        <f t="shared" si="3"/>
        <v>102</v>
      </c>
      <c r="C22" s="15" t="s">
        <v>122</v>
      </c>
      <c r="D22" s="15">
        <v>4</v>
      </c>
      <c r="E22" s="15">
        <v>1</v>
      </c>
      <c r="F22" s="15">
        <v>2</v>
      </c>
      <c r="G22" s="15">
        <v>1</v>
      </c>
      <c r="H22" s="15">
        <v>1</v>
      </c>
      <c r="I22" s="15" t="s">
        <v>123</v>
      </c>
      <c r="J22" s="16"/>
      <c r="K22" s="15" t="s">
        <v>0</v>
      </c>
      <c r="L22" s="14">
        <v>112</v>
      </c>
      <c r="M22" s="13"/>
      <c r="N22" s="14">
        <v>85</v>
      </c>
      <c r="O22" s="13"/>
      <c r="P22" s="14">
        <v>90</v>
      </c>
      <c r="Q22" s="14">
        <v>80</v>
      </c>
      <c r="R22" s="14">
        <v>84</v>
      </c>
      <c r="S22" s="6"/>
      <c r="T22" s="13"/>
      <c r="U22" s="14">
        <v>97</v>
      </c>
      <c r="V22" s="13"/>
      <c r="W22" s="14">
        <v>100</v>
      </c>
      <c r="X22" s="13"/>
      <c r="Y22" s="14">
        <v>91</v>
      </c>
      <c r="Z22" s="13"/>
      <c r="AA22" s="4">
        <f t="shared" si="0"/>
        <v>87.75</v>
      </c>
      <c r="AB22" s="4">
        <f t="shared" si="1"/>
        <v>95.458333333333329</v>
      </c>
      <c r="AC22" s="4">
        <f t="shared" si="2"/>
        <v>4.0220313413884679</v>
      </c>
      <c r="AD22" s="3"/>
      <c r="AE22" s="3"/>
      <c r="AF22" s="3"/>
      <c r="AG22" s="3"/>
      <c r="AH22" s="3"/>
      <c r="AT22" s="12"/>
      <c r="AU22" s="12"/>
      <c r="AV22" s="11"/>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2:87" ht="24" customHeight="1" x14ac:dyDescent="0.2">
      <c r="B23" s="7">
        <f t="shared" si="3"/>
        <v>101</v>
      </c>
      <c r="C23" s="7" t="s">
        <v>124</v>
      </c>
      <c r="D23" s="7">
        <v>1</v>
      </c>
      <c r="E23" s="7">
        <v>1</v>
      </c>
      <c r="F23" s="7">
        <v>1</v>
      </c>
      <c r="G23" s="7">
        <v>2</v>
      </c>
      <c r="H23" s="7">
        <v>1</v>
      </c>
      <c r="I23" s="7" t="s">
        <v>125</v>
      </c>
      <c r="J23" s="9"/>
      <c r="K23" s="7" t="s">
        <v>2</v>
      </c>
      <c r="L23" s="50">
        <v>94</v>
      </c>
      <c r="M23" s="5"/>
      <c r="N23" s="6">
        <v>87</v>
      </c>
      <c r="O23" s="5"/>
      <c r="P23" s="6">
        <v>93</v>
      </c>
      <c r="Q23" s="6">
        <v>95</v>
      </c>
      <c r="R23" s="6">
        <v>98</v>
      </c>
      <c r="S23" s="6"/>
      <c r="T23" s="5"/>
      <c r="U23" s="6">
        <v>97</v>
      </c>
      <c r="V23" s="5"/>
      <c r="W23" s="6">
        <v>89</v>
      </c>
      <c r="X23" s="5"/>
      <c r="Y23" s="6">
        <v>93</v>
      </c>
      <c r="Z23" s="5"/>
      <c r="AA23" s="4">
        <f t="shared" si="0"/>
        <v>95.75</v>
      </c>
      <c r="AB23" s="4">
        <f t="shared" si="1"/>
        <v>92.625</v>
      </c>
      <c r="AC23" s="4">
        <f t="shared" si="2"/>
        <v>1.5886970552416009</v>
      </c>
      <c r="AD23" s="3"/>
      <c r="AE23" s="3"/>
      <c r="AF23" s="3"/>
      <c r="AG23" s="3"/>
      <c r="AH23" s="3"/>
      <c r="AT23" s="2" t="s">
        <v>8</v>
      </c>
      <c r="AU23" s="2"/>
      <c r="AV23" s="2"/>
    </row>
    <row r="24" spans="2:87" ht="24" customHeight="1" thickBot="1" x14ac:dyDescent="0.25">
      <c r="B24" s="15">
        <f t="shared" si="3"/>
        <v>101</v>
      </c>
      <c r="C24" s="15" t="s">
        <v>124</v>
      </c>
      <c r="D24" s="15">
        <v>1</v>
      </c>
      <c r="E24" s="15">
        <v>1</v>
      </c>
      <c r="F24" s="15">
        <v>1</v>
      </c>
      <c r="G24" s="15">
        <v>2</v>
      </c>
      <c r="H24" s="15">
        <v>1</v>
      </c>
      <c r="I24" s="15" t="s">
        <v>125</v>
      </c>
      <c r="J24" s="16"/>
      <c r="K24" s="15" t="s">
        <v>0</v>
      </c>
      <c r="L24" s="14">
        <v>114</v>
      </c>
      <c r="M24" s="13"/>
      <c r="N24" s="14">
        <v>131</v>
      </c>
      <c r="O24" s="13"/>
      <c r="P24" s="14">
        <v>91</v>
      </c>
      <c r="Q24" s="14">
        <v>90</v>
      </c>
      <c r="R24" s="14">
        <v>96</v>
      </c>
      <c r="S24" s="6"/>
      <c r="T24" s="13"/>
      <c r="U24" s="14">
        <v>104</v>
      </c>
      <c r="V24" s="13"/>
      <c r="W24" s="14">
        <v>88</v>
      </c>
      <c r="X24" s="13"/>
      <c r="Y24" s="14">
        <v>86</v>
      </c>
      <c r="Z24" s="13"/>
      <c r="AA24" s="4">
        <f t="shared" si="0"/>
        <v>95.25</v>
      </c>
      <c r="AB24" s="4">
        <f t="shared" si="1"/>
        <v>103.04166666666667</v>
      </c>
      <c r="AC24" s="4">
        <f t="shared" si="2"/>
        <v>7.023892755761902</v>
      </c>
      <c r="AD24" s="3"/>
      <c r="AE24" s="3"/>
      <c r="AF24" s="3"/>
      <c r="AG24" s="3"/>
      <c r="AH24" s="3"/>
      <c r="AT24" s="12" t="s">
        <v>7</v>
      </c>
      <c r="AU24" s="12" t="s">
        <v>6</v>
      </c>
      <c r="AV24" s="11" t="s">
        <v>5</v>
      </c>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2:87" ht="24" customHeight="1" x14ac:dyDescent="0.2">
      <c r="B25" s="7">
        <f>B23+100</f>
        <v>201</v>
      </c>
      <c r="C25" s="7" t="s">
        <v>117</v>
      </c>
      <c r="D25" s="7">
        <v>12</v>
      </c>
      <c r="E25" s="7">
        <v>2</v>
      </c>
      <c r="F25" s="7">
        <v>3</v>
      </c>
      <c r="G25" s="7">
        <v>1</v>
      </c>
      <c r="H25" s="7">
        <v>1</v>
      </c>
      <c r="I25" s="7" t="s">
        <v>126</v>
      </c>
      <c r="J25" s="7"/>
      <c r="K25" s="7" t="s">
        <v>2</v>
      </c>
      <c r="L25" s="6">
        <v>102</v>
      </c>
      <c r="M25" s="6"/>
      <c r="N25" s="6">
        <v>98</v>
      </c>
      <c r="O25" s="6"/>
      <c r="P25" s="6">
        <v>98</v>
      </c>
      <c r="Q25" s="6">
        <v>99</v>
      </c>
      <c r="R25" s="6">
        <v>103</v>
      </c>
      <c r="S25" s="6"/>
      <c r="T25" s="6"/>
      <c r="U25" s="6">
        <v>97</v>
      </c>
      <c r="V25" s="6"/>
      <c r="W25" s="6">
        <v>99</v>
      </c>
      <c r="X25" s="6"/>
      <c r="Y25" s="6">
        <v>104</v>
      </c>
      <c r="Z25" s="6"/>
      <c r="AA25" s="4">
        <f t="shared" si="0"/>
        <v>99.25</v>
      </c>
      <c r="AB25" s="4">
        <f t="shared" si="1"/>
        <v>99.875</v>
      </c>
      <c r="AC25" s="4">
        <f t="shared" si="2"/>
        <v>1.0718947398571061</v>
      </c>
      <c r="AD25" s="3"/>
      <c r="AE25" s="3"/>
      <c r="AF25" s="3"/>
      <c r="AG25" s="3"/>
      <c r="AH25" s="3"/>
      <c r="AT25" s="12">
        <v>1</v>
      </c>
      <c r="AU25" s="12" t="s">
        <v>4</v>
      </c>
      <c r="AV25" s="12">
        <v>0</v>
      </c>
    </row>
    <row r="26" spans="2:87" ht="24" customHeight="1" thickBot="1" x14ac:dyDescent="0.25">
      <c r="B26" s="15">
        <f>B24+100</f>
        <v>201</v>
      </c>
      <c r="C26" s="15" t="s">
        <v>117</v>
      </c>
      <c r="D26" s="15">
        <v>12</v>
      </c>
      <c r="E26" s="15">
        <v>2</v>
      </c>
      <c r="F26" s="15">
        <v>3</v>
      </c>
      <c r="G26" s="15">
        <v>1</v>
      </c>
      <c r="H26" s="15">
        <v>1</v>
      </c>
      <c r="I26" s="15" t="s">
        <v>126</v>
      </c>
      <c r="J26" s="16"/>
      <c r="K26" s="15" t="s">
        <v>0</v>
      </c>
      <c r="L26" s="14">
        <v>97</v>
      </c>
      <c r="M26" s="13"/>
      <c r="N26" s="14">
        <v>93</v>
      </c>
      <c r="O26" s="13"/>
      <c r="P26" s="14">
        <v>98</v>
      </c>
      <c r="Q26" s="14">
        <v>100</v>
      </c>
      <c r="R26" s="14">
        <v>89</v>
      </c>
      <c r="S26" s="6"/>
      <c r="T26" s="13"/>
      <c r="U26" s="14">
        <v>81</v>
      </c>
      <c r="V26" s="13"/>
      <c r="W26" s="14">
        <v>92</v>
      </c>
      <c r="X26" s="13"/>
      <c r="Y26" s="14">
        <v>96</v>
      </c>
      <c r="Z26" s="13"/>
      <c r="AA26" s="4">
        <f t="shared" si="0"/>
        <v>92</v>
      </c>
      <c r="AB26" s="4">
        <f t="shared" si="1"/>
        <v>91.833333333333329</v>
      </c>
      <c r="AC26" s="4">
        <f t="shared" si="2"/>
        <v>2.3297591673342071</v>
      </c>
      <c r="AD26" s="3"/>
      <c r="AE26" s="3"/>
      <c r="AF26" s="3"/>
      <c r="AG26" s="3"/>
      <c r="AH26" s="3"/>
      <c r="AT26" s="12">
        <v>2</v>
      </c>
      <c r="AU26" s="12" t="s">
        <v>3</v>
      </c>
      <c r="AV26" s="11">
        <v>150</v>
      </c>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2:87" ht="24" customHeight="1" x14ac:dyDescent="0.2">
      <c r="B27" s="7">
        <f t="shared" ref="B27:B40" si="4">B25+1</f>
        <v>202</v>
      </c>
      <c r="C27" s="7" t="s">
        <v>115</v>
      </c>
      <c r="D27" s="7">
        <v>9</v>
      </c>
      <c r="E27" s="7">
        <v>2</v>
      </c>
      <c r="F27" s="7">
        <v>2</v>
      </c>
      <c r="G27" s="7">
        <v>2</v>
      </c>
      <c r="H27" s="7">
        <v>1</v>
      </c>
      <c r="I27" s="7" t="s">
        <v>127</v>
      </c>
      <c r="J27" s="9"/>
      <c r="K27" s="7" t="s">
        <v>2</v>
      </c>
      <c r="L27" s="6">
        <v>99</v>
      </c>
      <c r="M27" s="6"/>
      <c r="N27" s="6">
        <v>89</v>
      </c>
      <c r="O27" s="6"/>
      <c r="P27" s="6">
        <v>100</v>
      </c>
      <c r="Q27" s="6">
        <v>97</v>
      </c>
      <c r="R27" s="6">
        <v>93</v>
      </c>
      <c r="S27" s="6"/>
      <c r="T27" s="6"/>
      <c r="U27" s="6">
        <v>85</v>
      </c>
      <c r="V27" s="6"/>
      <c r="W27" s="6">
        <v>88</v>
      </c>
      <c r="X27" s="6"/>
      <c r="Y27" s="6">
        <v>92</v>
      </c>
      <c r="Z27" s="6"/>
      <c r="AA27" s="4">
        <f t="shared" si="0"/>
        <v>93.75</v>
      </c>
      <c r="AB27" s="4">
        <f t="shared" si="1"/>
        <v>91.125</v>
      </c>
      <c r="AC27" s="4">
        <f t="shared" si="2"/>
        <v>2.0122023589423939</v>
      </c>
      <c r="AD27" s="3"/>
      <c r="AE27" s="3"/>
      <c r="AF27" s="3"/>
      <c r="AG27" s="3"/>
      <c r="AH27" s="3"/>
    </row>
    <row r="28" spans="2:87" ht="24" customHeight="1" thickBot="1" x14ac:dyDescent="0.25">
      <c r="B28" s="15">
        <f t="shared" si="4"/>
        <v>202</v>
      </c>
      <c r="C28" s="15" t="s">
        <v>115</v>
      </c>
      <c r="D28" s="15">
        <v>9</v>
      </c>
      <c r="E28" s="15">
        <v>2</v>
      </c>
      <c r="F28" s="15">
        <v>2</v>
      </c>
      <c r="G28" s="15">
        <v>2</v>
      </c>
      <c r="H28" s="15">
        <v>1</v>
      </c>
      <c r="I28" s="15" t="s">
        <v>127</v>
      </c>
      <c r="J28" s="16"/>
      <c r="K28" s="15" t="s">
        <v>0</v>
      </c>
      <c r="L28" s="14">
        <v>116</v>
      </c>
      <c r="M28" s="13"/>
      <c r="N28" s="14">
        <v>121</v>
      </c>
      <c r="O28" s="13"/>
      <c r="P28" s="14">
        <v>97</v>
      </c>
      <c r="Q28" s="14">
        <v>90</v>
      </c>
      <c r="R28" s="14">
        <v>91</v>
      </c>
      <c r="S28" s="6"/>
      <c r="T28" s="13"/>
      <c r="U28" s="14">
        <v>110</v>
      </c>
      <c r="V28" s="13"/>
      <c r="W28" s="14">
        <v>100</v>
      </c>
      <c r="X28" s="13"/>
      <c r="Y28" s="14">
        <v>123</v>
      </c>
      <c r="Z28" s="13"/>
      <c r="AA28" s="4">
        <f t="shared" si="0"/>
        <v>97</v>
      </c>
      <c r="AB28" s="4">
        <f t="shared" si="1"/>
        <v>111.16666666666667</v>
      </c>
      <c r="AC28" s="4">
        <f t="shared" si="2"/>
        <v>4.4227944911685775</v>
      </c>
      <c r="AD28" s="3"/>
      <c r="AE28" s="3"/>
      <c r="AF28" s="3"/>
      <c r="AG28" s="3"/>
      <c r="AH28" s="3"/>
      <c r="AT28" s="12"/>
      <c r="AU28" s="12"/>
      <c r="AV28" s="11"/>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2:87" ht="24" customHeight="1" x14ac:dyDescent="0.2">
      <c r="B29" s="7">
        <f t="shared" si="4"/>
        <v>203</v>
      </c>
      <c r="C29" s="7" t="s">
        <v>111</v>
      </c>
      <c r="D29" s="7">
        <v>3</v>
      </c>
      <c r="E29" s="7">
        <v>1</v>
      </c>
      <c r="F29" s="7">
        <v>2</v>
      </c>
      <c r="G29" s="7">
        <v>2</v>
      </c>
      <c r="H29" s="7">
        <v>1</v>
      </c>
      <c r="I29" s="7" t="s">
        <v>128</v>
      </c>
      <c r="J29" s="9"/>
      <c r="K29" s="7" t="s">
        <v>2</v>
      </c>
      <c r="L29" s="6">
        <v>98</v>
      </c>
      <c r="M29" s="6"/>
      <c r="N29" s="6">
        <v>90</v>
      </c>
      <c r="O29" s="6"/>
      <c r="P29" s="6">
        <v>99</v>
      </c>
      <c r="Q29" s="6">
        <v>100</v>
      </c>
      <c r="R29" s="6">
        <v>107</v>
      </c>
      <c r="S29" s="6"/>
      <c r="T29" s="6"/>
      <c r="U29" s="6">
        <v>103</v>
      </c>
      <c r="V29" s="6"/>
      <c r="W29" s="6">
        <v>100</v>
      </c>
      <c r="X29" s="6"/>
      <c r="Y29" s="6">
        <v>100</v>
      </c>
      <c r="Z29" s="6"/>
      <c r="AA29" s="4">
        <f t="shared" si="0"/>
        <v>102.25</v>
      </c>
      <c r="AB29" s="4">
        <f t="shared" si="1"/>
        <v>98.875</v>
      </c>
      <c r="AC29" s="4">
        <f t="shared" si="2"/>
        <v>1.9189298232782428</v>
      </c>
      <c r="AD29" s="3"/>
      <c r="AE29" s="3"/>
      <c r="AF29" s="3"/>
      <c r="AG29" s="3"/>
      <c r="AH29" s="3"/>
    </row>
    <row r="30" spans="2:87" ht="24" customHeight="1" thickBot="1" x14ac:dyDescent="0.25">
      <c r="B30" s="15">
        <f t="shared" si="4"/>
        <v>203</v>
      </c>
      <c r="C30" s="15" t="s">
        <v>111</v>
      </c>
      <c r="D30" s="15">
        <v>3</v>
      </c>
      <c r="E30" s="15">
        <v>1</v>
      </c>
      <c r="F30" s="15">
        <v>2</v>
      </c>
      <c r="G30" s="15">
        <v>2</v>
      </c>
      <c r="H30" s="15">
        <v>1</v>
      </c>
      <c r="I30" s="15" t="s">
        <v>128</v>
      </c>
      <c r="J30" s="16"/>
      <c r="K30" s="15" t="s">
        <v>0</v>
      </c>
      <c r="L30" s="14">
        <v>97</v>
      </c>
      <c r="M30" s="13"/>
      <c r="N30" s="14">
        <v>123</v>
      </c>
      <c r="O30" s="13"/>
      <c r="P30" s="14">
        <v>120</v>
      </c>
      <c r="Q30" s="14">
        <v>105</v>
      </c>
      <c r="R30" s="14">
        <v>111</v>
      </c>
      <c r="S30" s="6"/>
      <c r="T30" s="13"/>
      <c r="U30" s="14">
        <v>121</v>
      </c>
      <c r="V30" s="13"/>
      <c r="W30" s="14">
        <v>98</v>
      </c>
      <c r="X30" s="13"/>
      <c r="Y30" s="14">
        <v>130</v>
      </c>
      <c r="Z30" s="13"/>
      <c r="AA30" s="4">
        <f t="shared" si="0"/>
        <v>114.25</v>
      </c>
      <c r="AB30" s="4">
        <f t="shared" si="1"/>
        <v>113.875</v>
      </c>
      <c r="AC30" s="4">
        <f t="shared" si="2"/>
        <v>5.570663485319022</v>
      </c>
      <c r="AD30" s="3"/>
      <c r="AE30" s="3"/>
      <c r="AF30" s="3"/>
      <c r="AG30" s="3"/>
      <c r="AH30" s="3"/>
      <c r="AT30" s="12"/>
      <c r="AU30" s="12"/>
      <c r="AV30" s="11"/>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2:87" ht="24" customHeight="1" x14ac:dyDescent="0.2">
      <c r="B31" s="7">
        <f t="shared" si="4"/>
        <v>204</v>
      </c>
      <c r="C31" s="7" t="s">
        <v>129</v>
      </c>
      <c r="D31" s="7">
        <v>11</v>
      </c>
      <c r="E31" s="7">
        <v>2</v>
      </c>
      <c r="F31" s="7">
        <v>3</v>
      </c>
      <c r="G31" s="7">
        <v>2</v>
      </c>
      <c r="H31" s="7">
        <v>1</v>
      </c>
      <c r="I31" s="7" t="s">
        <v>130</v>
      </c>
      <c r="J31" s="9"/>
      <c r="K31" s="7" t="s">
        <v>2</v>
      </c>
      <c r="L31" s="6">
        <v>100</v>
      </c>
      <c r="M31" s="6"/>
      <c r="N31" s="6">
        <v>100</v>
      </c>
      <c r="O31" s="6"/>
      <c r="P31" s="6">
        <v>100</v>
      </c>
      <c r="Q31" s="6">
        <v>100</v>
      </c>
      <c r="R31" s="6">
        <v>100</v>
      </c>
      <c r="S31" s="6"/>
      <c r="T31" s="6"/>
      <c r="U31" s="6">
        <v>100</v>
      </c>
      <c r="V31" s="6"/>
      <c r="W31" s="6">
        <v>100</v>
      </c>
      <c r="X31" s="6"/>
      <c r="Y31" s="6">
        <v>100</v>
      </c>
      <c r="Z31" s="6"/>
      <c r="AA31" s="4">
        <f t="shared" si="0"/>
        <v>100</v>
      </c>
      <c r="AB31" s="4">
        <f t="shared" si="1"/>
        <v>100</v>
      </c>
      <c r="AC31" s="4">
        <f t="shared" si="2"/>
        <v>0</v>
      </c>
      <c r="AD31" s="3"/>
      <c r="AE31" s="3"/>
      <c r="AF31" s="3"/>
      <c r="AG31" s="3"/>
      <c r="AH31" s="3"/>
    </row>
    <row r="32" spans="2:87" ht="24" customHeight="1" thickBot="1" x14ac:dyDescent="0.25">
      <c r="B32" s="15">
        <f t="shared" si="4"/>
        <v>204</v>
      </c>
      <c r="C32" s="15" t="s">
        <v>129</v>
      </c>
      <c r="D32" s="15">
        <v>11</v>
      </c>
      <c r="E32" s="15">
        <v>2</v>
      </c>
      <c r="F32" s="15">
        <v>3</v>
      </c>
      <c r="G32" s="15">
        <v>2</v>
      </c>
      <c r="H32" s="15">
        <v>1</v>
      </c>
      <c r="I32" s="15" t="s">
        <v>130</v>
      </c>
      <c r="J32" s="16"/>
      <c r="K32" s="15" t="s">
        <v>0</v>
      </c>
      <c r="L32" s="14">
        <v>125</v>
      </c>
      <c r="M32" s="13"/>
      <c r="N32" s="14">
        <v>111</v>
      </c>
      <c r="O32" s="13"/>
      <c r="P32" s="14">
        <v>100</v>
      </c>
      <c r="Q32" s="14">
        <v>115</v>
      </c>
      <c r="R32" s="14">
        <v>111</v>
      </c>
      <c r="S32" s="6"/>
      <c r="T32" s="13"/>
      <c r="U32" s="14">
        <v>126</v>
      </c>
      <c r="V32" s="13"/>
      <c r="W32" s="14">
        <v>127</v>
      </c>
      <c r="X32" s="13"/>
      <c r="Y32" s="14">
        <v>106</v>
      </c>
      <c r="Z32" s="13"/>
      <c r="AA32" s="4">
        <f t="shared" si="0"/>
        <v>113</v>
      </c>
      <c r="AB32" s="4">
        <f t="shared" si="1"/>
        <v>118</v>
      </c>
      <c r="AC32" s="4">
        <f t="shared" si="2"/>
        <v>3.7058512292499461</v>
      </c>
      <c r="AD32" s="3"/>
      <c r="AE32" s="3"/>
      <c r="AF32" s="3"/>
      <c r="AG32" s="3"/>
      <c r="AH32" s="3"/>
      <c r="AT32" s="12"/>
      <c r="AU32" s="12"/>
      <c r="AV32" s="11"/>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2:87" ht="24" customHeight="1" x14ac:dyDescent="0.2">
      <c r="B33" s="7">
        <f t="shared" si="4"/>
        <v>205</v>
      </c>
      <c r="C33" s="7" t="s">
        <v>124</v>
      </c>
      <c r="D33" s="7">
        <v>1</v>
      </c>
      <c r="E33" s="7">
        <v>1</v>
      </c>
      <c r="F33" s="7">
        <v>1</v>
      </c>
      <c r="G33" s="7">
        <v>2</v>
      </c>
      <c r="H33" s="7">
        <v>2</v>
      </c>
      <c r="I33" s="7" t="s">
        <v>131</v>
      </c>
      <c r="J33" s="9"/>
      <c r="K33" s="7" t="s">
        <v>2</v>
      </c>
      <c r="L33" s="6">
        <v>100</v>
      </c>
      <c r="M33" s="6"/>
      <c r="N33" s="6">
        <v>89</v>
      </c>
      <c r="O33" s="6"/>
      <c r="P33" s="6">
        <v>100</v>
      </c>
      <c r="Q33" s="6">
        <v>105</v>
      </c>
      <c r="R33" s="6">
        <v>108</v>
      </c>
      <c r="S33" s="6"/>
      <c r="T33" s="6"/>
      <c r="U33" s="6">
        <v>102</v>
      </c>
      <c r="V33" s="6"/>
      <c r="W33" s="6">
        <v>98</v>
      </c>
      <c r="X33" s="6"/>
      <c r="Y33" s="6">
        <v>102</v>
      </c>
      <c r="Z33" s="6"/>
      <c r="AA33" s="4">
        <f t="shared" si="0"/>
        <v>103.75</v>
      </c>
      <c r="AB33" s="4">
        <f t="shared" si="1"/>
        <v>99.125</v>
      </c>
      <c r="AC33" s="4">
        <f t="shared" si="2"/>
        <v>2.1792104839444337</v>
      </c>
      <c r="AD33" s="3"/>
      <c r="AE33" s="3"/>
      <c r="AF33" s="3"/>
      <c r="AG33" s="3"/>
      <c r="AH33" s="3"/>
    </row>
    <row r="34" spans="2:87" ht="24" customHeight="1" thickBot="1" x14ac:dyDescent="0.25">
      <c r="B34" s="15">
        <f t="shared" si="4"/>
        <v>205</v>
      </c>
      <c r="C34" s="15" t="s">
        <v>124</v>
      </c>
      <c r="D34" s="15">
        <v>1</v>
      </c>
      <c r="E34" s="15">
        <v>1</v>
      </c>
      <c r="F34" s="15">
        <v>1</v>
      </c>
      <c r="G34" s="15">
        <v>2</v>
      </c>
      <c r="H34" s="15">
        <v>2</v>
      </c>
      <c r="I34" s="15" t="s">
        <v>131</v>
      </c>
      <c r="J34" s="16"/>
      <c r="K34" s="15" t="s">
        <v>0</v>
      </c>
      <c r="L34" s="14">
        <v>110</v>
      </c>
      <c r="M34" s="13"/>
      <c r="N34" s="14">
        <v>111</v>
      </c>
      <c r="O34" s="13"/>
      <c r="P34" s="14">
        <v>120</v>
      </c>
      <c r="Q34" s="14">
        <v>113</v>
      </c>
      <c r="R34" s="14">
        <v>110</v>
      </c>
      <c r="S34" s="6"/>
      <c r="T34" s="13"/>
      <c r="U34" s="14">
        <v>109</v>
      </c>
      <c r="V34" s="13"/>
      <c r="W34" s="14">
        <v>111</v>
      </c>
      <c r="X34" s="13"/>
      <c r="Y34" s="14">
        <v>98</v>
      </c>
      <c r="Z34" s="13"/>
      <c r="AA34" s="4">
        <f t="shared" si="0"/>
        <v>113</v>
      </c>
      <c r="AB34" s="4">
        <f t="shared" si="1"/>
        <v>108.66666666666667</v>
      </c>
      <c r="AC34" s="4">
        <f t="shared" si="2"/>
        <v>2.2010098692292241</v>
      </c>
      <c r="AD34" s="3"/>
      <c r="AE34" s="3"/>
      <c r="AF34" s="3"/>
      <c r="AG34" s="3"/>
      <c r="AH34" s="3"/>
      <c r="AT34" s="12"/>
      <c r="AU34" s="12"/>
      <c r="AV34" s="11"/>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2:87" ht="24" customHeight="1" x14ac:dyDescent="0.2">
      <c r="B35" s="7">
        <f t="shared" si="4"/>
        <v>206</v>
      </c>
      <c r="C35" s="7" t="s">
        <v>132</v>
      </c>
      <c r="D35" s="7">
        <v>8</v>
      </c>
      <c r="E35" s="7">
        <v>2</v>
      </c>
      <c r="F35" s="7">
        <v>1</v>
      </c>
      <c r="G35" s="7">
        <v>1</v>
      </c>
      <c r="H35" s="7">
        <v>2</v>
      </c>
      <c r="I35" s="7" t="s">
        <v>133</v>
      </c>
      <c r="J35" s="9"/>
      <c r="K35" s="7" t="s">
        <v>2</v>
      </c>
      <c r="L35" s="6">
        <v>97</v>
      </c>
      <c r="M35" s="6"/>
      <c r="N35" s="6">
        <v>82</v>
      </c>
      <c r="O35" s="6"/>
      <c r="P35" s="6">
        <v>98</v>
      </c>
      <c r="Q35" s="6">
        <v>93</v>
      </c>
      <c r="R35" s="6">
        <v>87</v>
      </c>
      <c r="S35" s="6">
        <v>95</v>
      </c>
      <c r="T35" s="6">
        <v>102</v>
      </c>
      <c r="U35" s="6">
        <v>90</v>
      </c>
      <c r="V35" s="6"/>
      <c r="W35" s="6">
        <v>82</v>
      </c>
      <c r="X35" s="6"/>
      <c r="Y35" s="6">
        <v>95</v>
      </c>
      <c r="Z35" s="6"/>
      <c r="AA35" s="4">
        <f t="shared" si="0"/>
        <v>94.166666666666671</v>
      </c>
      <c r="AB35" s="4">
        <f t="shared" si="1"/>
        <v>90.027777777777786</v>
      </c>
      <c r="AC35" s="4">
        <f t="shared" si="2"/>
        <v>2.7040493183463545</v>
      </c>
      <c r="AD35" s="3"/>
      <c r="AE35" s="3"/>
      <c r="AF35" s="3"/>
      <c r="AG35" s="3"/>
      <c r="AH35" s="3"/>
    </row>
    <row r="36" spans="2:87" ht="24" customHeight="1" thickBot="1" x14ac:dyDescent="0.25">
      <c r="B36" s="15">
        <f t="shared" si="4"/>
        <v>206</v>
      </c>
      <c r="C36" s="15" t="s">
        <v>132</v>
      </c>
      <c r="D36" s="15">
        <v>8</v>
      </c>
      <c r="E36" s="15">
        <v>2</v>
      </c>
      <c r="F36" s="15">
        <v>1</v>
      </c>
      <c r="G36" s="15">
        <v>1</v>
      </c>
      <c r="H36" s="15">
        <v>2</v>
      </c>
      <c r="I36" s="15" t="s">
        <v>133</v>
      </c>
      <c r="J36" s="16"/>
      <c r="K36" s="15" t="s">
        <v>0</v>
      </c>
      <c r="L36" s="14">
        <v>109</v>
      </c>
      <c r="M36" s="13"/>
      <c r="N36" s="14">
        <v>90</v>
      </c>
      <c r="O36" s="13"/>
      <c r="P36" s="14">
        <v>75</v>
      </c>
      <c r="Q36" s="14">
        <v>81</v>
      </c>
      <c r="R36" s="14">
        <v>85</v>
      </c>
      <c r="S36" s="14">
        <v>80</v>
      </c>
      <c r="T36" s="13">
        <v>91</v>
      </c>
      <c r="U36" s="14">
        <v>109</v>
      </c>
      <c r="V36" s="13"/>
      <c r="W36" s="14">
        <v>86</v>
      </c>
      <c r="X36" s="13"/>
      <c r="Y36" s="14">
        <v>115</v>
      </c>
      <c r="Z36" s="13"/>
      <c r="AA36" s="4">
        <f t="shared" si="0"/>
        <v>86.833333333333329</v>
      </c>
      <c r="AB36" s="4">
        <f t="shared" si="1"/>
        <v>99.305555555555543</v>
      </c>
      <c r="AC36" s="4">
        <f t="shared" si="2"/>
        <v>5.3337528770169982</v>
      </c>
      <c r="AD36" s="3"/>
      <c r="AE36" s="3"/>
      <c r="AF36" s="3"/>
      <c r="AG36" s="3"/>
      <c r="AH36" s="3"/>
      <c r="AT36" s="12"/>
      <c r="AU36" s="12"/>
      <c r="AV36" s="11"/>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2:87" ht="24" customHeight="1" x14ac:dyDescent="0.2">
      <c r="B37" s="7">
        <f t="shared" si="4"/>
        <v>207</v>
      </c>
      <c r="C37" s="7" t="s">
        <v>122</v>
      </c>
      <c r="D37" s="7">
        <v>4</v>
      </c>
      <c r="E37" s="7">
        <v>1</v>
      </c>
      <c r="F37" s="7">
        <v>2</v>
      </c>
      <c r="G37" s="7">
        <v>1</v>
      </c>
      <c r="H37" s="7">
        <v>2</v>
      </c>
      <c r="I37" s="7" t="s">
        <v>134</v>
      </c>
      <c r="J37" s="9"/>
      <c r="K37" s="7" t="s">
        <v>2</v>
      </c>
      <c r="L37" s="6">
        <v>100</v>
      </c>
      <c r="M37" s="6"/>
      <c r="N37" s="6">
        <v>97</v>
      </c>
      <c r="O37" s="6"/>
      <c r="P37" s="6">
        <v>92</v>
      </c>
      <c r="Q37" s="6">
        <v>95</v>
      </c>
      <c r="R37" s="6">
        <v>99</v>
      </c>
      <c r="S37" s="6">
        <v>95</v>
      </c>
      <c r="T37" s="6">
        <v>90</v>
      </c>
      <c r="U37" s="6">
        <v>100</v>
      </c>
      <c r="V37" s="6"/>
      <c r="W37" s="6">
        <v>90</v>
      </c>
      <c r="X37" s="6"/>
      <c r="Y37" s="6">
        <v>100</v>
      </c>
      <c r="Z37" s="6"/>
      <c r="AA37" s="4">
        <f t="shared" si="0"/>
        <v>95.166666666666671</v>
      </c>
      <c r="AB37" s="4">
        <f t="shared" si="1"/>
        <v>97.027777777777786</v>
      </c>
      <c r="AC37" s="4">
        <f t="shared" si="2"/>
        <v>1.626412017104742</v>
      </c>
      <c r="AD37" s="3"/>
      <c r="AE37" s="3"/>
      <c r="AF37" s="3"/>
      <c r="AG37" s="3"/>
      <c r="AH37" s="3"/>
    </row>
    <row r="38" spans="2:87" ht="24" customHeight="1" thickBot="1" x14ac:dyDescent="0.25">
      <c r="B38" s="15">
        <f t="shared" si="4"/>
        <v>207</v>
      </c>
      <c r="C38" s="15" t="s">
        <v>122</v>
      </c>
      <c r="D38" s="15">
        <v>4</v>
      </c>
      <c r="E38" s="15">
        <v>1</v>
      </c>
      <c r="F38" s="15">
        <v>2</v>
      </c>
      <c r="G38" s="15">
        <v>1</v>
      </c>
      <c r="H38" s="15">
        <v>2</v>
      </c>
      <c r="I38" s="15" t="s">
        <v>134</v>
      </c>
      <c r="J38" s="16"/>
      <c r="K38" s="15" t="s">
        <v>0</v>
      </c>
      <c r="L38" s="14">
        <v>101</v>
      </c>
      <c r="M38" s="13"/>
      <c r="N38" s="14">
        <v>118</v>
      </c>
      <c r="O38" s="13"/>
      <c r="P38" s="14">
        <v>80</v>
      </c>
      <c r="Q38" s="14">
        <v>125</v>
      </c>
      <c r="R38" s="14">
        <v>83</v>
      </c>
      <c r="S38" s="14">
        <v>91</v>
      </c>
      <c r="T38" s="13">
        <v>92</v>
      </c>
      <c r="U38" s="14">
        <v>95</v>
      </c>
      <c r="V38" s="13"/>
      <c r="W38" s="14">
        <v>128</v>
      </c>
      <c r="X38" s="13"/>
      <c r="Y38" s="14">
        <v>115</v>
      </c>
      <c r="Z38" s="13"/>
      <c r="AA38" s="4">
        <f t="shared" si="0"/>
        <v>94.333333333333329</v>
      </c>
      <c r="AB38" s="4">
        <f t="shared" si="1"/>
        <v>108.55555555555554</v>
      </c>
      <c r="AC38" s="4">
        <f t="shared" si="2"/>
        <v>5.633015550975462</v>
      </c>
      <c r="AD38" s="3"/>
      <c r="AE38" s="3"/>
      <c r="AF38" s="3"/>
      <c r="AG38" s="3"/>
      <c r="AH38" s="3"/>
      <c r="AT38" s="12"/>
      <c r="AU38" s="12"/>
      <c r="AV38" s="11"/>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2:87" ht="24" customHeight="1" x14ac:dyDescent="0.2">
      <c r="B39" s="7">
        <f t="shared" si="4"/>
        <v>208</v>
      </c>
      <c r="C39" s="7" t="s">
        <v>135</v>
      </c>
      <c r="D39" s="7">
        <v>2</v>
      </c>
      <c r="E39" s="7">
        <v>1</v>
      </c>
      <c r="F39" s="7">
        <v>1</v>
      </c>
      <c r="G39" s="7">
        <v>1</v>
      </c>
      <c r="H39" s="7">
        <v>2</v>
      </c>
      <c r="I39" s="7" t="s">
        <v>136</v>
      </c>
      <c r="J39" s="9"/>
      <c r="K39" s="7" t="s">
        <v>2</v>
      </c>
      <c r="L39" s="6">
        <v>88</v>
      </c>
      <c r="M39" s="5"/>
      <c r="N39" s="6">
        <v>93</v>
      </c>
      <c r="O39" s="5"/>
      <c r="P39" s="6">
        <v>90</v>
      </c>
      <c r="Q39" s="6">
        <v>87</v>
      </c>
      <c r="R39" s="6">
        <v>91</v>
      </c>
      <c r="S39" s="6">
        <v>93</v>
      </c>
      <c r="T39" s="5">
        <v>81</v>
      </c>
      <c r="U39" s="6">
        <v>96</v>
      </c>
      <c r="V39" s="5"/>
      <c r="W39" s="6">
        <v>88</v>
      </c>
      <c r="X39" s="5"/>
      <c r="Y39" s="6">
        <v>90</v>
      </c>
      <c r="Z39" s="5"/>
      <c r="AA39" s="4">
        <f t="shared" si="0"/>
        <v>89.666666666666671</v>
      </c>
      <c r="AB39" s="4">
        <f t="shared" si="1"/>
        <v>90.777777777777786</v>
      </c>
      <c r="AC39" s="4">
        <f t="shared" si="2"/>
        <v>1.2842829579377681</v>
      </c>
      <c r="AD39" s="3"/>
      <c r="AE39" s="3"/>
      <c r="AF39" s="3"/>
      <c r="AG39" s="3"/>
      <c r="AH39" s="3"/>
    </row>
    <row r="40" spans="2:87" ht="24" customHeight="1" thickBot="1" x14ac:dyDescent="0.25">
      <c r="B40" s="15">
        <f t="shared" si="4"/>
        <v>208</v>
      </c>
      <c r="C40" s="15" t="s">
        <v>135</v>
      </c>
      <c r="D40" s="15">
        <v>2</v>
      </c>
      <c r="E40" s="15">
        <v>1</v>
      </c>
      <c r="F40" s="15">
        <v>1</v>
      </c>
      <c r="G40" s="15">
        <v>1</v>
      </c>
      <c r="H40" s="15">
        <v>2</v>
      </c>
      <c r="I40" s="15" t="s">
        <v>136</v>
      </c>
      <c r="J40" s="16"/>
      <c r="K40" s="15" t="s">
        <v>0</v>
      </c>
      <c r="L40" s="14">
        <v>93</v>
      </c>
      <c r="M40" s="13"/>
      <c r="N40" s="14">
        <v>93</v>
      </c>
      <c r="O40" s="13"/>
      <c r="P40" s="14">
        <v>86</v>
      </c>
      <c r="Q40" s="14">
        <v>89</v>
      </c>
      <c r="R40" s="14">
        <v>97</v>
      </c>
      <c r="S40" s="14">
        <v>91</v>
      </c>
      <c r="T40" s="13">
        <v>116</v>
      </c>
      <c r="U40" s="14">
        <v>81</v>
      </c>
      <c r="V40" s="13"/>
      <c r="W40" s="14">
        <v>92</v>
      </c>
      <c r="X40" s="13"/>
      <c r="Y40" s="14">
        <v>79</v>
      </c>
      <c r="Z40" s="13"/>
      <c r="AA40" s="4">
        <f t="shared" si="0"/>
        <v>93.333333333333329</v>
      </c>
      <c r="AB40" s="4">
        <f t="shared" si="1"/>
        <v>88.555555555555543</v>
      </c>
      <c r="AC40" s="4">
        <f t="shared" si="2"/>
        <v>2.7239223715847252</v>
      </c>
      <c r="AD40" s="3"/>
      <c r="AE40" s="3"/>
      <c r="AF40" s="3"/>
      <c r="AG40" s="3"/>
      <c r="AH40" s="3"/>
      <c r="AT40" s="12"/>
      <c r="AU40" s="12"/>
      <c r="AV40" s="11"/>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2:87" ht="24" customHeight="1" x14ac:dyDescent="0.2">
      <c r="B41" s="7">
        <f>B39+700</f>
        <v>908</v>
      </c>
      <c r="C41" s="7" t="s">
        <v>137</v>
      </c>
      <c r="D41" s="7">
        <v>21</v>
      </c>
      <c r="E41" s="7">
        <v>3</v>
      </c>
      <c r="F41" s="7">
        <v>2</v>
      </c>
      <c r="G41" s="7">
        <v>2</v>
      </c>
      <c r="H41" s="7">
        <v>2</v>
      </c>
      <c r="I41" s="7" t="s">
        <v>138</v>
      </c>
      <c r="J41" s="7"/>
      <c r="K41" s="7" t="s">
        <v>2</v>
      </c>
      <c r="L41" s="6">
        <v>83</v>
      </c>
      <c r="M41" s="5"/>
      <c r="N41" s="6">
        <v>69</v>
      </c>
      <c r="O41" s="5"/>
      <c r="P41" s="6">
        <v>70</v>
      </c>
      <c r="Q41" s="6">
        <v>68</v>
      </c>
      <c r="R41" s="6">
        <v>76</v>
      </c>
      <c r="S41" s="6">
        <v>68</v>
      </c>
      <c r="T41" s="5">
        <v>53</v>
      </c>
      <c r="U41" s="6">
        <v>79</v>
      </c>
      <c r="V41" s="5"/>
      <c r="W41" s="6">
        <v>73</v>
      </c>
      <c r="X41" s="5"/>
      <c r="Y41" s="6">
        <v>73</v>
      </c>
      <c r="Z41" s="5"/>
      <c r="AA41" s="4">
        <f t="shared" si="0"/>
        <v>69</v>
      </c>
      <c r="AB41" s="4">
        <f t="shared" si="1"/>
        <v>74.333333333333329</v>
      </c>
      <c r="AC41" s="4">
        <f t="shared" si="2"/>
        <v>2.2900752049756896</v>
      </c>
      <c r="AD41" s="3"/>
      <c r="AE41" s="3"/>
      <c r="AF41" s="3"/>
      <c r="AG41" s="3"/>
      <c r="AH41" s="3"/>
    </row>
    <row r="42" spans="2:87" ht="24" customHeight="1" thickBot="1" x14ac:dyDescent="0.25">
      <c r="B42" s="15">
        <f>B40+700</f>
        <v>908</v>
      </c>
      <c r="C42" s="15" t="s">
        <v>137</v>
      </c>
      <c r="D42" s="15">
        <v>21</v>
      </c>
      <c r="E42" s="15">
        <v>3</v>
      </c>
      <c r="F42" s="15">
        <v>2</v>
      </c>
      <c r="G42" s="15">
        <v>2</v>
      </c>
      <c r="H42" s="15">
        <v>2</v>
      </c>
      <c r="I42" s="15" t="s">
        <v>138</v>
      </c>
      <c r="J42" s="16"/>
      <c r="K42" s="15" t="s">
        <v>0</v>
      </c>
      <c r="L42" s="14">
        <v>66</v>
      </c>
      <c r="M42" s="13"/>
      <c r="N42" s="14">
        <v>72</v>
      </c>
      <c r="O42" s="13"/>
      <c r="P42" s="14">
        <v>62</v>
      </c>
      <c r="Q42" s="14">
        <v>59</v>
      </c>
      <c r="R42" s="14">
        <v>54</v>
      </c>
      <c r="S42" s="14">
        <v>69</v>
      </c>
      <c r="T42" s="13">
        <v>50</v>
      </c>
      <c r="U42" s="14">
        <v>63</v>
      </c>
      <c r="V42" s="13"/>
      <c r="W42" s="14">
        <v>55</v>
      </c>
      <c r="X42" s="13"/>
      <c r="Y42" s="14">
        <v>67</v>
      </c>
      <c r="Z42" s="13"/>
      <c r="AA42" s="4">
        <f t="shared" ref="AA42:AA62" si="5">AVERAGE(P42:U42)</f>
        <v>59.5</v>
      </c>
      <c r="AB42" s="4">
        <f t="shared" ref="AB42:AB62" si="6">AVERAGE(AVERAGE(L42:M42),AVERAGE(N42:O42),AVERAGE(P42:U42),AVERAGE(U42:V42),AVERAGE(W42:X42),AVERAGE(Y42:Z42))</f>
        <v>63.75</v>
      </c>
      <c r="AC42" s="4">
        <f t="shared" ref="AC42:AC62" si="7">STDEV(AVERAGE(L42:M42),AVERAGE(N42:O42),AVERAGE(P42:U42),AVERAGE(U42:V42),AVERAGE(W42:X42),AVERAGE(Y42:Z42))/SQRT(6)</f>
        <v>2.4418230894149562</v>
      </c>
      <c r="AD42" s="3"/>
      <c r="AE42" s="3"/>
      <c r="AF42" s="3"/>
      <c r="AG42" s="3"/>
      <c r="AH42" s="3"/>
      <c r="AT42" s="12"/>
      <c r="AU42" s="12"/>
      <c r="AV42" s="11"/>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2:87" ht="24" customHeight="1" x14ac:dyDescent="0.2">
      <c r="B43" s="7">
        <v>906</v>
      </c>
      <c r="C43" s="7" t="s">
        <v>139</v>
      </c>
      <c r="D43" s="7">
        <v>22</v>
      </c>
      <c r="E43" s="7">
        <v>4</v>
      </c>
      <c r="F43" s="7">
        <v>2</v>
      </c>
      <c r="G43" s="7">
        <v>2</v>
      </c>
      <c r="H43" s="7">
        <v>2</v>
      </c>
      <c r="I43" s="7" t="s">
        <v>140</v>
      </c>
      <c r="J43" s="9"/>
      <c r="K43" s="7" t="s">
        <v>2</v>
      </c>
      <c r="L43" s="6">
        <v>97</v>
      </c>
      <c r="M43" s="6"/>
      <c r="N43" s="6">
        <v>91</v>
      </c>
      <c r="O43" s="6"/>
      <c r="P43" s="6">
        <v>78</v>
      </c>
      <c r="Q43" s="6">
        <v>79</v>
      </c>
      <c r="R43" s="6">
        <v>89</v>
      </c>
      <c r="S43" s="6">
        <v>85</v>
      </c>
      <c r="T43" s="6">
        <v>80</v>
      </c>
      <c r="U43" s="6">
        <v>96</v>
      </c>
      <c r="V43" s="6"/>
      <c r="W43" s="6">
        <v>75</v>
      </c>
      <c r="X43" s="6"/>
      <c r="Y43" s="6">
        <v>87</v>
      </c>
      <c r="Z43" s="6"/>
      <c r="AA43" s="4">
        <f t="shared" si="5"/>
        <v>84.5</v>
      </c>
      <c r="AB43" s="4">
        <f t="shared" si="6"/>
        <v>88.416666666666671</v>
      </c>
      <c r="AC43" s="4">
        <f t="shared" si="7"/>
        <v>3.3426951866885966</v>
      </c>
      <c r="AD43" s="3"/>
      <c r="AE43" s="3"/>
      <c r="AF43" s="3"/>
      <c r="AG43" s="3"/>
      <c r="AH43" s="3"/>
    </row>
    <row r="44" spans="2:87" ht="24" customHeight="1" thickBot="1" x14ac:dyDescent="0.25">
      <c r="B44" s="15">
        <v>906</v>
      </c>
      <c r="C44" s="15" t="s">
        <v>139</v>
      </c>
      <c r="D44" s="15">
        <v>22</v>
      </c>
      <c r="E44" s="15">
        <v>4</v>
      </c>
      <c r="F44" s="15">
        <v>2</v>
      </c>
      <c r="G44" s="15">
        <v>2</v>
      </c>
      <c r="H44" s="15">
        <v>2</v>
      </c>
      <c r="I44" s="15" t="s">
        <v>140</v>
      </c>
      <c r="J44" s="16"/>
      <c r="K44" s="15" t="s">
        <v>0</v>
      </c>
      <c r="L44" s="14">
        <v>80</v>
      </c>
      <c r="M44" s="13"/>
      <c r="N44" s="14">
        <v>89</v>
      </c>
      <c r="O44" s="13"/>
      <c r="P44" s="14">
        <v>76</v>
      </c>
      <c r="Q44" s="14">
        <v>72</v>
      </c>
      <c r="R44" s="14">
        <v>69</v>
      </c>
      <c r="S44" s="14">
        <v>87</v>
      </c>
      <c r="T44" s="13">
        <v>69</v>
      </c>
      <c r="U44" s="14">
        <v>85</v>
      </c>
      <c r="V44" s="13"/>
      <c r="W44" s="14">
        <v>73</v>
      </c>
      <c r="X44" s="13"/>
      <c r="Y44" s="14">
        <v>87</v>
      </c>
      <c r="Z44" s="13"/>
      <c r="AA44" s="4">
        <f t="shared" si="5"/>
        <v>76.333333333333329</v>
      </c>
      <c r="AB44" s="4">
        <f t="shared" si="6"/>
        <v>81.722222222222214</v>
      </c>
      <c r="AC44" s="4">
        <f t="shared" si="7"/>
        <v>2.5797167037496469</v>
      </c>
      <c r="AD44" s="3"/>
      <c r="AE44" s="3"/>
      <c r="AF44" s="3"/>
      <c r="AG44" s="3"/>
      <c r="AH44" s="3"/>
      <c r="AT44" s="12"/>
      <c r="AU44" s="12"/>
      <c r="AV44" s="11"/>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2:87" ht="24" customHeight="1" x14ac:dyDescent="0.2">
      <c r="B45" s="7">
        <v>904</v>
      </c>
      <c r="C45" s="7" t="s">
        <v>137</v>
      </c>
      <c r="D45" s="7">
        <v>21</v>
      </c>
      <c r="E45" s="7">
        <v>3</v>
      </c>
      <c r="F45" s="7">
        <v>2</v>
      </c>
      <c r="G45" s="7">
        <v>2</v>
      </c>
      <c r="H45" s="7">
        <v>1</v>
      </c>
      <c r="I45" s="7" t="s">
        <v>141</v>
      </c>
      <c r="J45" s="9"/>
      <c r="K45" s="7" t="s">
        <v>2</v>
      </c>
      <c r="L45" s="6">
        <v>70</v>
      </c>
      <c r="M45" s="6"/>
      <c r="N45" s="6">
        <v>61</v>
      </c>
      <c r="O45" s="6"/>
      <c r="P45" s="6">
        <v>60</v>
      </c>
      <c r="Q45" s="6">
        <v>57</v>
      </c>
      <c r="R45" s="6">
        <v>57</v>
      </c>
      <c r="S45" s="6">
        <v>60</v>
      </c>
      <c r="T45" s="6">
        <v>68</v>
      </c>
      <c r="U45" s="6">
        <v>70</v>
      </c>
      <c r="V45" s="6"/>
      <c r="W45" s="6">
        <v>73</v>
      </c>
      <c r="X45" s="6"/>
      <c r="Y45" s="6">
        <v>75</v>
      </c>
      <c r="Z45" s="6"/>
      <c r="AA45" s="4">
        <f t="shared" si="5"/>
        <v>62</v>
      </c>
      <c r="AB45" s="4">
        <f t="shared" si="6"/>
        <v>68.5</v>
      </c>
      <c r="AC45" s="4">
        <f t="shared" si="7"/>
        <v>2.3487585373270425</v>
      </c>
      <c r="AD45" s="3"/>
      <c r="AE45" s="3"/>
      <c r="AF45" s="3"/>
      <c r="AG45" s="3"/>
      <c r="AH45" s="3"/>
    </row>
    <row r="46" spans="2:87" ht="24" customHeight="1" thickBot="1" x14ac:dyDescent="0.25">
      <c r="B46" s="15">
        <v>904</v>
      </c>
      <c r="C46" s="15" t="s">
        <v>137</v>
      </c>
      <c r="D46" s="15">
        <v>21</v>
      </c>
      <c r="E46" s="15">
        <v>3</v>
      </c>
      <c r="F46" s="15">
        <v>2</v>
      </c>
      <c r="G46" s="15">
        <v>2</v>
      </c>
      <c r="H46" s="15">
        <v>1</v>
      </c>
      <c r="I46" s="15" t="s">
        <v>141</v>
      </c>
      <c r="J46" s="16"/>
      <c r="K46" s="15" t="s">
        <v>0</v>
      </c>
      <c r="L46" s="14">
        <v>60</v>
      </c>
      <c r="M46" s="13"/>
      <c r="N46" s="14">
        <v>68</v>
      </c>
      <c r="O46" s="13"/>
      <c r="P46" s="14">
        <v>66</v>
      </c>
      <c r="Q46" s="14">
        <v>64</v>
      </c>
      <c r="R46" s="14">
        <v>59</v>
      </c>
      <c r="S46" s="14">
        <v>53</v>
      </c>
      <c r="T46" s="13">
        <v>45</v>
      </c>
      <c r="U46" s="14">
        <v>67</v>
      </c>
      <c r="V46" s="13"/>
      <c r="W46" s="14">
        <v>72</v>
      </c>
      <c r="X46" s="13"/>
      <c r="Y46" s="14">
        <v>66</v>
      </c>
      <c r="Z46" s="13"/>
      <c r="AA46" s="4">
        <f t="shared" si="5"/>
        <v>59</v>
      </c>
      <c r="AB46" s="4">
        <f t="shared" si="6"/>
        <v>65.333333333333329</v>
      </c>
      <c r="AC46" s="4">
        <f t="shared" si="7"/>
        <v>2.0275875100994067</v>
      </c>
      <c r="AD46" s="3"/>
      <c r="AE46" s="3"/>
      <c r="AF46" s="3"/>
      <c r="AG46" s="3"/>
      <c r="AH46" s="3"/>
      <c r="AT46" s="12"/>
      <c r="AU46" s="12"/>
      <c r="AV46" s="11"/>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2:87" ht="24" customHeight="1" x14ac:dyDescent="0.2">
      <c r="B47" s="7">
        <v>902</v>
      </c>
      <c r="C47" s="7" t="s">
        <v>139</v>
      </c>
      <c r="D47" s="7">
        <v>22</v>
      </c>
      <c r="E47" s="7">
        <v>4</v>
      </c>
      <c r="F47" s="7">
        <v>2</v>
      </c>
      <c r="G47" s="7">
        <v>2</v>
      </c>
      <c r="H47" s="7">
        <v>1</v>
      </c>
      <c r="I47" s="7" t="s">
        <v>142</v>
      </c>
      <c r="J47" s="9"/>
      <c r="K47" s="7" t="s">
        <v>2</v>
      </c>
      <c r="L47" s="6">
        <v>84</v>
      </c>
      <c r="M47" s="6"/>
      <c r="N47" s="6">
        <v>78</v>
      </c>
      <c r="O47" s="6"/>
      <c r="P47" s="6">
        <v>92</v>
      </c>
      <c r="Q47" s="6">
        <v>73</v>
      </c>
      <c r="R47" s="6">
        <v>71</v>
      </c>
      <c r="S47" s="6">
        <v>72</v>
      </c>
      <c r="T47" s="6">
        <v>81</v>
      </c>
      <c r="U47" s="6">
        <v>101</v>
      </c>
      <c r="V47" s="6"/>
      <c r="W47" s="6">
        <v>76</v>
      </c>
      <c r="X47" s="6"/>
      <c r="Y47" s="6">
        <v>78</v>
      </c>
      <c r="Z47" s="6"/>
      <c r="AA47" s="4">
        <f t="shared" si="5"/>
        <v>81.666666666666671</v>
      </c>
      <c r="AB47" s="4">
        <f t="shared" si="6"/>
        <v>83.111111111111114</v>
      </c>
      <c r="AC47" s="4">
        <f t="shared" si="7"/>
        <v>3.7669780271180273</v>
      </c>
      <c r="AD47" s="3"/>
      <c r="AE47" s="3"/>
      <c r="AF47" s="3"/>
      <c r="AG47" s="3"/>
      <c r="AH47" s="3"/>
    </row>
    <row r="48" spans="2:87" ht="24" customHeight="1" thickBot="1" x14ac:dyDescent="0.25">
      <c r="B48" s="15">
        <v>902</v>
      </c>
      <c r="C48" s="15" t="s">
        <v>139</v>
      </c>
      <c r="D48" s="15">
        <v>22</v>
      </c>
      <c r="E48" s="15">
        <v>4</v>
      </c>
      <c r="F48" s="15">
        <v>2</v>
      </c>
      <c r="G48" s="15">
        <v>2</v>
      </c>
      <c r="H48" s="15">
        <v>1</v>
      </c>
      <c r="I48" s="15" t="s">
        <v>142</v>
      </c>
      <c r="J48" s="16"/>
      <c r="K48" s="15" t="s">
        <v>0</v>
      </c>
      <c r="L48" s="14">
        <v>90</v>
      </c>
      <c r="M48" s="13"/>
      <c r="N48" s="14">
        <v>69</v>
      </c>
      <c r="O48" s="13"/>
      <c r="P48" s="14">
        <v>80</v>
      </c>
      <c r="Q48" s="14">
        <v>67</v>
      </c>
      <c r="R48" s="14">
        <v>66</v>
      </c>
      <c r="S48" s="14">
        <v>62</v>
      </c>
      <c r="T48" s="13">
        <v>67</v>
      </c>
      <c r="U48" s="14">
        <v>74</v>
      </c>
      <c r="V48" s="13"/>
      <c r="W48" s="14">
        <v>73</v>
      </c>
      <c r="X48" s="13"/>
      <c r="Y48" s="14">
        <v>71</v>
      </c>
      <c r="Z48" s="13"/>
      <c r="AA48" s="4">
        <f t="shared" si="5"/>
        <v>69.333333333333329</v>
      </c>
      <c r="AB48" s="4">
        <f t="shared" si="6"/>
        <v>74.388888888888886</v>
      </c>
      <c r="AC48" s="4">
        <f t="shared" si="7"/>
        <v>3.2242330890222068</v>
      </c>
      <c r="AD48" s="3"/>
      <c r="AE48" s="3"/>
      <c r="AF48" s="3"/>
      <c r="AG48" s="3"/>
      <c r="AH48" s="3"/>
      <c r="AT48" s="12"/>
      <c r="AU48" s="12"/>
      <c r="AV48" s="11"/>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2:87" ht="24" customHeight="1" x14ac:dyDescent="0.2">
      <c r="B49" s="7">
        <f>B47-601</f>
        <v>301</v>
      </c>
      <c r="C49" s="7" t="s">
        <v>113</v>
      </c>
      <c r="D49" s="7">
        <v>10</v>
      </c>
      <c r="E49" s="7">
        <v>2</v>
      </c>
      <c r="F49" s="7">
        <v>2</v>
      </c>
      <c r="G49" s="7">
        <v>1</v>
      </c>
      <c r="H49" s="7">
        <v>3</v>
      </c>
      <c r="I49" s="7" t="s">
        <v>143</v>
      </c>
      <c r="J49" s="7"/>
      <c r="K49" s="7" t="s">
        <v>2</v>
      </c>
      <c r="L49" s="6">
        <v>107</v>
      </c>
      <c r="M49" s="6"/>
      <c r="N49" s="6">
        <v>107</v>
      </c>
      <c r="O49" s="6"/>
      <c r="P49" s="6">
        <v>100</v>
      </c>
      <c r="Q49" s="6">
        <v>107</v>
      </c>
      <c r="R49" s="6">
        <v>92</v>
      </c>
      <c r="S49" s="6"/>
      <c r="T49" s="6">
        <v>100</v>
      </c>
      <c r="U49" s="6">
        <v>96</v>
      </c>
      <c r="V49" s="6"/>
      <c r="W49" s="6">
        <v>105</v>
      </c>
      <c r="X49" s="6"/>
      <c r="Y49" s="6">
        <v>97</v>
      </c>
      <c r="Z49" s="6"/>
      <c r="AA49" s="4">
        <f t="shared" si="5"/>
        <v>99</v>
      </c>
      <c r="AB49" s="4">
        <f t="shared" si="6"/>
        <v>101.83333333333333</v>
      </c>
      <c r="AC49" s="4">
        <f t="shared" si="7"/>
        <v>2.0723041389826071</v>
      </c>
      <c r="AT49" s="12">
        <v>2</v>
      </c>
      <c r="AU49" s="12" t="s">
        <v>3</v>
      </c>
      <c r="AV49" s="12">
        <v>150</v>
      </c>
    </row>
    <row r="50" spans="2:87" ht="24" customHeight="1" thickBot="1" x14ac:dyDescent="0.25">
      <c r="B50" s="15">
        <f>B48-601</f>
        <v>301</v>
      </c>
      <c r="C50" s="15" t="s">
        <v>113</v>
      </c>
      <c r="D50" s="15">
        <v>10</v>
      </c>
      <c r="E50" s="15">
        <v>2</v>
      </c>
      <c r="F50" s="15">
        <v>2</v>
      </c>
      <c r="G50" s="15">
        <v>1</v>
      </c>
      <c r="H50" s="15">
        <v>3</v>
      </c>
      <c r="I50" s="15" t="s">
        <v>143</v>
      </c>
      <c r="J50" s="16"/>
      <c r="K50" s="15" t="s">
        <v>0</v>
      </c>
      <c r="L50" s="14">
        <v>82</v>
      </c>
      <c r="M50" s="13"/>
      <c r="N50" s="14">
        <v>93</v>
      </c>
      <c r="O50" s="13"/>
      <c r="P50" s="14">
        <v>86</v>
      </c>
      <c r="Q50" s="14">
        <v>95</v>
      </c>
      <c r="R50" s="14">
        <v>84</v>
      </c>
      <c r="S50" s="14"/>
      <c r="T50" s="13"/>
      <c r="U50" s="14">
        <v>87</v>
      </c>
      <c r="V50" s="13"/>
      <c r="W50" s="14">
        <v>94</v>
      </c>
      <c r="X50" s="13"/>
      <c r="Y50" s="14">
        <v>98</v>
      </c>
      <c r="Z50" s="13"/>
      <c r="AA50" s="4">
        <f t="shared" si="5"/>
        <v>88</v>
      </c>
      <c r="AB50" s="4">
        <f t="shared" si="6"/>
        <v>90.333333333333329</v>
      </c>
      <c r="AC50" s="4">
        <f t="shared" si="7"/>
        <v>2.3475755815545352</v>
      </c>
      <c r="AD50" s="3"/>
      <c r="AE50" s="3"/>
      <c r="AF50" s="3"/>
      <c r="AG50" s="3"/>
      <c r="AH50" s="3"/>
      <c r="AT50" s="12"/>
      <c r="AU50" s="12"/>
      <c r="AV50" s="11"/>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2:87" ht="24" customHeight="1" x14ac:dyDescent="0.2">
      <c r="B51" s="7">
        <f t="shared" ref="B51:B64" si="8">B49+1</f>
        <v>302</v>
      </c>
      <c r="C51" s="7" t="s">
        <v>122</v>
      </c>
      <c r="D51" s="7">
        <v>4</v>
      </c>
      <c r="E51" s="7">
        <v>1</v>
      </c>
      <c r="F51" s="7">
        <v>2</v>
      </c>
      <c r="G51" s="7">
        <v>1</v>
      </c>
      <c r="H51" s="7">
        <v>3</v>
      </c>
      <c r="I51" s="7" t="s">
        <v>144</v>
      </c>
      <c r="J51" s="9"/>
      <c r="K51" s="7" t="s">
        <v>2</v>
      </c>
      <c r="L51" s="6">
        <v>110</v>
      </c>
      <c r="M51" s="6"/>
      <c r="N51" s="6">
        <v>106</v>
      </c>
      <c r="O51" s="6"/>
      <c r="P51" s="6">
        <v>91</v>
      </c>
      <c r="Q51" s="6">
        <v>88</v>
      </c>
      <c r="R51" s="6">
        <v>95</v>
      </c>
      <c r="S51" s="6"/>
      <c r="T51" s="6">
        <v>100</v>
      </c>
      <c r="U51" s="6">
        <v>91</v>
      </c>
      <c r="V51" s="6"/>
      <c r="W51" s="6">
        <v>90</v>
      </c>
      <c r="X51" s="6"/>
      <c r="Y51" s="6">
        <v>92</v>
      </c>
      <c r="Z51" s="6"/>
      <c r="AA51" s="4">
        <f t="shared" si="5"/>
        <v>93</v>
      </c>
      <c r="AB51" s="4">
        <f t="shared" si="6"/>
        <v>97</v>
      </c>
      <c r="AC51" s="4">
        <f t="shared" si="7"/>
        <v>3.5402448126271349</v>
      </c>
      <c r="AD51" s="3"/>
      <c r="AE51" s="3"/>
      <c r="AF51" s="3"/>
      <c r="AG51" s="3"/>
      <c r="AH51" s="3"/>
    </row>
    <row r="52" spans="2:87" ht="24" customHeight="1" thickBot="1" x14ac:dyDescent="0.25">
      <c r="B52" s="15">
        <f t="shared" si="8"/>
        <v>302</v>
      </c>
      <c r="C52" s="15" t="s">
        <v>122</v>
      </c>
      <c r="D52" s="15">
        <v>4</v>
      </c>
      <c r="E52" s="15">
        <v>1</v>
      </c>
      <c r="F52" s="15">
        <v>2</v>
      </c>
      <c r="G52" s="15">
        <v>1</v>
      </c>
      <c r="H52" s="15">
        <v>3</v>
      </c>
      <c r="I52" s="15" t="s">
        <v>144</v>
      </c>
      <c r="J52" s="16"/>
      <c r="K52" s="15" t="s">
        <v>0</v>
      </c>
      <c r="L52" s="14">
        <v>93</v>
      </c>
      <c r="M52" s="13"/>
      <c r="N52" s="14">
        <v>112</v>
      </c>
      <c r="O52" s="13"/>
      <c r="P52" s="14">
        <v>81</v>
      </c>
      <c r="Q52" s="14">
        <v>90</v>
      </c>
      <c r="R52" s="14">
        <v>85</v>
      </c>
      <c r="S52" s="14"/>
      <c r="T52" s="13">
        <v>94</v>
      </c>
      <c r="U52" s="14">
        <v>103</v>
      </c>
      <c r="V52" s="13"/>
      <c r="W52" s="14">
        <v>87</v>
      </c>
      <c r="X52" s="13"/>
      <c r="Y52" s="14">
        <v>90</v>
      </c>
      <c r="Z52" s="13"/>
      <c r="AA52" s="4">
        <f t="shared" si="5"/>
        <v>90.6</v>
      </c>
      <c r="AB52" s="4">
        <f t="shared" si="6"/>
        <v>95.933333333333337</v>
      </c>
      <c r="AC52" s="4">
        <f t="shared" si="7"/>
        <v>3.9163475047265388</v>
      </c>
      <c r="AD52" s="3"/>
      <c r="AE52" s="3"/>
      <c r="AF52" s="3"/>
      <c r="AG52" s="3"/>
      <c r="AH52" s="3"/>
      <c r="AT52" s="12"/>
      <c r="AU52" s="12"/>
      <c r="AV52" s="11"/>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2:87" ht="24" customHeight="1" x14ac:dyDescent="0.2">
      <c r="B53" s="7">
        <f t="shared" si="8"/>
        <v>303</v>
      </c>
      <c r="C53" s="7" t="s">
        <v>132</v>
      </c>
      <c r="D53" s="7">
        <v>8</v>
      </c>
      <c r="E53" s="7">
        <v>2</v>
      </c>
      <c r="F53" s="7">
        <v>1</v>
      </c>
      <c r="G53" s="7">
        <v>1</v>
      </c>
      <c r="H53" s="7">
        <v>3</v>
      </c>
      <c r="I53" s="7" t="s">
        <v>145</v>
      </c>
      <c r="J53" s="9"/>
      <c r="K53" s="7" t="s">
        <v>2</v>
      </c>
      <c r="L53" s="6">
        <v>101</v>
      </c>
      <c r="M53" s="6"/>
      <c r="N53" s="6">
        <v>103</v>
      </c>
      <c r="O53" s="6"/>
      <c r="P53" s="6">
        <v>98</v>
      </c>
      <c r="Q53" s="6">
        <v>89</v>
      </c>
      <c r="R53" s="6">
        <v>92</v>
      </c>
      <c r="S53" s="6">
        <v>92</v>
      </c>
      <c r="T53" s="6">
        <v>85</v>
      </c>
      <c r="U53" s="6">
        <v>97</v>
      </c>
      <c r="V53" s="6"/>
      <c r="W53" s="6">
        <v>97</v>
      </c>
      <c r="X53" s="6"/>
      <c r="Y53" s="6">
        <v>89</v>
      </c>
      <c r="Z53" s="6"/>
      <c r="AA53" s="4">
        <f t="shared" si="5"/>
        <v>92.166666666666671</v>
      </c>
      <c r="AB53" s="4">
        <f t="shared" si="6"/>
        <v>96.527777777777786</v>
      </c>
      <c r="AC53" s="4">
        <f t="shared" si="7"/>
        <v>2.1449409327387716</v>
      </c>
      <c r="AD53" s="3"/>
      <c r="AE53" s="3"/>
      <c r="AF53" s="3"/>
      <c r="AG53" s="3"/>
      <c r="AH53" s="3"/>
    </row>
    <row r="54" spans="2:87" ht="24" customHeight="1" thickBot="1" x14ac:dyDescent="0.25">
      <c r="B54" s="15">
        <f t="shared" si="8"/>
        <v>303</v>
      </c>
      <c r="C54" s="15" t="s">
        <v>132</v>
      </c>
      <c r="D54" s="15">
        <v>8</v>
      </c>
      <c r="E54" s="15">
        <v>2</v>
      </c>
      <c r="F54" s="15">
        <v>1</v>
      </c>
      <c r="G54" s="15">
        <v>1</v>
      </c>
      <c r="H54" s="15">
        <v>3</v>
      </c>
      <c r="I54" s="15" t="s">
        <v>145</v>
      </c>
      <c r="J54" s="16"/>
      <c r="K54" s="15" t="s">
        <v>0</v>
      </c>
      <c r="L54" s="14">
        <v>100</v>
      </c>
      <c r="M54" s="13"/>
      <c r="N54" s="14">
        <v>98</v>
      </c>
      <c r="O54" s="13"/>
      <c r="P54" s="14">
        <v>86</v>
      </c>
      <c r="Q54" s="14">
        <v>78</v>
      </c>
      <c r="R54" s="14">
        <v>76</v>
      </c>
      <c r="S54" s="14">
        <v>86</v>
      </c>
      <c r="T54" s="13">
        <v>100</v>
      </c>
      <c r="U54" s="14">
        <v>95</v>
      </c>
      <c r="V54" s="13"/>
      <c r="W54" s="14">
        <v>126</v>
      </c>
      <c r="X54" s="13"/>
      <c r="Y54" s="14">
        <v>112</v>
      </c>
      <c r="Z54" s="13"/>
      <c r="AA54" s="4">
        <f t="shared" si="5"/>
        <v>86.833333333333329</v>
      </c>
      <c r="AB54" s="4">
        <f t="shared" si="6"/>
        <v>102.97222222222221</v>
      </c>
      <c r="AC54" s="4">
        <f t="shared" si="7"/>
        <v>5.6843542039575512</v>
      </c>
      <c r="AD54" s="3"/>
      <c r="AE54" s="3"/>
      <c r="AF54" s="3"/>
      <c r="AG54" s="3"/>
      <c r="AH54" s="3"/>
      <c r="AT54" s="12"/>
      <c r="AU54" s="12"/>
      <c r="AV54" s="11"/>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2:87" ht="24" customHeight="1" x14ac:dyDescent="0.2">
      <c r="B55" s="7">
        <f t="shared" si="8"/>
        <v>304</v>
      </c>
      <c r="C55" s="7" t="s">
        <v>135</v>
      </c>
      <c r="D55" s="7">
        <v>2</v>
      </c>
      <c r="E55" s="7">
        <v>1</v>
      </c>
      <c r="F55" s="7">
        <v>1</v>
      </c>
      <c r="G55" s="7">
        <v>1</v>
      </c>
      <c r="H55" s="7">
        <v>3</v>
      </c>
      <c r="I55" s="7" t="s">
        <v>146</v>
      </c>
      <c r="J55" s="9"/>
      <c r="K55" s="7" t="s">
        <v>2</v>
      </c>
      <c r="L55" s="6">
        <v>100</v>
      </c>
      <c r="M55" s="6"/>
      <c r="N55" s="6">
        <v>92</v>
      </c>
      <c r="O55" s="6"/>
      <c r="P55" s="6">
        <v>100</v>
      </c>
      <c r="Q55" s="6">
        <v>91</v>
      </c>
      <c r="R55" s="6">
        <v>92</v>
      </c>
      <c r="S55" s="6">
        <v>95</v>
      </c>
      <c r="T55" s="6">
        <v>100</v>
      </c>
      <c r="U55" s="6">
        <v>97</v>
      </c>
      <c r="V55" s="6"/>
      <c r="W55" s="6">
        <v>90</v>
      </c>
      <c r="X55" s="6"/>
      <c r="Y55" s="6">
        <v>97</v>
      </c>
      <c r="Z55" s="6"/>
      <c r="AA55" s="4">
        <f t="shared" si="5"/>
        <v>95.833333333333329</v>
      </c>
      <c r="AB55" s="4">
        <f t="shared" si="6"/>
        <v>95.305555555555543</v>
      </c>
      <c r="AC55" s="4">
        <f t="shared" si="7"/>
        <v>1.4959306942419857</v>
      </c>
      <c r="AD55" s="3"/>
      <c r="AE55" s="3"/>
      <c r="AF55" s="3"/>
      <c r="AG55" s="3"/>
      <c r="AH55" s="3"/>
    </row>
    <row r="56" spans="2:87" ht="24" customHeight="1" thickBot="1" x14ac:dyDescent="0.25">
      <c r="B56" s="15">
        <f t="shared" si="8"/>
        <v>304</v>
      </c>
      <c r="C56" s="15" t="s">
        <v>135</v>
      </c>
      <c r="D56" s="15">
        <v>2</v>
      </c>
      <c r="E56" s="15">
        <v>1</v>
      </c>
      <c r="F56" s="15">
        <v>1</v>
      </c>
      <c r="G56" s="15">
        <v>1</v>
      </c>
      <c r="H56" s="15">
        <v>3</v>
      </c>
      <c r="I56" s="15" t="s">
        <v>146</v>
      </c>
      <c r="J56" s="16"/>
      <c r="K56" s="15" t="s">
        <v>0</v>
      </c>
      <c r="L56" s="14">
        <v>96</v>
      </c>
      <c r="M56" s="13"/>
      <c r="N56" s="14">
        <v>99</v>
      </c>
      <c r="O56" s="13"/>
      <c r="P56" s="14">
        <v>90</v>
      </c>
      <c r="Q56" s="14">
        <v>83</v>
      </c>
      <c r="R56" s="14">
        <v>92</v>
      </c>
      <c r="S56" s="14">
        <v>92</v>
      </c>
      <c r="T56" s="13">
        <v>98</v>
      </c>
      <c r="U56" s="14">
        <v>96</v>
      </c>
      <c r="V56" s="13"/>
      <c r="W56" s="14">
        <v>87</v>
      </c>
      <c r="X56" s="13"/>
      <c r="Y56" s="14">
        <v>91</v>
      </c>
      <c r="Z56" s="13"/>
      <c r="AA56" s="4">
        <f t="shared" si="5"/>
        <v>91.833333333333329</v>
      </c>
      <c r="AB56" s="4">
        <f t="shared" si="6"/>
        <v>93.472222222222214</v>
      </c>
      <c r="AC56" s="4">
        <f t="shared" si="7"/>
        <v>1.7703403453210924</v>
      </c>
      <c r="AD56" s="3"/>
      <c r="AE56" s="3"/>
      <c r="AF56" s="3"/>
      <c r="AG56" s="3"/>
      <c r="AH56" s="3"/>
      <c r="AT56" s="12"/>
      <c r="AU56" s="12"/>
      <c r="AV56" s="11"/>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2:87" ht="24" customHeight="1" thickBot="1" x14ac:dyDescent="0.25">
      <c r="B57" s="7">
        <f t="shared" si="8"/>
        <v>305</v>
      </c>
      <c r="C57" s="7" t="s">
        <v>129</v>
      </c>
      <c r="D57" s="7">
        <v>11</v>
      </c>
      <c r="E57" s="7">
        <v>2</v>
      </c>
      <c r="F57" s="7">
        <v>3</v>
      </c>
      <c r="G57" s="7">
        <v>2</v>
      </c>
      <c r="H57" s="7">
        <v>4</v>
      </c>
      <c r="I57" s="7" t="s">
        <v>147</v>
      </c>
      <c r="J57" s="16"/>
      <c r="K57" s="7" t="s">
        <v>2</v>
      </c>
      <c r="L57" s="6">
        <v>100</v>
      </c>
      <c r="M57" s="6"/>
      <c r="N57" s="6">
        <v>100</v>
      </c>
      <c r="O57" s="6"/>
      <c r="P57" s="6">
        <v>100</v>
      </c>
      <c r="Q57" s="6">
        <v>100</v>
      </c>
      <c r="R57" s="6">
        <v>100</v>
      </c>
      <c r="S57" s="6">
        <v>100</v>
      </c>
      <c r="T57" s="6">
        <v>100</v>
      </c>
      <c r="U57" s="6">
        <v>100</v>
      </c>
      <c r="V57" s="6"/>
      <c r="W57" s="6">
        <v>100</v>
      </c>
      <c r="X57" s="6"/>
      <c r="Y57" s="6">
        <v>100</v>
      </c>
      <c r="Z57" s="6"/>
      <c r="AA57" s="4">
        <f t="shared" si="5"/>
        <v>100</v>
      </c>
      <c r="AB57" s="4">
        <f t="shared" si="6"/>
        <v>100</v>
      </c>
      <c r="AC57" s="4">
        <f t="shared" si="7"/>
        <v>0</v>
      </c>
      <c r="AD57" s="3"/>
      <c r="AE57" s="3"/>
      <c r="AF57" s="3"/>
      <c r="AG57" s="3"/>
      <c r="AH57" s="3"/>
    </row>
    <row r="58" spans="2:87" ht="24" customHeight="1" thickBot="1" x14ac:dyDescent="0.25">
      <c r="B58" s="15">
        <f t="shared" si="8"/>
        <v>305</v>
      </c>
      <c r="C58" s="15" t="s">
        <v>129</v>
      </c>
      <c r="D58" s="15">
        <v>11</v>
      </c>
      <c r="E58" s="15">
        <v>2</v>
      </c>
      <c r="F58" s="15">
        <v>3</v>
      </c>
      <c r="G58" s="15">
        <v>2</v>
      </c>
      <c r="H58" s="15">
        <v>4</v>
      </c>
      <c r="I58" s="15" t="s">
        <v>147</v>
      </c>
      <c r="J58" s="16"/>
      <c r="K58" s="15" t="s">
        <v>0</v>
      </c>
      <c r="L58" s="14">
        <v>126</v>
      </c>
      <c r="M58" s="13"/>
      <c r="N58" s="14">
        <v>115</v>
      </c>
      <c r="O58" s="13"/>
      <c r="P58" s="14">
        <v>97</v>
      </c>
      <c r="Q58" s="14">
        <v>116</v>
      </c>
      <c r="R58" s="14">
        <v>108</v>
      </c>
      <c r="S58" s="14">
        <v>115</v>
      </c>
      <c r="T58" s="13">
        <v>122</v>
      </c>
      <c r="U58" s="14">
        <v>99</v>
      </c>
      <c r="V58" s="13"/>
      <c r="W58" s="14">
        <v>120</v>
      </c>
      <c r="X58" s="13"/>
      <c r="Y58" s="14">
        <v>113</v>
      </c>
      <c r="Z58" s="13"/>
      <c r="AA58" s="4">
        <f t="shared" si="5"/>
        <v>109.5</v>
      </c>
      <c r="AB58" s="4">
        <f t="shared" si="6"/>
        <v>113.75</v>
      </c>
      <c r="AC58" s="4">
        <f t="shared" si="7"/>
        <v>3.7721567659187585</v>
      </c>
      <c r="AD58" s="3"/>
      <c r="AE58" s="3"/>
      <c r="AF58" s="3"/>
      <c r="AG58" s="3"/>
      <c r="AH58" s="3"/>
      <c r="AT58" s="12"/>
      <c r="AU58" s="12"/>
      <c r="AV58" s="11"/>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2:87" ht="24" customHeight="1" x14ac:dyDescent="0.2">
      <c r="B59" s="7">
        <f t="shared" si="8"/>
        <v>306</v>
      </c>
      <c r="C59" s="7" t="s">
        <v>122</v>
      </c>
      <c r="D59" s="7">
        <v>4</v>
      </c>
      <c r="E59" s="7">
        <v>1</v>
      </c>
      <c r="F59" s="7">
        <v>2</v>
      </c>
      <c r="G59" s="7">
        <v>1</v>
      </c>
      <c r="H59" s="7">
        <v>4</v>
      </c>
      <c r="I59" s="7" t="s">
        <v>148</v>
      </c>
      <c r="J59" s="9"/>
      <c r="K59" s="7" t="s">
        <v>2</v>
      </c>
      <c r="L59" s="6">
        <v>91</v>
      </c>
      <c r="M59" s="6"/>
      <c r="N59" s="6">
        <v>93</v>
      </c>
      <c r="O59" s="6"/>
      <c r="P59" s="6">
        <v>87</v>
      </c>
      <c r="Q59" s="6">
        <v>97</v>
      </c>
      <c r="R59" s="6">
        <v>96</v>
      </c>
      <c r="S59" s="6">
        <v>81</v>
      </c>
      <c r="T59" s="6">
        <v>84</v>
      </c>
      <c r="U59" s="6">
        <v>96</v>
      </c>
      <c r="V59" s="6"/>
      <c r="W59" s="6">
        <v>100</v>
      </c>
      <c r="X59" s="6"/>
      <c r="Y59" s="6">
        <v>103</v>
      </c>
      <c r="Z59" s="6"/>
      <c r="AA59" s="4">
        <f t="shared" si="5"/>
        <v>90.166666666666671</v>
      </c>
      <c r="AB59" s="4">
        <f t="shared" si="6"/>
        <v>95.527777777777786</v>
      </c>
      <c r="AC59" s="4">
        <f t="shared" si="7"/>
        <v>2.0951516636814529</v>
      </c>
      <c r="AD59" s="3"/>
      <c r="AE59" s="3"/>
      <c r="AF59" s="3"/>
      <c r="AG59" s="3"/>
      <c r="AH59" s="3"/>
    </row>
    <row r="60" spans="2:87" ht="24" customHeight="1" thickBot="1" x14ac:dyDescent="0.25">
      <c r="B60" s="15">
        <f t="shared" si="8"/>
        <v>306</v>
      </c>
      <c r="C60" s="15" t="s">
        <v>122</v>
      </c>
      <c r="D60" s="15">
        <v>4</v>
      </c>
      <c r="E60" s="15">
        <v>1</v>
      </c>
      <c r="F60" s="15">
        <v>2</v>
      </c>
      <c r="G60" s="15">
        <v>1</v>
      </c>
      <c r="H60" s="15">
        <v>4</v>
      </c>
      <c r="I60" s="15" t="s">
        <v>148</v>
      </c>
      <c r="J60" s="16"/>
      <c r="K60" s="15" t="s">
        <v>0</v>
      </c>
      <c r="L60" s="14">
        <v>93</v>
      </c>
      <c r="M60" s="13"/>
      <c r="N60" s="14">
        <v>94</v>
      </c>
      <c r="O60" s="13"/>
      <c r="P60" s="14">
        <v>91</v>
      </c>
      <c r="Q60" s="14">
        <v>85</v>
      </c>
      <c r="R60" s="14">
        <v>78</v>
      </c>
      <c r="S60" s="14">
        <v>81</v>
      </c>
      <c r="T60" s="13">
        <v>83</v>
      </c>
      <c r="U60" s="14">
        <v>88</v>
      </c>
      <c r="V60" s="13"/>
      <c r="W60" s="14">
        <v>96</v>
      </c>
      <c r="X60" s="13"/>
      <c r="Y60" s="14">
        <v>105</v>
      </c>
      <c r="Z60" s="13"/>
      <c r="AA60" s="4">
        <f t="shared" si="5"/>
        <v>84.333333333333329</v>
      </c>
      <c r="AB60" s="4">
        <f t="shared" si="6"/>
        <v>93.388888888888872</v>
      </c>
      <c r="AC60" s="4">
        <f t="shared" si="7"/>
        <v>2.9051890569789305</v>
      </c>
      <c r="AD60" s="3"/>
      <c r="AE60" s="3"/>
      <c r="AF60" s="3"/>
      <c r="AG60" s="3"/>
      <c r="AH60" s="3"/>
      <c r="AT60" s="12"/>
      <c r="AU60" s="12"/>
      <c r="AV60" s="11"/>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2:87" ht="24" customHeight="1" x14ac:dyDescent="0.2">
      <c r="B61" s="7">
        <f t="shared" si="8"/>
        <v>307</v>
      </c>
      <c r="C61" s="7" t="s">
        <v>115</v>
      </c>
      <c r="D61" s="7">
        <v>9</v>
      </c>
      <c r="E61" s="7">
        <v>2</v>
      </c>
      <c r="F61" s="7">
        <v>2</v>
      </c>
      <c r="G61" s="7">
        <v>2</v>
      </c>
      <c r="H61" s="7">
        <v>4</v>
      </c>
      <c r="I61" s="7" t="s">
        <v>149</v>
      </c>
      <c r="J61" s="9"/>
      <c r="K61" s="7" t="s">
        <v>2</v>
      </c>
      <c r="L61" s="6">
        <v>97</v>
      </c>
      <c r="M61" s="5"/>
      <c r="N61" s="6">
        <v>95</v>
      </c>
      <c r="O61" s="5"/>
      <c r="P61" s="6">
        <v>100</v>
      </c>
      <c r="Q61" s="6">
        <v>110</v>
      </c>
      <c r="R61" s="6">
        <v>99</v>
      </c>
      <c r="S61" s="6"/>
      <c r="T61" s="5"/>
      <c r="U61" s="6">
        <v>100</v>
      </c>
      <c r="V61" s="5"/>
      <c r="W61" s="6">
        <v>98</v>
      </c>
      <c r="X61" s="5"/>
      <c r="Y61" s="6">
        <v>99</v>
      </c>
      <c r="Z61" s="5"/>
      <c r="AA61" s="4">
        <f t="shared" si="5"/>
        <v>102.25</v>
      </c>
      <c r="AB61" s="4">
        <f t="shared" si="6"/>
        <v>98.541666666666671</v>
      </c>
      <c r="AC61" s="4">
        <f t="shared" si="7"/>
        <v>1.0214708893442719</v>
      </c>
      <c r="AD61" s="3"/>
      <c r="AE61" s="3"/>
      <c r="AF61" s="3"/>
      <c r="AG61" s="3"/>
      <c r="AH61" s="3"/>
    </row>
    <row r="62" spans="2:87" ht="24" customHeight="1" thickBot="1" x14ac:dyDescent="0.25">
      <c r="B62" s="15">
        <f t="shared" si="8"/>
        <v>307</v>
      </c>
      <c r="C62" s="15" t="s">
        <v>115</v>
      </c>
      <c r="D62" s="15">
        <v>9</v>
      </c>
      <c r="E62" s="15">
        <v>2</v>
      </c>
      <c r="F62" s="15">
        <v>2</v>
      </c>
      <c r="G62" s="15">
        <v>2</v>
      </c>
      <c r="H62" s="15">
        <v>4</v>
      </c>
      <c r="I62" s="15" t="s">
        <v>149</v>
      </c>
      <c r="J62" s="16"/>
      <c r="K62" s="15" t="s">
        <v>0</v>
      </c>
      <c r="L62" s="14">
        <v>99</v>
      </c>
      <c r="M62" s="13"/>
      <c r="N62" s="14">
        <v>109</v>
      </c>
      <c r="O62" s="13"/>
      <c r="P62" s="14">
        <v>107</v>
      </c>
      <c r="Q62" s="14">
        <v>97</v>
      </c>
      <c r="R62" s="14">
        <v>117</v>
      </c>
      <c r="S62" s="14"/>
      <c r="T62" s="13"/>
      <c r="U62" s="14">
        <v>110</v>
      </c>
      <c r="V62" s="13"/>
      <c r="W62" s="14">
        <v>111</v>
      </c>
      <c r="X62" s="13"/>
      <c r="Y62" s="14">
        <v>118</v>
      </c>
      <c r="Z62" s="13"/>
      <c r="AA62" s="4">
        <f t="shared" si="5"/>
        <v>107.75</v>
      </c>
      <c r="AB62" s="4">
        <f t="shared" si="6"/>
        <v>109.125</v>
      </c>
      <c r="AC62" s="4">
        <f t="shared" si="7"/>
        <v>2.4997916579853876</v>
      </c>
      <c r="AD62" s="3"/>
      <c r="AE62" s="3"/>
      <c r="AF62" s="3"/>
      <c r="AG62" s="3"/>
      <c r="AH62" s="3"/>
      <c r="AT62" s="12"/>
      <c r="AU62" s="12"/>
      <c r="AV62" s="11"/>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2:87" ht="24" customHeight="1" x14ac:dyDescent="0.2">
      <c r="B63" s="7">
        <f t="shared" si="8"/>
        <v>308</v>
      </c>
      <c r="C63" s="7" t="s">
        <v>120</v>
      </c>
      <c r="D63" s="7">
        <v>5</v>
      </c>
      <c r="E63" s="7">
        <v>1</v>
      </c>
      <c r="F63" s="7">
        <v>3</v>
      </c>
      <c r="G63" s="7">
        <v>2</v>
      </c>
      <c r="H63" s="7">
        <v>4</v>
      </c>
      <c r="I63" s="7" t="s">
        <v>150</v>
      </c>
      <c r="J63" s="9"/>
      <c r="K63" s="7" t="s">
        <v>2</v>
      </c>
      <c r="L63" s="6">
        <v>100</v>
      </c>
      <c r="M63" s="5"/>
      <c r="N63" s="6">
        <v>100</v>
      </c>
      <c r="O63" s="5"/>
      <c r="P63" s="6">
        <v>99</v>
      </c>
      <c r="Q63" s="6">
        <v>93</v>
      </c>
      <c r="R63" s="6">
        <v>90</v>
      </c>
      <c r="S63" s="6"/>
      <c r="T63" s="5"/>
      <c r="U63" s="6">
        <v>100</v>
      </c>
      <c r="V63" s="5"/>
      <c r="W63" s="6">
        <v>100</v>
      </c>
      <c r="X63" s="5"/>
      <c r="Y63" s="6">
        <v>90</v>
      </c>
      <c r="Z63" s="5"/>
      <c r="AA63" s="4">
        <f>AVERAGE(P63:T63)</f>
        <v>94</v>
      </c>
      <c r="AB63" s="4">
        <f>AVERAGE(AVERAGE(L63:M63),AVERAGE(N63:O63),AVERAGE(P63:T63),AVERAGE(U63:V63),AVERAGE(W63:X63),AVERAGE(Y63:Z63))</f>
        <v>97.333333333333329</v>
      </c>
      <c r="AC63" s="4">
        <f>STDEV(AVERAGE(L63:M63),AVERAGE(N63:O63),AVERAGE(P63:T63),AVERAGE(U63:V63),AVERAGE(W63:X63),AVERAGE(Y63:Z63))/SQRT(6)</f>
        <v>1.7638342073763937</v>
      </c>
      <c r="AD63" s="3"/>
      <c r="AE63" s="3"/>
      <c r="AF63" s="3"/>
      <c r="AG63" s="3"/>
      <c r="AH63" s="3"/>
    </row>
    <row r="64" spans="2:87" ht="24" customHeight="1" x14ac:dyDescent="0.2">
      <c r="B64" s="7">
        <f t="shared" si="8"/>
        <v>308</v>
      </c>
      <c r="C64" s="7" t="s">
        <v>120</v>
      </c>
      <c r="D64" s="7">
        <v>5</v>
      </c>
      <c r="E64" s="7">
        <v>1</v>
      </c>
      <c r="F64" s="7">
        <v>3</v>
      </c>
      <c r="G64" s="7">
        <v>2</v>
      </c>
      <c r="H64" s="7">
        <v>4</v>
      </c>
      <c r="I64" s="7" t="s">
        <v>150</v>
      </c>
      <c r="J64" s="9"/>
      <c r="K64" s="7" t="s">
        <v>0</v>
      </c>
      <c r="L64" s="6">
        <v>91</v>
      </c>
      <c r="M64" s="6"/>
      <c r="N64" s="6">
        <v>99</v>
      </c>
      <c r="O64" s="6"/>
      <c r="P64" s="6">
        <v>85</v>
      </c>
      <c r="Q64" s="6">
        <v>81</v>
      </c>
      <c r="R64" s="6">
        <v>85</v>
      </c>
      <c r="S64" s="6"/>
      <c r="T64" s="6"/>
      <c r="U64" s="6">
        <v>110</v>
      </c>
      <c r="V64" s="6"/>
      <c r="W64" s="6">
        <v>98</v>
      </c>
      <c r="X64" s="6"/>
      <c r="Y64" s="6">
        <v>76</v>
      </c>
      <c r="Z64" s="6"/>
      <c r="AA64" s="4">
        <f t="shared" ref="AA64:AA80" si="9">AVERAGE(P64:U64)</f>
        <v>90.25</v>
      </c>
      <c r="AB64" s="4">
        <f t="shared" ref="AB64:AB80" si="10">AVERAGE(AVERAGE(L64:M64),AVERAGE(N64:O64),AVERAGE(P64:U64),AVERAGE(U64:V64),AVERAGE(W64:X64),AVERAGE(Y64:Z64))</f>
        <v>94.041666666666671</v>
      </c>
      <c r="AC64" s="4">
        <f t="shared" ref="AC64:AC80" si="11">STDEV(AVERAGE(L64:M64),AVERAGE(N64:O64),AVERAGE(P64:U64),AVERAGE(U64:V64),AVERAGE(W64:X64),AVERAGE(Y64:Z64))/SQRT(6)</f>
        <v>4.6334007788856191</v>
      </c>
      <c r="AD64" s="3"/>
      <c r="AE64" s="3"/>
      <c r="AF64" s="3"/>
      <c r="AG64" s="3"/>
      <c r="AH64" s="3"/>
    </row>
    <row r="65" spans="2:87" ht="24" customHeight="1" x14ac:dyDescent="0.2">
      <c r="B65" s="7">
        <f>B63+100</f>
        <v>408</v>
      </c>
      <c r="C65" s="7" t="s">
        <v>113</v>
      </c>
      <c r="D65" s="7">
        <v>10</v>
      </c>
      <c r="E65" s="7">
        <v>2</v>
      </c>
      <c r="F65" s="7">
        <v>2</v>
      </c>
      <c r="G65" s="7">
        <v>1</v>
      </c>
      <c r="H65" s="7">
        <v>4</v>
      </c>
      <c r="I65" s="7" t="s">
        <v>151</v>
      </c>
      <c r="J65" s="7"/>
      <c r="K65" s="7" t="s">
        <v>2</v>
      </c>
      <c r="L65" s="6">
        <v>103</v>
      </c>
      <c r="M65" s="6"/>
      <c r="N65" s="6">
        <v>91</v>
      </c>
      <c r="O65" s="6"/>
      <c r="P65" s="6">
        <v>95</v>
      </c>
      <c r="Q65" s="6">
        <v>96</v>
      </c>
      <c r="R65" s="6">
        <v>95</v>
      </c>
      <c r="S65" s="6">
        <v>87</v>
      </c>
      <c r="T65" s="6">
        <v>80</v>
      </c>
      <c r="U65" s="6">
        <v>86</v>
      </c>
      <c r="V65" s="6"/>
      <c r="W65" s="6">
        <v>106</v>
      </c>
      <c r="X65" s="6"/>
      <c r="Y65" s="6">
        <v>99</v>
      </c>
      <c r="Z65" s="6"/>
      <c r="AA65" s="4">
        <f t="shared" si="9"/>
        <v>89.833333333333329</v>
      </c>
      <c r="AB65" s="4">
        <f t="shared" si="10"/>
        <v>95.805555555555543</v>
      </c>
      <c r="AC65" s="4">
        <f t="shared" si="11"/>
        <v>3.2700709774454233</v>
      </c>
      <c r="AT65" s="12">
        <v>2</v>
      </c>
      <c r="AU65" s="12" t="s">
        <v>3</v>
      </c>
      <c r="AV65" s="12">
        <v>150</v>
      </c>
    </row>
    <row r="66" spans="2:87" ht="24" customHeight="1" thickBot="1" x14ac:dyDescent="0.25">
      <c r="B66" s="7">
        <f>B64+100</f>
        <v>408</v>
      </c>
      <c r="C66" s="15" t="s">
        <v>113</v>
      </c>
      <c r="D66" s="15">
        <v>10</v>
      </c>
      <c r="E66" s="15">
        <v>2</v>
      </c>
      <c r="F66" s="15">
        <v>2</v>
      </c>
      <c r="G66" s="15">
        <v>1</v>
      </c>
      <c r="H66" s="15">
        <v>4</v>
      </c>
      <c r="I66" s="15" t="s">
        <v>151</v>
      </c>
      <c r="J66" s="16"/>
      <c r="K66" s="15" t="s">
        <v>0</v>
      </c>
      <c r="L66" s="14">
        <v>100</v>
      </c>
      <c r="M66" s="13"/>
      <c r="N66" s="14">
        <v>97</v>
      </c>
      <c r="O66" s="13"/>
      <c r="P66" s="14">
        <v>99</v>
      </c>
      <c r="Q66" s="14">
        <v>97</v>
      </c>
      <c r="R66" s="14">
        <v>100</v>
      </c>
      <c r="S66" s="14">
        <v>99</v>
      </c>
      <c r="T66" s="13">
        <v>93</v>
      </c>
      <c r="U66" s="14">
        <v>84</v>
      </c>
      <c r="V66" s="13"/>
      <c r="W66" s="14">
        <v>95</v>
      </c>
      <c r="X66" s="13"/>
      <c r="Y66" s="14">
        <v>122</v>
      </c>
      <c r="Z66" s="13"/>
      <c r="AA66" s="4">
        <f t="shared" si="9"/>
        <v>95.333333333333329</v>
      </c>
      <c r="AB66" s="4">
        <f t="shared" si="10"/>
        <v>98.888888888888872</v>
      </c>
      <c r="AC66" s="4">
        <f t="shared" si="11"/>
        <v>5.1263059161231617</v>
      </c>
      <c r="AD66" s="3"/>
      <c r="AE66" s="3"/>
      <c r="AF66" s="3"/>
      <c r="AG66" s="3"/>
      <c r="AH66" s="3"/>
      <c r="AT66" s="12"/>
      <c r="AU66" s="12"/>
      <c r="AV66" s="11"/>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2:87" ht="24" customHeight="1" x14ac:dyDescent="0.2">
      <c r="B67" s="7">
        <f t="shared" ref="B67:B80" si="12">B65-1</f>
        <v>407</v>
      </c>
      <c r="C67" s="7" t="s">
        <v>152</v>
      </c>
      <c r="D67" s="7">
        <v>7</v>
      </c>
      <c r="E67" s="7">
        <v>2</v>
      </c>
      <c r="F67" s="7">
        <v>1</v>
      </c>
      <c r="G67" s="7">
        <v>2</v>
      </c>
      <c r="H67" s="7">
        <v>4</v>
      </c>
      <c r="I67" s="7" t="s">
        <v>153</v>
      </c>
      <c r="J67" s="9"/>
      <c r="K67" s="7" t="s">
        <v>2</v>
      </c>
      <c r="L67" s="6">
        <v>89</v>
      </c>
      <c r="M67" s="6"/>
      <c r="N67" s="6">
        <v>92</v>
      </c>
      <c r="O67" s="6"/>
      <c r="P67" s="6">
        <v>91</v>
      </c>
      <c r="Q67" s="6">
        <v>100</v>
      </c>
      <c r="R67" s="6">
        <v>92</v>
      </c>
      <c r="S67" s="6">
        <v>88</v>
      </c>
      <c r="T67" s="6">
        <v>89</v>
      </c>
      <c r="U67" s="6">
        <v>92</v>
      </c>
      <c r="V67" s="6"/>
      <c r="W67" s="6">
        <v>79</v>
      </c>
      <c r="X67" s="6"/>
      <c r="Y67" s="6">
        <v>108</v>
      </c>
      <c r="Z67" s="6"/>
      <c r="AA67" s="4">
        <f t="shared" si="9"/>
        <v>92</v>
      </c>
      <c r="AB67" s="4">
        <f t="shared" si="10"/>
        <v>92</v>
      </c>
      <c r="AC67" s="4">
        <f t="shared" si="11"/>
        <v>3.8035071534922431</v>
      </c>
      <c r="AD67" s="3"/>
      <c r="AE67" s="3"/>
      <c r="AF67" s="3"/>
      <c r="AG67" s="3"/>
      <c r="AH67" s="3"/>
    </row>
    <row r="68" spans="2:87" ht="24" customHeight="1" thickBot="1" x14ac:dyDescent="0.25">
      <c r="B68" s="7">
        <f t="shared" si="12"/>
        <v>407</v>
      </c>
      <c r="C68" s="15" t="s">
        <v>152</v>
      </c>
      <c r="D68" s="15">
        <v>7</v>
      </c>
      <c r="E68" s="15">
        <v>2</v>
      </c>
      <c r="F68" s="15">
        <v>1</v>
      </c>
      <c r="G68" s="15">
        <v>2</v>
      </c>
      <c r="H68" s="15">
        <v>4</v>
      </c>
      <c r="I68" s="15" t="s">
        <v>153</v>
      </c>
      <c r="J68" s="16"/>
      <c r="K68" s="15" t="s">
        <v>0</v>
      </c>
      <c r="L68" s="14">
        <v>106</v>
      </c>
      <c r="M68" s="13"/>
      <c r="N68" s="14">
        <v>98</v>
      </c>
      <c r="O68" s="13"/>
      <c r="P68" s="14">
        <v>96</v>
      </c>
      <c r="Q68" s="14">
        <v>71</v>
      </c>
      <c r="R68" s="14">
        <v>87</v>
      </c>
      <c r="S68" s="14">
        <v>92</v>
      </c>
      <c r="T68" s="13">
        <v>93</v>
      </c>
      <c r="U68" s="14">
        <v>85</v>
      </c>
      <c r="V68" s="13"/>
      <c r="W68" s="14">
        <v>91</v>
      </c>
      <c r="X68" s="13"/>
      <c r="Y68" s="14">
        <v>101</v>
      </c>
      <c r="Z68" s="13"/>
      <c r="AA68" s="4">
        <f t="shared" si="9"/>
        <v>87.333333333333329</v>
      </c>
      <c r="AB68" s="4">
        <f t="shared" si="10"/>
        <v>94.722222222222214</v>
      </c>
      <c r="AC68" s="4">
        <f t="shared" si="11"/>
        <v>3.3680598510854631</v>
      </c>
      <c r="AD68" s="3"/>
      <c r="AE68" s="3"/>
      <c r="AF68" s="3"/>
      <c r="AG68" s="3"/>
      <c r="AH68" s="3"/>
      <c r="AT68" s="12"/>
      <c r="AU68" s="12"/>
      <c r="AV68" s="11"/>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2:87" ht="24" customHeight="1" x14ac:dyDescent="0.2">
      <c r="B69" s="7">
        <f t="shared" si="12"/>
        <v>406</v>
      </c>
      <c r="C69" s="7" t="s">
        <v>111</v>
      </c>
      <c r="D69" s="7">
        <v>3</v>
      </c>
      <c r="E69" s="7">
        <v>1</v>
      </c>
      <c r="F69" s="7">
        <v>2</v>
      </c>
      <c r="G69" s="7">
        <v>2</v>
      </c>
      <c r="H69" s="7">
        <v>4</v>
      </c>
      <c r="I69" s="7" t="s">
        <v>154</v>
      </c>
      <c r="J69" s="9"/>
      <c r="K69" s="7" t="s">
        <v>2</v>
      </c>
      <c r="L69" s="6">
        <v>100</v>
      </c>
      <c r="M69" s="6"/>
      <c r="N69" s="6">
        <v>100</v>
      </c>
      <c r="O69" s="6"/>
      <c r="P69" s="6">
        <v>100</v>
      </c>
      <c r="Q69" s="6">
        <v>100</v>
      </c>
      <c r="R69" s="6">
        <v>100</v>
      </c>
      <c r="S69" s="6"/>
      <c r="T69" s="6"/>
      <c r="U69" s="6">
        <v>100</v>
      </c>
      <c r="V69" s="6"/>
      <c r="W69" s="6">
        <v>100</v>
      </c>
      <c r="X69" s="6"/>
      <c r="Y69" s="6">
        <v>100</v>
      </c>
      <c r="Z69" s="6"/>
      <c r="AA69" s="4">
        <f t="shared" si="9"/>
        <v>100</v>
      </c>
      <c r="AB69" s="4">
        <f t="shared" si="10"/>
        <v>100</v>
      </c>
      <c r="AC69" s="4">
        <f t="shared" si="11"/>
        <v>0</v>
      </c>
      <c r="AD69" s="3"/>
      <c r="AE69" s="3"/>
      <c r="AF69" s="3"/>
      <c r="AG69" s="3"/>
      <c r="AH69" s="3"/>
    </row>
    <row r="70" spans="2:87" ht="24" customHeight="1" thickBot="1" x14ac:dyDescent="0.25">
      <c r="B70" s="7">
        <f t="shared" si="12"/>
        <v>406</v>
      </c>
      <c r="C70" s="15" t="s">
        <v>111</v>
      </c>
      <c r="D70" s="15">
        <v>3</v>
      </c>
      <c r="E70" s="15">
        <v>1</v>
      </c>
      <c r="F70" s="15">
        <v>2</v>
      </c>
      <c r="G70" s="15">
        <v>2</v>
      </c>
      <c r="H70" s="15">
        <v>4</v>
      </c>
      <c r="I70" s="15" t="s">
        <v>154</v>
      </c>
      <c r="J70" s="16"/>
      <c r="K70" s="15" t="s">
        <v>0</v>
      </c>
      <c r="L70" s="14">
        <v>101</v>
      </c>
      <c r="M70" s="13"/>
      <c r="N70" s="14">
        <v>104</v>
      </c>
      <c r="O70" s="13"/>
      <c r="P70" s="14">
        <v>104</v>
      </c>
      <c r="Q70" s="14">
        <v>127</v>
      </c>
      <c r="R70" s="14">
        <v>99</v>
      </c>
      <c r="S70" s="14"/>
      <c r="T70" s="13"/>
      <c r="U70" s="14">
        <v>117</v>
      </c>
      <c r="V70" s="13"/>
      <c r="W70" s="14">
        <v>115</v>
      </c>
      <c r="X70" s="13"/>
      <c r="Y70" s="14">
        <v>110</v>
      </c>
      <c r="Z70" s="13"/>
      <c r="AA70" s="4">
        <f t="shared" si="9"/>
        <v>111.75</v>
      </c>
      <c r="AB70" s="4">
        <f t="shared" si="10"/>
        <v>109.79166666666667</v>
      </c>
      <c r="AC70" s="4">
        <f t="shared" si="11"/>
        <v>2.541666666666667</v>
      </c>
      <c r="AD70" s="3"/>
      <c r="AE70" s="3"/>
      <c r="AF70" s="3"/>
      <c r="AG70" s="3"/>
      <c r="AH70" s="3"/>
      <c r="AT70" s="12"/>
      <c r="AU70" s="12"/>
      <c r="AV70" s="11"/>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2:87" ht="24" customHeight="1" x14ac:dyDescent="0.2">
      <c r="B71" s="7">
        <f t="shared" si="12"/>
        <v>405</v>
      </c>
      <c r="C71" s="7" t="s">
        <v>155</v>
      </c>
      <c r="D71" s="7">
        <v>6</v>
      </c>
      <c r="E71" s="7">
        <v>1</v>
      </c>
      <c r="F71" s="7">
        <v>3</v>
      </c>
      <c r="G71" s="7">
        <v>1</v>
      </c>
      <c r="H71" s="7">
        <v>4</v>
      </c>
      <c r="I71" s="7" t="s">
        <v>156</v>
      </c>
      <c r="J71" s="9"/>
      <c r="K71" s="7" t="s">
        <v>2</v>
      </c>
      <c r="L71" s="6">
        <v>103</v>
      </c>
      <c r="M71" s="6"/>
      <c r="N71" s="6">
        <v>101</v>
      </c>
      <c r="O71" s="6"/>
      <c r="P71" s="6">
        <v>102</v>
      </c>
      <c r="Q71" s="6">
        <v>101</v>
      </c>
      <c r="R71" s="6">
        <v>104</v>
      </c>
      <c r="S71" s="6"/>
      <c r="T71" s="6"/>
      <c r="U71" s="6">
        <v>100</v>
      </c>
      <c r="V71" s="6"/>
      <c r="W71" s="6">
        <v>99</v>
      </c>
      <c r="X71" s="6"/>
      <c r="Y71" s="6">
        <v>101</v>
      </c>
      <c r="Z71" s="6"/>
      <c r="AA71" s="4">
        <f t="shared" si="9"/>
        <v>101.75</v>
      </c>
      <c r="AB71" s="4">
        <f t="shared" si="10"/>
        <v>100.95833333333333</v>
      </c>
      <c r="AC71" s="4">
        <f t="shared" si="11"/>
        <v>0.56427190057433996</v>
      </c>
      <c r="AD71" s="3"/>
      <c r="AE71" s="3"/>
      <c r="AF71" s="3"/>
      <c r="AG71" s="3"/>
      <c r="AH71" s="3"/>
    </row>
    <row r="72" spans="2:87" ht="24" customHeight="1" thickBot="1" x14ac:dyDescent="0.25">
      <c r="B72" s="7">
        <f t="shared" si="12"/>
        <v>405</v>
      </c>
      <c r="C72" s="15" t="s">
        <v>155</v>
      </c>
      <c r="D72" s="15">
        <v>6</v>
      </c>
      <c r="E72" s="15">
        <v>1</v>
      </c>
      <c r="F72" s="15">
        <v>3</v>
      </c>
      <c r="G72" s="15">
        <v>1</v>
      </c>
      <c r="H72" s="15">
        <v>4</v>
      </c>
      <c r="I72" s="15" t="s">
        <v>156</v>
      </c>
      <c r="J72" s="16"/>
      <c r="K72" s="15" t="s">
        <v>0</v>
      </c>
      <c r="L72" s="14">
        <v>81</v>
      </c>
      <c r="M72" s="13"/>
      <c r="N72" s="14">
        <v>90</v>
      </c>
      <c r="O72" s="13"/>
      <c r="P72" s="14">
        <v>71</v>
      </c>
      <c r="Q72" s="14">
        <v>75</v>
      </c>
      <c r="R72" s="14">
        <v>82</v>
      </c>
      <c r="S72" s="14"/>
      <c r="T72" s="13"/>
      <c r="U72" s="14">
        <v>82</v>
      </c>
      <c r="V72" s="13"/>
      <c r="W72" s="14">
        <v>86</v>
      </c>
      <c r="X72" s="13"/>
      <c r="Y72" s="14">
        <v>71</v>
      </c>
      <c r="Z72" s="13"/>
      <c r="AA72" s="4">
        <f t="shared" si="9"/>
        <v>77.5</v>
      </c>
      <c r="AB72" s="4">
        <f t="shared" si="10"/>
        <v>81.25</v>
      </c>
      <c r="AC72" s="4">
        <f t="shared" si="11"/>
        <v>2.70108003090122</v>
      </c>
      <c r="AD72" s="3"/>
      <c r="AE72" s="3"/>
      <c r="AF72" s="3"/>
      <c r="AG72" s="3"/>
      <c r="AH72" s="3"/>
      <c r="AT72" s="12"/>
      <c r="AU72" s="12"/>
      <c r="AV72" s="11"/>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2:87" ht="24" customHeight="1" thickBot="1" x14ac:dyDescent="0.25">
      <c r="B73" s="7">
        <f t="shared" si="12"/>
        <v>404</v>
      </c>
      <c r="C73" s="7" t="s">
        <v>111</v>
      </c>
      <c r="D73" s="7">
        <v>3</v>
      </c>
      <c r="E73" s="7">
        <v>1</v>
      </c>
      <c r="F73" s="7">
        <v>2</v>
      </c>
      <c r="G73" s="7">
        <v>2</v>
      </c>
      <c r="H73" s="7">
        <v>3</v>
      </c>
      <c r="I73" s="7" t="s">
        <v>157</v>
      </c>
      <c r="J73" s="16"/>
      <c r="K73" s="7" t="s">
        <v>2</v>
      </c>
      <c r="L73" s="6">
        <v>100</v>
      </c>
      <c r="M73" s="6"/>
      <c r="N73" s="6">
        <v>100</v>
      </c>
      <c r="O73" s="6"/>
      <c r="P73" s="6">
        <v>100</v>
      </c>
      <c r="Q73" s="6">
        <v>100</v>
      </c>
      <c r="R73" s="6">
        <v>100</v>
      </c>
      <c r="S73" s="6"/>
      <c r="T73" s="6"/>
      <c r="U73" s="6">
        <v>100</v>
      </c>
      <c r="V73" s="6"/>
      <c r="W73" s="6">
        <v>100</v>
      </c>
      <c r="X73" s="6"/>
      <c r="Y73" s="6">
        <v>100</v>
      </c>
      <c r="Z73" s="6"/>
      <c r="AA73" s="4">
        <f t="shared" si="9"/>
        <v>100</v>
      </c>
      <c r="AB73" s="4">
        <f t="shared" si="10"/>
        <v>100</v>
      </c>
      <c r="AC73" s="4">
        <f t="shared" si="11"/>
        <v>0</v>
      </c>
      <c r="AD73" s="3"/>
      <c r="AE73" s="3"/>
      <c r="AF73" s="3"/>
      <c r="AG73" s="3"/>
      <c r="AH73" s="3"/>
    </row>
    <row r="74" spans="2:87" ht="24" customHeight="1" thickBot="1" x14ac:dyDescent="0.25">
      <c r="B74" s="7">
        <f t="shared" si="12"/>
        <v>404</v>
      </c>
      <c r="C74" s="15" t="s">
        <v>111</v>
      </c>
      <c r="D74" s="15">
        <v>3</v>
      </c>
      <c r="E74" s="15">
        <v>1</v>
      </c>
      <c r="F74" s="15">
        <v>2</v>
      </c>
      <c r="G74" s="15">
        <v>2</v>
      </c>
      <c r="H74" s="15">
        <v>3</v>
      </c>
      <c r="I74" s="15" t="s">
        <v>157</v>
      </c>
      <c r="J74" s="16"/>
      <c r="K74" s="15" t="s">
        <v>0</v>
      </c>
      <c r="L74" s="14">
        <v>107</v>
      </c>
      <c r="M74" s="13"/>
      <c r="N74" s="14">
        <v>103</v>
      </c>
      <c r="O74" s="13"/>
      <c r="P74" s="14">
        <v>91</v>
      </c>
      <c r="Q74" s="14">
        <v>115</v>
      </c>
      <c r="R74" s="14">
        <v>101</v>
      </c>
      <c r="S74" s="14"/>
      <c r="T74" s="13"/>
      <c r="U74" s="14">
        <v>102</v>
      </c>
      <c r="V74" s="13"/>
      <c r="W74" s="14">
        <v>105</v>
      </c>
      <c r="X74" s="13"/>
      <c r="Y74" s="14">
        <v>100</v>
      </c>
      <c r="Z74" s="13"/>
      <c r="AA74" s="4">
        <f t="shared" si="9"/>
        <v>102.25</v>
      </c>
      <c r="AB74" s="4">
        <f t="shared" si="10"/>
        <v>103.20833333333333</v>
      </c>
      <c r="AC74" s="4">
        <f t="shared" si="11"/>
        <v>1.0050221114206614</v>
      </c>
      <c r="AD74" s="3"/>
      <c r="AE74" s="3"/>
      <c r="AF74" s="3"/>
      <c r="AG74" s="3"/>
      <c r="AH74" s="3"/>
      <c r="AT74" s="12"/>
      <c r="AU74" s="12"/>
      <c r="AV74" s="11"/>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2:87" ht="24" customHeight="1" x14ac:dyDescent="0.2">
      <c r="B75" s="7">
        <f t="shared" si="12"/>
        <v>403</v>
      </c>
      <c r="C75" s="7" t="s">
        <v>155</v>
      </c>
      <c r="D75" s="7">
        <v>6</v>
      </c>
      <c r="E75" s="7">
        <v>1</v>
      </c>
      <c r="F75" s="7">
        <v>3</v>
      </c>
      <c r="G75" s="7">
        <v>1</v>
      </c>
      <c r="H75" s="7">
        <v>3</v>
      </c>
      <c r="I75" s="7" t="s">
        <v>158</v>
      </c>
      <c r="J75" s="9"/>
      <c r="K75" s="7" t="s">
        <v>2</v>
      </c>
      <c r="L75" s="6">
        <v>100</v>
      </c>
      <c r="M75" s="6"/>
      <c r="N75" s="6">
        <v>100</v>
      </c>
      <c r="O75" s="6"/>
      <c r="P75" s="6">
        <v>100</v>
      </c>
      <c r="Q75" s="6">
        <v>100</v>
      </c>
      <c r="R75" s="6">
        <v>100</v>
      </c>
      <c r="S75" s="6">
        <v>100</v>
      </c>
      <c r="T75" s="6">
        <v>100</v>
      </c>
      <c r="U75" s="6">
        <v>100</v>
      </c>
      <c r="V75" s="6"/>
      <c r="W75" s="6">
        <v>100</v>
      </c>
      <c r="X75" s="6"/>
      <c r="Y75" s="6">
        <v>100</v>
      </c>
      <c r="Z75" s="6"/>
      <c r="AA75" s="4">
        <f t="shared" si="9"/>
        <v>100</v>
      </c>
      <c r="AB75" s="4">
        <f t="shared" si="10"/>
        <v>100</v>
      </c>
      <c r="AC75" s="4">
        <f t="shared" si="11"/>
        <v>0</v>
      </c>
      <c r="AD75" s="3"/>
      <c r="AE75" s="3"/>
      <c r="AF75" s="3"/>
      <c r="AG75" s="3"/>
      <c r="AH75" s="3"/>
    </row>
    <row r="76" spans="2:87" ht="24" customHeight="1" thickBot="1" x14ac:dyDescent="0.25">
      <c r="B76" s="7">
        <f t="shared" si="12"/>
        <v>403</v>
      </c>
      <c r="C76" s="15" t="s">
        <v>155</v>
      </c>
      <c r="D76" s="15">
        <v>6</v>
      </c>
      <c r="E76" s="15">
        <v>1</v>
      </c>
      <c r="F76" s="15">
        <v>3</v>
      </c>
      <c r="G76" s="15">
        <v>1</v>
      </c>
      <c r="H76" s="15">
        <v>3</v>
      </c>
      <c r="I76" s="15" t="s">
        <v>158</v>
      </c>
      <c r="J76" s="16"/>
      <c r="K76" s="15" t="s">
        <v>0</v>
      </c>
      <c r="L76" s="14">
        <v>110</v>
      </c>
      <c r="M76" s="13"/>
      <c r="N76" s="14">
        <v>91</v>
      </c>
      <c r="O76" s="13"/>
      <c r="P76" s="14">
        <v>80</v>
      </c>
      <c r="Q76" s="14">
        <v>75</v>
      </c>
      <c r="R76" s="14">
        <v>73</v>
      </c>
      <c r="S76" s="14">
        <v>82</v>
      </c>
      <c r="T76" s="13">
        <v>104</v>
      </c>
      <c r="U76" s="14">
        <v>86</v>
      </c>
      <c r="V76" s="13"/>
      <c r="W76" s="14">
        <v>94</v>
      </c>
      <c r="X76" s="13"/>
      <c r="Y76" s="14">
        <v>83</v>
      </c>
      <c r="Z76" s="13"/>
      <c r="AA76" s="4">
        <f t="shared" si="9"/>
        <v>83.333333333333329</v>
      </c>
      <c r="AB76" s="4">
        <f t="shared" si="10"/>
        <v>91.222222222222214</v>
      </c>
      <c r="AC76" s="4">
        <f t="shared" si="11"/>
        <v>4.1532376185392863</v>
      </c>
      <c r="AD76" s="3"/>
      <c r="AE76" s="3"/>
      <c r="AF76" s="3"/>
      <c r="AG76" s="3"/>
      <c r="AH76" s="3"/>
      <c r="AT76" s="12"/>
      <c r="AU76" s="12"/>
      <c r="AV76" s="11"/>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2:87" ht="24" customHeight="1" x14ac:dyDescent="0.2">
      <c r="B77" s="7">
        <f t="shared" si="12"/>
        <v>402</v>
      </c>
      <c r="C77" s="7" t="s">
        <v>115</v>
      </c>
      <c r="D77" s="7">
        <v>9</v>
      </c>
      <c r="E77" s="7">
        <v>2</v>
      </c>
      <c r="F77" s="7">
        <v>2</v>
      </c>
      <c r="G77" s="7">
        <v>2</v>
      </c>
      <c r="H77" s="7">
        <v>3</v>
      </c>
      <c r="I77" s="7" t="s">
        <v>159</v>
      </c>
      <c r="J77" s="9"/>
      <c r="K77" s="7" t="s">
        <v>2</v>
      </c>
      <c r="L77" s="6">
        <v>102</v>
      </c>
      <c r="M77" s="5"/>
      <c r="N77" s="6">
        <v>97</v>
      </c>
      <c r="O77" s="5"/>
      <c r="P77" s="6">
        <v>105</v>
      </c>
      <c r="Q77" s="6">
        <v>103</v>
      </c>
      <c r="R77" s="6">
        <v>95</v>
      </c>
      <c r="S77" s="6">
        <v>103</v>
      </c>
      <c r="T77" s="5">
        <v>98</v>
      </c>
      <c r="U77" s="6">
        <v>104</v>
      </c>
      <c r="V77" s="5"/>
      <c r="W77" s="6">
        <v>93</v>
      </c>
      <c r="X77" s="5"/>
      <c r="Y77" s="6">
        <v>89</v>
      </c>
      <c r="Z77" s="5"/>
      <c r="AA77" s="4">
        <f t="shared" si="9"/>
        <v>101.33333333333333</v>
      </c>
      <c r="AB77" s="4">
        <f t="shared" si="10"/>
        <v>97.722222222222214</v>
      </c>
      <c r="AC77" s="4">
        <f t="shared" si="11"/>
        <v>2.3780114111595299</v>
      </c>
      <c r="AD77" s="3"/>
      <c r="AE77" s="3"/>
      <c r="AF77" s="3"/>
      <c r="AG77" s="3"/>
      <c r="AH77" s="3"/>
    </row>
    <row r="78" spans="2:87" ht="24" customHeight="1" thickBot="1" x14ac:dyDescent="0.25">
      <c r="B78" s="7">
        <f t="shared" si="12"/>
        <v>402</v>
      </c>
      <c r="C78" s="15" t="s">
        <v>115</v>
      </c>
      <c r="D78" s="15">
        <v>9</v>
      </c>
      <c r="E78" s="15">
        <v>2</v>
      </c>
      <c r="F78" s="15">
        <v>2</v>
      </c>
      <c r="G78" s="15">
        <v>2</v>
      </c>
      <c r="H78" s="15">
        <v>3</v>
      </c>
      <c r="I78" s="15" t="s">
        <v>159</v>
      </c>
      <c r="J78" s="16"/>
      <c r="K78" s="15" t="s">
        <v>0</v>
      </c>
      <c r="L78" s="14">
        <v>93</v>
      </c>
      <c r="M78" s="13"/>
      <c r="N78" s="14">
        <v>97</v>
      </c>
      <c r="O78" s="13"/>
      <c r="P78" s="14">
        <v>97</v>
      </c>
      <c r="Q78" s="14">
        <v>92</v>
      </c>
      <c r="R78" s="14">
        <v>110</v>
      </c>
      <c r="S78" s="14">
        <v>113</v>
      </c>
      <c r="T78" s="13">
        <v>102</v>
      </c>
      <c r="U78" s="14">
        <v>98</v>
      </c>
      <c r="V78" s="13"/>
      <c r="W78" s="14">
        <v>102</v>
      </c>
      <c r="X78" s="13"/>
      <c r="Y78" s="14">
        <v>103</v>
      </c>
      <c r="Z78" s="13"/>
      <c r="AA78" s="4">
        <f t="shared" si="9"/>
        <v>102</v>
      </c>
      <c r="AB78" s="4">
        <f t="shared" si="10"/>
        <v>99.166666666666671</v>
      </c>
      <c r="AC78" s="4">
        <f t="shared" si="11"/>
        <v>1.5793810320642847</v>
      </c>
      <c r="AD78" s="3"/>
      <c r="AE78" s="3"/>
      <c r="AF78" s="3"/>
      <c r="AG78" s="3"/>
      <c r="AH78" s="3"/>
      <c r="AT78" s="12"/>
      <c r="AU78" s="12"/>
      <c r="AV78" s="11"/>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2:87" ht="24" customHeight="1" x14ac:dyDescent="0.2">
      <c r="B79" s="7">
        <f t="shared" si="12"/>
        <v>401</v>
      </c>
      <c r="C79" s="7" t="s">
        <v>152</v>
      </c>
      <c r="D79" s="7">
        <v>7</v>
      </c>
      <c r="E79" s="7">
        <v>2</v>
      </c>
      <c r="F79" s="7">
        <v>1</v>
      </c>
      <c r="G79" s="7">
        <v>2</v>
      </c>
      <c r="H79" s="7">
        <v>3</v>
      </c>
      <c r="I79" s="7" t="s">
        <v>160</v>
      </c>
      <c r="J79" s="9"/>
      <c r="K79" s="7" t="s">
        <v>2</v>
      </c>
      <c r="L79" s="6">
        <v>96</v>
      </c>
      <c r="M79" s="5"/>
      <c r="N79" s="6">
        <v>87</v>
      </c>
      <c r="O79" s="5"/>
      <c r="P79" s="6">
        <v>104</v>
      </c>
      <c r="Q79" s="6">
        <v>96</v>
      </c>
      <c r="R79" s="6">
        <v>98</v>
      </c>
      <c r="S79" s="6">
        <v>85</v>
      </c>
      <c r="T79" s="5">
        <v>93</v>
      </c>
      <c r="U79" s="6">
        <v>87</v>
      </c>
      <c r="V79" s="5"/>
      <c r="W79" s="6">
        <v>93</v>
      </c>
      <c r="X79" s="5"/>
      <c r="Y79" s="6">
        <v>94</v>
      </c>
      <c r="Z79" s="5"/>
      <c r="AA79" s="4">
        <f t="shared" si="9"/>
        <v>93.833333333333329</v>
      </c>
      <c r="AB79" s="4">
        <f t="shared" si="10"/>
        <v>91.805555555555543</v>
      </c>
      <c r="AC79" s="4">
        <f t="shared" si="11"/>
        <v>1.5719866333110604</v>
      </c>
      <c r="AD79" s="3"/>
      <c r="AE79" s="3"/>
      <c r="AF79" s="3"/>
      <c r="AG79" s="3"/>
      <c r="AH79" s="3"/>
    </row>
    <row r="80" spans="2:87" ht="24" customHeight="1" x14ac:dyDescent="0.2">
      <c r="B80" s="7">
        <f t="shared" si="12"/>
        <v>401</v>
      </c>
      <c r="C80" s="7" t="s">
        <v>152</v>
      </c>
      <c r="D80" s="7">
        <v>7</v>
      </c>
      <c r="E80" s="7">
        <v>2</v>
      </c>
      <c r="F80" s="7">
        <v>1</v>
      </c>
      <c r="G80" s="7">
        <v>2</v>
      </c>
      <c r="H80" s="7">
        <v>3</v>
      </c>
      <c r="I80" s="7" t="s">
        <v>160</v>
      </c>
      <c r="J80" s="7"/>
      <c r="K80" s="7" t="s">
        <v>0</v>
      </c>
      <c r="L80" s="6">
        <v>98</v>
      </c>
      <c r="M80" s="5"/>
      <c r="N80" s="6">
        <v>101</v>
      </c>
      <c r="O80" s="5"/>
      <c r="P80" s="6">
        <v>73</v>
      </c>
      <c r="Q80" s="6">
        <v>84</v>
      </c>
      <c r="R80" s="6">
        <v>72</v>
      </c>
      <c r="S80" s="6">
        <v>93</v>
      </c>
      <c r="T80" s="5">
        <v>81</v>
      </c>
      <c r="U80" s="6">
        <v>91</v>
      </c>
      <c r="V80" s="5"/>
      <c r="W80" s="6">
        <v>100</v>
      </c>
      <c r="X80" s="5"/>
      <c r="Y80" s="6">
        <v>101</v>
      </c>
      <c r="Z80" s="5"/>
      <c r="AA80" s="4">
        <f t="shared" si="9"/>
        <v>82.333333333333329</v>
      </c>
      <c r="AB80" s="4">
        <f t="shared" si="10"/>
        <v>95.555555555555543</v>
      </c>
      <c r="AC80" s="4">
        <f t="shared" si="11"/>
        <v>3.0582816122380052</v>
      </c>
      <c r="AD80" s="3"/>
      <c r="AE80" s="3"/>
      <c r="AF80" s="3"/>
      <c r="AG80" s="3"/>
      <c r="AH80" s="3"/>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sheetData>
  <mergeCells count="12">
    <mergeCell ref="P6:T6"/>
    <mergeCell ref="U6:V6"/>
    <mergeCell ref="AT5:AV5"/>
    <mergeCell ref="J7:K7"/>
    <mergeCell ref="B7:H7"/>
    <mergeCell ref="AA6:AA7"/>
    <mergeCell ref="AB6:AB7"/>
    <mergeCell ref="AC6:AC7"/>
    <mergeCell ref="L6:M6"/>
    <mergeCell ref="N6:O6"/>
    <mergeCell ref="W6:X6"/>
    <mergeCell ref="Y6:Z6"/>
  </mergeCells>
  <pageMargins left="0.51" right="0" top="0.85" bottom="0" header="0.64" footer="0"/>
  <pageSetup paperSize="512" scale="30" orientation="landscape" r:id="rId1"/>
  <headerFooter alignWithMargins="0">
    <oddHeader xml:space="preserve">&amp;L&amp;"Comic Sans MS,Bold"&amp;14FISE2003 ---Cotton Plant Cover and Heights in North 1 m of Harvest Area&amp;C&amp;"Comic Sans MS,Bold"&amp;12       </oddHeader>
    <oddFooter>&amp;L&amp;F   USWCL Remote Sensing&amp;R&amp;D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25B9-E3DB-4604-834B-4603F243B2E9}">
  <sheetPr>
    <pageSetUpPr fitToPage="1"/>
  </sheetPr>
  <dimension ref="A1:CI87"/>
  <sheetViews>
    <sheetView workbookViewId="0">
      <selection activeCell="N2" sqref="N2"/>
    </sheetView>
  </sheetViews>
  <sheetFormatPr defaultRowHeight="12.75" x14ac:dyDescent="0.2"/>
  <cols>
    <col min="1" max="1" width="9.140625" style="1"/>
    <col min="2" max="2" width="4.85546875" style="1" customWidth="1"/>
    <col min="3" max="3" width="5.7109375" style="1" customWidth="1"/>
    <col min="4" max="8" width="5.28515625" style="1" hidden="1" customWidth="1"/>
    <col min="9" max="9" width="7" style="1" hidden="1" customWidth="1"/>
    <col min="10" max="11" width="9" style="1" customWidth="1"/>
    <col min="12" max="13" width="9.140625" style="1"/>
    <col min="14" max="14" width="9.7109375" style="1" customWidth="1"/>
    <col min="15" max="25" width="9.140625" style="1"/>
    <col min="26" max="26" width="10.140625" style="1" customWidth="1"/>
    <col min="27" max="27" width="12.7109375" style="1" customWidth="1"/>
    <col min="28" max="35" width="9.140625" style="1"/>
    <col min="36" max="36" width="7.5703125" style="1" customWidth="1"/>
    <col min="37" max="46" width="7.7109375" style="1" customWidth="1"/>
    <col min="47" max="16384" width="9.140625" style="1"/>
  </cols>
  <sheetData>
    <row r="1" spans="1:87" ht="15" customHeight="1" x14ac:dyDescent="0.25">
      <c r="A1" s="44" t="s">
        <v>82</v>
      </c>
    </row>
    <row r="2" spans="1:87" ht="15" customHeight="1" thickBot="1" x14ac:dyDescent="0.3">
      <c r="A2" s="44"/>
      <c r="N2" s="43"/>
      <c r="X2" s="20" t="s">
        <v>81</v>
      </c>
      <c r="Y2" s="42">
        <v>37880</v>
      </c>
      <c r="Z2" s="39"/>
    </row>
    <row r="3" spans="1:87" ht="15" customHeight="1" thickBot="1" x14ac:dyDescent="0.25">
      <c r="B3" s="1" t="s">
        <v>80</v>
      </c>
      <c r="D3" s="41"/>
      <c r="E3" s="41"/>
      <c r="F3" s="41"/>
      <c r="G3" s="41"/>
      <c r="H3" s="41"/>
      <c r="I3" s="41"/>
      <c r="J3" s="41" t="s">
        <v>105</v>
      </c>
      <c r="K3" s="41"/>
      <c r="L3" s="41"/>
      <c r="M3" s="41"/>
      <c r="N3" s="41"/>
      <c r="O3" s="41"/>
      <c r="P3" s="41"/>
      <c r="Q3" s="41"/>
      <c r="R3" s="41"/>
      <c r="S3" s="41"/>
      <c r="T3" s="41"/>
      <c r="U3" s="41"/>
      <c r="V3" s="41"/>
    </row>
    <row r="4" spans="1:87" ht="13.5" thickBot="1" x14ac:dyDescent="0.25">
      <c r="D4" s="40"/>
      <c r="E4" s="40"/>
      <c r="F4" s="40"/>
      <c r="G4" s="40"/>
      <c r="H4" s="40"/>
      <c r="I4" s="40"/>
      <c r="J4" s="40" t="s">
        <v>104</v>
      </c>
      <c r="K4" s="40"/>
      <c r="L4" s="40"/>
      <c r="M4" s="40"/>
      <c r="N4" s="40"/>
      <c r="O4" s="40"/>
      <c r="P4" s="40"/>
      <c r="Q4" s="40"/>
      <c r="R4" s="40"/>
      <c r="S4" s="40"/>
      <c r="T4" s="40"/>
      <c r="U4" s="40"/>
      <c r="V4" s="40"/>
      <c r="X4" s="20" t="s">
        <v>78</v>
      </c>
      <c r="Y4" s="39" t="s">
        <v>103</v>
      </c>
      <c r="Z4" s="39"/>
    </row>
    <row r="5" spans="1:87" ht="18" x14ac:dyDescent="0.2">
      <c r="AS5" s="38"/>
      <c r="AT5" s="134" t="s">
        <v>76</v>
      </c>
      <c r="AU5" s="134"/>
      <c r="AV5" s="134"/>
    </row>
    <row r="6" spans="1:87" ht="25.5" customHeight="1" x14ac:dyDescent="0.2">
      <c r="B6" s="36" t="s">
        <v>51</v>
      </c>
      <c r="C6" s="37" t="s">
        <v>50</v>
      </c>
      <c r="D6" s="37" t="s">
        <v>75</v>
      </c>
      <c r="E6" s="36" t="s">
        <v>74</v>
      </c>
      <c r="F6" s="37" t="s">
        <v>73</v>
      </c>
      <c r="G6" s="36" t="s">
        <v>72</v>
      </c>
      <c r="H6" s="36" t="s">
        <v>45</v>
      </c>
      <c r="I6" s="36" t="s">
        <v>71</v>
      </c>
      <c r="J6" s="36" t="s">
        <v>43</v>
      </c>
      <c r="K6" s="35" t="s">
        <v>70</v>
      </c>
      <c r="L6" s="143" t="s">
        <v>69</v>
      </c>
      <c r="M6" s="144"/>
      <c r="N6" s="143" t="s">
        <v>68</v>
      </c>
      <c r="O6" s="144"/>
      <c r="P6" s="143" t="s">
        <v>67</v>
      </c>
      <c r="Q6" s="145"/>
      <c r="R6" s="145"/>
      <c r="S6" s="145"/>
      <c r="T6" s="144"/>
      <c r="U6" s="143" t="s">
        <v>66</v>
      </c>
      <c r="V6" s="144"/>
      <c r="W6" s="143" t="s">
        <v>65</v>
      </c>
      <c r="X6" s="144"/>
      <c r="Y6" s="143" t="s">
        <v>64</v>
      </c>
      <c r="Z6" s="144"/>
      <c r="AA6" s="139" t="s">
        <v>63</v>
      </c>
      <c r="AB6" s="139" t="s">
        <v>62</v>
      </c>
      <c r="AC6" s="141" t="s">
        <v>61</v>
      </c>
      <c r="AS6" s="34"/>
      <c r="AT6" s="2" t="s">
        <v>60</v>
      </c>
      <c r="AU6" s="2"/>
    </row>
    <row r="7" spans="1:87" ht="15.75" customHeight="1" x14ac:dyDescent="0.2">
      <c r="B7" s="137"/>
      <c r="C7" s="138"/>
      <c r="D7" s="138"/>
      <c r="E7" s="138"/>
      <c r="F7" s="138"/>
      <c r="G7" s="138"/>
      <c r="H7" s="138"/>
      <c r="I7" s="33"/>
      <c r="J7" s="135" t="s">
        <v>59</v>
      </c>
      <c r="K7" s="136"/>
      <c r="L7" s="32" t="s">
        <v>55</v>
      </c>
      <c r="M7" s="31" t="s">
        <v>54</v>
      </c>
      <c r="N7" s="32" t="s">
        <v>55</v>
      </c>
      <c r="O7" s="31" t="s">
        <v>54</v>
      </c>
      <c r="P7" s="32" t="s">
        <v>58</v>
      </c>
      <c r="Q7" s="31" t="s">
        <v>55</v>
      </c>
      <c r="R7" s="31" t="s">
        <v>57</v>
      </c>
      <c r="S7" s="31" t="s">
        <v>54</v>
      </c>
      <c r="T7" s="31" t="s">
        <v>56</v>
      </c>
      <c r="U7" s="32" t="s">
        <v>55</v>
      </c>
      <c r="V7" s="31" t="s">
        <v>54</v>
      </c>
      <c r="W7" s="32" t="s">
        <v>55</v>
      </c>
      <c r="X7" s="31" t="s">
        <v>54</v>
      </c>
      <c r="Y7" s="32" t="s">
        <v>55</v>
      </c>
      <c r="Z7" s="31" t="s">
        <v>54</v>
      </c>
      <c r="AA7" s="140"/>
      <c r="AB7" s="140"/>
      <c r="AC7" s="142"/>
      <c r="AT7" s="12" t="s">
        <v>7</v>
      </c>
      <c r="AU7" s="12" t="s">
        <v>53</v>
      </c>
      <c r="AV7" s="12" t="s">
        <v>52</v>
      </c>
    </row>
    <row r="8" spans="1:87" ht="15.75" hidden="1" customHeight="1" x14ac:dyDescent="0.2">
      <c r="B8" s="28" t="s">
        <v>51</v>
      </c>
      <c r="C8" s="30" t="s">
        <v>50</v>
      </c>
      <c r="D8" s="30" t="s">
        <v>49</v>
      </c>
      <c r="E8" s="28" t="s">
        <v>48</v>
      </c>
      <c r="F8" s="30" t="s">
        <v>47</v>
      </c>
      <c r="G8" s="28" t="s">
        <v>46</v>
      </c>
      <c r="H8" s="28" t="s">
        <v>45</v>
      </c>
      <c r="I8" s="28" t="s">
        <v>44</v>
      </c>
      <c r="J8" s="27" t="s">
        <v>43</v>
      </c>
      <c r="K8" s="27" t="s">
        <v>42</v>
      </c>
      <c r="L8" s="29" t="s">
        <v>41</v>
      </c>
      <c r="M8" s="29" t="s">
        <v>40</v>
      </c>
      <c r="N8" s="29" t="s">
        <v>39</v>
      </c>
      <c r="O8" s="29" t="s">
        <v>38</v>
      </c>
      <c r="P8" s="29" t="s">
        <v>37</v>
      </c>
      <c r="Q8" s="29" t="s">
        <v>36</v>
      </c>
      <c r="R8" s="29" t="s">
        <v>35</v>
      </c>
      <c r="S8" s="29" t="s">
        <v>34</v>
      </c>
      <c r="T8" s="29" t="s">
        <v>33</v>
      </c>
      <c r="U8" s="29" t="s">
        <v>32</v>
      </c>
      <c r="V8" s="29" t="s">
        <v>31</v>
      </c>
      <c r="W8" s="29" t="s">
        <v>30</v>
      </c>
      <c r="X8" s="29" t="s">
        <v>29</v>
      </c>
      <c r="Y8" s="29" t="s">
        <v>28</v>
      </c>
      <c r="Z8" s="29" t="s">
        <v>27</v>
      </c>
      <c r="AA8" s="28" t="s">
        <v>26</v>
      </c>
      <c r="AB8" s="28" t="s">
        <v>25</v>
      </c>
      <c r="AC8" s="27" t="s">
        <v>24</v>
      </c>
      <c r="AT8" s="12"/>
      <c r="AU8" s="12"/>
      <c r="AV8" s="12"/>
    </row>
    <row r="9" spans="1:87" ht="24" customHeight="1" x14ac:dyDescent="0.2">
      <c r="B9" s="7">
        <v>108</v>
      </c>
      <c r="C9" s="7" t="s">
        <v>111</v>
      </c>
      <c r="D9" s="7">
        <v>3</v>
      </c>
      <c r="E9" s="7">
        <v>1</v>
      </c>
      <c r="F9" s="7">
        <v>2</v>
      </c>
      <c r="G9" s="7">
        <v>2</v>
      </c>
      <c r="H9" s="7">
        <v>2</v>
      </c>
      <c r="I9" s="7" t="s">
        <v>112</v>
      </c>
      <c r="J9" s="7"/>
      <c r="K9" s="7" t="s">
        <v>2</v>
      </c>
      <c r="L9" s="6">
        <v>100</v>
      </c>
      <c r="M9" s="5"/>
      <c r="N9" s="6">
        <v>100</v>
      </c>
      <c r="O9" s="5"/>
      <c r="P9" s="6">
        <v>100</v>
      </c>
      <c r="Q9" s="6">
        <v>100</v>
      </c>
      <c r="R9" s="6"/>
      <c r="S9" s="6"/>
      <c r="T9" s="5"/>
      <c r="U9" s="6">
        <v>100</v>
      </c>
      <c r="V9" s="5"/>
      <c r="W9" s="6">
        <v>100</v>
      </c>
      <c r="X9" s="5"/>
      <c r="Y9" s="6">
        <v>100</v>
      </c>
      <c r="Z9" s="5"/>
      <c r="AA9" s="4">
        <f t="shared" ref="AA9:AA40" si="0">AVERAGE(P9:T9)</f>
        <v>100</v>
      </c>
      <c r="AB9" s="4">
        <f t="shared" ref="AB9:AB40" si="1">AVERAGE(AVERAGE(L9:M9),AVERAGE(N9:O9),AVERAGE(P9:T9),AVERAGE(U9:V9),AVERAGE(W9:X9),AVERAGE(Y9:Z9))</f>
        <v>100</v>
      </c>
      <c r="AC9" s="4">
        <f t="shared" ref="AC9:AC40" si="2">STDEV(AVERAGE(L9:M9),AVERAGE(N9:O9),AVERAGE(P9:T9),AVERAGE(U9:V9),AVERAGE(W9:X9),AVERAGE(Y9:Z9))/SQRT(6)</f>
        <v>0</v>
      </c>
      <c r="AD9" s="3"/>
      <c r="AE9" s="3"/>
      <c r="AF9" s="3"/>
      <c r="AG9" s="3"/>
      <c r="AH9" s="3"/>
      <c r="AT9" s="12">
        <v>1</v>
      </c>
      <c r="AU9" s="12" t="s">
        <v>23</v>
      </c>
      <c r="AV9" s="11"/>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24" customHeight="1" thickBot="1" x14ac:dyDescent="0.25">
      <c r="B10" s="15">
        <v>108</v>
      </c>
      <c r="C10" s="15" t="s">
        <v>111</v>
      </c>
      <c r="D10" s="15">
        <v>3</v>
      </c>
      <c r="E10" s="15">
        <v>1</v>
      </c>
      <c r="F10" s="15">
        <v>2</v>
      </c>
      <c r="G10" s="15">
        <v>2</v>
      </c>
      <c r="H10" s="15">
        <v>2</v>
      </c>
      <c r="I10" s="15" t="s">
        <v>112</v>
      </c>
      <c r="J10" s="16"/>
      <c r="K10" s="15" t="s">
        <v>0</v>
      </c>
      <c r="L10" s="14">
        <v>133</v>
      </c>
      <c r="M10" s="13"/>
      <c r="N10" s="14">
        <v>122</v>
      </c>
      <c r="O10" s="13"/>
      <c r="P10" s="14">
        <v>107</v>
      </c>
      <c r="Q10" s="14">
        <v>108</v>
      </c>
      <c r="R10" s="14"/>
      <c r="S10" s="14"/>
      <c r="T10" s="13"/>
      <c r="U10" s="14">
        <v>106</v>
      </c>
      <c r="V10" s="13"/>
      <c r="W10" s="14">
        <v>106</v>
      </c>
      <c r="X10" s="13"/>
      <c r="Y10" s="14">
        <v>110</v>
      </c>
      <c r="Z10" s="13"/>
      <c r="AA10" s="4">
        <f t="shared" si="0"/>
        <v>107.5</v>
      </c>
      <c r="AB10" s="4">
        <f t="shared" si="1"/>
        <v>114.08333333333333</v>
      </c>
      <c r="AC10" s="4">
        <f t="shared" si="2"/>
        <v>4.5137136718129476</v>
      </c>
      <c r="AD10" s="3"/>
      <c r="AE10" s="3"/>
      <c r="AF10" s="3"/>
      <c r="AG10" s="3"/>
      <c r="AH10" s="3"/>
      <c r="AT10" s="12">
        <v>2</v>
      </c>
      <c r="AU10" s="12" t="s">
        <v>22</v>
      </c>
      <c r="AV10" s="11"/>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24" customHeight="1" x14ac:dyDescent="0.2">
      <c r="B11" s="25">
        <f t="shared" ref="B11:B24" si="3">B9-1</f>
        <v>107</v>
      </c>
      <c r="C11" s="25" t="s">
        <v>113</v>
      </c>
      <c r="D11" s="25">
        <v>10</v>
      </c>
      <c r="E11" s="25">
        <v>2</v>
      </c>
      <c r="F11" s="25">
        <v>2</v>
      </c>
      <c r="G11" s="25">
        <v>1</v>
      </c>
      <c r="H11" s="25">
        <v>2</v>
      </c>
      <c r="I11" s="25" t="s">
        <v>114</v>
      </c>
      <c r="J11" s="26"/>
      <c r="K11" s="25" t="s">
        <v>2</v>
      </c>
      <c r="L11" s="24">
        <v>85</v>
      </c>
      <c r="M11" s="23"/>
      <c r="N11" s="24">
        <v>96</v>
      </c>
      <c r="O11" s="23"/>
      <c r="P11" s="24">
        <v>85</v>
      </c>
      <c r="Q11" s="24">
        <v>87</v>
      </c>
      <c r="R11" s="24"/>
      <c r="S11" s="24"/>
      <c r="T11" s="23"/>
      <c r="U11" s="24">
        <v>100</v>
      </c>
      <c r="V11" s="23"/>
      <c r="W11" s="24">
        <v>89</v>
      </c>
      <c r="X11" s="23"/>
      <c r="Y11" s="24">
        <v>89</v>
      </c>
      <c r="Z11" s="23"/>
      <c r="AA11" s="4">
        <f t="shared" si="0"/>
        <v>86</v>
      </c>
      <c r="AB11" s="4">
        <f t="shared" si="1"/>
        <v>90.833333333333329</v>
      </c>
      <c r="AC11" s="4">
        <f t="shared" si="2"/>
        <v>2.4140790744666543</v>
      </c>
      <c r="AD11" s="3"/>
      <c r="AE11" s="22"/>
      <c r="AF11" s="3"/>
      <c r="AG11" s="21"/>
      <c r="AH11" s="3"/>
      <c r="AT11" s="12">
        <v>3</v>
      </c>
      <c r="AU11" s="12" t="s">
        <v>21</v>
      </c>
      <c r="AV11" s="12" t="s">
        <v>19</v>
      </c>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row>
    <row r="12" spans="1:87" ht="24" customHeight="1" thickBot="1" x14ac:dyDescent="0.25">
      <c r="B12" s="15">
        <f t="shared" si="3"/>
        <v>107</v>
      </c>
      <c r="C12" s="15" t="s">
        <v>113</v>
      </c>
      <c r="D12" s="15">
        <v>10</v>
      </c>
      <c r="E12" s="15">
        <v>2</v>
      </c>
      <c r="F12" s="15">
        <v>2</v>
      </c>
      <c r="G12" s="15">
        <v>1</v>
      </c>
      <c r="H12" s="15">
        <v>2</v>
      </c>
      <c r="I12" s="15" t="s">
        <v>114</v>
      </c>
      <c r="J12" s="16"/>
      <c r="K12" s="15" t="s">
        <v>0</v>
      </c>
      <c r="L12" s="14">
        <v>96</v>
      </c>
      <c r="M12" s="13"/>
      <c r="N12" s="14">
        <v>114</v>
      </c>
      <c r="O12" s="13"/>
      <c r="P12" s="14">
        <v>95</v>
      </c>
      <c r="Q12" s="14">
        <v>115</v>
      </c>
      <c r="R12" s="14"/>
      <c r="S12" s="14"/>
      <c r="T12" s="13"/>
      <c r="U12" s="14">
        <v>105</v>
      </c>
      <c r="V12" s="13"/>
      <c r="W12" s="14">
        <v>112</v>
      </c>
      <c r="X12" s="13"/>
      <c r="Y12" s="14">
        <v>115</v>
      </c>
      <c r="Z12" s="13"/>
      <c r="AA12" s="4">
        <f t="shared" si="0"/>
        <v>105</v>
      </c>
      <c r="AB12" s="4">
        <f t="shared" si="1"/>
        <v>107.83333333333333</v>
      </c>
      <c r="AC12" s="4">
        <f t="shared" si="2"/>
        <v>2.9599174162653785</v>
      </c>
      <c r="AD12" s="3"/>
      <c r="AE12" s="3"/>
      <c r="AF12" s="3"/>
      <c r="AG12" s="3"/>
      <c r="AH12" s="3"/>
      <c r="AT12" s="12">
        <v>4</v>
      </c>
      <c r="AU12" s="12" t="s">
        <v>20</v>
      </c>
      <c r="AV12" s="11" t="s">
        <v>19</v>
      </c>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24" customHeight="1" x14ac:dyDescent="0.2">
      <c r="B13" s="7">
        <f t="shared" si="3"/>
        <v>106</v>
      </c>
      <c r="C13" s="7" t="s">
        <v>115</v>
      </c>
      <c r="D13" s="7">
        <v>9</v>
      </c>
      <c r="E13" s="7">
        <v>2</v>
      </c>
      <c r="F13" s="7">
        <v>2</v>
      </c>
      <c r="G13" s="7">
        <v>2</v>
      </c>
      <c r="H13" s="7">
        <v>2</v>
      </c>
      <c r="I13" s="7" t="s">
        <v>116</v>
      </c>
      <c r="J13" s="9"/>
      <c r="K13" s="7" t="s">
        <v>2</v>
      </c>
      <c r="L13" s="6">
        <v>100</v>
      </c>
      <c r="M13" s="5"/>
      <c r="N13" s="6">
        <v>100</v>
      </c>
      <c r="O13" s="5"/>
      <c r="P13" s="6">
        <v>100</v>
      </c>
      <c r="Q13" s="6">
        <v>100</v>
      </c>
      <c r="R13" s="6"/>
      <c r="S13" s="6"/>
      <c r="T13" s="5"/>
      <c r="U13" s="6">
        <v>100</v>
      </c>
      <c r="V13" s="5"/>
      <c r="W13" s="6">
        <v>100</v>
      </c>
      <c r="X13" s="5"/>
      <c r="Y13" s="6">
        <v>100</v>
      </c>
      <c r="Z13" s="5"/>
      <c r="AA13" s="4">
        <f t="shared" si="0"/>
        <v>100</v>
      </c>
      <c r="AB13" s="4">
        <f t="shared" si="1"/>
        <v>100</v>
      </c>
      <c r="AC13" s="4">
        <f t="shared" si="2"/>
        <v>0</v>
      </c>
      <c r="AD13" s="3"/>
      <c r="AE13" s="3"/>
      <c r="AF13" s="3"/>
      <c r="AG13" s="3"/>
      <c r="AH13" s="3"/>
      <c r="AT13" s="12">
        <v>8</v>
      </c>
      <c r="AU13" s="12" t="s">
        <v>18</v>
      </c>
      <c r="AV13" s="12" t="s">
        <v>17</v>
      </c>
    </row>
    <row r="14" spans="1:87" ht="24" customHeight="1" thickBot="1" x14ac:dyDescent="0.25">
      <c r="B14" s="15">
        <f t="shared" si="3"/>
        <v>106</v>
      </c>
      <c r="C14" s="15" t="s">
        <v>115</v>
      </c>
      <c r="D14" s="15">
        <v>9</v>
      </c>
      <c r="E14" s="15">
        <v>2</v>
      </c>
      <c r="F14" s="15">
        <v>2</v>
      </c>
      <c r="G14" s="15">
        <v>2</v>
      </c>
      <c r="H14" s="15">
        <v>2</v>
      </c>
      <c r="I14" s="15" t="s">
        <v>116</v>
      </c>
      <c r="J14" s="16"/>
      <c r="K14" s="15" t="s">
        <v>0</v>
      </c>
      <c r="L14" s="14">
        <v>146</v>
      </c>
      <c r="M14" s="13"/>
      <c r="N14" s="14">
        <v>130</v>
      </c>
      <c r="O14" s="13"/>
      <c r="P14" s="14">
        <v>118</v>
      </c>
      <c r="Q14" s="14">
        <v>115</v>
      </c>
      <c r="R14" s="14"/>
      <c r="S14" s="14"/>
      <c r="T14" s="13"/>
      <c r="U14" s="14">
        <v>107</v>
      </c>
      <c r="V14" s="13"/>
      <c r="W14" s="14">
        <v>115</v>
      </c>
      <c r="X14" s="13"/>
      <c r="Y14" s="14">
        <v>118</v>
      </c>
      <c r="Z14" s="13"/>
      <c r="AA14" s="4">
        <f t="shared" si="0"/>
        <v>116.5</v>
      </c>
      <c r="AB14" s="4">
        <f t="shared" si="1"/>
        <v>122.08333333333333</v>
      </c>
      <c r="AC14" s="4">
        <f t="shared" si="2"/>
        <v>5.6574680241645456</v>
      </c>
      <c r="AD14" s="3"/>
      <c r="AE14" s="3"/>
      <c r="AF14" s="3"/>
      <c r="AG14" s="3"/>
      <c r="AH14" s="3"/>
      <c r="AT14" s="12">
        <v>9</v>
      </c>
      <c r="AU14" s="12" t="s">
        <v>16</v>
      </c>
      <c r="AV14" s="11" t="s">
        <v>15</v>
      </c>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24" customHeight="1" x14ac:dyDescent="0.2">
      <c r="B15" s="7">
        <f t="shared" si="3"/>
        <v>105</v>
      </c>
      <c r="C15" s="7" t="s">
        <v>117</v>
      </c>
      <c r="D15" s="7">
        <v>12</v>
      </c>
      <c r="E15" s="7">
        <v>2</v>
      </c>
      <c r="F15" s="7">
        <v>3</v>
      </c>
      <c r="G15" s="7">
        <v>1</v>
      </c>
      <c r="H15" s="7">
        <v>2</v>
      </c>
      <c r="I15" s="7" t="s">
        <v>118</v>
      </c>
      <c r="J15" s="9"/>
      <c r="K15" s="7" t="s">
        <v>2</v>
      </c>
      <c r="L15" s="6">
        <v>100</v>
      </c>
      <c r="M15" s="5"/>
      <c r="N15" s="6">
        <v>100</v>
      </c>
      <c r="O15" s="5"/>
      <c r="P15" s="6">
        <v>100</v>
      </c>
      <c r="Q15" s="6">
        <v>100</v>
      </c>
      <c r="R15" s="6"/>
      <c r="S15" s="6"/>
      <c r="T15" s="5"/>
      <c r="U15" s="6">
        <v>97</v>
      </c>
      <c r="V15" s="5"/>
      <c r="W15" s="6">
        <v>100</v>
      </c>
      <c r="X15" s="5"/>
      <c r="Y15" s="6">
        <v>100</v>
      </c>
      <c r="Z15" s="5"/>
      <c r="AA15" s="4">
        <f t="shared" si="0"/>
        <v>100</v>
      </c>
      <c r="AB15" s="4">
        <f t="shared" si="1"/>
        <v>99.5</v>
      </c>
      <c r="AC15" s="4">
        <f t="shared" si="2"/>
        <v>0.5</v>
      </c>
      <c r="AD15" s="3"/>
      <c r="AE15" s="3"/>
      <c r="AF15" s="3"/>
      <c r="AG15" s="3"/>
      <c r="AH15" s="3"/>
    </row>
    <row r="16" spans="1:87" ht="24" customHeight="1" thickBot="1" x14ac:dyDescent="0.25">
      <c r="B16" s="15">
        <f t="shared" si="3"/>
        <v>105</v>
      </c>
      <c r="C16" s="15" t="s">
        <v>117</v>
      </c>
      <c r="D16" s="15">
        <v>12</v>
      </c>
      <c r="E16" s="15">
        <v>2</v>
      </c>
      <c r="F16" s="15">
        <v>3</v>
      </c>
      <c r="G16" s="15">
        <v>1</v>
      </c>
      <c r="H16" s="15">
        <v>2</v>
      </c>
      <c r="I16" s="15" t="s">
        <v>118</v>
      </c>
      <c r="J16" s="16"/>
      <c r="K16" s="15" t="s">
        <v>0</v>
      </c>
      <c r="L16" s="14">
        <v>91</v>
      </c>
      <c r="M16" s="13"/>
      <c r="N16" s="14">
        <v>125</v>
      </c>
      <c r="O16" s="13"/>
      <c r="P16" s="14">
        <v>90</v>
      </c>
      <c r="Q16" s="14">
        <v>107</v>
      </c>
      <c r="R16" s="14"/>
      <c r="S16" s="14"/>
      <c r="T16" s="13"/>
      <c r="U16" s="14">
        <v>100</v>
      </c>
      <c r="V16" s="13"/>
      <c r="W16" s="14">
        <v>87</v>
      </c>
      <c r="X16" s="13"/>
      <c r="Y16" s="14">
        <v>100</v>
      </c>
      <c r="Z16" s="13"/>
      <c r="AA16" s="4">
        <f t="shared" si="0"/>
        <v>98.5</v>
      </c>
      <c r="AB16" s="4">
        <f t="shared" si="1"/>
        <v>100.25</v>
      </c>
      <c r="AC16" s="4">
        <f t="shared" si="2"/>
        <v>5.4064005277695317</v>
      </c>
      <c r="AD16" s="3"/>
      <c r="AE16" s="3"/>
      <c r="AF16" s="3"/>
      <c r="AG16" s="3"/>
      <c r="AH16" s="3"/>
      <c r="AT16" s="12" t="s">
        <v>14</v>
      </c>
      <c r="AU16" s="12"/>
      <c r="AV16" s="11"/>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2:87" ht="24" customHeight="1" x14ac:dyDescent="0.2">
      <c r="B17" s="7">
        <f t="shared" si="3"/>
        <v>104</v>
      </c>
      <c r="C17" s="7" t="s">
        <v>113</v>
      </c>
      <c r="D17" s="7">
        <v>10</v>
      </c>
      <c r="E17" s="7">
        <v>2</v>
      </c>
      <c r="F17" s="7">
        <v>2</v>
      </c>
      <c r="G17" s="7">
        <v>1</v>
      </c>
      <c r="H17" s="7">
        <v>1</v>
      </c>
      <c r="I17" s="7" t="s">
        <v>119</v>
      </c>
      <c r="J17" s="9"/>
      <c r="K17" s="7" t="s">
        <v>2</v>
      </c>
      <c r="L17" s="18">
        <v>85</v>
      </c>
      <c r="M17" s="5"/>
      <c r="N17" s="18">
        <v>108</v>
      </c>
      <c r="O17" s="5"/>
      <c r="P17" s="18">
        <v>93</v>
      </c>
      <c r="Q17" s="18">
        <v>101</v>
      </c>
      <c r="R17" s="18"/>
      <c r="S17" s="18"/>
      <c r="T17" s="5"/>
      <c r="U17" s="18">
        <v>100</v>
      </c>
      <c r="V17" s="5"/>
      <c r="W17" s="18">
        <v>97</v>
      </c>
      <c r="X17" s="5"/>
      <c r="Y17" s="18">
        <v>96</v>
      </c>
      <c r="Z17" s="5"/>
      <c r="AA17" s="4">
        <f t="shared" si="0"/>
        <v>97</v>
      </c>
      <c r="AB17" s="4">
        <f t="shared" si="1"/>
        <v>97.166666666666671</v>
      </c>
      <c r="AC17" s="4">
        <f t="shared" si="2"/>
        <v>3.0267327452405035</v>
      </c>
      <c r="AD17" s="3"/>
      <c r="AE17" s="3"/>
      <c r="AF17" s="3"/>
      <c r="AG17" s="3"/>
      <c r="AH17" s="3"/>
      <c r="AT17" s="12" t="s">
        <v>7</v>
      </c>
      <c r="AU17" s="12" t="s">
        <v>13</v>
      </c>
      <c r="AV17" s="12" t="s">
        <v>12</v>
      </c>
    </row>
    <row r="18" spans="2:87" ht="24" customHeight="1" thickBot="1" x14ac:dyDescent="0.25">
      <c r="B18" s="15">
        <f t="shared" si="3"/>
        <v>104</v>
      </c>
      <c r="C18" s="15" t="s">
        <v>113</v>
      </c>
      <c r="D18" s="15">
        <v>10</v>
      </c>
      <c r="E18" s="15">
        <v>2</v>
      </c>
      <c r="F18" s="15">
        <v>2</v>
      </c>
      <c r="G18" s="15">
        <v>1</v>
      </c>
      <c r="H18" s="15">
        <v>1</v>
      </c>
      <c r="I18" s="15" t="s">
        <v>119</v>
      </c>
      <c r="J18" s="16"/>
      <c r="K18" s="15" t="s">
        <v>0</v>
      </c>
      <c r="L18" s="14">
        <v>92</v>
      </c>
      <c r="M18" s="13"/>
      <c r="N18" s="14">
        <v>90</v>
      </c>
      <c r="O18" s="13"/>
      <c r="P18" s="14">
        <v>111</v>
      </c>
      <c r="Q18" s="14">
        <v>101</v>
      </c>
      <c r="R18" s="14"/>
      <c r="S18" s="14"/>
      <c r="T18" s="13"/>
      <c r="U18" s="14">
        <v>110</v>
      </c>
      <c r="V18" s="13"/>
      <c r="W18" s="14">
        <v>125</v>
      </c>
      <c r="X18" s="13"/>
      <c r="Y18" s="14">
        <v>98</v>
      </c>
      <c r="Z18" s="13"/>
      <c r="AA18" s="4">
        <f t="shared" si="0"/>
        <v>106</v>
      </c>
      <c r="AB18" s="4">
        <f t="shared" si="1"/>
        <v>103.5</v>
      </c>
      <c r="AC18" s="4">
        <f t="shared" si="2"/>
        <v>5.34009987422208</v>
      </c>
      <c r="AD18" s="3"/>
      <c r="AE18" s="3"/>
      <c r="AF18" s="3"/>
      <c r="AG18" s="3"/>
      <c r="AH18" s="3"/>
      <c r="AT18" s="12">
        <v>0</v>
      </c>
      <c r="AU18" s="12">
        <v>0</v>
      </c>
      <c r="AV18" s="11" t="s">
        <v>11</v>
      </c>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2:87" ht="24" customHeight="1" x14ac:dyDescent="0.2">
      <c r="B19" s="7">
        <f t="shared" si="3"/>
        <v>103</v>
      </c>
      <c r="C19" s="7" t="s">
        <v>120</v>
      </c>
      <c r="D19" s="7">
        <v>5</v>
      </c>
      <c r="E19" s="7">
        <v>1</v>
      </c>
      <c r="F19" s="7">
        <v>3</v>
      </c>
      <c r="G19" s="7">
        <v>2</v>
      </c>
      <c r="H19" s="7">
        <v>1</v>
      </c>
      <c r="I19" s="7" t="s">
        <v>121</v>
      </c>
      <c r="J19" s="9"/>
      <c r="K19" s="7" t="s">
        <v>2</v>
      </c>
      <c r="L19" s="18">
        <v>48</v>
      </c>
      <c r="M19" s="5"/>
      <c r="N19" s="18">
        <v>100</v>
      </c>
      <c r="O19" s="5"/>
      <c r="P19" s="18">
        <v>97</v>
      </c>
      <c r="Q19" s="18">
        <v>50</v>
      </c>
      <c r="R19" s="18"/>
      <c r="S19" s="18"/>
      <c r="T19" s="5"/>
      <c r="U19" s="18">
        <v>95</v>
      </c>
      <c r="V19" s="5"/>
      <c r="W19" s="18">
        <v>76</v>
      </c>
      <c r="X19" s="5"/>
      <c r="Y19" s="18">
        <v>100</v>
      </c>
      <c r="Z19" s="5"/>
      <c r="AA19" s="4">
        <f t="shared" si="0"/>
        <v>73.5</v>
      </c>
      <c r="AB19" s="4">
        <f t="shared" si="1"/>
        <v>82.083333333333329</v>
      </c>
      <c r="AC19" s="4">
        <f t="shared" si="2"/>
        <v>8.3290822490302734</v>
      </c>
      <c r="AD19" s="3"/>
      <c r="AE19" s="3"/>
      <c r="AF19" s="3"/>
      <c r="AG19" s="3"/>
      <c r="AH19" s="3"/>
      <c r="AT19" s="12">
        <v>1</v>
      </c>
      <c r="AU19" s="12">
        <v>5</v>
      </c>
      <c r="AV19" s="12" t="s">
        <v>10</v>
      </c>
    </row>
    <row r="20" spans="2:87" ht="24" customHeight="1" thickBot="1" x14ac:dyDescent="0.25">
      <c r="B20" s="15">
        <f t="shared" si="3"/>
        <v>103</v>
      </c>
      <c r="C20" s="15" t="s">
        <v>120</v>
      </c>
      <c r="D20" s="15">
        <v>5</v>
      </c>
      <c r="E20" s="15">
        <v>1</v>
      </c>
      <c r="F20" s="15">
        <v>3</v>
      </c>
      <c r="G20" s="15">
        <v>2</v>
      </c>
      <c r="H20" s="15">
        <v>1</v>
      </c>
      <c r="I20" s="15" t="s">
        <v>121</v>
      </c>
      <c r="J20" s="16"/>
      <c r="K20" s="15" t="s">
        <v>0</v>
      </c>
      <c r="L20" s="14">
        <v>119</v>
      </c>
      <c r="M20" s="13"/>
      <c r="N20" s="14">
        <v>112</v>
      </c>
      <c r="O20" s="13"/>
      <c r="P20" s="14">
        <v>98</v>
      </c>
      <c r="Q20" s="14">
        <v>93</v>
      </c>
      <c r="R20" s="14"/>
      <c r="S20" s="14"/>
      <c r="T20" s="13"/>
      <c r="U20" s="14">
        <v>105</v>
      </c>
      <c r="V20" s="13"/>
      <c r="W20" s="14">
        <v>96</v>
      </c>
      <c r="X20" s="13"/>
      <c r="Y20" s="14">
        <v>100</v>
      </c>
      <c r="Z20" s="13"/>
      <c r="AA20" s="4">
        <f t="shared" si="0"/>
        <v>95.5</v>
      </c>
      <c r="AB20" s="4">
        <f t="shared" si="1"/>
        <v>104.58333333333333</v>
      </c>
      <c r="AC20" s="4">
        <f t="shared" si="2"/>
        <v>3.830614978187068</v>
      </c>
      <c r="AD20" s="3"/>
      <c r="AE20" s="3"/>
      <c r="AF20" s="3"/>
      <c r="AG20" s="3"/>
      <c r="AH20" s="3"/>
      <c r="AT20" s="12">
        <v>2</v>
      </c>
      <c r="AU20" s="12">
        <v>10</v>
      </c>
      <c r="AV20" s="11" t="s">
        <v>10</v>
      </c>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2:87" ht="24" customHeight="1" x14ac:dyDescent="0.2">
      <c r="B21" s="7">
        <f t="shared" si="3"/>
        <v>102</v>
      </c>
      <c r="C21" s="7" t="s">
        <v>122</v>
      </c>
      <c r="D21" s="7">
        <v>4</v>
      </c>
      <c r="E21" s="7">
        <v>1</v>
      </c>
      <c r="F21" s="7">
        <v>2</v>
      </c>
      <c r="G21" s="7">
        <v>1</v>
      </c>
      <c r="H21" s="7">
        <v>1</v>
      </c>
      <c r="I21" s="7" t="s">
        <v>123</v>
      </c>
      <c r="J21" s="9"/>
      <c r="K21" s="7" t="s">
        <v>2</v>
      </c>
      <c r="L21" s="6">
        <v>100</v>
      </c>
      <c r="M21" s="5"/>
      <c r="N21" s="6">
        <v>94</v>
      </c>
      <c r="O21" s="5"/>
      <c r="P21" s="6">
        <v>84</v>
      </c>
      <c r="Q21" s="6">
        <v>87</v>
      </c>
      <c r="R21" s="6"/>
      <c r="S21" s="6"/>
      <c r="T21" s="5"/>
      <c r="U21" s="6">
        <v>93</v>
      </c>
      <c r="V21" s="5"/>
      <c r="W21" s="6">
        <v>90</v>
      </c>
      <c r="X21" s="5"/>
      <c r="Y21" s="6">
        <v>99</v>
      </c>
      <c r="Z21" s="5"/>
      <c r="AA21" s="4">
        <f t="shared" si="0"/>
        <v>85.5</v>
      </c>
      <c r="AB21" s="4">
        <f t="shared" si="1"/>
        <v>93.583333333333329</v>
      </c>
      <c r="AC21" s="4">
        <f t="shared" si="2"/>
        <v>2.2301594362536306</v>
      </c>
      <c r="AD21" s="3"/>
      <c r="AE21" s="3"/>
      <c r="AF21" s="3"/>
      <c r="AG21" s="3"/>
      <c r="AH21" s="3"/>
      <c r="AT21" s="12">
        <v>3</v>
      </c>
      <c r="AU21" s="12">
        <v>20</v>
      </c>
      <c r="AV21" s="12" t="s">
        <v>9</v>
      </c>
    </row>
    <row r="22" spans="2:87" ht="24" customHeight="1" thickBot="1" x14ac:dyDescent="0.25">
      <c r="B22" s="15">
        <f t="shared" si="3"/>
        <v>102</v>
      </c>
      <c r="C22" s="15" t="s">
        <v>122</v>
      </c>
      <c r="D22" s="15">
        <v>4</v>
      </c>
      <c r="E22" s="15">
        <v>1</v>
      </c>
      <c r="F22" s="15">
        <v>2</v>
      </c>
      <c r="G22" s="15">
        <v>1</v>
      </c>
      <c r="H22" s="15">
        <v>1</v>
      </c>
      <c r="I22" s="15" t="s">
        <v>123</v>
      </c>
      <c r="J22" s="16"/>
      <c r="K22" s="15" t="s">
        <v>0</v>
      </c>
      <c r="L22" s="14">
        <v>127</v>
      </c>
      <c r="M22" s="13"/>
      <c r="N22" s="14">
        <v>108</v>
      </c>
      <c r="O22" s="13"/>
      <c r="P22" s="14">
        <v>106</v>
      </c>
      <c r="Q22" s="14">
        <v>81</v>
      </c>
      <c r="R22" s="14"/>
      <c r="S22" s="14"/>
      <c r="T22" s="13"/>
      <c r="U22" s="14">
        <v>121</v>
      </c>
      <c r="V22" s="13"/>
      <c r="W22" s="14">
        <v>101</v>
      </c>
      <c r="X22" s="13"/>
      <c r="Y22" s="14">
        <v>103</v>
      </c>
      <c r="Z22" s="13"/>
      <c r="AA22" s="4">
        <f t="shared" si="0"/>
        <v>93.5</v>
      </c>
      <c r="AB22" s="4">
        <f t="shared" si="1"/>
        <v>108.91666666666667</v>
      </c>
      <c r="AC22" s="4">
        <f t="shared" si="2"/>
        <v>5.1936125299362637</v>
      </c>
      <c r="AD22" s="3"/>
      <c r="AE22" s="3"/>
      <c r="AF22" s="3"/>
      <c r="AG22" s="3"/>
      <c r="AH22" s="3"/>
      <c r="AT22" s="12"/>
      <c r="AU22" s="12"/>
      <c r="AV22" s="11"/>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2:87" ht="24" customHeight="1" x14ac:dyDescent="0.2">
      <c r="B23" s="7">
        <f t="shared" si="3"/>
        <v>101</v>
      </c>
      <c r="C23" s="7" t="s">
        <v>124</v>
      </c>
      <c r="D23" s="7">
        <v>1</v>
      </c>
      <c r="E23" s="7">
        <v>1</v>
      </c>
      <c r="F23" s="7">
        <v>1</v>
      </c>
      <c r="G23" s="7">
        <v>2</v>
      </c>
      <c r="H23" s="7">
        <v>1</v>
      </c>
      <c r="I23" s="7" t="s">
        <v>125</v>
      </c>
      <c r="J23" s="9"/>
      <c r="K23" s="7" t="s">
        <v>2</v>
      </c>
      <c r="L23" s="6">
        <v>100</v>
      </c>
      <c r="M23" s="5"/>
      <c r="N23" s="6">
        <v>82</v>
      </c>
      <c r="O23" s="5"/>
      <c r="P23" s="6">
        <v>76</v>
      </c>
      <c r="Q23" s="6">
        <v>70</v>
      </c>
      <c r="R23" s="6"/>
      <c r="S23" s="6"/>
      <c r="T23" s="5"/>
      <c r="U23" s="6">
        <v>100</v>
      </c>
      <c r="V23" s="5"/>
      <c r="W23" s="6">
        <v>82</v>
      </c>
      <c r="X23" s="5"/>
      <c r="Y23" s="6">
        <v>86</v>
      </c>
      <c r="Z23" s="5"/>
      <c r="AA23" s="4">
        <f t="shared" si="0"/>
        <v>73</v>
      </c>
      <c r="AB23" s="4">
        <f t="shared" si="1"/>
        <v>87.166666666666671</v>
      </c>
      <c r="AC23" s="4">
        <f t="shared" si="2"/>
        <v>4.4152513455571842</v>
      </c>
      <c r="AD23" s="3"/>
      <c r="AE23" s="3"/>
      <c r="AF23" s="3"/>
      <c r="AG23" s="3"/>
      <c r="AH23" s="3"/>
      <c r="AT23" s="2" t="s">
        <v>8</v>
      </c>
      <c r="AU23" s="2"/>
      <c r="AV23" s="2"/>
    </row>
    <row r="24" spans="2:87" ht="24" customHeight="1" thickBot="1" x14ac:dyDescent="0.25">
      <c r="B24" s="15">
        <f t="shared" si="3"/>
        <v>101</v>
      </c>
      <c r="C24" s="15" t="s">
        <v>124</v>
      </c>
      <c r="D24" s="15">
        <v>1</v>
      </c>
      <c r="E24" s="15">
        <v>1</v>
      </c>
      <c r="F24" s="15">
        <v>1</v>
      </c>
      <c r="G24" s="15">
        <v>2</v>
      </c>
      <c r="H24" s="15">
        <v>1</v>
      </c>
      <c r="I24" s="15" t="s">
        <v>125</v>
      </c>
      <c r="J24" s="16"/>
      <c r="K24" s="15" t="s">
        <v>0</v>
      </c>
      <c r="L24" s="14">
        <v>141</v>
      </c>
      <c r="M24" s="13"/>
      <c r="N24" s="14">
        <v>141</v>
      </c>
      <c r="O24" s="13"/>
      <c r="P24" s="14">
        <v>101</v>
      </c>
      <c r="Q24" s="14">
        <v>126</v>
      </c>
      <c r="R24" s="14"/>
      <c r="S24" s="14"/>
      <c r="T24" s="13"/>
      <c r="U24" s="14">
        <v>85</v>
      </c>
      <c r="V24" s="13"/>
      <c r="W24" s="14">
        <v>117</v>
      </c>
      <c r="X24" s="13"/>
      <c r="Y24" s="14">
        <v>114</v>
      </c>
      <c r="Z24" s="13"/>
      <c r="AA24" s="4">
        <f t="shared" si="0"/>
        <v>113.5</v>
      </c>
      <c r="AB24" s="4">
        <f t="shared" si="1"/>
        <v>118.58333333333333</v>
      </c>
      <c r="AC24" s="4">
        <f t="shared" si="2"/>
        <v>8.5287911088135839</v>
      </c>
      <c r="AD24" s="3"/>
      <c r="AE24" s="3"/>
      <c r="AF24" s="3"/>
      <c r="AG24" s="3"/>
      <c r="AH24" s="3"/>
      <c r="AT24" s="12" t="s">
        <v>7</v>
      </c>
      <c r="AU24" s="12" t="s">
        <v>6</v>
      </c>
      <c r="AV24" s="11" t="s">
        <v>5</v>
      </c>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2:87" ht="24" customHeight="1" x14ac:dyDescent="0.2">
      <c r="B25" s="7">
        <f>B23+100</f>
        <v>201</v>
      </c>
      <c r="C25" s="7" t="s">
        <v>117</v>
      </c>
      <c r="D25" s="7">
        <v>12</v>
      </c>
      <c r="E25" s="7">
        <v>2</v>
      </c>
      <c r="F25" s="7">
        <v>3</v>
      </c>
      <c r="G25" s="7">
        <v>1</v>
      </c>
      <c r="H25" s="7">
        <v>1</v>
      </c>
      <c r="I25" s="7" t="s">
        <v>126</v>
      </c>
      <c r="J25" s="7"/>
      <c r="K25" s="7" t="s">
        <v>2</v>
      </c>
      <c r="L25" s="6">
        <v>95</v>
      </c>
      <c r="M25" s="6"/>
      <c r="N25" s="6">
        <v>100</v>
      </c>
      <c r="O25" s="6"/>
      <c r="P25" s="6">
        <v>100</v>
      </c>
      <c r="Q25" s="6">
        <v>100</v>
      </c>
      <c r="R25" s="6"/>
      <c r="S25" s="6"/>
      <c r="T25" s="6"/>
      <c r="U25" s="6">
        <v>100</v>
      </c>
      <c r="V25" s="6"/>
      <c r="W25" s="6">
        <v>100</v>
      </c>
      <c r="X25" s="6"/>
      <c r="Y25" s="6">
        <v>100</v>
      </c>
      <c r="Z25" s="6"/>
      <c r="AA25" s="4">
        <f t="shared" si="0"/>
        <v>100</v>
      </c>
      <c r="AB25" s="4">
        <f t="shared" si="1"/>
        <v>99.166666666666671</v>
      </c>
      <c r="AC25" s="4">
        <f t="shared" si="2"/>
        <v>0.83333333333333326</v>
      </c>
      <c r="AD25" s="3"/>
      <c r="AE25" s="3"/>
      <c r="AF25" s="3"/>
      <c r="AG25" s="3"/>
      <c r="AH25" s="3"/>
      <c r="AT25" s="12">
        <v>1</v>
      </c>
      <c r="AU25" s="12" t="s">
        <v>4</v>
      </c>
      <c r="AV25" s="12">
        <v>0</v>
      </c>
    </row>
    <row r="26" spans="2:87" ht="24" customHeight="1" thickBot="1" x14ac:dyDescent="0.25">
      <c r="B26" s="15">
        <f>B24+100</f>
        <v>201</v>
      </c>
      <c r="C26" s="15" t="s">
        <v>117</v>
      </c>
      <c r="D26" s="15">
        <v>12</v>
      </c>
      <c r="E26" s="15">
        <v>2</v>
      </c>
      <c r="F26" s="15">
        <v>3</v>
      </c>
      <c r="G26" s="15">
        <v>1</v>
      </c>
      <c r="H26" s="15">
        <v>1</v>
      </c>
      <c r="I26" s="15" t="s">
        <v>126</v>
      </c>
      <c r="J26" s="16"/>
      <c r="K26" s="15" t="s">
        <v>0</v>
      </c>
      <c r="L26" s="14">
        <v>114</v>
      </c>
      <c r="M26" s="13"/>
      <c r="N26" s="14">
        <v>90</v>
      </c>
      <c r="O26" s="13"/>
      <c r="P26" s="14">
        <v>100</v>
      </c>
      <c r="Q26" s="14">
        <v>99</v>
      </c>
      <c r="R26" s="14"/>
      <c r="S26" s="14"/>
      <c r="T26" s="13"/>
      <c r="U26" s="14">
        <v>122</v>
      </c>
      <c r="V26" s="13"/>
      <c r="W26" s="14">
        <v>97</v>
      </c>
      <c r="X26" s="13"/>
      <c r="Y26" s="14">
        <v>94</v>
      </c>
      <c r="Z26" s="13"/>
      <c r="AA26" s="4">
        <f t="shared" si="0"/>
        <v>99.5</v>
      </c>
      <c r="AB26" s="4">
        <f t="shared" si="1"/>
        <v>102.75</v>
      </c>
      <c r="AC26" s="4">
        <f t="shared" si="2"/>
        <v>5.0986109219407334</v>
      </c>
      <c r="AD26" s="3"/>
      <c r="AE26" s="3"/>
      <c r="AF26" s="3"/>
      <c r="AG26" s="3"/>
      <c r="AH26" s="3"/>
      <c r="AT26" s="12">
        <v>2</v>
      </c>
      <c r="AU26" s="12" t="s">
        <v>3</v>
      </c>
      <c r="AV26" s="11">
        <v>150</v>
      </c>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2:87" ht="24" customHeight="1" x14ac:dyDescent="0.2">
      <c r="B27" s="7">
        <f t="shared" ref="B27:B40" si="4">B25+1</f>
        <v>202</v>
      </c>
      <c r="C27" s="7" t="s">
        <v>115</v>
      </c>
      <c r="D27" s="7">
        <v>9</v>
      </c>
      <c r="E27" s="7">
        <v>2</v>
      </c>
      <c r="F27" s="7">
        <v>2</v>
      </c>
      <c r="G27" s="7">
        <v>2</v>
      </c>
      <c r="H27" s="7">
        <v>1</v>
      </c>
      <c r="I27" s="7" t="s">
        <v>127</v>
      </c>
      <c r="J27" s="9"/>
      <c r="K27" s="7" t="s">
        <v>2</v>
      </c>
      <c r="L27" s="6">
        <v>100</v>
      </c>
      <c r="M27" s="6"/>
      <c r="N27" s="6">
        <v>100</v>
      </c>
      <c r="O27" s="6"/>
      <c r="P27" s="6">
        <v>100</v>
      </c>
      <c r="Q27" s="6">
        <v>100</v>
      </c>
      <c r="R27" s="6"/>
      <c r="S27" s="6"/>
      <c r="T27" s="6"/>
      <c r="U27" s="6">
        <v>100</v>
      </c>
      <c r="V27" s="6"/>
      <c r="W27" s="6">
        <v>100</v>
      </c>
      <c r="X27" s="6"/>
      <c r="Y27" s="6">
        <v>100</v>
      </c>
      <c r="Z27" s="6"/>
      <c r="AA27" s="4">
        <f t="shared" si="0"/>
        <v>100</v>
      </c>
      <c r="AB27" s="4">
        <f t="shared" si="1"/>
        <v>100</v>
      </c>
      <c r="AC27" s="4">
        <f t="shared" si="2"/>
        <v>0</v>
      </c>
      <c r="AD27" s="3"/>
      <c r="AE27" s="3"/>
      <c r="AF27" s="3"/>
      <c r="AG27" s="3"/>
      <c r="AH27" s="3"/>
    </row>
    <row r="28" spans="2:87" ht="24" customHeight="1" thickBot="1" x14ac:dyDescent="0.25">
      <c r="B28" s="15">
        <f t="shared" si="4"/>
        <v>202</v>
      </c>
      <c r="C28" s="15" t="s">
        <v>115</v>
      </c>
      <c r="D28" s="15">
        <v>9</v>
      </c>
      <c r="E28" s="15">
        <v>2</v>
      </c>
      <c r="F28" s="15">
        <v>2</v>
      </c>
      <c r="G28" s="15">
        <v>2</v>
      </c>
      <c r="H28" s="15">
        <v>1</v>
      </c>
      <c r="I28" s="15" t="s">
        <v>127</v>
      </c>
      <c r="J28" s="16"/>
      <c r="K28" s="15" t="s">
        <v>0</v>
      </c>
      <c r="L28" s="14">
        <v>133</v>
      </c>
      <c r="M28" s="13"/>
      <c r="N28" s="14">
        <v>130</v>
      </c>
      <c r="O28" s="13"/>
      <c r="P28" s="14">
        <v>113</v>
      </c>
      <c r="Q28" s="14">
        <v>115</v>
      </c>
      <c r="R28" s="14"/>
      <c r="S28" s="14"/>
      <c r="T28" s="13"/>
      <c r="U28" s="14">
        <v>114</v>
      </c>
      <c r="V28" s="13"/>
      <c r="W28" s="14">
        <v>123</v>
      </c>
      <c r="X28" s="13"/>
      <c r="Y28" s="14">
        <v>146</v>
      </c>
      <c r="Z28" s="13"/>
      <c r="AA28" s="4">
        <f t="shared" si="0"/>
        <v>114</v>
      </c>
      <c r="AB28" s="4">
        <f t="shared" si="1"/>
        <v>126.66666666666667</v>
      </c>
      <c r="AC28" s="4">
        <f t="shared" si="2"/>
        <v>5.0310149185935744</v>
      </c>
      <c r="AD28" s="3"/>
      <c r="AE28" s="3"/>
      <c r="AF28" s="3"/>
      <c r="AG28" s="3"/>
      <c r="AH28" s="3"/>
      <c r="AT28" s="12"/>
      <c r="AU28" s="12"/>
      <c r="AV28" s="11"/>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2:87" ht="24" customHeight="1" x14ac:dyDescent="0.2">
      <c r="B29" s="7">
        <f t="shared" si="4"/>
        <v>203</v>
      </c>
      <c r="C29" s="7" t="s">
        <v>111</v>
      </c>
      <c r="D29" s="7">
        <v>3</v>
      </c>
      <c r="E29" s="7">
        <v>1</v>
      </c>
      <c r="F29" s="7">
        <v>2</v>
      </c>
      <c r="G29" s="7">
        <v>2</v>
      </c>
      <c r="H29" s="7">
        <v>1</v>
      </c>
      <c r="I29" s="7" t="s">
        <v>128</v>
      </c>
      <c r="J29" s="9"/>
      <c r="K29" s="7" t="s">
        <v>2</v>
      </c>
      <c r="L29" s="6">
        <v>100</v>
      </c>
      <c r="M29" s="6"/>
      <c r="N29" s="6">
        <v>100</v>
      </c>
      <c r="O29" s="6"/>
      <c r="P29" s="6">
        <v>74</v>
      </c>
      <c r="Q29" s="6">
        <v>70</v>
      </c>
      <c r="R29" s="6"/>
      <c r="S29" s="6"/>
      <c r="T29" s="6"/>
      <c r="U29" s="6">
        <v>100</v>
      </c>
      <c r="V29" s="6"/>
      <c r="W29" s="6">
        <v>100</v>
      </c>
      <c r="X29" s="6"/>
      <c r="Y29" s="6">
        <v>100</v>
      </c>
      <c r="Z29" s="6"/>
      <c r="AA29" s="4">
        <f t="shared" si="0"/>
        <v>72</v>
      </c>
      <c r="AB29" s="4">
        <f t="shared" si="1"/>
        <v>95.333333333333329</v>
      </c>
      <c r="AC29" s="4">
        <f t="shared" si="2"/>
        <v>4.6666666666666758</v>
      </c>
      <c r="AD29" s="3"/>
      <c r="AE29" s="3"/>
      <c r="AF29" s="3"/>
      <c r="AG29" s="3"/>
      <c r="AH29" s="3"/>
    </row>
    <row r="30" spans="2:87" ht="24" customHeight="1" thickBot="1" x14ac:dyDescent="0.25">
      <c r="B30" s="15">
        <f t="shared" si="4"/>
        <v>203</v>
      </c>
      <c r="C30" s="15" t="s">
        <v>111</v>
      </c>
      <c r="D30" s="15">
        <v>3</v>
      </c>
      <c r="E30" s="15">
        <v>1</v>
      </c>
      <c r="F30" s="15">
        <v>2</v>
      </c>
      <c r="G30" s="15">
        <v>2</v>
      </c>
      <c r="H30" s="15">
        <v>1</v>
      </c>
      <c r="I30" s="15" t="s">
        <v>128</v>
      </c>
      <c r="J30" s="16"/>
      <c r="K30" s="15" t="s">
        <v>0</v>
      </c>
      <c r="L30" s="14">
        <v>113</v>
      </c>
      <c r="M30" s="13"/>
      <c r="N30" s="14">
        <v>146</v>
      </c>
      <c r="O30" s="13"/>
      <c r="P30" s="14">
        <v>119</v>
      </c>
      <c r="Q30" s="14">
        <v>133</v>
      </c>
      <c r="R30" s="14"/>
      <c r="S30" s="14"/>
      <c r="T30" s="13"/>
      <c r="U30" s="14">
        <v>122</v>
      </c>
      <c r="V30" s="13"/>
      <c r="W30" s="14">
        <v>127</v>
      </c>
      <c r="X30" s="13"/>
      <c r="Y30" s="14">
        <v>125</v>
      </c>
      <c r="Z30" s="13"/>
      <c r="AA30" s="4">
        <f t="shared" si="0"/>
        <v>126</v>
      </c>
      <c r="AB30" s="4">
        <f t="shared" si="1"/>
        <v>126.5</v>
      </c>
      <c r="AC30" s="4">
        <f t="shared" si="2"/>
        <v>4.4177671584938318</v>
      </c>
      <c r="AD30" s="3"/>
      <c r="AE30" s="3"/>
      <c r="AF30" s="3"/>
      <c r="AG30" s="3"/>
      <c r="AH30" s="3"/>
      <c r="AT30" s="12"/>
      <c r="AU30" s="12"/>
      <c r="AV30" s="11"/>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2:87" ht="24" customHeight="1" x14ac:dyDescent="0.2">
      <c r="B31" s="7">
        <f t="shared" si="4"/>
        <v>204</v>
      </c>
      <c r="C31" s="7" t="s">
        <v>129</v>
      </c>
      <c r="D31" s="7">
        <v>11</v>
      </c>
      <c r="E31" s="7">
        <v>2</v>
      </c>
      <c r="F31" s="7">
        <v>3</v>
      </c>
      <c r="G31" s="7">
        <v>2</v>
      </c>
      <c r="H31" s="7">
        <v>1</v>
      </c>
      <c r="I31" s="7" t="s">
        <v>130</v>
      </c>
      <c r="J31" s="9"/>
      <c r="K31" s="7" t="s">
        <v>2</v>
      </c>
      <c r="L31" s="6">
        <v>55</v>
      </c>
      <c r="M31" s="6"/>
      <c r="N31" s="6">
        <v>100</v>
      </c>
      <c r="O31" s="6"/>
      <c r="P31" s="6">
        <v>100</v>
      </c>
      <c r="Q31" s="6">
        <v>100</v>
      </c>
      <c r="R31" s="6"/>
      <c r="S31" s="6"/>
      <c r="T31" s="6"/>
      <c r="U31" s="6">
        <v>100</v>
      </c>
      <c r="V31" s="6"/>
      <c r="W31" s="6">
        <v>56</v>
      </c>
      <c r="X31" s="6"/>
      <c r="Y31" s="6">
        <v>100</v>
      </c>
      <c r="Z31" s="6"/>
      <c r="AA31" s="4">
        <f t="shared" si="0"/>
        <v>100</v>
      </c>
      <c r="AB31" s="4">
        <f t="shared" si="1"/>
        <v>85.166666666666671</v>
      </c>
      <c r="AC31" s="4">
        <f t="shared" si="2"/>
        <v>9.3823119633583847</v>
      </c>
      <c r="AD31" s="3"/>
      <c r="AE31" s="3"/>
      <c r="AF31" s="3"/>
      <c r="AG31" s="3"/>
      <c r="AH31" s="3"/>
    </row>
    <row r="32" spans="2:87" ht="24" customHeight="1" thickBot="1" x14ac:dyDescent="0.25">
      <c r="B32" s="15">
        <f t="shared" si="4"/>
        <v>204</v>
      </c>
      <c r="C32" s="15" t="s">
        <v>129</v>
      </c>
      <c r="D32" s="15">
        <v>11</v>
      </c>
      <c r="E32" s="15">
        <v>2</v>
      </c>
      <c r="F32" s="15">
        <v>3</v>
      </c>
      <c r="G32" s="15">
        <v>2</v>
      </c>
      <c r="H32" s="15">
        <v>1</v>
      </c>
      <c r="I32" s="15" t="s">
        <v>130</v>
      </c>
      <c r="J32" s="16"/>
      <c r="K32" s="15" t="s">
        <v>0</v>
      </c>
      <c r="L32" s="14">
        <v>129</v>
      </c>
      <c r="M32" s="13"/>
      <c r="N32" s="14">
        <v>124</v>
      </c>
      <c r="O32" s="13"/>
      <c r="P32" s="14">
        <v>114</v>
      </c>
      <c r="Q32" s="14">
        <v>118</v>
      </c>
      <c r="R32" s="14"/>
      <c r="S32" s="14"/>
      <c r="T32" s="13"/>
      <c r="U32" s="14">
        <v>121</v>
      </c>
      <c r="V32" s="13"/>
      <c r="W32" s="14">
        <v>112</v>
      </c>
      <c r="X32" s="13"/>
      <c r="Y32" s="14">
        <v>123</v>
      </c>
      <c r="Z32" s="13"/>
      <c r="AA32" s="4">
        <f t="shared" si="0"/>
        <v>116</v>
      </c>
      <c r="AB32" s="4">
        <f t="shared" si="1"/>
        <v>120.83333333333333</v>
      </c>
      <c r="AC32" s="4">
        <f t="shared" si="2"/>
        <v>2.4686928615047372</v>
      </c>
      <c r="AD32" s="3"/>
      <c r="AE32" s="3"/>
      <c r="AF32" s="3"/>
      <c r="AG32" s="3"/>
      <c r="AH32" s="3"/>
      <c r="AT32" s="12"/>
      <c r="AU32" s="12"/>
      <c r="AV32" s="11"/>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2:87" ht="24" customHeight="1" x14ac:dyDescent="0.2">
      <c r="B33" s="7">
        <f t="shared" si="4"/>
        <v>205</v>
      </c>
      <c r="C33" s="7" t="s">
        <v>124</v>
      </c>
      <c r="D33" s="7">
        <v>1</v>
      </c>
      <c r="E33" s="7">
        <v>1</v>
      </c>
      <c r="F33" s="7">
        <v>1</v>
      </c>
      <c r="G33" s="7">
        <v>2</v>
      </c>
      <c r="H33" s="7">
        <v>2</v>
      </c>
      <c r="I33" s="7" t="s">
        <v>131</v>
      </c>
      <c r="J33" s="9"/>
      <c r="K33" s="7" t="s">
        <v>2</v>
      </c>
      <c r="L33" s="6">
        <v>100</v>
      </c>
      <c r="M33" s="6"/>
      <c r="N33" s="6">
        <v>100</v>
      </c>
      <c r="O33" s="6"/>
      <c r="P33" s="6">
        <v>100</v>
      </c>
      <c r="Q33" s="6">
        <v>70</v>
      </c>
      <c r="R33" s="6"/>
      <c r="S33" s="6"/>
      <c r="T33" s="6"/>
      <c r="U33" s="6">
        <v>100</v>
      </c>
      <c r="V33" s="6"/>
      <c r="W33" s="6">
        <v>66</v>
      </c>
      <c r="X33" s="6"/>
      <c r="Y33" s="6">
        <v>70</v>
      </c>
      <c r="Z33" s="6"/>
      <c r="AA33" s="4">
        <f t="shared" si="0"/>
        <v>85</v>
      </c>
      <c r="AB33" s="4">
        <f t="shared" si="1"/>
        <v>86.833333333333329</v>
      </c>
      <c r="AC33" s="4">
        <f t="shared" si="2"/>
        <v>6.4312604605249195</v>
      </c>
      <c r="AD33" s="3"/>
      <c r="AE33" s="3"/>
      <c r="AF33" s="3"/>
      <c r="AG33" s="3"/>
      <c r="AH33" s="3"/>
    </row>
    <row r="34" spans="2:87" ht="24" customHeight="1" thickBot="1" x14ac:dyDescent="0.25">
      <c r="B34" s="15">
        <f t="shared" si="4"/>
        <v>205</v>
      </c>
      <c r="C34" s="15" t="s">
        <v>124</v>
      </c>
      <c r="D34" s="15">
        <v>1</v>
      </c>
      <c r="E34" s="15">
        <v>1</v>
      </c>
      <c r="F34" s="15">
        <v>1</v>
      </c>
      <c r="G34" s="15">
        <v>2</v>
      </c>
      <c r="H34" s="15">
        <v>2</v>
      </c>
      <c r="I34" s="15" t="s">
        <v>131</v>
      </c>
      <c r="J34" s="16"/>
      <c r="K34" s="15" t="s">
        <v>0</v>
      </c>
      <c r="L34" s="14">
        <v>116</v>
      </c>
      <c r="M34" s="13"/>
      <c r="N34" s="14">
        <v>125</v>
      </c>
      <c r="O34" s="13"/>
      <c r="P34" s="14">
        <v>113</v>
      </c>
      <c r="Q34" s="14">
        <v>110</v>
      </c>
      <c r="R34" s="14"/>
      <c r="S34" s="14"/>
      <c r="T34" s="13"/>
      <c r="U34" s="14">
        <v>118</v>
      </c>
      <c r="V34" s="13"/>
      <c r="W34" s="14">
        <v>118</v>
      </c>
      <c r="X34" s="13"/>
      <c r="Y34" s="14">
        <v>107</v>
      </c>
      <c r="Z34" s="13"/>
      <c r="AA34" s="4">
        <f t="shared" si="0"/>
        <v>111.5</v>
      </c>
      <c r="AB34" s="4">
        <f t="shared" si="1"/>
        <v>115.91666666666667</v>
      </c>
      <c r="AC34" s="4">
        <f t="shared" si="2"/>
        <v>2.5179908216230213</v>
      </c>
      <c r="AD34" s="3"/>
      <c r="AE34" s="3"/>
      <c r="AF34" s="3"/>
      <c r="AG34" s="3"/>
      <c r="AH34" s="3"/>
      <c r="AT34" s="12"/>
      <c r="AU34" s="12"/>
      <c r="AV34" s="11"/>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2:87" ht="24" customHeight="1" x14ac:dyDescent="0.2">
      <c r="B35" s="7">
        <f t="shared" si="4"/>
        <v>206</v>
      </c>
      <c r="C35" s="7" t="s">
        <v>132</v>
      </c>
      <c r="D35" s="7">
        <v>8</v>
      </c>
      <c r="E35" s="7">
        <v>2</v>
      </c>
      <c r="F35" s="7">
        <v>1</v>
      </c>
      <c r="G35" s="7">
        <v>1</v>
      </c>
      <c r="H35" s="7">
        <v>2</v>
      </c>
      <c r="I35" s="7" t="s">
        <v>133</v>
      </c>
      <c r="J35" s="9"/>
      <c r="K35" s="7" t="s">
        <v>2</v>
      </c>
      <c r="L35" s="6">
        <v>100</v>
      </c>
      <c r="M35" s="6"/>
      <c r="N35" s="6">
        <v>85</v>
      </c>
      <c r="O35" s="6"/>
      <c r="P35" s="6">
        <v>100</v>
      </c>
      <c r="Q35" s="6">
        <v>97</v>
      </c>
      <c r="R35" s="6"/>
      <c r="S35" s="6"/>
      <c r="T35" s="6"/>
      <c r="U35" s="6">
        <v>100</v>
      </c>
      <c r="V35" s="6"/>
      <c r="W35" s="6">
        <v>92</v>
      </c>
      <c r="X35" s="6"/>
      <c r="Y35" s="6">
        <v>100</v>
      </c>
      <c r="Z35" s="6"/>
      <c r="AA35" s="4">
        <f t="shared" si="0"/>
        <v>98.5</v>
      </c>
      <c r="AB35" s="4">
        <f t="shared" si="1"/>
        <v>95.916666666666671</v>
      </c>
      <c r="AC35" s="4">
        <f t="shared" si="2"/>
        <v>2.5246011786242817</v>
      </c>
      <c r="AD35" s="3"/>
      <c r="AE35" s="3"/>
      <c r="AF35" s="3"/>
      <c r="AG35" s="3"/>
      <c r="AH35" s="3"/>
    </row>
    <row r="36" spans="2:87" ht="24" customHeight="1" thickBot="1" x14ac:dyDescent="0.25">
      <c r="B36" s="15">
        <f t="shared" si="4"/>
        <v>206</v>
      </c>
      <c r="C36" s="15" t="s">
        <v>132</v>
      </c>
      <c r="D36" s="15">
        <v>8</v>
      </c>
      <c r="E36" s="15">
        <v>2</v>
      </c>
      <c r="F36" s="15">
        <v>1</v>
      </c>
      <c r="G36" s="15">
        <v>1</v>
      </c>
      <c r="H36" s="15">
        <v>2</v>
      </c>
      <c r="I36" s="15" t="s">
        <v>133</v>
      </c>
      <c r="J36" s="16"/>
      <c r="K36" s="15" t="s">
        <v>0</v>
      </c>
      <c r="L36" s="14">
        <v>129</v>
      </c>
      <c r="M36" s="13"/>
      <c r="N36" s="14">
        <v>97</v>
      </c>
      <c r="O36" s="13"/>
      <c r="P36" s="14">
        <v>98</v>
      </c>
      <c r="Q36" s="14">
        <v>94</v>
      </c>
      <c r="R36" s="14"/>
      <c r="S36" s="14"/>
      <c r="T36" s="13"/>
      <c r="U36" s="14">
        <v>118</v>
      </c>
      <c r="V36" s="13"/>
      <c r="W36" s="14">
        <v>125</v>
      </c>
      <c r="X36" s="13"/>
      <c r="Y36" s="14">
        <v>116</v>
      </c>
      <c r="Z36" s="13"/>
      <c r="AA36" s="4">
        <f t="shared" si="0"/>
        <v>96</v>
      </c>
      <c r="AB36" s="4">
        <f t="shared" si="1"/>
        <v>113.5</v>
      </c>
      <c r="AC36" s="4">
        <f t="shared" si="2"/>
        <v>5.7081812631812365</v>
      </c>
      <c r="AD36" s="3"/>
      <c r="AE36" s="3"/>
      <c r="AF36" s="3"/>
      <c r="AG36" s="3"/>
      <c r="AH36" s="3"/>
      <c r="AT36" s="12"/>
      <c r="AU36" s="12"/>
      <c r="AV36" s="11"/>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2:87" ht="24" customHeight="1" x14ac:dyDescent="0.2">
      <c r="B37" s="7">
        <f t="shared" si="4"/>
        <v>207</v>
      </c>
      <c r="C37" s="7" t="s">
        <v>122</v>
      </c>
      <c r="D37" s="7">
        <v>4</v>
      </c>
      <c r="E37" s="7">
        <v>1</v>
      </c>
      <c r="F37" s="7">
        <v>2</v>
      </c>
      <c r="G37" s="7">
        <v>1</v>
      </c>
      <c r="H37" s="7">
        <v>2</v>
      </c>
      <c r="I37" s="7" t="s">
        <v>134</v>
      </c>
      <c r="J37" s="9"/>
      <c r="K37" s="7" t="s">
        <v>2</v>
      </c>
      <c r="L37" s="6">
        <v>100</v>
      </c>
      <c r="M37" s="6"/>
      <c r="N37" s="6">
        <v>90</v>
      </c>
      <c r="O37" s="6"/>
      <c r="P37" s="6">
        <v>97</v>
      </c>
      <c r="Q37" s="6">
        <v>82</v>
      </c>
      <c r="R37" s="6"/>
      <c r="S37" s="6"/>
      <c r="T37" s="6"/>
      <c r="U37" s="6">
        <v>100</v>
      </c>
      <c r="V37" s="6"/>
      <c r="W37" s="6">
        <v>95</v>
      </c>
      <c r="X37" s="6"/>
      <c r="Y37" s="6">
        <v>100</v>
      </c>
      <c r="Z37" s="6"/>
      <c r="AA37" s="4">
        <f t="shared" si="0"/>
        <v>89.5</v>
      </c>
      <c r="AB37" s="4">
        <f t="shared" si="1"/>
        <v>95.75</v>
      </c>
      <c r="AC37" s="4">
        <f t="shared" si="2"/>
        <v>2.0564937798755114</v>
      </c>
      <c r="AD37" s="3"/>
      <c r="AE37" s="3"/>
      <c r="AF37" s="3"/>
      <c r="AG37" s="3"/>
      <c r="AH37" s="3"/>
    </row>
    <row r="38" spans="2:87" ht="24" customHeight="1" thickBot="1" x14ac:dyDescent="0.25">
      <c r="B38" s="15">
        <f t="shared" si="4"/>
        <v>207</v>
      </c>
      <c r="C38" s="15" t="s">
        <v>122</v>
      </c>
      <c r="D38" s="15">
        <v>4</v>
      </c>
      <c r="E38" s="15">
        <v>1</v>
      </c>
      <c r="F38" s="15">
        <v>2</v>
      </c>
      <c r="G38" s="15">
        <v>1</v>
      </c>
      <c r="H38" s="15">
        <v>2</v>
      </c>
      <c r="I38" s="15" t="s">
        <v>134</v>
      </c>
      <c r="J38" s="16"/>
      <c r="K38" s="15" t="s">
        <v>0</v>
      </c>
      <c r="L38" s="14">
        <v>103</v>
      </c>
      <c r="M38" s="13"/>
      <c r="N38" s="14">
        <v>118</v>
      </c>
      <c r="O38" s="13"/>
      <c r="P38" s="14">
        <v>98</v>
      </c>
      <c r="Q38" s="14">
        <v>116</v>
      </c>
      <c r="R38" s="14"/>
      <c r="S38" s="14"/>
      <c r="T38" s="13"/>
      <c r="U38" s="14">
        <v>98</v>
      </c>
      <c r="V38" s="13"/>
      <c r="W38" s="14">
        <v>115</v>
      </c>
      <c r="X38" s="13"/>
      <c r="Y38" s="14">
        <v>107</v>
      </c>
      <c r="Z38" s="13"/>
      <c r="AA38" s="4">
        <f t="shared" si="0"/>
        <v>107</v>
      </c>
      <c r="AB38" s="4">
        <f t="shared" si="1"/>
        <v>108</v>
      </c>
      <c r="AC38" s="4">
        <f t="shared" si="2"/>
        <v>3.0331501776206204</v>
      </c>
      <c r="AD38" s="3"/>
      <c r="AE38" s="3"/>
      <c r="AF38" s="3"/>
      <c r="AG38" s="3"/>
      <c r="AH38" s="3"/>
      <c r="AT38" s="12"/>
      <c r="AU38" s="12"/>
      <c r="AV38" s="11"/>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2:87" ht="24" customHeight="1" x14ac:dyDescent="0.2">
      <c r="B39" s="7">
        <f t="shared" si="4"/>
        <v>208</v>
      </c>
      <c r="C39" s="7" t="s">
        <v>135</v>
      </c>
      <c r="D39" s="7">
        <v>2</v>
      </c>
      <c r="E39" s="7">
        <v>1</v>
      </c>
      <c r="F39" s="7">
        <v>1</v>
      </c>
      <c r="G39" s="7">
        <v>1</v>
      </c>
      <c r="H39" s="7">
        <v>2</v>
      </c>
      <c r="I39" s="7" t="s">
        <v>136</v>
      </c>
      <c r="J39" s="9"/>
      <c r="K39" s="7" t="s">
        <v>2</v>
      </c>
      <c r="L39" s="6">
        <v>87</v>
      </c>
      <c r="M39" s="5"/>
      <c r="N39" s="6">
        <v>100</v>
      </c>
      <c r="O39" s="5"/>
      <c r="P39" s="6">
        <v>87</v>
      </c>
      <c r="Q39" s="6">
        <v>94</v>
      </c>
      <c r="R39" s="6"/>
      <c r="S39" s="6"/>
      <c r="T39" s="5"/>
      <c r="U39" s="6">
        <v>86</v>
      </c>
      <c r="V39" s="5"/>
      <c r="W39" s="6">
        <v>93</v>
      </c>
      <c r="X39" s="5"/>
      <c r="Y39" s="6">
        <v>97</v>
      </c>
      <c r="Z39" s="5"/>
      <c r="AA39" s="4">
        <f t="shared" si="0"/>
        <v>90.5</v>
      </c>
      <c r="AB39" s="4">
        <f t="shared" si="1"/>
        <v>92.25</v>
      </c>
      <c r="AC39" s="4">
        <f t="shared" si="2"/>
        <v>2.2573952541221782</v>
      </c>
      <c r="AD39" s="3"/>
      <c r="AE39" s="3"/>
      <c r="AF39" s="3"/>
      <c r="AG39" s="3"/>
      <c r="AH39" s="3"/>
    </row>
    <row r="40" spans="2:87" ht="24" customHeight="1" thickBot="1" x14ac:dyDescent="0.25">
      <c r="B40" s="15">
        <f t="shared" si="4"/>
        <v>208</v>
      </c>
      <c r="C40" s="15" t="s">
        <v>135</v>
      </c>
      <c r="D40" s="15">
        <v>2</v>
      </c>
      <c r="E40" s="15">
        <v>1</v>
      </c>
      <c r="F40" s="15">
        <v>1</v>
      </c>
      <c r="G40" s="15">
        <v>1</v>
      </c>
      <c r="H40" s="15">
        <v>2</v>
      </c>
      <c r="I40" s="15" t="s">
        <v>136</v>
      </c>
      <c r="J40" s="16"/>
      <c r="K40" s="15" t="s">
        <v>0</v>
      </c>
      <c r="L40" s="14">
        <v>112</v>
      </c>
      <c r="M40" s="13"/>
      <c r="N40" s="14">
        <v>115</v>
      </c>
      <c r="O40" s="13"/>
      <c r="P40" s="14">
        <v>119</v>
      </c>
      <c r="Q40" s="14">
        <v>106</v>
      </c>
      <c r="R40" s="14"/>
      <c r="S40" s="14"/>
      <c r="T40" s="13"/>
      <c r="U40" s="14">
        <v>99</v>
      </c>
      <c r="V40" s="13"/>
      <c r="W40" s="14">
        <v>118</v>
      </c>
      <c r="X40" s="13"/>
      <c r="Y40" s="14">
        <v>95</v>
      </c>
      <c r="Z40" s="13"/>
      <c r="AA40" s="4">
        <f t="shared" si="0"/>
        <v>112.5</v>
      </c>
      <c r="AB40" s="4">
        <f t="shared" si="1"/>
        <v>108.58333333333333</v>
      </c>
      <c r="AC40" s="4">
        <f t="shared" si="2"/>
        <v>3.8000365495318307</v>
      </c>
      <c r="AD40" s="3"/>
      <c r="AE40" s="3"/>
      <c r="AF40" s="3"/>
      <c r="AG40" s="3"/>
      <c r="AH40" s="3"/>
      <c r="AT40" s="12"/>
      <c r="AU40" s="12"/>
      <c r="AV40" s="11"/>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2:87" ht="24" customHeight="1" x14ac:dyDescent="0.2">
      <c r="B41" s="7">
        <f>B39+700</f>
        <v>908</v>
      </c>
      <c r="C41" s="7" t="s">
        <v>137</v>
      </c>
      <c r="D41" s="7">
        <v>21</v>
      </c>
      <c r="E41" s="7">
        <v>3</v>
      </c>
      <c r="F41" s="7">
        <v>2</v>
      </c>
      <c r="G41" s="7">
        <v>2</v>
      </c>
      <c r="H41" s="7">
        <v>2</v>
      </c>
      <c r="I41" s="7" t="s">
        <v>138</v>
      </c>
      <c r="J41" s="7"/>
      <c r="K41" s="7" t="s">
        <v>2</v>
      </c>
      <c r="L41" s="6">
        <v>78</v>
      </c>
      <c r="M41" s="5"/>
      <c r="N41" s="6">
        <v>71</v>
      </c>
      <c r="O41" s="5"/>
      <c r="P41" s="6">
        <v>76</v>
      </c>
      <c r="Q41" s="6">
        <v>73</v>
      </c>
      <c r="R41" s="6"/>
      <c r="S41" s="6"/>
      <c r="T41" s="5"/>
      <c r="U41" s="6">
        <v>67</v>
      </c>
      <c r="V41" s="5"/>
      <c r="W41" s="6">
        <v>70</v>
      </c>
      <c r="X41" s="5"/>
      <c r="Y41" s="6">
        <v>43</v>
      </c>
      <c r="Z41" s="5"/>
      <c r="AA41" s="4">
        <f t="shared" ref="AA41:AA72" si="5">AVERAGE(P41:T41)</f>
        <v>74.5</v>
      </c>
      <c r="AB41" s="4">
        <f t="shared" ref="AB41:AB72" si="6">AVERAGE(AVERAGE(L41:M41),AVERAGE(N41:O41),AVERAGE(P41:T41),AVERAGE(U41:V41),AVERAGE(W41:X41),AVERAGE(Y41:Z41))</f>
        <v>67.25</v>
      </c>
      <c r="AC41" s="4">
        <f t="shared" ref="AC41:AC72" si="7">STDEV(AVERAGE(L41:M41),AVERAGE(N41:O41),AVERAGE(P41:T41),AVERAGE(U41:V41),AVERAGE(W41:X41),AVERAGE(Y41:Z41))/SQRT(6)</f>
        <v>5.0920689966522126</v>
      </c>
      <c r="AD41" s="3"/>
      <c r="AE41" s="3"/>
      <c r="AF41" s="3"/>
      <c r="AG41" s="3"/>
      <c r="AH41" s="3"/>
    </row>
    <row r="42" spans="2:87" ht="24" customHeight="1" thickBot="1" x14ac:dyDescent="0.25">
      <c r="B42" s="15">
        <f>B40+700</f>
        <v>908</v>
      </c>
      <c r="C42" s="15" t="s">
        <v>137</v>
      </c>
      <c r="D42" s="15">
        <v>21</v>
      </c>
      <c r="E42" s="15">
        <v>3</v>
      </c>
      <c r="F42" s="15">
        <v>2</v>
      </c>
      <c r="G42" s="15">
        <v>2</v>
      </c>
      <c r="H42" s="15">
        <v>2</v>
      </c>
      <c r="I42" s="15" t="s">
        <v>138</v>
      </c>
      <c r="J42" s="16"/>
      <c r="K42" s="15" t="s">
        <v>0</v>
      </c>
      <c r="L42" s="14">
        <v>65</v>
      </c>
      <c r="M42" s="13"/>
      <c r="N42" s="14">
        <v>72</v>
      </c>
      <c r="O42" s="13"/>
      <c r="P42" s="14">
        <v>67</v>
      </c>
      <c r="Q42" s="14">
        <v>58</v>
      </c>
      <c r="R42" s="14"/>
      <c r="S42" s="14"/>
      <c r="T42" s="13"/>
      <c r="U42" s="14">
        <v>62</v>
      </c>
      <c r="V42" s="13"/>
      <c r="W42" s="14">
        <v>52</v>
      </c>
      <c r="X42" s="13"/>
      <c r="Y42" s="14">
        <v>71</v>
      </c>
      <c r="Z42" s="13"/>
      <c r="AA42" s="4">
        <f t="shared" si="5"/>
        <v>62.5</v>
      </c>
      <c r="AB42" s="4">
        <f t="shared" si="6"/>
        <v>64.083333333333329</v>
      </c>
      <c r="AC42" s="4">
        <f t="shared" si="7"/>
        <v>2.9676496498819409</v>
      </c>
      <c r="AD42" s="3"/>
      <c r="AE42" s="3"/>
      <c r="AF42" s="3"/>
      <c r="AG42" s="3"/>
      <c r="AH42" s="3"/>
      <c r="AT42" s="12"/>
      <c r="AU42" s="12"/>
      <c r="AV42" s="11"/>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2:87" ht="24" customHeight="1" x14ac:dyDescent="0.2">
      <c r="B43" s="7">
        <v>906</v>
      </c>
      <c r="C43" s="7" t="s">
        <v>139</v>
      </c>
      <c r="D43" s="7">
        <v>22</v>
      </c>
      <c r="E43" s="7">
        <v>4</v>
      </c>
      <c r="F43" s="7">
        <v>2</v>
      </c>
      <c r="G43" s="7">
        <v>2</v>
      </c>
      <c r="H43" s="7">
        <v>2</v>
      </c>
      <c r="I43" s="7" t="s">
        <v>140</v>
      </c>
      <c r="J43" s="9"/>
      <c r="K43" s="7" t="s">
        <v>2</v>
      </c>
      <c r="L43" s="6">
        <v>95</v>
      </c>
      <c r="M43" s="6"/>
      <c r="N43" s="6">
        <v>97</v>
      </c>
      <c r="O43" s="6"/>
      <c r="P43" s="6">
        <v>75</v>
      </c>
      <c r="Q43" s="6">
        <v>75</v>
      </c>
      <c r="R43" s="6"/>
      <c r="S43" s="6"/>
      <c r="T43" s="6"/>
      <c r="U43" s="6">
        <v>94</v>
      </c>
      <c r="V43" s="6"/>
      <c r="W43" s="6">
        <v>70</v>
      </c>
      <c r="X43" s="6"/>
      <c r="Y43" s="6">
        <v>92</v>
      </c>
      <c r="Z43" s="6"/>
      <c r="AA43" s="4">
        <f t="shared" si="5"/>
        <v>75</v>
      </c>
      <c r="AB43" s="4">
        <f t="shared" si="6"/>
        <v>87.166666666666671</v>
      </c>
      <c r="AC43" s="4">
        <f t="shared" si="7"/>
        <v>4.7287536530370442</v>
      </c>
      <c r="AD43" s="3"/>
      <c r="AE43" s="3"/>
      <c r="AF43" s="3"/>
      <c r="AG43" s="3"/>
      <c r="AH43" s="3"/>
    </row>
    <row r="44" spans="2:87" ht="24" customHeight="1" thickBot="1" x14ac:dyDescent="0.25">
      <c r="B44" s="15">
        <v>906</v>
      </c>
      <c r="C44" s="15" t="s">
        <v>139</v>
      </c>
      <c r="D44" s="15">
        <v>22</v>
      </c>
      <c r="E44" s="15">
        <v>4</v>
      </c>
      <c r="F44" s="15">
        <v>2</v>
      </c>
      <c r="G44" s="15">
        <v>2</v>
      </c>
      <c r="H44" s="15">
        <v>2</v>
      </c>
      <c r="I44" s="15" t="s">
        <v>140</v>
      </c>
      <c r="J44" s="16"/>
      <c r="K44" s="15" t="s">
        <v>0</v>
      </c>
      <c r="L44" s="14">
        <v>88</v>
      </c>
      <c r="M44" s="13"/>
      <c r="N44" s="14">
        <v>91</v>
      </c>
      <c r="O44" s="13"/>
      <c r="P44" s="14">
        <v>74</v>
      </c>
      <c r="Q44" s="14">
        <v>81</v>
      </c>
      <c r="R44" s="14"/>
      <c r="S44" s="14"/>
      <c r="T44" s="13"/>
      <c r="U44" s="14">
        <v>88</v>
      </c>
      <c r="V44" s="13"/>
      <c r="W44" s="14">
        <v>75</v>
      </c>
      <c r="X44" s="13"/>
      <c r="Y44" s="14">
        <v>92</v>
      </c>
      <c r="Z44" s="13"/>
      <c r="AA44" s="4">
        <f t="shared" si="5"/>
        <v>77.5</v>
      </c>
      <c r="AB44" s="4">
        <f t="shared" si="6"/>
        <v>85.25</v>
      </c>
      <c r="AC44" s="4">
        <f t="shared" si="7"/>
        <v>2.9375443259067033</v>
      </c>
      <c r="AD44" s="3"/>
      <c r="AE44" s="3"/>
      <c r="AF44" s="3"/>
      <c r="AG44" s="3"/>
      <c r="AH44" s="3"/>
      <c r="AT44" s="12"/>
      <c r="AU44" s="12"/>
      <c r="AV44" s="11"/>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2:87" ht="24" customHeight="1" x14ac:dyDescent="0.2">
      <c r="B45" s="7">
        <v>904</v>
      </c>
      <c r="C45" s="7" t="s">
        <v>137</v>
      </c>
      <c r="D45" s="7">
        <v>21</v>
      </c>
      <c r="E45" s="7">
        <v>3</v>
      </c>
      <c r="F45" s="7">
        <v>2</v>
      </c>
      <c r="G45" s="7">
        <v>2</v>
      </c>
      <c r="H45" s="7">
        <v>1</v>
      </c>
      <c r="I45" s="7" t="s">
        <v>141</v>
      </c>
      <c r="J45" s="9"/>
      <c r="K45" s="7" t="s">
        <v>2</v>
      </c>
      <c r="L45" s="6">
        <v>68</v>
      </c>
      <c r="M45" s="6"/>
      <c r="N45" s="6">
        <v>64</v>
      </c>
      <c r="O45" s="6"/>
      <c r="P45" s="6">
        <v>61</v>
      </c>
      <c r="Q45" s="6">
        <v>57</v>
      </c>
      <c r="R45" s="6"/>
      <c r="S45" s="6"/>
      <c r="T45" s="6"/>
      <c r="U45" s="6">
        <v>74</v>
      </c>
      <c r="V45" s="6"/>
      <c r="W45" s="6">
        <v>75</v>
      </c>
      <c r="X45" s="6"/>
      <c r="Y45" s="6">
        <v>70</v>
      </c>
      <c r="Z45" s="6"/>
      <c r="AA45" s="4">
        <f t="shared" si="5"/>
        <v>59</v>
      </c>
      <c r="AB45" s="4">
        <f t="shared" si="6"/>
        <v>68.333333333333329</v>
      </c>
      <c r="AC45" s="4">
        <f t="shared" si="7"/>
        <v>2.4855135843076335</v>
      </c>
      <c r="AD45" s="3"/>
      <c r="AE45" s="3"/>
      <c r="AF45" s="3"/>
      <c r="AG45" s="3"/>
      <c r="AH45" s="3"/>
    </row>
    <row r="46" spans="2:87" ht="24" customHeight="1" thickBot="1" x14ac:dyDescent="0.25">
      <c r="B46" s="15">
        <v>904</v>
      </c>
      <c r="C46" s="15" t="s">
        <v>137</v>
      </c>
      <c r="D46" s="15">
        <v>21</v>
      </c>
      <c r="E46" s="15">
        <v>3</v>
      </c>
      <c r="F46" s="15">
        <v>2</v>
      </c>
      <c r="G46" s="15">
        <v>2</v>
      </c>
      <c r="H46" s="15">
        <v>1</v>
      </c>
      <c r="I46" s="15" t="s">
        <v>141</v>
      </c>
      <c r="J46" s="16"/>
      <c r="K46" s="15" t="s">
        <v>0</v>
      </c>
      <c r="L46" s="14">
        <v>58</v>
      </c>
      <c r="M46" s="13"/>
      <c r="N46" s="14">
        <v>70</v>
      </c>
      <c r="O46" s="13"/>
      <c r="P46" s="14">
        <v>66</v>
      </c>
      <c r="Q46" s="14">
        <v>56</v>
      </c>
      <c r="R46" s="14"/>
      <c r="S46" s="14"/>
      <c r="T46" s="13"/>
      <c r="U46" s="14">
        <v>64</v>
      </c>
      <c r="V46" s="13"/>
      <c r="W46" s="14">
        <v>75</v>
      </c>
      <c r="X46" s="13"/>
      <c r="Y46" s="14">
        <v>58</v>
      </c>
      <c r="Z46" s="13"/>
      <c r="AA46" s="4">
        <f t="shared" si="5"/>
        <v>61</v>
      </c>
      <c r="AB46" s="4">
        <f t="shared" si="6"/>
        <v>64.333333333333329</v>
      </c>
      <c r="AC46" s="4">
        <f t="shared" si="7"/>
        <v>2.8126697479638652</v>
      </c>
      <c r="AD46" s="3"/>
      <c r="AE46" s="3"/>
      <c r="AF46" s="3"/>
      <c r="AG46" s="3"/>
      <c r="AH46" s="3"/>
      <c r="AT46" s="12"/>
      <c r="AU46" s="12"/>
      <c r="AV46" s="11"/>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2:87" ht="24" customHeight="1" x14ac:dyDescent="0.2">
      <c r="B47" s="7">
        <v>902</v>
      </c>
      <c r="C47" s="7" t="s">
        <v>139</v>
      </c>
      <c r="D47" s="7">
        <v>22</v>
      </c>
      <c r="E47" s="7">
        <v>4</v>
      </c>
      <c r="F47" s="7">
        <v>2</v>
      </c>
      <c r="G47" s="7">
        <v>2</v>
      </c>
      <c r="H47" s="7">
        <v>1</v>
      </c>
      <c r="I47" s="7" t="s">
        <v>142</v>
      </c>
      <c r="J47" s="9"/>
      <c r="K47" s="7" t="s">
        <v>2</v>
      </c>
      <c r="L47" s="6">
        <v>84</v>
      </c>
      <c r="M47" s="6"/>
      <c r="N47" s="6">
        <v>82</v>
      </c>
      <c r="O47" s="6"/>
      <c r="P47" s="6">
        <v>89</v>
      </c>
      <c r="Q47" s="6">
        <v>70</v>
      </c>
      <c r="R47" s="6"/>
      <c r="S47" s="6"/>
      <c r="T47" s="6"/>
      <c r="U47" s="6">
        <v>100</v>
      </c>
      <c r="V47" s="6"/>
      <c r="W47" s="6">
        <v>65</v>
      </c>
      <c r="X47" s="6"/>
      <c r="Y47" s="6">
        <v>100</v>
      </c>
      <c r="Z47" s="6"/>
      <c r="AA47" s="4">
        <f t="shared" si="5"/>
        <v>79.5</v>
      </c>
      <c r="AB47" s="4">
        <f t="shared" si="6"/>
        <v>85.083333333333329</v>
      </c>
      <c r="AC47" s="4">
        <f t="shared" si="7"/>
        <v>5.4473489984680805</v>
      </c>
      <c r="AD47" s="3"/>
      <c r="AE47" s="3"/>
      <c r="AF47" s="3"/>
      <c r="AG47" s="3"/>
      <c r="AH47" s="3"/>
    </row>
    <row r="48" spans="2:87" ht="24" customHeight="1" thickBot="1" x14ac:dyDescent="0.25">
      <c r="B48" s="15">
        <v>902</v>
      </c>
      <c r="C48" s="15" t="s">
        <v>139</v>
      </c>
      <c r="D48" s="15">
        <v>22</v>
      </c>
      <c r="E48" s="15">
        <v>4</v>
      </c>
      <c r="F48" s="15">
        <v>2</v>
      </c>
      <c r="G48" s="15">
        <v>2</v>
      </c>
      <c r="H48" s="15">
        <v>1</v>
      </c>
      <c r="I48" s="15" t="s">
        <v>142</v>
      </c>
      <c r="J48" s="16"/>
      <c r="K48" s="15" t="s">
        <v>0</v>
      </c>
      <c r="L48" s="14">
        <v>88</v>
      </c>
      <c r="M48" s="13"/>
      <c r="N48" s="14">
        <v>73</v>
      </c>
      <c r="O48" s="13"/>
      <c r="P48" s="14">
        <v>81</v>
      </c>
      <c r="Q48" s="14">
        <v>61</v>
      </c>
      <c r="R48" s="14"/>
      <c r="S48" s="14"/>
      <c r="T48" s="13"/>
      <c r="U48" s="14">
        <v>75</v>
      </c>
      <c r="V48" s="13"/>
      <c r="W48" s="14">
        <v>72</v>
      </c>
      <c r="X48" s="13"/>
      <c r="Y48" s="14">
        <v>78</v>
      </c>
      <c r="Z48" s="13"/>
      <c r="AA48" s="4">
        <f t="shared" si="5"/>
        <v>71</v>
      </c>
      <c r="AB48" s="4">
        <f t="shared" si="6"/>
        <v>76.166666666666671</v>
      </c>
      <c r="AC48" s="4">
        <f t="shared" si="7"/>
        <v>2.5744470819532839</v>
      </c>
      <c r="AD48" s="3"/>
      <c r="AE48" s="3"/>
      <c r="AF48" s="3"/>
      <c r="AG48" s="3"/>
      <c r="AH48" s="3"/>
      <c r="AT48" s="12"/>
      <c r="AU48" s="12"/>
      <c r="AV48" s="11"/>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2:87" ht="24" customHeight="1" x14ac:dyDescent="0.2">
      <c r="B49" s="7">
        <f>B47-601</f>
        <v>301</v>
      </c>
      <c r="C49" s="7" t="s">
        <v>113</v>
      </c>
      <c r="D49" s="7">
        <v>10</v>
      </c>
      <c r="E49" s="7">
        <v>2</v>
      </c>
      <c r="F49" s="7">
        <v>2</v>
      </c>
      <c r="G49" s="7">
        <v>1</v>
      </c>
      <c r="H49" s="7">
        <v>3</v>
      </c>
      <c r="I49" s="7" t="s">
        <v>143</v>
      </c>
      <c r="J49" s="7"/>
      <c r="K49" s="7" t="s">
        <v>2</v>
      </c>
      <c r="L49" s="6">
        <v>97</v>
      </c>
      <c r="M49" s="6"/>
      <c r="N49" s="6">
        <v>99</v>
      </c>
      <c r="O49" s="6"/>
      <c r="P49" s="6">
        <v>95</v>
      </c>
      <c r="Q49" s="6">
        <v>100</v>
      </c>
      <c r="R49" s="6"/>
      <c r="S49" s="6"/>
      <c r="T49" s="6"/>
      <c r="U49" s="6">
        <v>92</v>
      </c>
      <c r="V49" s="6"/>
      <c r="W49" s="6">
        <v>91</v>
      </c>
      <c r="X49" s="6"/>
      <c r="Y49" s="6">
        <v>95</v>
      </c>
      <c r="Z49" s="6"/>
      <c r="AA49" s="4">
        <f t="shared" si="5"/>
        <v>97.5</v>
      </c>
      <c r="AB49" s="4">
        <f t="shared" si="6"/>
        <v>95.25</v>
      </c>
      <c r="AC49" s="4">
        <f t="shared" si="7"/>
        <v>1.3022416570411706</v>
      </c>
      <c r="AT49" s="12">
        <v>2</v>
      </c>
      <c r="AU49" s="12" t="s">
        <v>3</v>
      </c>
      <c r="AV49" s="12">
        <v>150</v>
      </c>
    </row>
    <row r="50" spans="2:87" ht="24" customHeight="1" thickBot="1" x14ac:dyDescent="0.25">
      <c r="B50" s="15">
        <f>B48-601</f>
        <v>301</v>
      </c>
      <c r="C50" s="15" t="s">
        <v>113</v>
      </c>
      <c r="D50" s="15">
        <v>10</v>
      </c>
      <c r="E50" s="15">
        <v>2</v>
      </c>
      <c r="F50" s="15">
        <v>2</v>
      </c>
      <c r="G50" s="15">
        <v>1</v>
      </c>
      <c r="H50" s="15">
        <v>3</v>
      </c>
      <c r="I50" s="15" t="s">
        <v>143</v>
      </c>
      <c r="J50" s="16"/>
      <c r="K50" s="15" t="s">
        <v>0</v>
      </c>
      <c r="L50" s="14">
        <v>103</v>
      </c>
      <c r="M50" s="13"/>
      <c r="N50" s="14">
        <v>111</v>
      </c>
      <c r="O50" s="13"/>
      <c r="P50" s="14">
        <v>104</v>
      </c>
      <c r="Q50" s="14">
        <v>107</v>
      </c>
      <c r="R50" s="14"/>
      <c r="S50" s="14"/>
      <c r="T50" s="13"/>
      <c r="U50" s="14">
        <v>98</v>
      </c>
      <c r="V50" s="13"/>
      <c r="W50" s="14">
        <v>97</v>
      </c>
      <c r="X50" s="13"/>
      <c r="Y50" s="14">
        <v>92</v>
      </c>
      <c r="Z50" s="13"/>
      <c r="AA50" s="4">
        <f t="shared" si="5"/>
        <v>105.5</v>
      </c>
      <c r="AB50" s="4">
        <f t="shared" si="6"/>
        <v>101.08333333333333</v>
      </c>
      <c r="AC50" s="4">
        <f t="shared" si="7"/>
        <v>2.7701283564324437</v>
      </c>
      <c r="AD50" s="3"/>
      <c r="AE50" s="3"/>
      <c r="AF50" s="3"/>
      <c r="AG50" s="3"/>
      <c r="AH50" s="3"/>
      <c r="AT50" s="12"/>
      <c r="AU50" s="12"/>
      <c r="AV50" s="11"/>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2:87" ht="24" customHeight="1" x14ac:dyDescent="0.2">
      <c r="B51" s="7">
        <f t="shared" ref="B51:B64" si="8">B49+1</f>
        <v>302</v>
      </c>
      <c r="C51" s="7" t="s">
        <v>122</v>
      </c>
      <c r="D51" s="7">
        <v>4</v>
      </c>
      <c r="E51" s="7">
        <v>1</v>
      </c>
      <c r="F51" s="7">
        <v>2</v>
      </c>
      <c r="G51" s="7">
        <v>1</v>
      </c>
      <c r="H51" s="7">
        <v>3</v>
      </c>
      <c r="I51" s="7" t="s">
        <v>144</v>
      </c>
      <c r="J51" s="9"/>
      <c r="K51" s="7" t="s">
        <v>2</v>
      </c>
      <c r="L51" s="6">
        <v>85</v>
      </c>
      <c r="M51" s="6"/>
      <c r="N51" s="6">
        <v>78</v>
      </c>
      <c r="O51" s="6"/>
      <c r="P51" s="6">
        <v>95</v>
      </c>
      <c r="Q51" s="6">
        <v>89</v>
      </c>
      <c r="R51" s="6"/>
      <c r="S51" s="6"/>
      <c r="T51" s="6"/>
      <c r="U51" s="6">
        <v>86</v>
      </c>
      <c r="V51" s="6"/>
      <c r="W51" s="6">
        <v>84</v>
      </c>
      <c r="X51" s="6"/>
      <c r="Y51" s="6">
        <v>85</v>
      </c>
      <c r="Z51" s="6"/>
      <c r="AA51" s="4">
        <f t="shared" si="5"/>
        <v>92</v>
      </c>
      <c r="AB51" s="4">
        <f t="shared" si="6"/>
        <v>85</v>
      </c>
      <c r="AC51" s="4">
        <f t="shared" si="7"/>
        <v>1.825741858350554</v>
      </c>
      <c r="AD51" s="3"/>
      <c r="AE51" s="3"/>
      <c r="AF51" s="3"/>
      <c r="AG51" s="3"/>
      <c r="AH51" s="3"/>
    </row>
    <row r="52" spans="2:87" ht="24" customHeight="1" thickBot="1" x14ac:dyDescent="0.25">
      <c r="B52" s="15">
        <f t="shared" si="8"/>
        <v>302</v>
      </c>
      <c r="C52" s="15" t="s">
        <v>122</v>
      </c>
      <c r="D52" s="15">
        <v>4</v>
      </c>
      <c r="E52" s="15">
        <v>1</v>
      </c>
      <c r="F52" s="15">
        <v>2</v>
      </c>
      <c r="G52" s="15">
        <v>1</v>
      </c>
      <c r="H52" s="15">
        <v>3</v>
      </c>
      <c r="I52" s="15" t="s">
        <v>144</v>
      </c>
      <c r="J52" s="16"/>
      <c r="K52" s="15" t="s">
        <v>0</v>
      </c>
      <c r="L52" s="14">
        <v>102</v>
      </c>
      <c r="M52" s="13"/>
      <c r="N52" s="14">
        <v>104</v>
      </c>
      <c r="O52" s="13"/>
      <c r="P52" s="14">
        <v>93</v>
      </c>
      <c r="Q52" s="14">
        <v>94</v>
      </c>
      <c r="R52" s="14"/>
      <c r="S52" s="14"/>
      <c r="T52" s="13"/>
      <c r="U52" s="14">
        <v>115</v>
      </c>
      <c r="V52" s="13"/>
      <c r="W52" s="14">
        <v>107</v>
      </c>
      <c r="X52" s="13"/>
      <c r="Y52" s="14">
        <v>105</v>
      </c>
      <c r="Z52" s="13"/>
      <c r="AA52" s="4">
        <f t="shared" si="5"/>
        <v>93.5</v>
      </c>
      <c r="AB52" s="4">
        <f t="shared" si="6"/>
        <v>104.41666666666667</v>
      </c>
      <c r="AC52" s="4">
        <f t="shared" si="7"/>
        <v>2.8531172036524852</v>
      </c>
      <c r="AD52" s="3"/>
      <c r="AE52" s="3"/>
      <c r="AF52" s="3"/>
      <c r="AG52" s="3"/>
      <c r="AH52" s="3"/>
      <c r="AT52" s="12"/>
      <c r="AU52" s="12"/>
      <c r="AV52" s="11"/>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2:87" ht="24" customHeight="1" x14ac:dyDescent="0.2">
      <c r="B53" s="7">
        <f t="shared" si="8"/>
        <v>303</v>
      </c>
      <c r="C53" s="7" t="s">
        <v>132</v>
      </c>
      <c r="D53" s="7">
        <v>8</v>
      </c>
      <c r="E53" s="7">
        <v>2</v>
      </c>
      <c r="F53" s="7">
        <v>1</v>
      </c>
      <c r="G53" s="7">
        <v>1</v>
      </c>
      <c r="H53" s="7">
        <v>3</v>
      </c>
      <c r="I53" s="7" t="s">
        <v>145</v>
      </c>
      <c r="J53" s="9"/>
      <c r="K53" s="7" t="s">
        <v>2</v>
      </c>
      <c r="L53" s="6">
        <v>100</v>
      </c>
      <c r="M53" s="6"/>
      <c r="N53" s="6">
        <v>89</v>
      </c>
      <c r="O53" s="6"/>
      <c r="P53" s="6">
        <v>90</v>
      </c>
      <c r="Q53" s="6">
        <v>92</v>
      </c>
      <c r="R53" s="6"/>
      <c r="S53" s="6"/>
      <c r="T53" s="6"/>
      <c r="U53" s="6">
        <v>93</v>
      </c>
      <c r="V53" s="6"/>
      <c r="W53" s="6">
        <v>40</v>
      </c>
      <c r="X53" s="6"/>
      <c r="Y53" s="6">
        <v>91</v>
      </c>
      <c r="Z53" s="6"/>
      <c r="AA53" s="4">
        <f t="shared" si="5"/>
        <v>91</v>
      </c>
      <c r="AB53" s="4">
        <f t="shared" si="6"/>
        <v>84</v>
      </c>
      <c r="AC53" s="4">
        <f t="shared" si="7"/>
        <v>8.9368152418334503</v>
      </c>
      <c r="AD53" s="3"/>
      <c r="AE53" s="3"/>
      <c r="AF53" s="3"/>
      <c r="AG53" s="3"/>
      <c r="AH53" s="3"/>
    </row>
    <row r="54" spans="2:87" ht="24" customHeight="1" thickBot="1" x14ac:dyDescent="0.25">
      <c r="B54" s="15">
        <f t="shared" si="8"/>
        <v>303</v>
      </c>
      <c r="C54" s="15" t="s">
        <v>132</v>
      </c>
      <c r="D54" s="15">
        <v>8</v>
      </c>
      <c r="E54" s="15">
        <v>2</v>
      </c>
      <c r="F54" s="15">
        <v>1</v>
      </c>
      <c r="G54" s="15">
        <v>1</v>
      </c>
      <c r="H54" s="15">
        <v>3</v>
      </c>
      <c r="I54" s="15" t="s">
        <v>145</v>
      </c>
      <c r="J54" s="16"/>
      <c r="K54" s="15" t="s">
        <v>0</v>
      </c>
      <c r="L54" s="14">
        <v>98</v>
      </c>
      <c r="M54" s="13"/>
      <c r="N54" s="14">
        <v>104</v>
      </c>
      <c r="O54" s="13"/>
      <c r="P54" s="14">
        <v>99</v>
      </c>
      <c r="Q54" s="14">
        <v>103</v>
      </c>
      <c r="R54" s="14"/>
      <c r="S54" s="14"/>
      <c r="T54" s="13"/>
      <c r="U54" s="14">
        <v>91</v>
      </c>
      <c r="V54" s="13"/>
      <c r="W54" s="14">
        <v>114</v>
      </c>
      <c r="X54" s="13"/>
      <c r="Y54" s="14">
        <v>113</v>
      </c>
      <c r="Z54" s="13"/>
      <c r="AA54" s="4">
        <f t="shared" si="5"/>
        <v>101</v>
      </c>
      <c r="AB54" s="4">
        <f t="shared" si="6"/>
        <v>103.5</v>
      </c>
      <c r="AC54" s="4">
        <f t="shared" si="7"/>
        <v>3.6216938946667856</v>
      </c>
      <c r="AD54" s="3"/>
      <c r="AE54" s="3"/>
      <c r="AF54" s="3"/>
      <c r="AG54" s="3"/>
      <c r="AH54" s="3"/>
      <c r="AT54" s="12"/>
      <c r="AU54" s="12"/>
      <c r="AV54" s="11"/>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2:87" ht="24" customHeight="1" x14ac:dyDescent="0.2">
      <c r="B55" s="7">
        <f t="shared" si="8"/>
        <v>304</v>
      </c>
      <c r="C55" s="7" t="s">
        <v>135</v>
      </c>
      <c r="D55" s="7">
        <v>2</v>
      </c>
      <c r="E55" s="7">
        <v>1</v>
      </c>
      <c r="F55" s="7">
        <v>1</v>
      </c>
      <c r="G55" s="7">
        <v>1</v>
      </c>
      <c r="H55" s="7">
        <v>3</v>
      </c>
      <c r="I55" s="7" t="s">
        <v>146</v>
      </c>
      <c r="J55" s="9"/>
      <c r="K55" s="7" t="s">
        <v>2</v>
      </c>
      <c r="L55" s="6">
        <v>99</v>
      </c>
      <c r="M55" s="6"/>
      <c r="N55" s="6">
        <v>93</v>
      </c>
      <c r="O55" s="6"/>
      <c r="P55" s="6">
        <v>92</v>
      </c>
      <c r="Q55" s="6">
        <v>87</v>
      </c>
      <c r="R55" s="6"/>
      <c r="S55" s="6"/>
      <c r="T55" s="6"/>
      <c r="U55" s="6">
        <v>88</v>
      </c>
      <c r="V55" s="6"/>
      <c r="W55" s="6">
        <v>93</v>
      </c>
      <c r="X55" s="6"/>
      <c r="Y55" s="6">
        <v>100</v>
      </c>
      <c r="Z55" s="6"/>
      <c r="AA55" s="4">
        <f t="shared" si="5"/>
        <v>89.5</v>
      </c>
      <c r="AB55" s="4">
        <f t="shared" si="6"/>
        <v>93.75</v>
      </c>
      <c r="AC55" s="4">
        <f t="shared" si="7"/>
        <v>1.9906029237394385</v>
      </c>
      <c r="AD55" s="3"/>
      <c r="AE55" s="3"/>
      <c r="AF55" s="3"/>
      <c r="AG55" s="3"/>
      <c r="AH55" s="3"/>
    </row>
    <row r="56" spans="2:87" ht="24" customHeight="1" thickBot="1" x14ac:dyDescent="0.25">
      <c r="B56" s="15">
        <f t="shared" si="8"/>
        <v>304</v>
      </c>
      <c r="C56" s="15" t="s">
        <v>135</v>
      </c>
      <c r="D56" s="15">
        <v>2</v>
      </c>
      <c r="E56" s="15">
        <v>1</v>
      </c>
      <c r="F56" s="15">
        <v>1</v>
      </c>
      <c r="G56" s="15">
        <v>1</v>
      </c>
      <c r="H56" s="15">
        <v>3</v>
      </c>
      <c r="I56" s="15" t="s">
        <v>146</v>
      </c>
      <c r="J56" s="16"/>
      <c r="K56" s="15" t="s">
        <v>0</v>
      </c>
      <c r="L56" s="14">
        <v>106</v>
      </c>
      <c r="M56" s="13"/>
      <c r="N56" s="14">
        <v>111</v>
      </c>
      <c r="O56" s="13"/>
      <c r="P56" s="14">
        <v>100</v>
      </c>
      <c r="Q56" s="14">
        <v>93</v>
      </c>
      <c r="R56" s="14"/>
      <c r="S56" s="14"/>
      <c r="T56" s="13"/>
      <c r="U56" s="14">
        <v>98</v>
      </c>
      <c r="V56" s="13"/>
      <c r="W56" s="14">
        <v>100</v>
      </c>
      <c r="X56" s="13"/>
      <c r="Y56" s="14">
        <v>91</v>
      </c>
      <c r="Z56" s="13"/>
      <c r="AA56" s="4">
        <f t="shared" si="5"/>
        <v>96.5</v>
      </c>
      <c r="AB56" s="4">
        <f t="shared" si="6"/>
        <v>100.41666666666667</v>
      </c>
      <c r="AC56" s="4">
        <f t="shared" si="7"/>
        <v>2.905215616400576</v>
      </c>
      <c r="AD56" s="3"/>
      <c r="AE56" s="3"/>
      <c r="AF56" s="3"/>
      <c r="AG56" s="3"/>
      <c r="AH56" s="3"/>
      <c r="AT56" s="12"/>
      <c r="AU56" s="12"/>
      <c r="AV56" s="11"/>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2:87" ht="24" customHeight="1" thickBot="1" x14ac:dyDescent="0.25">
      <c r="B57" s="7">
        <f t="shared" si="8"/>
        <v>305</v>
      </c>
      <c r="C57" s="7" t="s">
        <v>129</v>
      </c>
      <c r="D57" s="7">
        <v>11</v>
      </c>
      <c r="E57" s="7">
        <v>2</v>
      </c>
      <c r="F57" s="7">
        <v>3</v>
      </c>
      <c r="G57" s="7">
        <v>2</v>
      </c>
      <c r="H57" s="7">
        <v>4</v>
      </c>
      <c r="I57" s="7" t="s">
        <v>147</v>
      </c>
      <c r="J57" s="16"/>
      <c r="K57" s="7" t="s">
        <v>2</v>
      </c>
      <c r="L57" s="6">
        <v>50</v>
      </c>
      <c r="M57" s="6"/>
      <c r="N57" s="6">
        <v>100</v>
      </c>
      <c r="O57" s="6"/>
      <c r="P57" s="6">
        <v>100</v>
      </c>
      <c r="Q57" s="6">
        <v>100</v>
      </c>
      <c r="R57" s="6"/>
      <c r="S57" s="6"/>
      <c r="T57" s="6"/>
      <c r="U57" s="6">
        <v>100</v>
      </c>
      <c r="V57" s="6"/>
      <c r="W57" s="6">
        <v>100</v>
      </c>
      <c r="X57" s="6"/>
      <c r="Y57" s="6">
        <v>100</v>
      </c>
      <c r="Z57" s="6"/>
      <c r="AA57" s="4">
        <f t="shared" si="5"/>
        <v>100</v>
      </c>
      <c r="AB57" s="4">
        <f t="shared" si="6"/>
        <v>91.666666666666671</v>
      </c>
      <c r="AC57" s="4">
        <f t="shared" si="7"/>
        <v>8.3333333333333393</v>
      </c>
      <c r="AD57" s="3"/>
      <c r="AE57" s="3"/>
      <c r="AF57" s="3"/>
      <c r="AG57" s="3"/>
      <c r="AH57" s="3"/>
    </row>
    <row r="58" spans="2:87" ht="24" customHeight="1" thickBot="1" x14ac:dyDescent="0.25">
      <c r="B58" s="15">
        <f t="shared" si="8"/>
        <v>305</v>
      </c>
      <c r="C58" s="15" t="s">
        <v>129</v>
      </c>
      <c r="D58" s="15">
        <v>11</v>
      </c>
      <c r="E58" s="15">
        <v>2</v>
      </c>
      <c r="F58" s="15">
        <v>3</v>
      </c>
      <c r="G58" s="15">
        <v>2</v>
      </c>
      <c r="H58" s="15">
        <v>4</v>
      </c>
      <c r="I58" s="15" t="s">
        <v>147</v>
      </c>
      <c r="J58" s="16"/>
      <c r="K58" s="15" t="s">
        <v>0</v>
      </c>
      <c r="L58" s="14">
        <v>139</v>
      </c>
      <c r="M58" s="13"/>
      <c r="N58" s="14">
        <v>118</v>
      </c>
      <c r="O58" s="13"/>
      <c r="P58" s="14">
        <v>112</v>
      </c>
      <c r="Q58" s="14">
        <v>114</v>
      </c>
      <c r="R58" s="14"/>
      <c r="S58" s="14"/>
      <c r="T58" s="13"/>
      <c r="U58" s="14">
        <v>115</v>
      </c>
      <c r="V58" s="13"/>
      <c r="W58" s="14">
        <v>127</v>
      </c>
      <c r="X58" s="13"/>
      <c r="Y58" s="14">
        <v>118</v>
      </c>
      <c r="Z58" s="13"/>
      <c r="AA58" s="4">
        <f t="shared" si="5"/>
        <v>113</v>
      </c>
      <c r="AB58" s="4">
        <f t="shared" si="6"/>
        <v>121.66666666666667</v>
      </c>
      <c r="AC58" s="4">
        <f t="shared" si="7"/>
        <v>3.9805080636075143</v>
      </c>
      <c r="AD58" s="3"/>
      <c r="AE58" s="3"/>
      <c r="AF58" s="3"/>
      <c r="AG58" s="3"/>
      <c r="AH58" s="3"/>
      <c r="AT58" s="12"/>
      <c r="AU58" s="12"/>
      <c r="AV58" s="11"/>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2:87" ht="24" customHeight="1" x14ac:dyDescent="0.2">
      <c r="B59" s="7">
        <f t="shared" si="8"/>
        <v>306</v>
      </c>
      <c r="C59" s="7" t="s">
        <v>122</v>
      </c>
      <c r="D59" s="7">
        <v>4</v>
      </c>
      <c r="E59" s="7">
        <v>1</v>
      </c>
      <c r="F59" s="7">
        <v>2</v>
      </c>
      <c r="G59" s="7">
        <v>1</v>
      </c>
      <c r="H59" s="7">
        <v>4</v>
      </c>
      <c r="I59" s="7" t="s">
        <v>148</v>
      </c>
      <c r="J59" s="9"/>
      <c r="K59" s="7" t="s">
        <v>2</v>
      </c>
      <c r="L59" s="6">
        <v>93</v>
      </c>
      <c r="M59" s="6"/>
      <c r="N59" s="6">
        <v>86</v>
      </c>
      <c r="O59" s="6"/>
      <c r="P59" s="6">
        <v>80</v>
      </c>
      <c r="Q59" s="6">
        <v>89</v>
      </c>
      <c r="R59" s="6"/>
      <c r="S59" s="6"/>
      <c r="T59" s="6"/>
      <c r="U59" s="6">
        <v>98</v>
      </c>
      <c r="V59" s="6"/>
      <c r="W59" s="6">
        <v>86</v>
      </c>
      <c r="X59" s="6"/>
      <c r="Y59" s="6">
        <v>93</v>
      </c>
      <c r="Z59" s="6"/>
      <c r="AA59" s="4">
        <f t="shared" si="5"/>
        <v>84.5</v>
      </c>
      <c r="AB59" s="4">
        <f t="shared" si="6"/>
        <v>90.083333333333329</v>
      </c>
      <c r="AC59" s="4">
        <f t="shared" si="7"/>
        <v>2.1924745025756729</v>
      </c>
      <c r="AD59" s="3"/>
      <c r="AE59" s="3"/>
      <c r="AF59" s="3"/>
      <c r="AG59" s="3"/>
      <c r="AH59" s="3"/>
    </row>
    <row r="60" spans="2:87" ht="24" customHeight="1" thickBot="1" x14ac:dyDescent="0.25">
      <c r="B60" s="15">
        <f t="shared" si="8"/>
        <v>306</v>
      </c>
      <c r="C60" s="15" t="s">
        <v>122</v>
      </c>
      <c r="D60" s="15">
        <v>4</v>
      </c>
      <c r="E60" s="15">
        <v>1</v>
      </c>
      <c r="F60" s="15">
        <v>2</v>
      </c>
      <c r="G60" s="15">
        <v>1</v>
      </c>
      <c r="H60" s="15">
        <v>4</v>
      </c>
      <c r="I60" s="15" t="s">
        <v>148</v>
      </c>
      <c r="J60" s="16"/>
      <c r="K60" s="15" t="s">
        <v>0</v>
      </c>
      <c r="L60" s="14">
        <v>101</v>
      </c>
      <c r="M60" s="13"/>
      <c r="N60" s="14">
        <v>94</v>
      </c>
      <c r="O60" s="13"/>
      <c r="P60" s="14">
        <v>96</v>
      </c>
      <c r="Q60" s="14">
        <v>89</v>
      </c>
      <c r="R60" s="14"/>
      <c r="S60" s="14"/>
      <c r="T60" s="13"/>
      <c r="U60" s="14">
        <v>94</v>
      </c>
      <c r="V60" s="13"/>
      <c r="W60" s="14">
        <v>110</v>
      </c>
      <c r="X60" s="13"/>
      <c r="Y60" s="14">
        <v>110</v>
      </c>
      <c r="Z60" s="13"/>
      <c r="AA60" s="4">
        <f t="shared" si="5"/>
        <v>92.5</v>
      </c>
      <c r="AB60" s="4">
        <f t="shared" si="6"/>
        <v>100.25</v>
      </c>
      <c r="AC60" s="4">
        <f t="shared" si="7"/>
        <v>3.310966626228661</v>
      </c>
      <c r="AD60" s="3"/>
      <c r="AE60" s="3"/>
      <c r="AF60" s="3"/>
      <c r="AG60" s="3"/>
      <c r="AH60" s="3"/>
      <c r="AT60" s="12"/>
      <c r="AU60" s="12"/>
      <c r="AV60" s="11"/>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2:87" ht="24" customHeight="1" x14ac:dyDescent="0.2">
      <c r="B61" s="7">
        <f t="shared" si="8"/>
        <v>307</v>
      </c>
      <c r="C61" s="7" t="s">
        <v>115</v>
      </c>
      <c r="D61" s="7">
        <v>9</v>
      </c>
      <c r="E61" s="7">
        <v>2</v>
      </c>
      <c r="F61" s="7">
        <v>2</v>
      </c>
      <c r="G61" s="7">
        <v>2</v>
      </c>
      <c r="H61" s="7">
        <v>4</v>
      </c>
      <c r="I61" s="7" t="s">
        <v>149</v>
      </c>
      <c r="J61" s="9"/>
      <c r="K61" s="7" t="s">
        <v>2</v>
      </c>
      <c r="L61" s="6">
        <v>94</v>
      </c>
      <c r="M61" s="5"/>
      <c r="N61" s="6">
        <v>83</v>
      </c>
      <c r="O61" s="5"/>
      <c r="P61" s="6">
        <v>97</v>
      </c>
      <c r="Q61" s="6">
        <v>97</v>
      </c>
      <c r="R61" s="6"/>
      <c r="S61" s="6"/>
      <c r="T61" s="5"/>
      <c r="U61" s="6">
        <v>100</v>
      </c>
      <c r="V61" s="5"/>
      <c r="W61" s="6">
        <v>95</v>
      </c>
      <c r="X61" s="5"/>
      <c r="Y61" s="6">
        <v>100</v>
      </c>
      <c r="Z61" s="5"/>
      <c r="AA61" s="4">
        <f t="shared" si="5"/>
        <v>97</v>
      </c>
      <c r="AB61" s="4">
        <f t="shared" si="6"/>
        <v>94.833333333333329</v>
      </c>
      <c r="AC61" s="4">
        <f t="shared" si="7"/>
        <v>2.5744470819532839</v>
      </c>
      <c r="AD61" s="3"/>
      <c r="AE61" s="3"/>
      <c r="AF61" s="3"/>
      <c r="AG61" s="3"/>
      <c r="AH61" s="3"/>
    </row>
    <row r="62" spans="2:87" ht="24" customHeight="1" thickBot="1" x14ac:dyDescent="0.25">
      <c r="B62" s="15">
        <f t="shared" si="8"/>
        <v>307</v>
      </c>
      <c r="C62" s="15" t="s">
        <v>115</v>
      </c>
      <c r="D62" s="15">
        <v>9</v>
      </c>
      <c r="E62" s="15">
        <v>2</v>
      </c>
      <c r="F62" s="15">
        <v>2</v>
      </c>
      <c r="G62" s="15">
        <v>2</v>
      </c>
      <c r="H62" s="15">
        <v>4</v>
      </c>
      <c r="I62" s="15" t="s">
        <v>149</v>
      </c>
      <c r="J62" s="16"/>
      <c r="K62" s="15" t="s">
        <v>0</v>
      </c>
      <c r="L62" s="14">
        <v>118</v>
      </c>
      <c r="M62" s="13"/>
      <c r="N62" s="14">
        <v>116</v>
      </c>
      <c r="O62" s="13"/>
      <c r="P62" s="14">
        <v>120</v>
      </c>
      <c r="Q62" s="14">
        <v>118</v>
      </c>
      <c r="R62" s="14"/>
      <c r="S62" s="14"/>
      <c r="T62" s="13"/>
      <c r="U62" s="14">
        <v>123</v>
      </c>
      <c r="V62" s="13"/>
      <c r="W62" s="14">
        <v>115</v>
      </c>
      <c r="X62" s="13"/>
      <c r="Y62" s="14">
        <v>127</v>
      </c>
      <c r="Z62" s="13"/>
      <c r="AA62" s="4">
        <f t="shared" si="5"/>
        <v>119</v>
      </c>
      <c r="AB62" s="4">
        <f t="shared" si="6"/>
        <v>119.66666666666667</v>
      </c>
      <c r="AC62" s="4">
        <f t="shared" si="7"/>
        <v>1.855921454276674</v>
      </c>
      <c r="AD62" s="3"/>
      <c r="AE62" s="3"/>
      <c r="AF62" s="3"/>
      <c r="AG62" s="3"/>
      <c r="AH62" s="3"/>
      <c r="AT62" s="12"/>
      <c r="AU62" s="12"/>
      <c r="AV62" s="11"/>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2:87" ht="24" customHeight="1" x14ac:dyDescent="0.2">
      <c r="B63" s="7">
        <f t="shared" si="8"/>
        <v>308</v>
      </c>
      <c r="C63" s="7" t="s">
        <v>120</v>
      </c>
      <c r="D63" s="7">
        <v>5</v>
      </c>
      <c r="E63" s="7">
        <v>1</v>
      </c>
      <c r="F63" s="7">
        <v>3</v>
      </c>
      <c r="G63" s="7">
        <v>2</v>
      </c>
      <c r="H63" s="7">
        <v>4</v>
      </c>
      <c r="I63" s="7" t="s">
        <v>150</v>
      </c>
      <c r="J63" s="9"/>
      <c r="K63" s="7" t="s">
        <v>2</v>
      </c>
      <c r="L63" s="6">
        <v>100</v>
      </c>
      <c r="M63" s="5"/>
      <c r="N63" s="6">
        <v>40</v>
      </c>
      <c r="O63" s="5"/>
      <c r="P63" s="6">
        <v>100</v>
      </c>
      <c r="Q63" s="6">
        <v>100</v>
      </c>
      <c r="R63" s="6"/>
      <c r="S63" s="6"/>
      <c r="T63" s="5"/>
      <c r="U63" s="6">
        <v>100</v>
      </c>
      <c r="V63" s="5"/>
      <c r="W63" s="6">
        <v>100</v>
      </c>
      <c r="X63" s="5"/>
      <c r="Y63" s="6">
        <v>98</v>
      </c>
      <c r="Z63" s="5"/>
      <c r="AA63" s="4">
        <f t="shared" si="5"/>
        <v>100</v>
      </c>
      <c r="AB63" s="4">
        <f t="shared" si="6"/>
        <v>89.666666666666671</v>
      </c>
      <c r="AC63" s="4">
        <f t="shared" si="7"/>
        <v>9.9387010105837206</v>
      </c>
      <c r="AD63" s="3"/>
      <c r="AE63" s="3"/>
      <c r="AF63" s="3"/>
      <c r="AG63" s="3"/>
      <c r="AH63" s="3"/>
    </row>
    <row r="64" spans="2:87" ht="24" customHeight="1" x14ac:dyDescent="0.2">
      <c r="B64" s="7">
        <f t="shared" si="8"/>
        <v>308</v>
      </c>
      <c r="C64" s="7" t="s">
        <v>120</v>
      </c>
      <c r="D64" s="7">
        <v>5</v>
      </c>
      <c r="E64" s="7">
        <v>1</v>
      </c>
      <c r="F64" s="7">
        <v>3</v>
      </c>
      <c r="G64" s="7">
        <v>2</v>
      </c>
      <c r="H64" s="7">
        <v>4</v>
      </c>
      <c r="I64" s="7" t="s">
        <v>150</v>
      </c>
      <c r="J64" s="9"/>
      <c r="K64" s="7" t="s">
        <v>0</v>
      </c>
      <c r="L64" s="6">
        <v>102</v>
      </c>
      <c r="M64" s="6"/>
      <c r="N64" s="6">
        <v>101</v>
      </c>
      <c r="O64" s="6"/>
      <c r="P64" s="6">
        <v>102</v>
      </c>
      <c r="Q64" s="6">
        <v>105</v>
      </c>
      <c r="R64" s="6"/>
      <c r="S64" s="6"/>
      <c r="T64" s="6"/>
      <c r="U64" s="6">
        <v>118</v>
      </c>
      <c r="V64" s="6"/>
      <c r="W64" s="6">
        <v>114</v>
      </c>
      <c r="X64" s="6"/>
      <c r="Y64" s="6">
        <v>113</v>
      </c>
      <c r="Z64" s="6"/>
      <c r="AA64" s="4">
        <f t="shared" si="5"/>
        <v>103.5</v>
      </c>
      <c r="AB64" s="4">
        <f t="shared" si="6"/>
        <v>108.58333333333333</v>
      </c>
      <c r="AC64" s="4">
        <f t="shared" si="7"/>
        <v>2.9676496498819476</v>
      </c>
      <c r="AD64" s="3"/>
      <c r="AE64" s="3"/>
      <c r="AF64" s="3"/>
      <c r="AG64" s="3"/>
      <c r="AH64" s="3"/>
    </row>
    <row r="65" spans="2:87" ht="24" customHeight="1" x14ac:dyDescent="0.2">
      <c r="B65" s="7">
        <f>B63+100</f>
        <v>408</v>
      </c>
      <c r="C65" s="7" t="s">
        <v>113</v>
      </c>
      <c r="D65" s="7">
        <v>10</v>
      </c>
      <c r="E65" s="7">
        <v>2</v>
      </c>
      <c r="F65" s="7">
        <v>2</v>
      </c>
      <c r="G65" s="7">
        <v>1</v>
      </c>
      <c r="H65" s="7">
        <v>4</v>
      </c>
      <c r="I65" s="7" t="s">
        <v>151</v>
      </c>
      <c r="J65" s="7"/>
      <c r="K65" s="7" t="s">
        <v>2</v>
      </c>
      <c r="L65" s="6">
        <v>100</v>
      </c>
      <c r="M65" s="6"/>
      <c r="N65" s="6">
        <v>93</v>
      </c>
      <c r="O65" s="6"/>
      <c r="P65" s="6">
        <v>93</v>
      </c>
      <c r="Q65" s="6">
        <v>100</v>
      </c>
      <c r="R65" s="6"/>
      <c r="S65" s="6"/>
      <c r="T65" s="6"/>
      <c r="U65" s="6">
        <v>90</v>
      </c>
      <c r="V65" s="6"/>
      <c r="W65" s="6">
        <v>91</v>
      </c>
      <c r="X65" s="6"/>
      <c r="Y65" s="6">
        <v>92</v>
      </c>
      <c r="Z65" s="6"/>
      <c r="AA65" s="4">
        <f t="shared" si="5"/>
        <v>96.5</v>
      </c>
      <c r="AB65" s="4">
        <f t="shared" si="6"/>
        <v>93.75</v>
      </c>
      <c r="AC65" s="4">
        <f t="shared" si="7"/>
        <v>1.5478479684172259</v>
      </c>
      <c r="AT65" s="12">
        <v>2</v>
      </c>
      <c r="AU65" s="12" t="s">
        <v>3</v>
      </c>
      <c r="AV65" s="12">
        <v>150</v>
      </c>
    </row>
    <row r="66" spans="2:87" ht="24" customHeight="1" thickBot="1" x14ac:dyDescent="0.25">
      <c r="B66" s="7">
        <f>B64+100</f>
        <v>408</v>
      </c>
      <c r="C66" s="15" t="s">
        <v>113</v>
      </c>
      <c r="D66" s="15">
        <v>10</v>
      </c>
      <c r="E66" s="15">
        <v>2</v>
      </c>
      <c r="F66" s="15">
        <v>2</v>
      </c>
      <c r="G66" s="15">
        <v>1</v>
      </c>
      <c r="H66" s="15">
        <v>4</v>
      </c>
      <c r="I66" s="15" t="s">
        <v>151</v>
      </c>
      <c r="J66" s="16"/>
      <c r="K66" s="15" t="s">
        <v>0</v>
      </c>
      <c r="L66" s="14">
        <v>106</v>
      </c>
      <c r="M66" s="13"/>
      <c r="N66" s="14">
        <v>116</v>
      </c>
      <c r="O66" s="13"/>
      <c r="P66" s="14">
        <v>117</v>
      </c>
      <c r="Q66" s="14">
        <v>115</v>
      </c>
      <c r="R66" s="14"/>
      <c r="S66" s="14"/>
      <c r="T66" s="13"/>
      <c r="U66" s="14">
        <v>110</v>
      </c>
      <c r="V66" s="13"/>
      <c r="W66" s="14">
        <v>108</v>
      </c>
      <c r="X66" s="13"/>
      <c r="Y66" s="14">
        <v>121</v>
      </c>
      <c r="Z66" s="13"/>
      <c r="AA66" s="4">
        <f t="shared" si="5"/>
        <v>116</v>
      </c>
      <c r="AB66" s="4">
        <f t="shared" si="6"/>
        <v>112.83333333333333</v>
      </c>
      <c r="AC66" s="4">
        <f t="shared" si="7"/>
        <v>2.3440231322332221</v>
      </c>
      <c r="AD66" s="3"/>
      <c r="AE66" s="3"/>
      <c r="AF66" s="3"/>
      <c r="AG66" s="3"/>
      <c r="AH66" s="3"/>
      <c r="AT66" s="12"/>
      <c r="AU66" s="12"/>
      <c r="AV66" s="11"/>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2:87" ht="24" customHeight="1" x14ac:dyDescent="0.2">
      <c r="B67" s="7">
        <f t="shared" ref="B67:B80" si="9">B65-1</f>
        <v>407</v>
      </c>
      <c r="C67" s="7" t="s">
        <v>152</v>
      </c>
      <c r="D67" s="7">
        <v>7</v>
      </c>
      <c r="E67" s="7">
        <v>2</v>
      </c>
      <c r="F67" s="7">
        <v>1</v>
      </c>
      <c r="G67" s="7">
        <v>2</v>
      </c>
      <c r="H67" s="7">
        <v>4</v>
      </c>
      <c r="I67" s="7" t="s">
        <v>153</v>
      </c>
      <c r="J67" s="9"/>
      <c r="K67" s="7" t="s">
        <v>2</v>
      </c>
      <c r="L67" s="6">
        <v>96</v>
      </c>
      <c r="M67" s="6"/>
      <c r="N67" s="6">
        <v>95</v>
      </c>
      <c r="O67" s="6"/>
      <c r="P67" s="6">
        <v>95</v>
      </c>
      <c r="Q67" s="6">
        <v>72</v>
      </c>
      <c r="R67" s="6"/>
      <c r="S67" s="6"/>
      <c r="T67" s="6"/>
      <c r="U67" s="6">
        <v>100</v>
      </c>
      <c r="V67" s="6"/>
      <c r="W67" s="6">
        <v>82</v>
      </c>
      <c r="X67" s="6"/>
      <c r="Y67" s="6">
        <v>100</v>
      </c>
      <c r="Z67" s="6"/>
      <c r="AA67" s="4">
        <f t="shared" si="5"/>
        <v>83.5</v>
      </c>
      <c r="AB67" s="4">
        <f t="shared" si="6"/>
        <v>92.75</v>
      </c>
      <c r="AC67" s="4">
        <f t="shared" si="7"/>
        <v>3.2755406678389249</v>
      </c>
      <c r="AD67" s="3"/>
      <c r="AE67" s="3"/>
      <c r="AF67" s="3"/>
      <c r="AG67" s="3"/>
      <c r="AH67" s="3"/>
    </row>
    <row r="68" spans="2:87" ht="24" customHeight="1" thickBot="1" x14ac:dyDescent="0.25">
      <c r="B68" s="7">
        <f t="shared" si="9"/>
        <v>407</v>
      </c>
      <c r="C68" s="15" t="s">
        <v>152</v>
      </c>
      <c r="D68" s="15">
        <v>7</v>
      </c>
      <c r="E68" s="15">
        <v>2</v>
      </c>
      <c r="F68" s="15">
        <v>1</v>
      </c>
      <c r="G68" s="15">
        <v>2</v>
      </c>
      <c r="H68" s="15">
        <v>4</v>
      </c>
      <c r="I68" s="15" t="s">
        <v>153</v>
      </c>
      <c r="J68" s="16"/>
      <c r="K68" s="15" t="s">
        <v>0</v>
      </c>
      <c r="L68" s="14">
        <v>127</v>
      </c>
      <c r="M68" s="13"/>
      <c r="N68" s="14">
        <v>121</v>
      </c>
      <c r="O68" s="13"/>
      <c r="P68" s="14">
        <v>107</v>
      </c>
      <c r="Q68" s="14">
        <v>90</v>
      </c>
      <c r="R68" s="14"/>
      <c r="S68" s="14"/>
      <c r="T68" s="13"/>
      <c r="U68" s="14">
        <v>103</v>
      </c>
      <c r="V68" s="13"/>
      <c r="W68" s="14">
        <v>108</v>
      </c>
      <c r="X68" s="13"/>
      <c r="Y68" s="14">
        <v>118</v>
      </c>
      <c r="Z68" s="13"/>
      <c r="AA68" s="4">
        <f t="shared" si="5"/>
        <v>98.5</v>
      </c>
      <c r="AB68" s="4">
        <f t="shared" si="6"/>
        <v>112.58333333333333</v>
      </c>
      <c r="AC68" s="4">
        <f t="shared" si="7"/>
        <v>4.5431572477493862</v>
      </c>
      <c r="AD68" s="3"/>
      <c r="AE68" s="3"/>
      <c r="AF68" s="3"/>
      <c r="AG68" s="3"/>
      <c r="AH68" s="3"/>
      <c r="AT68" s="12"/>
      <c r="AU68" s="12"/>
      <c r="AV68" s="11"/>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2:87" ht="24" customHeight="1" x14ac:dyDescent="0.2">
      <c r="B69" s="7">
        <f t="shared" si="9"/>
        <v>406</v>
      </c>
      <c r="C69" s="7" t="s">
        <v>111</v>
      </c>
      <c r="D69" s="7">
        <v>3</v>
      </c>
      <c r="E69" s="7">
        <v>1</v>
      </c>
      <c r="F69" s="7">
        <v>2</v>
      </c>
      <c r="G69" s="7">
        <v>2</v>
      </c>
      <c r="H69" s="7">
        <v>4</v>
      </c>
      <c r="I69" s="7" t="s">
        <v>154</v>
      </c>
      <c r="J69" s="9"/>
      <c r="K69" s="7" t="s">
        <v>2</v>
      </c>
      <c r="L69" s="6">
        <v>93</v>
      </c>
      <c r="M69" s="6"/>
      <c r="N69" s="6">
        <v>100</v>
      </c>
      <c r="O69" s="6"/>
      <c r="P69" s="6">
        <v>54</v>
      </c>
      <c r="Q69" s="6">
        <v>100</v>
      </c>
      <c r="R69" s="6"/>
      <c r="S69" s="6"/>
      <c r="T69" s="6"/>
      <c r="U69" s="6">
        <v>88</v>
      </c>
      <c r="V69" s="6"/>
      <c r="W69" s="6">
        <v>70</v>
      </c>
      <c r="X69" s="6"/>
      <c r="Y69" s="6">
        <v>93</v>
      </c>
      <c r="Z69" s="6"/>
      <c r="AA69" s="4">
        <f t="shared" si="5"/>
        <v>77</v>
      </c>
      <c r="AB69" s="4">
        <f t="shared" si="6"/>
        <v>86.833333333333329</v>
      </c>
      <c r="AC69" s="4">
        <f t="shared" si="7"/>
        <v>4.5856054973992109</v>
      </c>
      <c r="AD69" s="3"/>
      <c r="AE69" s="3"/>
      <c r="AF69" s="3"/>
      <c r="AG69" s="3"/>
      <c r="AH69" s="3"/>
    </row>
    <row r="70" spans="2:87" ht="24" customHeight="1" thickBot="1" x14ac:dyDescent="0.25">
      <c r="B70" s="7">
        <f t="shared" si="9"/>
        <v>406</v>
      </c>
      <c r="C70" s="15" t="s">
        <v>111</v>
      </c>
      <c r="D70" s="15">
        <v>3</v>
      </c>
      <c r="E70" s="15">
        <v>1</v>
      </c>
      <c r="F70" s="15">
        <v>2</v>
      </c>
      <c r="G70" s="15">
        <v>2</v>
      </c>
      <c r="H70" s="15">
        <v>4</v>
      </c>
      <c r="I70" s="15" t="s">
        <v>154</v>
      </c>
      <c r="J70" s="16"/>
      <c r="K70" s="15" t="s">
        <v>0</v>
      </c>
      <c r="L70" s="14">
        <v>107</v>
      </c>
      <c r="M70" s="13"/>
      <c r="N70" s="14">
        <v>105</v>
      </c>
      <c r="O70" s="13"/>
      <c r="P70" s="14">
        <v>112</v>
      </c>
      <c r="Q70" s="14">
        <v>129</v>
      </c>
      <c r="R70" s="14"/>
      <c r="S70" s="14"/>
      <c r="T70" s="13"/>
      <c r="U70" s="14">
        <v>131</v>
      </c>
      <c r="V70" s="13"/>
      <c r="W70" s="14">
        <v>111</v>
      </c>
      <c r="X70" s="13"/>
      <c r="Y70" s="14">
        <v>122</v>
      </c>
      <c r="Z70" s="13"/>
      <c r="AA70" s="4">
        <f t="shared" si="5"/>
        <v>120.5</v>
      </c>
      <c r="AB70" s="4">
        <f t="shared" si="6"/>
        <v>116.08333333333333</v>
      </c>
      <c r="AC70" s="4">
        <f t="shared" si="7"/>
        <v>4.1158568704193028</v>
      </c>
      <c r="AD70" s="3"/>
      <c r="AE70" s="3"/>
      <c r="AF70" s="3"/>
      <c r="AG70" s="3"/>
      <c r="AH70" s="3"/>
      <c r="AT70" s="12"/>
      <c r="AU70" s="12"/>
      <c r="AV70" s="11"/>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2:87" ht="24" customHeight="1" x14ac:dyDescent="0.2">
      <c r="B71" s="7">
        <f t="shared" si="9"/>
        <v>405</v>
      </c>
      <c r="C71" s="7" t="s">
        <v>155</v>
      </c>
      <c r="D71" s="7">
        <v>6</v>
      </c>
      <c r="E71" s="7">
        <v>1</v>
      </c>
      <c r="F71" s="7">
        <v>3</v>
      </c>
      <c r="G71" s="7">
        <v>1</v>
      </c>
      <c r="H71" s="7">
        <v>4</v>
      </c>
      <c r="I71" s="7" t="s">
        <v>156</v>
      </c>
      <c r="J71" s="9"/>
      <c r="K71" s="7" t="s">
        <v>2</v>
      </c>
      <c r="L71" s="6">
        <v>100</v>
      </c>
      <c r="M71" s="6"/>
      <c r="N71" s="6">
        <v>92</v>
      </c>
      <c r="O71" s="6"/>
      <c r="P71" s="6">
        <v>92</v>
      </c>
      <c r="Q71" s="6">
        <v>91</v>
      </c>
      <c r="R71" s="6"/>
      <c r="S71" s="6"/>
      <c r="T71" s="6"/>
      <c r="U71" s="6">
        <v>96</v>
      </c>
      <c r="V71" s="6"/>
      <c r="W71" s="6">
        <v>91</v>
      </c>
      <c r="X71" s="6"/>
      <c r="Y71" s="6">
        <v>92</v>
      </c>
      <c r="Z71" s="6"/>
      <c r="AA71" s="4">
        <f t="shared" si="5"/>
        <v>91.5</v>
      </c>
      <c r="AB71" s="4">
        <f t="shared" si="6"/>
        <v>93.75</v>
      </c>
      <c r="AC71" s="4">
        <f t="shared" si="7"/>
        <v>1.4476993242152645</v>
      </c>
      <c r="AD71" s="3"/>
      <c r="AE71" s="3"/>
      <c r="AF71" s="3"/>
      <c r="AG71" s="3"/>
      <c r="AH71" s="3"/>
    </row>
    <row r="72" spans="2:87" ht="24" customHeight="1" thickBot="1" x14ac:dyDescent="0.25">
      <c r="B72" s="7">
        <f t="shared" si="9"/>
        <v>405</v>
      </c>
      <c r="C72" s="15" t="s">
        <v>155</v>
      </c>
      <c r="D72" s="15">
        <v>6</v>
      </c>
      <c r="E72" s="15">
        <v>1</v>
      </c>
      <c r="F72" s="15">
        <v>3</v>
      </c>
      <c r="G72" s="15">
        <v>1</v>
      </c>
      <c r="H72" s="15">
        <v>4</v>
      </c>
      <c r="I72" s="15" t="s">
        <v>156</v>
      </c>
      <c r="J72" s="16"/>
      <c r="K72" s="15" t="s">
        <v>0</v>
      </c>
      <c r="L72" s="14">
        <v>88</v>
      </c>
      <c r="M72" s="13"/>
      <c r="N72" s="14">
        <v>89</v>
      </c>
      <c r="O72" s="13"/>
      <c r="P72" s="14">
        <v>80</v>
      </c>
      <c r="Q72" s="14">
        <v>80</v>
      </c>
      <c r="R72" s="14"/>
      <c r="S72" s="14"/>
      <c r="T72" s="13"/>
      <c r="U72" s="14">
        <v>90</v>
      </c>
      <c r="V72" s="13"/>
      <c r="W72" s="14">
        <v>71</v>
      </c>
      <c r="X72" s="13"/>
      <c r="Y72" s="14">
        <v>74</v>
      </c>
      <c r="Z72" s="13"/>
      <c r="AA72" s="4">
        <f t="shared" si="5"/>
        <v>80</v>
      </c>
      <c r="AB72" s="4">
        <f t="shared" si="6"/>
        <v>82</v>
      </c>
      <c r="AC72" s="4">
        <f t="shared" si="7"/>
        <v>3.356585566713095</v>
      </c>
      <c r="AD72" s="3"/>
      <c r="AE72" s="3"/>
      <c r="AF72" s="3"/>
      <c r="AG72" s="3"/>
      <c r="AH72" s="3"/>
      <c r="AT72" s="12"/>
      <c r="AU72" s="12"/>
      <c r="AV72" s="11"/>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2:87" ht="24" customHeight="1" thickBot="1" x14ac:dyDescent="0.25">
      <c r="B73" s="7">
        <f t="shared" si="9"/>
        <v>404</v>
      </c>
      <c r="C73" s="7" t="s">
        <v>111</v>
      </c>
      <c r="D73" s="7">
        <v>3</v>
      </c>
      <c r="E73" s="7">
        <v>1</v>
      </c>
      <c r="F73" s="7">
        <v>2</v>
      </c>
      <c r="G73" s="7">
        <v>2</v>
      </c>
      <c r="H73" s="7">
        <v>3</v>
      </c>
      <c r="I73" s="7" t="s">
        <v>157</v>
      </c>
      <c r="J73" s="16"/>
      <c r="K73" s="7" t="s">
        <v>2</v>
      </c>
      <c r="L73" s="6">
        <v>89</v>
      </c>
      <c r="M73" s="6"/>
      <c r="N73" s="6">
        <v>94</v>
      </c>
      <c r="O73" s="6"/>
      <c r="P73" s="6">
        <v>92</v>
      </c>
      <c r="Q73" s="6">
        <v>93</v>
      </c>
      <c r="R73" s="6"/>
      <c r="S73" s="6"/>
      <c r="T73" s="6"/>
      <c r="U73" s="6">
        <v>60</v>
      </c>
      <c r="V73" s="6"/>
      <c r="W73" s="6">
        <v>75</v>
      </c>
      <c r="X73" s="6"/>
      <c r="Y73" s="6">
        <v>88</v>
      </c>
      <c r="Z73" s="6"/>
      <c r="AA73" s="4">
        <f t="shared" ref="AA73:AA80" si="10">AVERAGE(P73:T73)</f>
        <v>92.5</v>
      </c>
      <c r="AB73" s="4">
        <f t="shared" ref="AB73:AB80" si="11">AVERAGE(AVERAGE(L73:M73),AVERAGE(N73:O73),AVERAGE(P73:T73),AVERAGE(U73:V73),AVERAGE(W73:X73),AVERAGE(Y73:Z73))</f>
        <v>83.083333333333329</v>
      </c>
      <c r="AC73" s="4">
        <f t="shared" ref="AC73:AC80" si="12">STDEV(AVERAGE(L73:M73),AVERAGE(N73:O73),AVERAGE(P73:T73),AVERAGE(U73:V73),AVERAGE(W73:X73),AVERAGE(Y73:Z73))/SQRT(6)</f>
        <v>5.3703144952393487</v>
      </c>
      <c r="AD73" s="3"/>
      <c r="AE73" s="3"/>
      <c r="AF73" s="3"/>
      <c r="AG73" s="3"/>
      <c r="AH73" s="3"/>
    </row>
    <row r="74" spans="2:87" ht="24" customHeight="1" thickBot="1" x14ac:dyDescent="0.25">
      <c r="B74" s="7">
        <f t="shared" si="9"/>
        <v>404</v>
      </c>
      <c r="C74" s="15" t="s">
        <v>111</v>
      </c>
      <c r="D74" s="15">
        <v>3</v>
      </c>
      <c r="E74" s="15">
        <v>1</v>
      </c>
      <c r="F74" s="15">
        <v>2</v>
      </c>
      <c r="G74" s="15">
        <v>2</v>
      </c>
      <c r="H74" s="15">
        <v>3</v>
      </c>
      <c r="I74" s="15" t="s">
        <v>157</v>
      </c>
      <c r="J74" s="16"/>
      <c r="K74" s="15" t="s">
        <v>0</v>
      </c>
      <c r="L74" s="14">
        <v>120</v>
      </c>
      <c r="M74" s="13"/>
      <c r="N74" s="14">
        <v>146</v>
      </c>
      <c r="O74" s="13"/>
      <c r="P74" s="14">
        <v>109</v>
      </c>
      <c r="Q74" s="14">
        <v>121</v>
      </c>
      <c r="R74" s="14"/>
      <c r="S74" s="14"/>
      <c r="T74" s="13"/>
      <c r="U74" s="14">
        <v>119</v>
      </c>
      <c r="V74" s="13"/>
      <c r="W74" s="14">
        <v>109</v>
      </c>
      <c r="X74" s="13"/>
      <c r="Y74" s="14">
        <v>110</v>
      </c>
      <c r="Z74" s="13"/>
      <c r="AA74" s="4">
        <f t="shared" si="10"/>
        <v>115</v>
      </c>
      <c r="AB74" s="4">
        <f t="shared" si="11"/>
        <v>119.83333333333333</v>
      </c>
      <c r="AC74" s="4">
        <f t="shared" si="12"/>
        <v>5.546270017868852</v>
      </c>
      <c r="AD74" s="3"/>
      <c r="AE74" s="3"/>
      <c r="AF74" s="3"/>
      <c r="AG74" s="3"/>
      <c r="AH74" s="3"/>
      <c r="AT74" s="12"/>
      <c r="AU74" s="12"/>
      <c r="AV74" s="11"/>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2:87" ht="24" customHeight="1" x14ac:dyDescent="0.2">
      <c r="B75" s="7">
        <f t="shared" si="9"/>
        <v>403</v>
      </c>
      <c r="C75" s="7" t="s">
        <v>155</v>
      </c>
      <c r="D75" s="7">
        <v>6</v>
      </c>
      <c r="E75" s="7">
        <v>1</v>
      </c>
      <c r="F75" s="7">
        <v>3</v>
      </c>
      <c r="G75" s="7">
        <v>1</v>
      </c>
      <c r="H75" s="7">
        <v>3</v>
      </c>
      <c r="I75" s="7" t="s">
        <v>158</v>
      </c>
      <c r="J75" s="9"/>
      <c r="K75" s="7" t="s">
        <v>2</v>
      </c>
      <c r="L75" s="6">
        <v>99</v>
      </c>
      <c r="M75" s="6"/>
      <c r="N75" s="6">
        <v>94</v>
      </c>
      <c r="O75" s="6"/>
      <c r="P75" s="6">
        <v>91</v>
      </c>
      <c r="Q75" s="6">
        <v>96</v>
      </c>
      <c r="R75" s="6"/>
      <c r="S75" s="6"/>
      <c r="T75" s="6"/>
      <c r="U75" s="6">
        <v>88</v>
      </c>
      <c r="V75" s="6"/>
      <c r="W75" s="6">
        <v>89</v>
      </c>
      <c r="X75" s="6"/>
      <c r="Y75" s="6">
        <v>100</v>
      </c>
      <c r="Z75" s="6"/>
      <c r="AA75" s="4">
        <f t="shared" si="10"/>
        <v>93.5</v>
      </c>
      <c r="AB75" s="4">
        <f t="shared" si="11"/>
        <v>93.916666666666671</v>
      </c>
      <c r="AC75" s="4">
        <f t="shared" si="12"/>
        <v>2.0183188824145484</v>
      </c>
      <c r="AD75" s="3"/>
      <c r="AE75" s="3"/>
      <c r="AF75" s="3"/>
      <c r="AG75" s="3"/>
      <c r="AH75" s="3"/>
    </row>
    <row r="76" spans="2:87" ht="24" customHeight="1" thickBot="1" x14ac:dyDescent="0.25">
      <c r="B76" s="7">
        <f t="shared" si="9"/>
        <v>403</v>
      </c>
      <c r="C76" s="15" t="s">
        <v>155</v>
      </c>
      <c r="D76" s="15">
        <v>6</v>
      </c>
      <c r="E76" s="15">
        <v>1</v>
      </c>
      <c r="F76" s="15">
        <v>3</v>
      </c>
      <c r="G76" s="15">
        <v>1</v>
      </c>
      <c r="H76" s="15">
        <v>3</v>
      </c>
      <c r="I76" s="15" t="s">
        <v>158</v>
      </c>
      <c r="J76" s="16"/>
      <c r="K76" s="15" t="s">
        <v>0</v>
      </c>
      <c r="L76" s="14">
        <v>110</v>
      </c>
      <c r="M76" s="13"/>
      <c r="N76" s="14">
        <v>102</v>
      </c>
      <c r="O76" s="13"/>
      <c r="P76" s="14">
        <v>86</v>
      </c>
      <c r="Q76" s="14">
        <v>87</v>
      </c>
      <c r="R76" s="14"/>
      <c r="S76" s="14"/>
      <c r="T76" s="13"/>
      <c r="U76" s="14">
        <v>91</v>
      </c>
      <c r="V76" s="13"/>
      <c r="W76" s="14">
        <v>116</v>
      </c>
      <c r="X76" s="13"/>
      <c r="Y76" s="14">
        <v>92</v>
      </c>
      <c r="Z76" s="13"/>
      <c r="AA76" s="4">
        <f t="shared" si="10"/>
        <v>86.5</v>
      </c>
      <c r="AB76" s="4">
        <f t="shared" si="11"/>
        <v>99.583333333333329</v>
      </c>
      <c r="AC76" s="4">
        <f t="shared" si="12"/>
        <v>4.7826364184528174</v>
      </c>
      <c r="AD76" s="3"/>
      <c r="AE76" s="3"/>
      <c r="AF76" s="3"/>
      <c r="AG76" s="3"/>
      <c r="AH76" s="3"/>
      <c r="AT76" s="12"/>
      <c r="AU76" s="12"/>
      <c r="AV76" s="11"/>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2:87" ht="24" customHeight="1" x14ac:dyDescent="0.2">
      <c r="B77" s="7">
        <f t="shared" si="9"/>
        <v>402</v>
      </c>
      <c r="C77" s="7" t="s">
        <v>115</v>
      </c>
      <c r="D77" s="7">
        <v>9</v>
      </c>
      <c r="E77" s="7">
        <v>2</v>
      </c>
      <c r="F77" s="7">
        <v>2</v>
      </c>
      <c r="G77" s="7">
        <v>2</v>
      </c>
      <c r="H77" s="7">
        <v>3</v>
      </c>
      <c r="I77" s="7" t="s">
        <v>159</v>
      </c>
      <c r="J77" s="9"/>
      <c r="K77" s="7" t="s">
        <v>2</v>
      </c>
      <c r="L77" s="6">
        <v>100</v>
      </c>
      <c r="M77" s="5"/>
      <c r="N77" s="6">
        <v>100</v>
      </c>
      <c r="O77" s="5"/>
      <c r="P77" s="6">
        <v>100</v>
      </c>
      <c r="Q77" s="6">
        <v>100</v>
      </c>
      <c r="R77" s="6"/>
      <c r="S77" s="6"/>
      <c r="T77" s="5"/>
      <c r="U77" s="6">
        <v>100</v>
      </c>
      <c r="V77" s="5"/>
      <c r="W77" s="6">
        <v>93</v>
      </c>
      <c r="X77" s="5"/>
      <c r="Y77" s="6">
        <v>100</v>
      </c>
      <c r="Z77" s="5"/>
      <c r="AA77" s="4">
        <f t="shared" si="10"/>
        <v>100</v>
      </c>
      <c r="AB77" s="4">
        <f t="shared" si="11"/>
        <v>98.833333333333329</v>
      </c>
      <c r="AC77" s="4">
        <f t="shared" si="12"/>
        <v>1.166666666666667</v>
      </c>
      <c r="AD77" s="3"/>
      <c r="AE77" s="3"/>
      <c r="AF77" s="3"/>
      <c r="AG77" s="3"/>
      <c r="AH77" s="3"/>
    </row>
    <row r="78" spans="2:87" ht="24" customHeight="1" thickBot="1" x14ac:dyDescent="0.25">
      <c r="B78" s="7">
        <f t="shared" si="9"/>
        <v>402</v>
      </c>
      <c r="C78" s="15" t="s">
        <v>115</v>
      </c>
      <c r="D78" s="15">
        <v>9</v>
      </c>
      <c r="E78" s="15">
        <v>2</v>
      </c>
      <c r="F78" s="15">
        <v>2</v>
      </c>
      <c r="G78" s="15">
        <v>2</v>
      </c>
      <c r="H78" s="15">
        <v>3</v>
      </c>
      <c r="I78" s="15" t="s">
        <v>159</v>
      </c>
      <c r="J78" s="16"/>
      <c r="K78" s="15" t="s">
        <v>0</v>
      </c>
      <c r="L78" s="14">
        <v>116</v>
      </c>
      <c r="M78" s="13"/>
      <c r="N78" s="14">
        <v>127</v>
      </c>
      <c r="O78" s="13"/>
      <c r="P78" s="14">
        <v>113</v>
      </c>
      <c r="Q78" s="14">
        <v>117</v>
      </c>
      <c r="R78" s="14"/>
      <c r="S78" s="14"/>
      <c r="T78" s="13"/>
      <c r="U78" s="14">
        <v>110</v>
      </c>
      <c r="V78" s="13"/>
      <c r="W78" s="14">
        <v>123</v>
      </c>
      <c r="X78" s="13"/>
      <c r="Y78" s="14">
        <v>103</v>
      </c>
      <c r="Z78" s="13"/>
      <c r="AA78" s="4">
        <f t="shared" si="10"/>
        <v>115</v>
      </c>
      <c r="AB78" s="4">
        <f t="shared" si="11"/>
        <v>115.66666666666667</v>
      </c>
      <c r="AC78" s="4">
        <f t="shared" si="12"/>
        <v>3.5371049053019497</v>
      </c>
      <c r="AD78" s="3"/>
      <c r="AE78" s="3"/>
      <c r="AF78" s="3"/>
      <c r="AG78" s="3"/>
      <c r="AH78" s="3"/>
      <c r="AT78" s="12"/>
      <c r="AU78" s="12"/>
      <c r="AV78" s="11"/>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2:87" ht="24" customHeight="1" x14ac:dyDescent="0.2">
      <c r="B79" s="7">
        <f t="shared" si="9"/>
        <v>401</v>
      </c>
      <c r="C79" s="7" t="s">
        <v>152</v>
      </c>
      <c r="D79" s="7">
        <v>7</v>
      </c>
      <c r="E79" s="7">
        <v>2</v>
      </c>
      <c r="F79" s="7">
        <v>1</v>
      </c>
      <c r="G79" s="7">
        <v>2</v>
      </c>
      <c r="H79" s="7">
        <v>3</v>
      </c>
      <c r="I79" s="7" t="s">
        <v>160</v>
      </c>
      <c r="J79" s="9"/>
      <c r="K79" s="7" t="s">
        <v>2</v>
      </c>
      <c r="L79" s="6">
        <v>100</v>
      </c>
      <c r="M79" s="5"/>
      <c r="N79" s="6">
        <v>93</v>
      </c>
      <c r="O79" s="5"/>
      <c r="P79" s="6">
        <v>98</v>
      </c>
      <c r="Q79" s="6">
        <v>100</v>
      </c>
      <c r="R79" s="6"/>
      <c r="S79" s="6"/>
      <c r="T79" s="5"/>
      <c r="U79" s="6">
        <v>56</v>
      </c>
      <c r="V79" s="5"/>
      <c r="W79" s="6">
        <v>100</v>
      </c>
      <c r="X79" s="5"/>
      <c r="Y79" s="6">
        <v>100</v>
      </c>
      <c r="Z79" s="5"/>
      <c r="AA79" s="4">
        <f t="shared" si="10"/>
        <v>99</v>
      </c>
      <c r="AB79" s="4">
        <f t="shared" si="11"/>
        <v>91.333333333333329</v>
      </c>
      <c r="AC79" s="4">
        <f t="shared" si="12"/>
        <v>7.1538645344860896</v>
      </c>
      <c r="AD79" s="3"/>
      <c r="AE79" s="3"/>
      <c r="AF79" s="3"/>
      <c r="AG79" s="3"/>
      <c r="AH79" s="3"/>
    </row>
    <row r="80" spans="2:87" ht="24" customHeight="1" x14ac:dyDescent="0.2">
      <c r="B80" s="7">
        <f t="shared" si="9"/>
        <v>401</v>
      </c>
      <c r="C80" s="7" t="s">
        <v>152</v>
      </c>
      <c r="D80" s="7">
        <v>7</v>
      </c>
      <c r="E80" s="7">
        <v>2</v>
      </c>
      <c r="F80" s="7">
        <v>1</v>
      </c>
      <c r="G80" s="7">
        <v>2</v>
      </c>
      <c r="H80" s="7">
        <v>3</v>
      </c>
      <c r="I80" s="7" t="s">
        <v>160</v>
      </c>
      <c r="J80" s="7"/>
      <c r="K80" s="7" t="s">
        <v>0</v>
      </c>
      <c r="L80" s="6">
        <v>125</v>
      </c>
      <c r="M80" s="5"/>
      <c r="N80" s="6">
        <v>116</v>
      </c>
      <c r="O80" s="5"/>
      <c r="P80" s="6">
        <v>97</v>
      </c>
      <c r="Q80" s="6">
        <v>97</v>
      </c>
      <c r="R80" s="6"/>
      <c r="S80" s="6"/>
      <c r="T80" s="5"/>
      <c r="U80" s="6">
        <v>112</v>
      </c>
      <c r="V80" s="5"/>
      <c r="W80" s="6">
        <v>129</v>
      </c>
      <c r="X80" s="5"/>
      <c r="Y80" s="6">
        <v>118</v>
      </c>
      <c r="Z80" s="5"/>
      <c r="AA80" s="4">
        <f t="shared" si="10"/>
        <v>97</v>
      </c>
      <c r="AB80" s="4">
        <f t="shared" si="11"/>
        <v>116.16666666666667</v>
      </c>
      <c r="AC80" s="4">
        <f t="shared" si="12"/>
        <v>4.585605497399202</v>
      </c>
      <c r="AD80" s="3"/>
      <c r="AE80" s="3"/>
      <c r="AF80" s="3"/>
      <c r="AG80" s="3"/>
      <c r="AH80" s="3"/>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sheetData>
  <mergeCells count="12">
    <mergeCell ref="P6:T6"/>
    <mergeCell ref="U6:V6"/>
    <mergeCell ref="AT5:AV5"/>
    <mergeCell ref="J7:K7"/>
    <mergeCell ref="B7:H7"/>
    <mergeCell ref="AA6:AA7"/>
    <mergeCell ref="AB6:AB7"/>
    <mergeCell ref="AC6:AC7"/>
    <mergeCell ref="L6:M6"/>
    <mergeCell ref="N6:O6"/>
    <mergeCell ref="W6:X6"/>
    <mergeCell ref="Y6:Z6"/>
  </mergeCells>
  <pageMargins left="0.51" right="0" top="0.85" bottom="0" header="0.64" footer="0"/>
  <pageSetup paperSize="512" scale="30" orientation="landscape" r:id="rId1"/>
  <headerFooter alignWithMargins="0">
    <oddHeader xml:space="preserve">&amp;L&amp;"Comic Sans MS,Bold"&amp;14FISE2003 ---Cotton Plant Cover and Heights in North 1 m of Harvest Area&amp;C&amp;"Comic Sans MS,Bold"&amp;12       </oddHeader>
    <oddFooter>&amp;L&amp;F   USWCL Remote Sensing&amp;R&amp;D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1E2D-DB7D-44F0-9B77-B52FF91A1C0C}">
  <sheetPr>
    <pageSetUpPr fitToPage="1"/>
  </sheetPr>
  <dimension ref="A1:CI87"/>
  <sheetViews>
    <sheetView workbookViewId="0">
      <selection activeCell="N17" sqref="N17"/>
    </sheetView>
  </sheetViews>
  <sheetFormatPr defaultRowHeight="12.75" x14ac:dyDescent="0.2"/>
  <cols>
    <col min="1" max="1" width="9.140625" style="1"/>
    <col min="2" max="2" width="4.85546875" style="1" customWidth="1"/>
    <col min="3" max="3" width="5.7109375" style="1" customWidth="1"/>
    <col min="4" max="8" width="5.28515625" style="1" hidden="1" customWidth="1"/>
    <col min="9" max="9" width="7" style="1" hidden="1" customWidth="1"/>
    <col min="10" max="11" width="9" style="1" customWidth="1"/>
    <col min="12" max="13" width="9.140625" style="1"/>
    <col min="14" max="14" width="9.7109375" style="1" customWidth="1"/>
    <col min="15" max="24" width="9.140625" style="1"/>
    <col min="25" max="25" width="10.140625" style="1" bestFit="1" customWidth="1"/>
    <col min="26" max="26" width="10.140625" style="1" customWidth="1"/>
    <col min="27" max="27" width="12.7109375" style="1" customWidth="1"/>
    <col min="28" max="35" width="9.140625" style="1"/>
    <col min="36" max="36" width="7.5703125" style="1" customWidth="1"/>
    <col min="37" max="46" width="7.7109375" style="1" customWidth="1"/>
    <col min="47" max="16384" width="9.140625" style="1"/>
  </cols>
  <sheetData>
    <row r="1" spans="1:87" ht="15" customHeight="1" x14ac:dyDescent="0.25">
      <c r="A1" s="44" t="s">
        <v>82</v>
      </c>
    </row>
    <row r="2" spans="1:87" ht="15" customHeight="1" thickBot="1" x14ac:dyDescent="0.3">
      <c r="A2" s="44"/>
      <c r="N2" s="43"/>
      <c r="X2" s="20" t="s">
        <v>81</v>
      </c>
      <c r="Y2" s="42">
        <v>37908</v>
      </c>
      <c r="Z2" s="39"/>
    </row>
    <row r="3" spans="1:87" ht="15" customHeight="1" thickBot="1" x14ac:dyDescent="0.25">
      <c r="B3" s="1" t="s">
        <v>80</v>
      </c>
      <c r="D3" s="41"/>
      <c r="E3" s="41"/>
      <c r="F3" s="41"/>
      <c r="G3" s="41"/>
      <c r="H3" s="41"/>
      <c r="I3" s="41"/>
      <c r="J3" s="41" t="s">
        <v>109</v>
      </c>
      <c r="K3" s="41"/>
      <c r="L3" s="41"/>
      <c r="M3" s="41"/>
      <c r="N3" s="41"/>
      <c r="O3" s="41"/>
      <c r="P3" s="41"/>
      <c r="Q3" s="41"/>
      <c r="R3" s="41"/>
      <c r="S3" s="41"/>
      <c r="T3" s="41"/>
      <c r="U3" s="41"/>
      <c r="V3" s="41"/>
    </row>
    <row r="4" spans="1:87" ht="13.5" thickBot="1" x14ac:dyDescent="0.25">
      <c r="D4" s="40"/>
      <c r="E4" s="40"/>
      <c r="F4" s="40"/>
      <c r="G4" s="40"/>
      <c r="H4" s="40"/>
      <c r="I4" s="40"/>
      <c r="J4" s="40" t="s">
        <v>108</v>
      </c>
      <c r="K4" s="40"/>
      <c r="L4" s="40"/>
      <c r="M4" s="40"/>
      <c r="N4" s="40"/>
      <c r="O4" s="40"/>
      <c r="P4" s="40"/>
      <c r="Q4" s="40"/>
      <c r="R4" s="40"/>
      <c r="S4" s="40"/>
      <c r="T4" s="40"/>
      <c r="U4" s="40"/>
      <c r="V4" s="40"/>
      <c r="X4" s="20" t="s">
        <v>78</v>
      </c>
      <c r="Y4" s="39" t="s">
        <v>107</v>
      </c>
      <c r="Z4" s="39"/>
    </row>
    <row r="5" spans="1:87" ht="18" x14ac:dyDescent="0.2">
      <c r="AS5" s="38"/>
      <c r="AT5" s="134" t="s">
        <v>76</v>
      </c>
      <c r="AU5" s="134"/>
      <c r="AV5" s="134"/>
    </row>
    <row r="6" spans="1:87" ht="25.5" customHeight="1" x14ac:dyDescent="0.2">
      <c r="B6" s="36" t="s">
        <v>51</v>
      </c>
      <c r="C6" s="37" t="s">
        <v>50</v>
      </c>
      <c r="D6" s="37" t="s">
        <v>75</v>
      </c>
      <c r="E6" s="36" t="s">
        <v>74</v>
      </c>
      <c r="F6" s="37" t="s">
        <v>73</v>
      </c>
      <c r="G6" s="36" t="s">
        <v>72</v>
      </c>
      <c r="H6" s="36" t="s">
        <v>45</v>
      </c>
      <c r="I6" s="36" t="s">
        <v>71</v>
      </c>
      <c r="J6" s="36" t="s">
        <v>43</v>
      </c>
      <c r="K6" s="35" t="s">
        <v>70</v>
      </c>
      <c r="L6" s="143" t="s">
        <v>69</v>
      </c>
      <c r="M6" s="144"/>
      <c r="N6" s="143" t="s">
        <v>68</v>
      </c>
      <c r="O6" s="144"/>
      <c r="P6" s="143" t="s">
        <v>67</v>
      </c>
      <c r="Q6" s="145"/>
      <c r="R6" s="145"/>
      <c r="S6" s="145"/>
      <c r="T6" s="144"/>
      <c r="U6" s="143" t="s">
        <v>66</v>
      </c>
      <c r="V6" s="144"/>
      <c r="W6" s="143" t="s">
        <v>65</v>
      </c>
      <c r="X6" s="144"/>
      <c r="Y6" s="143" t="s">
        <v>64</v>
      </c>
      <c r="Z6" s="144"/>
      <c r="AA6" s="139" t="s">
        <v>63</v>
      </c>
      <c r="AB6" s="139" t="s">
        <v>62</v>
      </c>
      <c r="AC6" s="141" t="s">
        <v>61</v>
      </c>
      <c r="AS6" s="34"/>
      <c r="AT6" s="2" t="s">
        <v>60</v>
      </c>
      <c r="AU6" s="2"/>
    </row>
    <row r="7" spans="1:87" ht="15.75" customHeight="1" x14ac:dyDescent="0.2">
      <c r="B7" s="137"/>
      <c r="C7" s="138"/>
      <c r="D7" s="138"/>
      <c r="E7" s="138"/>
      <c r="F7" s="138"/>
      <c r="G7" s="138"/>
      <c r="H7" s="138"/>
      <c r="I7" s="33"/>
      <c r="J7" s="135" t="s">
        <v>59</v>
      </c>
      <c r="K7" s="136"/>
      <c r="L7" s="32" t="s">
        <v>55</v>
      </c>
      <c r="M7" s="31" t="s">
        <v>54</v>
      </c>
      <c r="N7" s="32" t="s">
        <v>55</v>
      </c>
      <c r="O7" s="31" t="s">
        <v>54</v>
      </c>
      <c r="P7" s="32" t="s">
        <v>58</v>
      </c>
      <c r="Q7" s="31" t="s">
        <v>55</v>
      </c>
      <c r="R7" s="31" t="s">
        <v>57</v>
      </c>
      <c r="S7" s="31" t="s">
        <v>54</v>
      </c>
      <c r="T7" s="31" t="s">
        <v>56</v>
      </c>
      <c r="U7" s="32" t="s">
        <v>55</v>
      </c>
      <c r="V7" s="31" t="s">
        <v>54</v>
      </c>
      <c r="W7" s="32" t="s">
        <v>55</v>
      </c>
      <c r="X7" s="31" t="s">
        <v>54</v>
      </c>
      <c r="Y7" s="32" t="s">
        <v>55</v>
      </c>
      <c r="Z7" s="31" t="s">
        <v>54</v>
      </c>
      <c r="AA7" s="140"/>
      <c r="AB7" s="140"/>
      <c r="AC7" s="142"/>
      <c r="AT7" s="12" t="s">
        <v>7</v>
      </c>
      <c r="AU7" s="12" t="s">
        <v>53</v>
      </c>
      <c r="AV7" s="12" t="s">
        <v>52</v>
      </c>
    </row>
    <row r="8" spans="1:87" ht="15.75" hidden="1" customHeight="1" x14ac:dyDescent="0.2">
      <c r="B8" s="28" t="s">
        <v>51</v>
      </c>
      <c r="C8" s="30" t="s">
        <v>50</v>
      </c>
      <c r="D8" s="30" t="s">
        <v>49</v>
      </c>
      <c r="E8" s="28" t="s">
        <v>48</v>
      </c>
      <c r="F8" s="30" t="s">
        <v>47</v>
      </c>
      <c r="G8" s="28" t="s">
        <v>46</v>
      </c>
      <c r="H8" s="28" t="s">
        <v>45</v>
      </c>
      <c r="I8" s="28" t="s">
        <v>44</v>
      </c>
      <c r="J8" s="27" t="s">
        <v>43</v>
      </c>
      <c r="K8" s="27" t="s">
        <v>42</v>
      </c>
      <c r="L8" s="29" t="s">
        <v>41</v>
      </c>
      <c r="M8" s="29" t="s">
        <v>40</v>
      </c>
      <c r="N8" s="29" t="s">
        <v>39</v>
      </c>
      <c r="O8" s="29" t="s">
        <v>38</v>
      </c>
      <c r="P8" s="29" t="s">
        <v>37</v>
      </c>
      <c r="Q8" s="29" t="s">
        <v>36</v>
      </c>
      <c r="R8" s="29" t="s">
        <v>35</v>
      </c>
      <c r="S8" s="29" t="s">
        <v>34</v>
      </c>
      <c r="T8" s="29" t="s">
        <v>33</v>
      </c>
      <c r="U8" s="29" t="s">
        <v>32</v>
      </c>
      <c r="V8" s="29" t="s">
        <v>31</v>
      </c>
      <c r="W8" s="29" t="s">
        <v>30</v>
      </c>
      <c r="X8" s="29" t="s">
        <v>29</v>
      </c>
      <c r="Y8" s="29" t="s">
        <v>28</v>
      </c>
      <c r="Z8" s="29" t="s">
        <v>27</v>
      </c>
      <c r="AA8" s="28" t="s">
        <v>26</v>
      </c>
      <c r="AB8" s="28" t="s">
        <v>25</v>
      </c>
      <c r="AC8" s="27" t="s">
        <v>24</v>
      </c>
      <c r="AT8" s="12"/>
      <c r="AU8" s="12"/>
      <c r="AV8" s="12"/>
    </row>
    <row r="9" spans="1:87" ht="24" customHeight="1" x14ac:dyDescent="0.2">
      <c r="B9" s="7">
        <v>108</v>
      </c>
      <c r="C9" s="7" t="s">
        <v>111</v>
      </c>
      <c r="D9" s="7">
        <v>3</v>
      </c>
      <c r="E9" s="7">
        <v>1</v>
      </c>
      <c r="F9" s="7">
        <v>2</v>
      </c>
      <c r="G9" s="7">
        <v>2</v>
      </c>
      <c r="H9" s="7">
        <v>2</v>
      </c>
      <c r="I9" s="7" t="s">
        <v>112</v>
      </c>
      <c r="J9" s="7"/>
      <c r="K9" s="7" t="s">
        <v>2</v>
      </c>
      <c r="L9" s="6">
        <v>69</v>
      </c>
      <c r="M9" s="5"/>
      <c r="N9" s="6">
        <v>70</v>
      </c>
      <c r="O9" s="5"/>
      <c r="P9" s="6">
        <v>79</v>
      </c>
      <c r="Q9" s="6">
        <v>62</v>
      </c>
      <c r="R9" s="6"/>
      <c r="S9" s="6"/>
      <c r="T9" s="5"/>
      <c r="U9" s="6">
        <v>85</v>
      </c>
      <c r="V9" s="5"/>
      <c r="W9" s="6">
        <v>84</v>
      </c>
      <c r="X9" s="5"/>
      <c r="Y9" s="6">
        <v>80</v>
      </c>
      <c r="Z9" s="5"/>
      <c r="AA9" s="4">
        <f t="shared" ref="AA9:AA40" si="0">AVERAGE(P9:T9)</f>
        <v>70.5</v>
      </c>
      <c r="AB9" s="4">
        <f t="shared" ref="AB9:AB40" si="1">AVERAGE(AVERAGE(L9:M9),AVERAGE(N9:O9),AVERAGE(P9:T9),AVERAGE(U9:V9),AVERAGE(W9:X9),AVERAGE(Y9:Z9))</f>
        <v>76.416666666666671</v>
      </c>
      <c r="AC9" s="4">
        <f t="shared" ref="AC9:AC40" si="2">STDEV(AVERAGE(L9:M9),AVERAGE(N9:O9),AVERAGE(P9:T9),AVERAGE(U9:V9),AVERAGE(W9:X9),AVERAGE(Y9:Z9))/SQRT(6)</f>
        <v>3.028796974231041</v>
      </c>
      <c r="AD9" s="3"/>
      <c r="AE9" s="3"/>
      <c r="AF9" s="3"/>
      <c r="AG9" s="3"/>
      <c r="AH9" s="3"/>
      <c r="AT9" s="12">
        <v>1</v>
      </c>
      <c r="AU9" s="12" t="s">
        <v>23</v>
      </c>
      <c r="AV9" s="11"/>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row>
    <row r="10" spans="1:87" ht="24" customHeight="1" thickBot="1" x14ac:dyDescent="0.25">
      <c r="B10" s="15">
        <v>108</v>
      </c>
      <c r="C10" s="15" t="s">
        <v>111</v>
      </c>
      <c r="D10" s="15">
        <v>3</v>
      </c>
      <c r="E10" s="15">
        <v>1</v>
      </c>
      <c r="F10" s="15">
        <v>2</v>
      </c>
      <c r="G10" s="15">
        <v>2</v>
      </c>
      <c r="H10" s="15">
        <v>2</v>
      </c>
      <c r="I10" s="15" t="s">
        <v>112</v>
      </c>
      <c r="J10" s="16"/>
      <c r="K10" s="15" t="s">
        <v>0</v>
      </c>
      <c r="L10" s="14">
        <v>117</v>
      </c>
      <c r="M10" s="13"/>
      <c r="N10" s="14">
        <v>112</v>
      </c>
      <c r="O10" s="13"/>
      <c r="P10" s="14">
        <v>104</v>
      </c>
      <c r="Q10" s="14">
        <v>112</v>
      </c>
      <c r="R10" s="14"/>
      <c r="S10" s="14"/>
      <c r="T10" s="13"/>
      <c r="U10" s="14">
        <v>119</v>
      </c>
      <c r="V10" s="13"/>
      <c r="W10" s="14">
        <v>114</v>
      </c>
      <c r="X10" s="13"/>
      <c r="Y10" s="14">
        <v>113</v>
      </c>
      <c r="Z10" s="13"/>
      <c r="AA10" s="4">
        <f t="shared" si="0"/>
        <v>108</v>
      </c>
      <c r="AB10" s="4">
        <f t="shared" si="1"/>
        <v>113.83333333333333</v>
      </c>
      <c r="AC10" s="4">
        <f t="shared" si="2"/>
        <v>1.5793810320642847</v>
      </c>
      <c r="AD10" s="3"/>
      <c r="AE10" s="3"/>
      <c r="AF10" s="3"/>
      <c r="AG10" s="3"/>
      <c r="AH10" s="3"/>
      <c r="AT10" s="12">
        <v>2</v>
      </c>
      <c r="AU10" s="12" t="s">
        <v>22</v>
      </c>
      <c r="AV10" s="11"/>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row>
    <row r="11" spans="1:87" ht="24" customHeight="1" x14ac:dyDescent="0.2">
      <c r="B11" s="25">
        <f t="shared" ref="B11:B24" si="3">B9-1</f>
        <v>107</v>
      </c>
      <c r="C11" s="25" t="s">
        <v>113</v>
      </c>
      <c r="D11" s="25">
        <v>10</v>
      </c>
      <c r="E11" s="25">
        <v>2</v>
      </c>
      <c r="F11" s="25">
        <v>2</v>
      </c>
      <c r="G11" s="25">
        <v>1</v>
      </c>
      <c r="H11" s="25">
        <v>2</v>
      </c>
      <c r="I11" s="25" t="s">
        <v>114</v>
      </c>
      <c r="J11" s="26"/>
      <c r="K11" s="25" t="s">
        <v>2</v>
      </c>
      <c r="L11" s="24">
        <v>71</v>
      </c>
      <c r="M11" s="23"/>
      <c r="N11" s="24">
        <v>75</v>
      </c>
      <c r="O11" s="23"/>
      <c r="P11" s="24">
        <v>50</v>
      </c>
      <c r="Q11" s="24">
        <v>61</v>
      </c>
      <c r="R11" s="24"/>
      <c r="S11" s="24"/>
      <c r="T11" s="23"/>
      <c r="U11" s="24">
        <v>72</v>
      </c>
      <c r="V11" s="23"/>
      <c r="W11" s="24">
        <v>85</v>
      </c>
      <c r="X11" s="23"/>
      <c r="Y11" s="24">
        <v>68</v>
      </c>
      <c r="Z11" s="23"/>
      <c r="AA11" s="4">
        <f t="shared" si="0"/>
        <v>55.5</v>
      </c>
      <c r="AB11" s="4">
        <f t="shared" si="1"/>
        <v>71.083333333333329</v>
      </c>
      <c r="AC11" s="4">
        <f t="shared" si="2"/>
        <v>3.9251680784960543</v>
      </c>
      <c r="AD11" s="3"/>
      <c r="AE11" s="22"/>
      <c r="AF11" s="3"/>
      <c r="AG11" s="21"/>
      <c r="AH11" s="3"/>
      <c r="AT11" s="12">
        <v>3</v>
      </c>
      <c r="AU11" s="12" t="s">
        <v>21</v>
      </c>
      <c r="AV11" s="12" t="s">
        <v>19</v>
      </c>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row>
    <row r="12" spans="1:87" ht="24" customHeight="1" thickBot="1" x14ac:dyDescent="0.25">
      <c r="B12" s="15">
        <f t="shared" si="3"/>
        <v>107</v>
      </c>
      <c r="C12" s="15" t="s">
        <v>113</v>
      </c>
      <c r="D12" s="15">
        <v>10</v>
      </c>
      <c r="E12" s="15">
        <v>2</v>
      </c>
      <c r="F12" s="15">
        <v>2</v>
      </c>
      <c r="G12" s="15">
        <v>1</v>
      </c>
      <c r="H12" s="15">
        <v>2</v>
      </c>
      <c r="I12" s="15" t="s">
        <v>114</v>
      </c>
      <c r="J12" s="16"/>
      <c r="K12" s="15" t="s">
        <v>0</v>
      </c>
      <c r="L12" s="14">
        <v>115</v>
      </c>
      <c r="M12" s="13"/>
      <c r="N12" s="14">
        <v>113</v>
      </c>
      <c r="O12" s="13"/>
      <c r="P12" s="14">
        <v>96</v>
      </c>
      <c r="Q12" s="14">
        <v>102</v>
      </c>
      <c r="R12" s="14"/>
      <c r="S12" s="14"/>
      <c r="T12" s="13"/>
      <c r="U12" s="14">
        <v>103</v>
      </c>
      <c r="V12" s="13"/>
      <c r="W12" s="14">
        <v>112</v>
      </c>
      <c r="X12" s="13"/>
      <c r="Y12" s="14">
        <v>118</v>
      </c>
      <c r="Z12" s="13"/>
      <c r="AA12" s="4">
        <f t="shared" si="0"/>
        <v>99</v>
      </c>
      <c r="AB12" s="4">
        <f t="shared" si="1"/>
        <v>110</v>
      </c>
      <c r="AC12" s="4">
        <f t="shared" si="2"/>
        <v>3.0110906108363245</v>
      </c>
      <c r="AD12" s="3"/>
      <c r="AE12" s="3"/>
      <c r="AF12" s="3"/>
      <c r="AG12" s="3"/>
      <c r="AH12" s="3"/>
      <c r="AT12" s="12">
        <v>4</v>
      </c>
      <c r="AU12" s="12" t="s">
        <v>20</v>
      </c>
      <c r="AV12" s="11" t="s">
        <v>19</v>
      </c>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row>
    <row r="13" spans="1:87" ht="24" customHeight="1" x14ac:dyDescent="0.2">
      <c r="B13" s="7">
        <f t="shared" si="3"/>
        <v>106</v>
      </c>
      <c r="C13" s="7" t="s">
        <v>115</v>
      </c>
      <c r="D13" s="7">
        <v>9</v>
      </c>
      <c r="E13" s="7">
        <v>2</v>
      </c>
      <c r="F13" s="7">
        <v>2</v>
      </c>
      <c r="G13" s="7">
        <v>2</v>
      </c>
      <c r="H13" s="7">
        <v>2</v>
      </c>
      <c r="I13" s="7" t="s">
        <v>116</v>
      </c>
      <c r="J13" s="9"/>
      <c r="K13" s="7" t="s">
        <v>2</v>
      </c>
      <c r="L13" s="6">
        <v>86</v>
      </c>
      <c r="M13" s="5"/>
      <c r="N13" s="6">
        <v>86</v>
      </c>
      <c r="O13" s="5"/>
      <c r="P13" s="6">
        <v>96</v>
      </c>
      <c r="Q13" s="6">
        <v>98</v>
      </c>
      <c r="R13" s="6"/>
      <c r="S13" s="6"/>
      <c r="T13" s="5"/>
      <c r="U13" s="6">
        <v>97</v>
      </c>
      <c r="V13" s="5"/>
      <c r="W13" s="6">
        <v>95</v>
      </c>
      <c r="X13" s="5"/>
      <c r="Y13" s="6">
        <v>100</v>
      </c>
      <c r="Z13" s="5"/>
      <c r="AA13" s="4">
        <f t="shared" si="0"/>
        <v>97</v>
      </c>
      <c r="AB13" s="4">
        <f t="shared" si="1"/>
        <v>93.5</v>
      </c>
      <c r="AC13" s="4">
        <f t="shared" si="2"/>
        <v>2.459674775249769</v>
      </c>
      <c r="AD13" s="3"/>
      <c r="AE13" s="3"/>
      <c r="AF13" s="3"/>
      <c r="AG13" s="3"/>
      <c r="AH13" s="3"/>
      <c r="AT13" s="12">
        <v>8</v>
      </c>
      <c r="AU13" s="12" t="s">
        <v>18</v>
      </c>
      <c r="AV13" s="12" t="s">
        <v>17</v>
      </c>
    </row>
    <row r="14" spans="1:87" ht="24" customHeight="1" thickBot="1" x14ac:dyDescent="0.25">
      <c r="B14" s="15">
        <f t="shared" si="3"/>
        <v>106</v>
      </c>
      <c r="C14" s="15" t="s">
        <v>115</v>
      </c>
      <c r="D14" s="15">
        <v>9</v>
      </c>
      <c r="E14" s="15">
        <v>2</v>
      </c>
      <c r="F14" s="15">
        <v>2</v>
      </c>
      <c r="G14" s="15">
        <v>2</v>
      </c>
      <c r="H14" s="15">
        <v>2</v>
      </c>
      <c r="I14" s="15" t="s">
        <v>116</v>
      </c>
      <c r="J14" s="16"/>
      <c r="K14" s="15" t="s">
        <v>0</v>
      </c>
      <c r="L14" s="14">
        <v>128</v>
      </c>
      <c r="M14" s="13"/>
      <c r="N14" s="14">
        <v>133</v>
      </c>
      <c r="O14" s="13"/>
      <c r="P14" s="14">
        <v>116</v>
      </c>
      <c r="Q14" s="14">
        <v>114</v>
      </c>
      <c r="R14" s="14"/>
      <c r="S14" s="14"/>
      <c r="T14" s="13"/>
      <c r="U14" s="14">
        <v>115</v>
      </c>
      <c r="V14" s="13"/>
      <c r="W14" s="14">
        <v>115</v>
      </c>
      <c r="X14" s="13"/>
      <c r="Y14" s="14">
        <v>128</v>
      </c>
      <c r="Z14" s="13"/>
      <c r="AA14" s="4">
        <f t="shared" si="0"/>
        <v>115</v>
      </c>
      <c r="AB14" s="4">
        <f t="shared" si="1"/>
        <v>122.33333333333333</v>
      </c>
      <c r="AC14" s="4">
        <f t="shared" si="2"/>
        <v>3.3631995348345169</v>
      </c>
      <c r="AD14" s="3"/>
      <c r="AE14" s="3"/>
      <c r="AF14" s="3"/>
      <c r="AG14" s="3"/>
      <c r="AH14" s="3"/>
      <c r="AT14" s="12">
        <v>9</v>
      </c>
      <c r="AU14" s="12" t="s">
        <v>16</v>
      </c>
      <c r="AV14" s="11" t="s">
        <v>15</v>
      </c>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row>
    <row r="15" spans="1:87" ht="24" customHeight="1" x14ac:dyDescent="0.2">
      <c r="B15" s="7">
        <f t="shared" si="3"/>
        <v>105</v>
      </c>
      <c r="C15" s="7" t="s">
        <v>117</v>
      </c>
      <c r="D15" s="7">
        <v>12</v>
      </c>
      <c r="E15" s="7">
        <v>2</v>
      </c>
      <c r="F15" s="7">
        <v>3</v>
      </c>
      <c r="G15" s="7">
        <v>1</v>
      </c>
      <c r="H15" s="7">
        <v>2</v>
      </c>
      <c r="I15" s="7" t="s">
        <v>118</v>
      </c>
      <c r="J15" s="9"/>
      <c r="K15" s="7" t="s">
        <v>2</v>
      </c>
      <c r="L15" s="6">
        <v>96</v>
      </c>
      <c r="M15" s="5"/>
      <c r="N15" s="6">
        <v>90</v>
      </c>
      <c r="O15" s="5"/>
      <c r="P15" s="6">
        <v>96</v>
      </c>
      <c r="Q15" s="6">
        <v>96</v>
      </c>
      <c r="R15" s="6"/>
      <c r="S15" s="6"/>
      <c r="T15" s="5"/>
      <c r="U15" s="6">
        <v>87</v>
      </c>
      <c r="V15" s="5"/>
      <c r="W15" s="6">
        <v>85</v>
      </c>
      <c r="X15" s="5"/>
      <c r="Y15" s="6">
        <v>72</v>
      </c>
      <c r="Z15" s="5"/>
      <c r="AA15" s="4">
        <f t="shared" si="0"/>
        <v>96</v>
      </c>
      <c r="AB15" s="4">
        <f t="shared" si="1"/>
        <v>87.666666666666671</v>
      </c>
      <c r="AC15" s="4">
        <f t="shared" si="2"/>
        <v>3.6392917503883155</v>
      </c>
      <c r="AD15" s="3"/>
      <c r="AE15" s="3"/>
      <c r="AF15" s="3"/>
      <c r="AG15" s="3"/>
      <c r="AH15" s="3"/>
    </row>
    <row r="16" spans="1:87" ht="24" customHeight="1" thickBot="1" x14ac:dyDescent="0.25">
      <c r="B16" s="15">
        <f t="shared" si="3"/>
        <v>105</v>
      </c>
      <c r="C16" s="15" t="s">
        <v>117</v>
      </c>
      <c r="D16" s="15">
        <v>12</v>
      </c>
      <c r="E16" s="15">
        <v>2</v>
      </c>
      <c r="F16" s="15">
        <v>3</v>
      </c>
      <c r="G16" s="15">
        <v>1</v>
      </c>
      <c r="H16" s="15">
        <v>2</v>
      </c>
      <c r="I16" s="15" t="s">
        <v>118</v>
      </c>
      <c r="J16" s="16"/>
      <c r="K16" s="15" t="s">
        <v>0</v>
      </c>
      <c r="L16" s="14">
        <v>91</v>
      </c>
      <c r="M16" s="13"/>
      <c r="N16" s="14">
        <v>121</v>
      </c>
      <c r="O16" s="13"/>
      <c r="P16" s="14">
        <v>93</v>
      </c>
      <c r="Q16" s="14">
        <v>104</v>
      </c>
      <c r="R16" s="14"/>
      <c r="S16" s="14"/>
      <c r="T16" s="13"/>
      <c r="U16" s="14">
        <v>107</v>
      </c>
      <c r="V16" s="13"/>
      <c r="W16" s="14">
        <v>83</v>
      </c>
      <c r="X16" s="13"/>
      <c r="Y16" s="14">
        <v>81</v>
      </c>
      <c r="Z16" s="13"/>
      <c r="AA16" s="4">
        <f t="shared" si="0"/>
        <v>98.5</v>
      </c>
      <c r="AB16" s="4">
        <f t="shared" si="1"/>
        <v>96.916666666666671</v>
      </c>
      <c r="AC16" s="4">
        <f t="shared" si="2"/>
        <v>6.2348705769335107</v>
      </c>
      <c r="AD16" s="3"/>
      <c r="AE16" s="3"/>
      <c r="AF16" s="3"/>
      <c r="AG16" s="3"/>
      <c r="AH16" s="3"/>
      <c r="AT16" s="12" t="s">
        <v>14</v>
      </c>
      <c r="AU16" s="12"/>
      <c r="AV16" s="11"/>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row>
    <row r="17" spans="2:87" ht="24" customHeight="1" x14ac:dyDescent="0.2">
      <c r="B17" s="7">
        <f t="shared" si="3"/>
        <v>104</v>
      </c>
      <c r="C17" s="7" t="s">
        <v>113</v>
      </c>
      <c r="D17" s="7">
        <v>10</v>
      </c>
      <c r="E17" s="7">
        <v>2</v>
      </c>
      <c r="F17" s="7">
        <v>2</v>
      </c>
      <c r="G17" s="7">
        <v>1</v>
      </c>
      <c r="H17" s="7">
        <v>1</v>
      </c>
      <c r="I17" s="7" t="s">
        <v>119</v>
      </c>
      <c r="J17" s="9"/>
      <c r="K17" s="7" t="s">
        <v>2</v>
      </c>
      <c r="L17" s="18">
        <v>85</v>
      </c>
      <c r="M17" s="5"/>
      <c r="N17" s="18">
        <v>77</v>
      </c>
      <c r="O17" s="5"/>
      <c r="P17" s="18">
        <v>81</v>
      </c>
      <c r="Q17" s="18">
        <v>72</v>
      </c>
      <c r="R17" s="18"/>
      <c r="S17" s="18"/>
      <c r="T17" s="5"/>
      <c r="U17" s="18">
        <v>76</v>
      </c>
      <c r="V17" s="5"/>
      <c r="W17" s="18">
        <v>78</v>
      </c>
      <c r="X17" s="5"/>
      <c r="Y17" s="18">
        <v>76</v>
      </c>
      <c r="Z17" s="5"/>
      <c r="AA17" s="4">
        <f t="shared" si="0"/>
        <v>76.5</v>
      </c>
      <c r="AB17" s="4">
        <f t="shared" si="1"/>
        <v>78.083333333333329</v>
      </c>
      <c r="AC17" s="4">
        <f t="shared" si="2"/>
        <v>1.4166666666666667</v>
      </c>
      <c r="AD17" s="3"/>
      <c r="AE17" s="3"/>
      <c r="AF17" s="3"/>
      <c r="AG17" s="3"/>
      <c r="AH17" s="3"/>
      <c r="AT17" s="12" t="s">
        <v>7</v>
      </c>
      <c r="AU17" s="12" t="s">
        <v>13</v>
      </c>
      <c r="AV17" s="12" t="s">
        <v>12</v>
      </c>
    </row>
    <row r="18" spans="2:87" ht="24" customHeight="1" thickBot="1" x14ac:dyDescent="0.25">
      <c r="B18" s="15">
        <f t="shared" si="3"/>
        <v>104</v>
      </c>
      <c r="C18" s="15" t="s">
        <v>113</v>
      </c>
      <c r="D18" s="15">
        <v>10</v>
      </c>
      <c r="E18" s="15">
        <v>2</v>
      </c>
      <c r="F18" s="15">
        <v>2</v>
      </c>
      <c r="G18" s="15">
        <v>1</v>
      </c>
      <c r="H18" s="15">
        <v>1</v>
      </c>
      <c r="I18" s="15" t="s">
        <v>119</v>
      </c>
      <c r="J18" s="16"/>
      <c r="K18" s="15" t="s">
        <v>0</v>
      </c>
      <c r="L18" s="14">
        <v>94</v>
      </c>
      <c r="M18" s="13"/>
      <c r="N18" s="14">
        <v>96</v>
      </c>
      <c r="O18" s="13"/>
      <c r="P18" s="14">
        <v>108</v>
      </c>
      <c r="Q18" s="14">
        <v>98</v>
      </c>
      <c r="R18" s="14"/>
      <c r="S18" s="14"/>
      <c r="T18" s="13"/>
      <c r="U18" s="14">
        <v>102</v>
      </c>
      <c r="V18" s="13"/>
      <c r="W18" s="14">
        <v>131</v>
      </c>
      <c r="X18" s="13"/>
      <c r="Y18" s="14">
        <v>98</v>
      </c>
      <c r="Z18" s="13"/>
      <c r="AA18" s="4">
        <f t="shared" si="0"/>
        <v>103</v>
      </c>
      <c r="AB18" s="4">
        <f t="shared" si="1"/>
        <v>104</v>
      </c>
      <c r="AC18" s="4">
        <f t="shared" si="2"/>
        <v>5.5797252023135817</v>
      </c>
      <c r="AD18" s="3"/>
      <c r="AE18" s="3"/>
      <c r="AF18" s="3"/>
      <c r="AG18" s="3"/>
      <c r="AH18" s="3"/>
      <c r="AT18" s="12">
        <v>0</v>
      </c>
      <c r="AU18" s="12">
        <v>0</v>
      </c>
      <c r="AV18" s="11" t="s">
        <v>11</v>
      </c>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row>
    <row r="19" spans="2:87" ht="24" customHeight="1" x14ac:dyDescent="0.2">
      <c r="B19" s="7">
        <f t="shared" si="3"/>
        <v>103</v>
      </c>
      <c r="C19" s="7" t="s">
        <v>120</v>
      </c>
      <c r="D19" s="7">
        <v>5</v>
      </c>
      <c r="E19" s="7">
        <v>1</v>
      </c>
      <c r="F19" s="7">
        <v>3</v>
      </c>
      <c r="G19" s="7">
        <v>2</v>
      </c>
      <c r="H19" s="7">
        <v>1</v>
      </c>
      <c r="I19" s="7" t="s">
        <v>121</v>
      </c>
      <c r="J19" s="9"/>
      <c r="K19" s="7" t="s">
        <v>2</v>
      </c>
      <c r="L19" s="18">
        <v>92</v>
      </c>
      <c r="M19" s="5"/>
      <c r="N19" s="18">
        <v>83</v>
      </c>
      <c r="O19" s="5"/>
      <c r="P19" s="18">
        <v>93</v>
      </c>
      <c r="Q19" s="18">
        <v>92</v>
      </c>
      <c r="R19" s="18"/>
      <c r="S19" s="18"/>
      <c r="T19" s="5"/>
      <c r="U19" s="18">
        <v>80</v>
      </c>
      <c r="V19" s="5"/>
      <c r="W19" s="18">
        <v>89</v>
      </c>
      <c r="X19" s="5"/>
      <c r="Y19" s="18">
        <v>95</v>
      </c>
      <c r="Z19" s="5"/>
      <c r="AA19" s="4">
        <f t="shared" si="0"/>
        <v>92.5</v>
      </c>
      <c r="AB19" s="4">
        <f t="shared" si="1"/>
        <v>88.583333333333329</v>
      </c>
      <c r="AC19" s="4">
        <f t="shared" si="2"/>
        <v>2.4028339749369101</v>
      </c>
      <c r="AD19" s="3"/>
      <c r="AE19" s="3"/>
      <c r="AF19" s="3"/>
      <c r="AG19" s="3"/>
      <c r="AH19" s="3"/>
      <c r="AT19" s="12">
        <v>1</v>
      </c>
      <c r="AU19" s="12">
        <v>5</v>
      </c>
      <c r="AV19" s="12" t="s">
        <v>10</v>
      </c>
    </row>
    <row r="20" spans="2:87" ht="24" customHeight="1" thickBot="1" x14ac:dyDescent="0.25">
      <c r="B20" s="15">
        <f t="shared" si="3"/>
        <v>103</v>
      </c>
      <c r="C20" s="15" t="s">
        <v>120</v>
      </c>
      <c r="D20" s="15">
        <v>5</v>
      </c>
      <c r="E20" s="15">
        <v>1</v>
      </c>
      <c r="F20" s="15">
        <v>3</v>
      </c>
      <c r="G20" s="15">
        <v>2</v>
      </c>
      <c r="H20" s="15">
        <v>1</v>
      </c>
      <c r="I20" s="15" t="s">
        <v>121</v>
      </c>
      <c r="J20" s="16"/>
      <c r="K20" s="15" t="s">
        <v>0</v>
      </c>
      <c r="L20" s="14">
        <v>124</v>
      </c>
      <c r="M20" s="13"/>
      <c r="N20" s="14">
        <v>121</v>
      </c>
      <c r="O20" s="13"/>
      <c r="P20" s="14">
        <v>104</v>
      </c>
      <c r="Q20" s="14">
        <v>111</v>
      </c>
      <c r="R20" s="14"/>
      <c r="S20" s="14"/>
      <c r="T20" s="13"/>
      <c r="U20" s="14">
        <v>113</v>
      </c>
      <c r="V20" s="13"/>
      <c r="W20" s="14">
        <v>92</v>
      </c>
      <c r="X20" s="13"/>
      <c r="Y20" s="14">
        <v>94</v>
      </c>
      <c r="Z20" s="13"/>
      <c r="AA20" s="4">
        <f t="shared" si="0"/>
        <v>107.5</v>
      </c>
      <c r="AB20" s="4">
        <f t="shared" si="1"/>
        <v>108.58333333333333</v>
      </c>
      <c r="AC20" s="4">
        <f t="shared" si="2"/>
        <v>5.4778594765149169</v>
      </c>
      <c r="AD20" s="3"/>
      <c r="AE20" s="3"/>
      <c r="AF20" s="3"/>
      <c r="AG20" s="3"/>
      <c r="AH20" s="3"/>
      <c r="AT20" s="12">
        <v>2</v>
      </c>
      <c r="AU20" s="12">
        <v>10</v>
      </c>
      <c r="AV20" s="11" t="s">
        <v>10</v>
      </c>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row>
    <row r="21" spans="2:87" ht="24" customHeight="1" x14ac:dyDescent="0.2">
      <c r="B21" s="7">
        <f t="shared" si="3"/>
        <v>102</v>
      </c>
      <c r="C21" s="7" t="s">
        <v>122</v>
      </c>
      <c r="D21" s="7">
        <v>4</v>
      </c>
      <c r="E21" s="7">
        <v>1</v>
      </c>
      <c r="F21" s="7">
        <v>2</v>
      </c>
      <c r="G21" s="7">
        <v>1</v>
      </c>
      <c r="H21" s="7">
        <v>1</v>
      </c>
      <c r="I21" s="7" t="s">
        <v>123</v>
      </c>
      <c r="J21" s="9"/>
      <c r="K21" s="7" t="s">
        <v>2</v>
      </c>
      <c r="L21" s="6">
        <v>86</v>
      </c>
      <c r="M21" s="5"/>
      <c r="N21" s="6">
        <v>88</v>
      </c>
      <c r="O21" s="5"/>
      <c r="P21" s="6">
        <v>71</v>
      </c>
      <c r="Q21" s="6">
        <v>81</v>
      </c>
      <c r="R21" s="6"/>
      <c r="S21" s="6"/>
      <c r="T21" s="5"/>
      <c r="U21" s="6">
        <v>80</v>
      </c>
      <c r="V21" s="5"/>
      <c r="W21" s="6">
        <v>79</v>
      </c>
      <c r="X21" s="5"/>
      <c r="Y21" s="6">
        <v>91</v>
      </c>
      <c r="Z21" s="5"/>
      <c r="AA21" s="4">
        <f t="shared" si="0"/>
        <v>76</v>
      </c>
      <c r="AB21" s="4">
        <f t="shared" si="1"/>
        <v>83.333333333333329</v>
      </c>
      <c r="AC21" s="4">
        <f t="shared" si="2"/>
        <v>2.3897931105246562</v>
      </c>
      <c r="AD21" s="3"/>
      <c r="AE21" s="3"/>
      <c r="AF21" s="3"/>
      <c r="AG21" s="3"/>
      <c r="AH21" s="3"/>
      <c r="AT21" s="12">
        <v>3</v>
      </c>
      <c r="AU21" s="12">
        <v>20</v>
      </c>
      <c r="AV21" s="12" t="s">
        <v>9</v>
      </c>
    </row>
    <row r="22" spans="2:87" ht="24" customHeight="1" thickBot="1" x14ac:dyDescent="0.25">
      <c r="B22" s="15">
        <f t="shared" si="3"/>
        <v>102</v>
      </c>
      <c r="C22" s="15" t="s">
        <v>122</v>
      </c>
      <c r="D22" s="15">
        <v>4</v>
      </c>
      <c r="E22" s="15">
        <v>1</v>
      </c>
      <c r="F22" s="15">
        <v>2</v>
      </c>
      <c r="G22" s="15">
        <v>1</v>
      </c>
      <c r="H22" s="15">
        <v>1</v>
      </c>
      <c r="I22" s="15" t="s">
        <v>123</v>
      </c>
      <c r="J22" s="16"/>
      <c r="K22" s="15" t="s">
        <v>0</v>
      </c>
      <c r="L22" s="14">
        <v>127</v>
      </c>
      <c r="M22" s="13"/>
      <c r="N22" s="14">
        <v>112</v>
      </c>
      <c r="O22" s="13"/>
      <c r="P22" s="14">
        <v>118</v>
      </c>
      <c r="Q22" s="14">
        <v>82</v>
      </c>
      <c r="R22" s="14"/>
      <c r="S22" s="14"/>
      <c r="T22" s="13"/>
      <c r="U22" s="14">
        <v>103</v>
      </c>
      <c r="V22" s="13"/>
      <c r="W22" s="14">
        <v>104</v>
      </c>
      <c r="X22" s="13"/>
      <c r="Y22" s="14">
        <v>102</v>
      </c>
      <c r="Z22" s="13"/>
      <c r="AA22" s="4">
        <f t="shared" si="0"/>
        <v>100</v>
      </c>
      <c r="AB22" s="4">
        <f t="shared" si="1"/>
        <v>108</v>
      </c>
      <c r="AC22" s="4">
        <f t="shared" si="2"/>
        <v>4.1553178779326458</v>
      </c>
      <c r="AD22" s="3"/>
      <c r="AE22" s="3"/>
      <c r="AF22" s="3"/>
      <c r="AG22" s="3"/>
      <c r="AH22" s="3"/>
      <c r="AT22" s="12"/>
      <c r="AU22" s="12"/>
      <c r="AV22" s="11"/>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row>
    <row r="23" spans="2:87" ht="24" customHeight="1" x14ac:dyDescent="0.2">
      <c r="B23" s="7">
        <f t="shared" si="3"/>
        <v>101</v>
      </c>
      <c r="C23" s="7" t="s">
        <v>124</v>
      </c>
      <c r="D23" s="7">
        <v>1</v>
      </c>
      <c r="E23" s="7">
        <v>1</v>
      </c>
      <c r="F23" s="7">
        <v>1</v>
      </c>
      <c r="G23" s="7">
        <v>2</v>
      </c>
      <c r="H23" s="7">
        <v>1</v>
      </c>
      <c r="I23" s="7" t="s">
        <v>125</v>
      </c>
      <c r="J23" s="9"/>
      <c r="K23" s="7" t="s">
        <v>2</v>
      </c>
      <c r="L23" s="6">
        <v>91</v>
      </c>
      <c r="M23" s="5"/>
      <c r="N23" s="6">
        <v>98</v>
      </c>
      <c r="O23" s="5"/>
      <c r="P23" s="6">
        <v>88</v>
      </c>
      <c r="Q23" s="6">
        <v>98</v>
      </c>
      <c r="R23" s="6"/>
      <c r="S23" s="6"/>
      <c r="T23" s="5"/>
      <c r="U23" s="6">
        <v>97</v>
      </c>
      <c r="V23" s="5"/>
      <c r="W23" s="6">
        <v>93</v>
      </c>
      <c r="X23" s="5"/>
      <c r="Y23" s="6">
        <v>73</v>
      </c>
      <c r="Z23" s="5"/>
      <c r="AA23" s="4">
        <f t="shared" si="0"/>
        <v>93</v>
      </c>
      <c r="AB23" s="4">
        <f t="shared" si="1"/>
        <v>90.833333333333329</v>
      </c>
      <c r="AC23" s="4">
        <f t="shared" si="2"/>
        <v>3.7275252439714537</v>
      </c>
      <c r="AD23" s="3"/>
      <c r="AE23" s="3"/>
      <c r="AF23" s="3"/>
      <c r="AG23" s="3"/>
      <c r="AH23" s="3"/>
      <c r="AT23" s="2" t="s">
        <v>8</v>
      </c>
      <c r="AU23" s="2"/>
      <c r="AV23" s="2"/>
    </row>
    <row r="24" spans="2:87" ht="24" customHeight="1" thickBot="1" x14ac:dyDescent="0.25">
      <c r="B24" s="15">
        <f t="shared" si="3"/>
        <v>101</v>
      </c>
      <c r="C24" s="15" t="s">
        <v>124</v>
      </c>
      <c r="D24" s="15">
        <v>1</v>
      </c>
      <c r="E24" s="15">
        <v>1</v>
      </c>
      <c r="F24" s="15">
        <v>1</v>
      </c>
      <c r="G24" s="15">
        <v>2</v>
      </c>
      <c r="H24" s="15">
        <v>1</v>
      </c>
      <c r="I24" s="15" t="s">
        <v>125</v>
      </c>
      <c r="J24" s="16"/>
      <c r="K24" s="15" t="s">
        <v>0</v>
      </c>
      <c r="L24" s="14">
        <v>148</v>
      </c>
      <c r="M24" s="13"/>
      <c r="N24" s="14">
        <v>142</v>
      </c>
      <c r="O24" s="13"/>
      <c r="P24" s="14">
        <v>129</v>
      </c>
      <c r="Q24" s="14">
        <v>129</v>
      </c>
      <c r="R24" s="14"/>
      <c r="S24" s="14"/>
      <c r="T24" s="13"/>
      <c r="U24" s="14">
        <v>121</v>
      </c>
      <c r="V24" s="13"/>
      <c r="W24" s="14">
        <v>101</v>
      </c>
      <c r="X24" s="13"/>
      <c r="Y24" s="14">
        <v>113</v>
      </c>
      <c r="Z24" s="13"/>
      <c r="AA24" s="4">
        <f t="shared" si="0"/>
        <v>129</v>
      </c>
      <c r="AB24" s="4">
        <f t="shared" si="1"/>
        <v>125.66666666666667</v>
      </c>
      <c r="AC24" s="4">
        <f t="shared" si="2"/>
        <v>7.2280318513717337</v>
      </c>
      <c r="AD24" s="3"/>
      <c r="AE24" s="3"/>
      <c r="AF24" s="3"/>
      <c r="AG24" s="3"/>
      <c r="AH24" s="3"/>
      <c r="AT24" s="12" t="s">
        <v>7</v>
      </c>
      <c r="AU24" s="12" t="s">
        <v>6</v>
      </c>
      <c r="AV24" s="11" t="s">
        <v>5</v>
      </c>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row>
    <row r="25" spans="2:87" ht="24" customHeight="1" x14ac:dyDescent="0.2">
      <c r="B25" s="7">
        <f>B23+100</f>
        <v>201</v>
      </c>
      <c r="C25" s="7" t="s">
        <v>117</v>
      </c>
      <c r="D25" s="7">
        <v>12</v>
      </c>
      <c r="E25" s="7">
        <v>2</v>
      </c>
      <c r="F25" s="7">
        <v>3</v>
      </c>
      <c r="G25" s="7">
        <v>1</v>
      </c>
      <c r="H25" s="7">
        <v>1</v>
      </c>
      <c r="I25" s="7" t="s">
        <v>126</v>
      </c>
      <c r="J25" s="7"/>
      <c r="K25" s="7" t="s">
        <v>2</v>
      </c>
      <c r="L25" s="6">
        <v>93</v>
      </c>
      <c r="M25" s="6"/>
      <c r="N25" s="6">
        <v>92</v>
      </c>
      <c r="O25" s="6"/>
      <c r="P25" s="6">
        <v>93</v>
      </c>
      <c r="Q25" s="6">
        <v>80</v>
      </c>
      <c r="R25" s="6"/>
      <c r="S25" s="6"/>
      <c r="T25" s="6"/>
      <c r="U25" s="6">
        <v>85</v>
      </c>
      <c r="V25" s="6"/>
      <c r="W25" s="6">
        <v>87</v>
      </c>
      <c r="X25" s="6"/>
      <c r="Y25" s="6">
        <v>93</v>
      </c>
      <c r="Z25" s="6"/>
      <c r="AA25" s="4">
        <f t="shared" si="0"/>
        <v>86.5</v>
      </c>
      <c r="AB25" s="4">
        <f t="shared" si="1"/>
        <v>89.416666666666671</v>
      </c>
      <c r="AC25" s="4">
        <f t="shared" si="2"/>
        <v>1.4855788247159571</v>
      </c>
      <c r="AD25" s="3"/>
      <c r="AE25" s="3"/>
      <c r="AF25" s="3"/>
      <c r="AG25" s="3"/>
      <c r="AH25" s="3"/>
      <c r="AT25" s="12">
        <v>1</v>
      </c>
      <c r="AU25" s="12" t="s">
        <v>4</v>
      </c>
      <c r="AV25" s="12">
        <v>0</v>
      </c>
    </row>
    <row r="26" spans="2:87" ht="24" customHeight="1" thickBot="1" x14ac:dyDescent="0.25">
      <c r="B26" s="15">
        <f>B24+100</f>
        <v>201</v>
      </c>
      <c r="C26" s="15" t="s">
        <v>117</v>
      </c>
      <c r="D26" s="15">
        <v>12</v>
      </c>
      <c r="E26" s="15">
        <v>2</v>
      </c>
      <c r="F26" s="15">
        <v>3</v>
      </c>
      <c r="G26" s="15">
        <v>1</v>
      </c>
      <c r="H26" s="15">
        <v>1</v>
      </c>
      <c r="I26" s="15" t="s">
        <v>126</v>
      </c>
      <c r="J26" s="16"/>
      <c r="K26" s="15" t="s">
        <v>0</v>
      </c>
      <c r="L26" s="14">
        <v>114</v>
      </c>
      <c r="M26" s="13"/>
      <c r="N26" s="14">
        <v>98</v>
      </c>
      <c r="O26" s="13"/>
      <c r="P26" s="14">
        <v>102</v>
      </c>
      <c r="Q26" s="14">
        <v>101</v>
      </c>
      <c r="R26" s="14"/>
      <c r="S26" s="14"/>
      <c r="T26" s="13"/>
      <c r="U26" s="14">
        <v>86</v>
      </c>
      <c r="V26" s="13"/>
      <c r="W26" s="14">
        <v>96</v>
      </c>
      <c r="X26" s="13"/>
      <c r="Y26" s="14">
        <v>102</v>
      </c>
      <c r="Z26" s="13"/>
      <c r="AA26" s="4">
        <f t="shared" si="0"/>
        <v>101.5</v>
      </c>
      <c r="AB26" s="4">
        <f t="shared" si="1"/>
        <v>99.583333333333329</v>
      </c>
      <c r="AC26" s="4">
        <f t="shared" si="2"/>
        <v>3.7292015827043254</v>
      </c>
      <c r="AD26" s="3"/>
      <c r="AE26" s="3"/>
      <c r="AF26" s="3"/>
      <c r="AG26" s="3"/>
      <c r="AH26" s="3"/>
      <c r="AT26" s="12">
        <v>2</v>
      </c>
      <c r="AU26" s="12" t="s">
        <v>3</v>
      </c>
      <c r="AV26" s="11">
        <v>150</v>
      </c>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row>
    <row r="27" spans="2:87" ht="24" customHeight="1" x14ac:dyDescent="0.2">
      <c r="B27" s="7">
        <f t="shared" ref="B27:B40" si="4">B25+1</f>
        <v>202</v>
      </c>
      <c r="C27" s="7" t="s">
        <v>115</v>
      </c>
      <c r="D27" s="7">
        <v>9</v>
      </c>
      <c r="E27" s="7">
        <v>2</v>
      </c>
      <c r="F27" s="7">
        <v>2</v>
      </c>
      <c r="G27" s="7">
        <v>2</v>
      </c>
      <c r="H27" s="7">
        <v>1</v>
      </c>
      <c r="I27" s="7" t="s">
        <v>127</v>
      </c>
      <c r="J27" s="9"/>
      <c r="K27" s="7" t="s">
        <v>2</v>
      </c>
      <c r="L27" s="6">
        <v>97</v>
      </c>
      <c r="M27" s="6"/>
      <c r="N27" s="6">
        <v>81</v>
      </c>
      <c r="O27" s="6"/>
      <c r="P27" s="6">
        <v>100</v>
      </c>
      <c r="Q27" s="6">
        <v>92</v>
      </c>
      <c r="R27" s="6"/>
      <c r="S27" s="6"/>
      <c r="T27" s="6"/>
      <c r="U27" s="6">
        <v>77</v>
      </c>
      <c r="V27" s="6"/>
      <c r="W27" s="6">
        <v>90</v>
      </c>
      <c r="X27" s="6"/>
      <c r="Y27" s="6">
        <v>91</v>
      </c>
      <c r="Z27" s="6"/>
      <c r="AA27" s="4">
        <f t="shared" si="0"/>
        <v>96</v>
      </c>
      <c r="AB27" s="4">
        <f t="shared" si="1"/>
        <v>88.666666666666671</v>
      </c>
      <c r="AC27" s="4">
        <f t="shared" si="2"/>
        <v>3.2930904093942588</v>
      </c>
      <c r="AD27" s="3"/>
      <c r="AE27" s="3"/>
      <c r="AF27" s="3"/>
      <c r="AG27" s="3"/>
      <c r="AH27" s="3"/>
    </row>
    <row r="28" spans="2:87" ht="24" customHeight="1" thickBot="1" x14ac:dyDescent="0.25">
      <c r="B28" s="15">
        <f t="shared" si="4"/>
        <v>202</v>
      </c>
      <c r="C28" s="15" t="s">
        <v>115</v>
      </c>
      <c r="D28" s="15">
        <v>9</v>
      </c>
      <c r="E28" s="15">
        <v>2</v>
      </c>
      <c r="F28" s="15">
        <v>2</v>
      </c>
      <c r="G28" s="15">
        <v>2</v>
      </c>
      <c r="H28" s="15">
        <v>1</v>
      </c>
      <c r="I28" s="15" t="s">
        <v>127</v>
      </c>
      <c r="J28" s="16"/>
      <c r="K28" s="15" t="s">
        <v>0</v>
      </c>
      <c r="L28" s="14">
        <v>135</v>
      </c>
      <c r="M28" s="13"/>
      <c r="N28" s="14">
        <v>135</v>
      </c>
      <c r="O28" s="13"/>
      <c r="P28" s="14">
        <v>112</v>
      </c>
      <c r="Q28" s="14">
        <v>115</v>
      </c>
      <c r="R28" s="14"/>
      <c r="S28" s="14"/>
      <c r="T28" s="13"/>
      <c r="U28" s="14">
        <v>129</v>
      </c>
      <c r="V28" s="13"/>
      <c r="W28" s="14">
        <v>117</v>
      </c>
      <c r="X28" s="13"/>
      <c r="Y28" s="14">
        <v>143</v>
      </c>
      <c r="Z28" s="13"/>
      <c r="AA28" s="4">
        <f t="shared" si="0"/>
        <v>113.5</v>
      </c>
      <c r="AB28" s="4">
        <f t="shared" si="1"/>
        <v>128.75</v>
      </c>
      <c r="AC28" s="4">
        <f t="shared" si="2"/>
        <v>4.6614554236489987</v>
      </c>
      <c r="AD28" s="3"/>
      <c r="AE28" s="3"/>
      <c r="AF28" s="3"/>
      <c r="AG28" s="3"/>
      <c r="AH28" s="3"/>
      <c r="AT28" s="12"/>
      <c r="AU28" s="12"/>
      <c r="AV28" s="11"/>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row>
    <row r="29" spans="2:87" ht="24" customHeight="1" x14ac:dyDescent="0.2">
      <c r="B29" s="7">
        <f t="shared" si="4"/>
        <v>203</v>
      </c>
      <c r="C29" s="7" t="s">
        <v>111</v>
      </c>
      <c r="D29" s="7">
        <v>3</v>
      </c>
      <c r="E29" s="7">
        <v>1</v>
      </c>
      <c r="F29" s="7">
        <v>2</v>
      </c>
      <c r="G29" s="7">
        <v>2</v>
      </c>
      <c r="H29" s="7">
        <v>1</v>
      </c>
      <c r="I29" s="7" t="s">
        <v>128</v>
      </c>
      <c r="J29" s="9"/>
      <c r="K29" s="7" t="s">
        <v>2</v>
      </c>
      <c r="L29" s="6">
        <v>89</v>
      </c>
      <c r="M29" s="6"/>
      <c r="N29" s="6">
        <v>76</v>
      </c>
      <c r="O29" s="6"/>
      <c r="P29" s="6">
        <v>85</v>
      </c>
      <c r="Q29" s="6">
        <v>96</v>
      </c>
      <c r="R29" s="6"/>
      <c r="S29" s="6"/>
      <c r="T29" s="6"/>
      <c r="U29" s="6">
        <v>85</v>
      </c>
      <c r="V29" s="6"/>
      <c r="W29" s="6">
        <v>85</v>
      </c>
      <c r="X29" s="6"/>
      <c r="Y29" s="6">
        <v>77</v>
      </c>
      <c r="Z29" s="6"/>
      <c r="AA29" s="4">
        <f t="shared" si="0"/>
        <v>90.5</v>
      </c>
      <c r="AB29" s="4">
        <f t="shared" si="1"/>
        <v>83.75</v>
      </c>
      <c r="AC29" s="4">
        <f t="shared" si="2"/>
        <v>2.4622144504490264</v>
      </c>
      <c r="AD29" s="3"/>
      <c r="AE29" s="3"/>
      <c r="AF29" s="3"/>
      <c r="AG29" s="3"/>
      <c r="AH29" s="3"/>
    </row>
    <row r="30" spans="2:87" ht="24" customHeight="1" thickBot="1" x14ac:dyDescent="0.25">
      <c r="B30" s="15">
        <f t="shared" si="4"/>
        <v>203</v>
      </c>
      <c r="C30" s="15" t="s">
        <v>111</v>
      </c>
      <c r="D30" s="15">
        <v>3</v>
      </c>
      <c r="E30" s="15">
        <v>1</v>
      </c>
      <c r="F30" s="15">
        <v>2</v>
      </c>
      <c r="G30" s="15">
        <v>2</v>
      </c>
      <c r="H30" s="15">
        <v>1</v>
      </c>
      <c r="I30" s="15" t="s">
        <v>128</v>
      </c>
      <c r="J30" s="16"/>
      <c r="K30" s="15" t="s">
        <v>0</v>
      </c>
      <c r="L30" s="14">
        <v>114</v>
      </c>
      <c r="M30" s="13"/>
      <c r="N30" s="14">
        <v>146</v>
      </c>
      <c r="O30" s="13"/>
      <c r="P30" s="14">
        <v>139</v>
      </c>
      <c r="Q30" s="14">
        <v>120</v>
      </c>
      <c r="R30" s="14"/>
      <c r="S30" s="14"/>
      <c r="T30" s="13"/>
      <c r="U30" s="14">
        <v>128</v>
      </c>
      <c r="V30" s="13"/>
      <c r="W30" s="14">
        <v>140</v>
      </c>
      <c r="X30" s="13"/>
      <c r="Y30" s="14">
        <v>121</v>
      </c>
      <c r="Z30" s="13"/>
      <c r="AA30" s="4">
        <f t="shared" si="0"/>
        <v>129.5</v>
      </c>
      <c r="AB30" s="4">
        <f t="shared" si="1"/>
        <v>129.75</v>
      </c>
      <c r="AC30" s="4">
        <f t="shared" si="2"/>
        <v>4.8196645803070846</v>
      </c>
      <c r="AD30" s="3"/>
      <c r="AE30" s="3"/>
      <c r="AF30" s="3"/>
      <c r="AG30" s="3"/>
      <c r="AH30" s="3"/>
      <c r="AT30" s="12"/>
      <c r="AU30" s="12"/>
      <c r="AV30" s="11"/>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row>
    <row r="31" spans="2:87" ht="24" customHeight="1" x14ac:dyDescent="0.2">
      <c r="B31" s="7">
        <f t="shared" si="4"/>
        <v>204</v>
      </c>
      <c r="C31" s="7" t="s">
        <v>129</v>
      </c>
      <c r="D31" s="7">
        <v>11</v>
      </c>
      <c r="E31" s="7">
        <v>2</v>
      </c>
      <c r="F31" s="7">
        <v>3</v>
      </c>
      <c r="G31" s="7">
        <v>2</v>
      </c>
      <c r="H31" s="7">
        <v>1</v>
      </c>
      <c r="I31" s="7" t="s">
        <v>130</v>
      </c>
      <c r="J31" s="9"/>
      <c r="K31" s="7" t="s">
        <v>2</v>
      </c>
      <c r="L31" s="6">
        <v>86</v>
      </c>
      <c r="M31" s="6"/>
      <c r="N31" s="6">
        <v>88</v>
      </c>
      <c r="O31" s="6"/>
      <c r="P31" s="6">
        <v>88</v>
      </c>
      <c r="Q31" s="6">
        <v>89</v>
      </c>
      <c r="R31" s="6"/>
      <c r="S31" s="6"/>
      <c r="T31" s="6"/>
      <c r="U31" s="6">
        <v>89</v>
      </c>
      <c r="V31" s="6"/>
      <c r="W31" s="6">
        <v>100</v>
      </c>
      <c r="X31" s="6"/>
      <c r="Y31" s="6">
        <v>87</v>
      </c>
      <c r="Z31" s="6"/>
      <c r="AA31" s="4">
        <f t="shared" si="0"/>
        <v>88.5</v>
      </c>
      <c r="AB31" s="4">
        <f t="shared" si="1"/>
        <v>89.75</v>
      </c>
      <c r="AC31" s="4">
        <f t="shared" si="2"/>
        <v>2.096624270901521</v>
      </c>
      <c r="AD31" s="3"/>
      <c r="AE31" s="3"/>
      <c r="AF31" s="3"/>
      <c r="AG31" s="3"/>
      <c r="AH31" s="3"/>
    </row>
    <row r="32" spans="2:87" ht="24" customHeight="1" thickBot="1" x14ac:dyDescent="0.25">
      <c r="B32" s="15">
        <f t="shared" si="4"/>
        <v>204</v>
      </c>
      <c r="C32" s="15" t="s">
        <v>129</v>
      </c>
      <c r="D32" s="15">
        <v>11</v>
      </c>
      <c r="E32" s="15">
        <v>2</v>
      </c>
      <c r="F32" s="15">
        <v>3</v>
      </c>
      <c r="G32" s="15">
        <v>2</v>
      </c>
      <c r="H32" s="15">
        <v>1</v>
      </c>
      <c r="I32" s="15" t="s">
        <v>130</v>
      </c>
      <c r="J32" s="16"/>
      <c r="K32" s="15" t="s">
        <v>0</v>
      </c>
      <c r="L32" s="14">
        <v>126</v>
      </c>
      <c r="M32" s="13"/>
      <c r="N32" s="14">
        <v>112</v>
      </c>
      <c r="O32" s="13"/>
      <c r="P32" s="14">
        <v>111</v>
      </c>
      <c r="Q32" s="14">
        <v>122</v>
      </c>
      <c r="R32" s="14"/>
      <c r="S32" s="14"/>
      <c r="T32" s="13"/>
      <c r="U32" s="14">
        <v>121</v>
      </c>
      <c r="V32" s="13"/>
      <c r="W32" s="14">
        <v>108</v>
      </c>
      <c r="X32" s="13"/>
      <c r="Y32" s="14">
        <v>106</v>
      </c>
      <c r="Z32" s="13"/>
      <c r="AA32" s="4">
        <f t="shared" si="0"/>
        <v>116.5</v>
      </c>
      <c r="AB32" s="4">
        <f t="shared" si="1"/>
        <v>114.91666666666667</v>
      </c>
      <c r="AC32" s="4">
        <f t="shared" si="2"/>
        <v>3.1528206066596591</v>
      </c>
      <c r="AD32" s="3"/>
      <c r="AE32" s="3"/>
      <c r="AF32" s="3"/>
      <c r="AG32" s="3"/>
      <c r="AH32" s="3"/>
      <c r="AT32" s="12"/>
      <c r="AU32" s="12"/>
      <c r="AV32" s="11"/>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row>
    <row r="33" spans="2:87" ht="24" customHeight="1" x14ac:dyDescent="0.2">
      <c r="B33" s="7">
        <f t="shared" si="4"/>
        <v>205</v>
      </c>
      <c r="C33" s="7" t="s">
        <v>124</v>
      </c>
      <c r="D33" s="7">
        <v>1</v>
      </c>
      <c r="E33" s="7">
        <v>1</v>
      </c>
      <c r="F33" s="7">
        <v>1</v>
      </c>
      <c r="G33" s="7">
        <v>2</v>
      </c>
      <c r="H33" s="7">
        <v>2</v>
      </c>
      <c r="I33" s="7" t="s">
        <v>131</v>
      </c>
      <c r="J33" s="9"/>
      <c r="K33" s="7" t="s">
        <v>2</v>
      </c>
      <c r="L33" s="6">
        <v>74</v>
      </c>
      <c r="M33" s="6"/>
      <c r="N33" s="6">
        <v>100</v>
      </c>
      <c r="O33" s="6"/>
      <c r="P33" s="6">
        <v>87</v>
      </c>
      <c r="Q33" s="6">
        <v>85</v>
      </c>
      <c r="R33" s="6"/>
      <c r="S33" s="6"/>
      <c r="T33" s="6"/>
      <c r="U33" s="6">
        <v>85</v>
      </c>
      <c r="V33" s="6"/>
      <c r="W33" s="6">
        <v>96</v>
      </c>
      <c r="X33" s="6"/>
      <c r="Y33" s="6">
        <v>89</v>
      </c>
      <c r="Z33" s="6"/>
      <c r="AA33" s="4">
        <f t="shared" si="0"/>
        <v>86</v>
      </c>
      <c r="AB33" s="4">
        <f t="shared" si="1"/>
        <v>88.333333333333329</v>
      </c>
      <c r="AC33" s="4">
        <f t="shared" si="2"/>
        <v>3.729760194853164</v>
      </c>
      <c r="AD33" s="3"/>
      <c r="AE33" s="3"/>
      <c r="AF33" s="3"/>
      <c r="AG33" s="3"/>
      <c r="AH33" s="3"/>
    </row>
    <row r="34" spans="2:87" ht="24" customHeight="1" thickBot="1" x14ac:dyDescent="0.25">
      <c r="B34" s="15">
        <f t="shared" si="4"/>
        <v>205</v>
      </c>
      <c r="C34" s="15" t="s">
        <v>124</v>
      </c>
      <c r="D34" s="15">
        <v>1</v>
      </c>
      <c r="E34" s="15">
        <v>1</v>
      </c>
      <c r="F34" s="15">
        <v>1</v>
      </c>
      <c r="G34" s="15">
        <v>2</v>
      </c>
      <c r="H34" s="15">
        <v>2</v>
      </c>
      <c r="I34" s="15" t="s">
        <v>131</v>
      </c>
      <c r="J34" s="16"/>
      <c r="K34" s="15" t="s">
        <v>0</v>
      </c>
      <c r="L34" s="14">
        <v>113</v>
      </c>
      <c r="M34" s="13"/>
      <c r="N34" s="14">
        <v>121</v>
      </c>
      <c r="O34" s="13"/>
      <c r="P34" s="14">
        <v>108</v>
      </c>
      <c r="Q34" s="14">
        <v>108</v>
      </c>
      <c r="R34" s="14"/>
      <c r="S34" s="14"/>
      <c r="T34" s="13"/>
      <c r="U34" s="14">
        <v>117</v>
      </c>
      <c r="V34" s="13"/>
      <c r="W34" s="14">
        <v>108</v>
      </c>
      <c r="X34" s="13"/>
      <c r="Y34" s="14">
        <v>106</v>
      </c>
      <c r="Z34" s="13"/>
      <c r="AA34" s="4">
        <f t="shared" si="0"/>
        <v>108</v>
      </c>
      <c r="AB34" s="4">
        <f t="shared" si="1"/>
        <v>112.16666666666667</v>
      </c>
      <c r="AC34" s="4">
        <f t="shared" si="2"/>
        <v>2.4140790744666543</v>
      </c>
      <c r="AD34" s="3"/>
      <c r="AE34" s="3"/>
      <c r="AF34" s="3"/>
      <c r="AG34" s="3"/>
      <c r="AH34" s="3"/>
      <c r="AT34" s="12"/>
      <c r="AU34" s="12"/>
      <c r="AV34" s="11"/>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row>
    <row r="35" spans="2:87" ht="24" customHeight="1" x14ac:dyDescent="0.2">
      <c r="B35" s="7">
        <f t="shared" si="4"/>
        <v>206</v>
      </c>
      <c r="C35" s="7" t="s">
        <v>132</v>
      </c>
      <c r="D35" s="7">
        <v>8</v>
      </c>
      <c r="E35" s="7">
        <v>2</v>
      </c>
      <c r="F35" s="7">
        <v>1</v>
      </c>
      <c r="G35" s="7">
        <v>1</v>
      </c>
      <c r="H35" s="7">
        <v>2</v>
      </c>
      <c r="I35" s="7" t="s">
        <v>133</v>
      </c>
      <c r="J35" s="9"/>
      <c r="K35" s="7" t="s">
        <v>2</v>
      </c>
      <c r="L35" s="6">
        <v>89</v>
      </c>
      <c r="M35" s="6"/>
      <c r="N35" s="6">
        <v>71</v>
      </c>
      <c r="O35" s="6"/>
      <c r="P35" s="6">
        <v>71</v>
      </c>
      <c r="Q35" s="6">
        <v>79</v>
      </c>
      <c r="R35" s="6"/>
      <c r="S35" s="6"/>
      <c r="T35" s="6"/>
      <c r="U35" s="6">
        <v>86</v>
      </c>
      <c r="V35" s="6"/>
      <c r="W35" s="6">
        <v>86</v>
      </c>
      <c r="X35" s="6"/>
      <c r="Y35" s="6">
        <v>97</v>
      </c>
      <c r="Z35" s="6"/>
      <c r="AA35" s="4">
        <f t="shared" si="0"/>
        <v>75</v>
      </c>
      <c r="AB35" s="4">
        <f t="shared" si="1"/>
        <v>84</v>
      </c>
      <c r="AC35" s="4">
        <f t="shared" si="2"/>
        <v>3.8815804341359037</v>
      </c>
      <c r="AD35" s="3"/>
      <c r="AE35" s="3"/>
      <c r="AF35" s="3"/>
      <c r="AG35" s="3"/>
      <c r="AH35" s="3"/>
    </row>
    <row r="36" spans="2:87" ht="24" customHeight="1" thickBot="1" x14ac:dyDescent="0.25">
      <c r="B36" s="15">
        <f t="shared" si="4"/>
        <v>206</v>
      </c>
      <c r="C36" s="15" t="s">
        <v>132</v>
      </c>
      <c r="D36" s="15">
        <v>8</v>
      </c>
      <c r="E36" s="15">
        <v>2</v>
      </c>
      <c r="F36" s="15">
        <v>1</v>
      </c>
      <c r="G36" s="15">
        <v>1</v>
      </c>
      <c r="H36" s="15">
        <v>2</v>
      </c>
      <c r="I36" s="15" t="s">
        <v>133</v>
      </c>
      <c r="J36" s="16"/>
      <c r="K36" s="15" t="s">
        <v>0</v>
      </c>
      <c r="L36" s="14">
        <v>112</v>
      </c>
      <c r="M36" s="13"/>
      <c r="N36" s="14">
        <v>105</v>
      </c>
      <c r="O36" s="13"/>
      <c r="P36" s="14">
        <v>104</v>
      </c>
      <c r="Q36" s="14">
        <v>96</v>
      </c>
      <c r="R36" s="14"/>
      <c r="S36" s="14"/>
      <c r="T36" s="13"/>
      <c r="U36" s="14">
        <v>112</v>
      </c>
      <c r="V36" s="13"/>
      <c r="W36" s="14">
        <v>124</v>
      </c>
      <c r="X36" s="13"/>
      <c r="Y36" s="14">
        <v>114</v>
      </c>
      <c r="Z36" s="13"/>
      <c r="AA36" s="4">
        <f t="shared" si="0"/>
        <v>100</v>
      </c>
      <c r="AB36" s="4">
        <f t="shared" si="1"/>
        <v>111.16666666666667</v>
      </c>
      <c r="AC36" s="4">
        <f t="shared" si="2"/>
        <v>3.35078763543406</v>
      </c>
      <c r="AD36" s="3"/>
      <c r="AE36" s="3"/>
      <c r="AF36" s="3"/>
      <c r="AG36" s="3"/>
      <c r="AH36" s="3"/>
      <c r="AT36" s="12"/>
      <c r="AU36" s="12"/>
      <c r="AV36" s="11"/>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row>
    <row r="37" spans="2:87" ht="24" customHeight="1" x14ac:dyDescent="0.2">
      <c r="B37" s="7">
        <f t="shared" si="4"/>
        <v>207</v>
      </c>
      <c r="C37" s="7" t="s">
        <v>122</v>
      </c>
      <c r="D37" s="7">
        <v>4</v>
      </c>
      <c r="E37" s="7">
        <v>1</v>
      </c>
      <c r="F37" s="7">
        <v>2</v>
      </c>
      <c r="G37" s="7">
        <v>1</v>
      </c>
      <c r="H37" s="7">
        <v>2</v>
      </c>
      <c r="I37" s="7" t="s">
        <v>134</v>
      </c>
      <c r="J37" s="9"/>
      <c r="K37" s="7" t="s">
        <v>2</v>
      </c>
      <c r="L37" s="6">
        <v>88</v>
      </c>
      <c r="M37" s="6"/>
      <c r="N37" s="6">
        <v>84</v>
      </c>
      <c r="O37" s="6"/>
      <c r="P37" s="6">
        <v>86</v>
      </c>
      <c r="Q37" s="6">
        <v>85</v>
      </c>
      <c r="R37" s="6"/>
      <c r="S37" s="6"/>
      <c r="T37" s="6"/>
      <c r="U37" s="6">
        <v>79</v>
      </c>
      <c r="V37" s="6"/>
      <c r="W37" s="6">
        <v>89</v>
      </c>
      <c r="X37" s="6"/>
      <c r="Y37" s="6">
        <v>80</v>
      </c>
      <c r="Z37" s="6"/>
      <c r="AA37" s="4">
        <f t="shared" si="0"/>
        <v>85.5</v>
      </c>
      <c r="AB37" s="4">
        <f t="shared" si="1"/>
        <v>84.25</v>
      </c>
      <c r="AC37" s="4">
        <f t="shared" si="2"/>
        <v>1.6720745597410822</v>
      </c>
      <c r="AD37" s="3"/>
      <c r="AE37" s="3"/>
      <c r="AF37" s="3"/>
      <c r="AG37" s="3"/>
      <c r="AH37" s="3"/>
    </row>
    <row r="38" spans="2:87" ht="24" customHeight="1" thickBot="1" x14ac:dyDescent="0.25">
      <c r="B38" s="15">
        <f t="shared" si="4"/>
        <v>207</v>
      </c>
      <c r="C38" s="15" t="s">
        <v>122</v>
      </c>
      <c r="D38" s="15">
        <v>4</v>
      </c>
      <c r="E38" s="15">
        <v>1</v>
      </c>
      <c r="F38" s="15">
        <v>2</v>
      </c>
      <c r="G38" s="15">
        <v>1</v>
      </c>
      <c r="H38" s="15">
        <v>2</v>
      </c>
      <c r="I38" s="15" t="s">
        <v>134</v>
      </c>
      <c r="J38" s="16"/>
      <c r="K38" s="15" t="s">
        <v>0</v>
      </c>
      <c r="L38" s="14">
        <v>104</v>
      </c>
      <c r="M38" s="13"/>
      <c r="N38" s="14">
        <v>129</v>
      </c>
      <c r="O38" s="13"/>
      <c r="P38" s="14">
        <v>114</v>
      </c>
      <c r="Q38" s="14">
        <v>99</v>
      </c>
      <c r="R38" s="14"/>
      <c r="S38" s="14"/>
      <c r="T38" s="13"/>
      <c r="U38" s="14">
        <v>97</v>
      </c>
      <c r="V38" s="13"/>
      <c r="W38" s="14">
        <v>116</v>
      </c>
      <c r="X38" s="13"/>
      <c r="Y38" s="14">
        <v>108</v>
      </c>
      <c r="Z38" s="13"/>
      <c r="AA38" s="4">
        <f t="shared" si="0"/>
        <v>106.5</v>
      </c>
      <c r="AB38" s="4">
        <f t="shared" si="1"/>
        <v>110.08333333333333</v>
      </c>
      <c r="AC38" s="4">
        <f t="shared" si="2"/>
        <v>4.5394872446614984</v>
      </c>
      <c r="AD38" s="3"/>
      <c r="AE38" s="3"/>
      <c r="AF38" s="3"/>
      <c r="AG38" s="3"/>
      <c r="AH38" s="3"/>
      <c r="AT38" s="12"/>
      <c r="AU38" s="12"/>
      <c r="AV38" s="11"/>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row>
    <row r="39" spans="2:87" ht="24" customHeight="1" x14ac:dyDescent="0.2">
      <c r="B39" s="7">
        <f t="shared" si="4"/>
        <v>208</v>
      </c>
      <c r="C39" s="7" t="s">
        <v>135</v>
      </c>
      <c r="D39" s="7">
        <v>2</v>
      </c>
      <c r="E39" s="7">
        <v>1</v>
      </c>
      <c r="F39" s="7">
        <v>1</v>
      </c>
      <c r="G39" s="7">
        <v>1</v>
      </c>
      <c r="H39" s="7">
        <v>2</v>
      </c>
      <c r="I39" s="7" t="s">
        <v>136</v>
      </c>
      <c r="J39" s="9"/>
      <c r="K39" s="7" t="s">
        <v>2</v>
      </c>
      <c r="L39" s="6">
        <v>88</v>
      </c>
      <c r="M39" s="5"/>
      <c r="N39" s="6">
        <v>87</v>
      </c>
      <c r="O39" s="5"/>
      <c r="P39" s="6">
        <v>77</v>
      </c>
      <c r="Q39" s="6">
        <v>73</v>
      </c>
      <c r="R39" s="6"/>
      <c r="S39" s="6"/>
      <c r="T39" s="5"/>
      <c r="U39" s="6">
        <v>79</v>
      </c>
      <c r="V39" s="5"/>
      <c r="W39" s="6">
        <v>91</v>
      </c>
      <c r="X39" s="5"/>
      <c r="Y39" s="6">
        <v>97</v>
      </c>
      <c r="Z39" s="5"/>
      <c r="AA39" s="4">
        <f t="shared" si="0"/>
        <v>75</v>
      </c>
      <c r="AB39" s="4">
        <f t="shared" si="1"/>
        <v>86.166666666666671</v>
      </c>
      <c r="AC39" s="4">
        <f t="shared" si="2"/>
        <v>3.2702361450580972</v>
      </c>
      <c r="AD39" s="3"/>
      <c r="AE39" s="3"/>
      <c r="AF39" s="3"/>
      <c r="AG39" s="3"/>
      <c r="AH39" s="3"/>
    </row>
    <row r="40" spans="2:87" ht="24" customHeight="1" thickBot="1" x14ac:dyDescent="0.25">
      <c r="B40" s="15">
        <f t="shared" si="4"/>
        <v>208</v>
      </c>
      <c r="C40" s="15" t="s">
        <v>135</v>
      </c>
      <c r="D40" s="15">
        <v>2</v>
      </c>
      <c r="E40" s="15">
        <v>1</v>
      </c>
      <c r="F40" s="15">
        <v>1</v>
      </c>
      <c r="G40" s="15">
        <v>1</v>
      </c>
      <c r="H40" s="15">
        <v>2</v>
      </c>
      <c r="I40" s="15" t="s">
        <v>136</v>
      </c>
      <c r="J40" s="16"/>
      <c r="K40" s="15" t="s">
        <v>0</v>
      </c>
      <c r="L40" s="14">
        <v>108</v>
      </c>
      <c r="M40" s="13"/>
      <c r="N40" s="14">
        <v>101</v>
      </c>
      <c r="O40" s="13"/>
      <c r="P40" s="14">
        <v>105</v>
      </c>
      <c r="Q40" s="14">
        <v>97</v>
      </c>
      <c r="R40" s="14"/>
      <c r="S40" s="14"/>
      <c r="T40" s="13"/>
      <c r="U40" s="14">
        <v>101</v>
      </c>
      <c r="V40" s="13"/>
      <c r="W40" s="14">
        <v>126</v>
      </c>
      <c r="X40" s="13"/>
      <c r="Y40" s="14">
        <v>93</v>
      </c>
      <c r="Z40" s="13"/>
      <c r="AA40" s="4">
        <f t="shared" si="0"/>
        <v>101</v>
      </c>
      <c r="AB40" s="4">
        <f t="shared" si="1"/>
        <v>105</v>
      </c>
      <c r="AC40" s="4">
        <f t="shared" si="2"/>
        <v>4.6260134024881516</v>
      </c>
      <c r="AD40" s="3"/>
      <c r="AE40" s="3"/>
      <c r="AF40" s="3"/>
      <c r="AG40" s="3"/>
      <c r="AH40" s="3"/>
      <c r="AT40" s="12"/>
      <c r="AU40" s="12"/>
      <c r="AV40" s="11"/>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row>
    <row r="41" spans="2:87" ht="24" customHeight="1" x14ac:dyDescent="0.2">
      <c r="B41" s="7">
        <f>B39+700</f>
        <v>908</v>
      </c>
      <c r="C41" s="7" t="s">
        <v>137</v>
      </c>
      <c r="D41" s="7">
        <v>21</v>
      </c>
      <c r="E41" s="7">
        <v>3</v>
      </c>
      <c r="F41" s="7">
        <v>2</v>
      </c>
      <c r="G41" s="7">
        <v>2</v>
      </c>
      <c r="H41" s="7">
        <v>2</v>
      </c>
      <c r="I41" s="7" t="s">
        <v>138</v>
      </c>
      <c r="J41" s="7"/>
      <c r="K41" s="7" t="s">
        <v>2</v>
      </c>
      <c r="L41" s="6">
        <v>77</v>
      </c>
      <c r="M41" s="5"/>
      <c r="N41" s="6">
        <v>65</v>
      </c>
      <c r="O41" s="5"/>
      <c r="P41" s="6">
        <v>72</v>
      </c>
      <c r="Q41" s="6">
        <v>64</v>
      </c>
      <c r="R41" s="6"/>
      <c r="S41" s="6"/>
      <c r="T41" s="5"/>
      <c r="U41" s="6">
        <v>58</v>
      </c>
      <c r="V41" s="5"/>
      <c r="W41" s="6">
        <v>72</v>
      </c>
      <c r="X41" s="5"/>
      <c r="Y41" s="6">
        <v>67</v>
      </c>
      <c r="Z41" s="5"/>
      <c r="AA41" s="4">
        <f t="shared" ref="AA41:AA72" si="5">AVERAGE(P41:T41)</f>
        <v>68</v>
      </c>
      <c r="AB41" s="4">
        <f t="shared" ref="AB41:AB72" si="6">AVERAGE(AVERAGE(L41:M41),AVERAGE(N41:O41),AVERAGE(P41:T41),AVERAGE(U41:V41),AVERAGE(W41:X41),AVERAGE(Y41:Z41))</f>
        <v>67.833333333333329</v>
      </c>
      <c r="AC41" s="4">
        <f t="shared" ref="AC41:AC72" si="7">STDEV(AVERAGE(L41:M41),AVERAGE(N41:O41),AVERAGE(P41:T41),AVERAGE(U41:V41),AVERAGE(W41:X41),AVERAGE(Y41:Z41))/SQRT(6)</f>
        <v>2.6257274124410643</v>
      </c>
      <c r="AD41" s="3"/>
      <c r="AE41" s="3"/>
      <c r="AF41" s="3"/>
      <c r="AG41" s="3"/>
      <c r="AH41" s="3"/>
    </row>
    <row r="42" spans="2:87" ht="24" customHeight="1" thickBot="1" x14ac:dyDescent="0.25">
      <c r="B42" s="15">
        <f>B40+700</f>
        <v>908</v>
      </c>
      <c r="C42" s="15" t="s">
        <v>137</v>
      </c>
      <c r="D42" s="15">
        <v>21</v>
      </c>
      <c r="E42" s="15">
        <v>3</v>
      </c>
      <c r="F42" s="15">
        <v>2</v>
      </c>
      <c r="G42" s="15">
        <v>2</v>
      </c>
      <c r="H42" s="15">
        <v>2</v>
      </c>
      <c r="I42" s="15" t="s">
        <v>138</v>
      </c>
      <c r="J42" s="16"/>
      <c r="K42" s="15" t="s">
        <v>0</v>
      </c>
      <c r="L42" s="14">
        <v>66</v>
      </c>
      <c r="M42" s="13"/>
      <c r="N42" s="14">
        <v>68</v>
      </c>
      <c r="O42" s="13"/>
      <c r="P42" s="14">
        <v>72</v>
      </c>
      <c r="Q42" s="14">
        <v>60</v>
      </c>
      <c r="R42" s="14"/>
      <c r="S42" s="14"/>
      <c r="T42" s="13"/>
      <c r="U42" s="14">
        <v>64</v>
      </c>
      <c r="V42" s="13"/>
      <c r="W42" s="14">
        <v>52</v>
      </c>
      <c r="X42" s="13"/>
      <c r="Y42" s="14">
        <v>66</v>
      </c>
      <c r="Z42" s="13"/>
      <c r="AA42" s="4">
        <f t="shared" si="5"/>
        <v>66</v>
      </c>
      <c r="AB42" s="4">
        <f t="shared" si="6"/>
        <v>63.666666666666664</v>
      </c>
      <c r="AC42" s="4">
        <f t="shared" si="7"/>
        <v>2.3897931105246562</v>
      </c>
      <c r="AD42" s="3"/>
      <c r="AE42" s="3"/>
      <c r="AF42" s="3"/>
      <c r="AG42" s="3"/>
      <c r="AH42" s="3"/>
      <c r="AT42" s="12"/>
      <c r="AU42" s="12"/>
      <c r="AV42" s="11"/>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row>
    <row r="43" spans="2:87" ht="24" customHeight="1" x14ac:dyDescent="0.2">
      <c r="B43" s="7">
        <v>906</v>
      </c>
      <c r="C43" s="7" t="s">
        <v>139</v>
      </c>
      <c r="D43" s="7">
        <v>22</v>
      </c>
      <c r="E43" s="7">
        <v>4</v>
      </c>
      <c r="F43" s="7">
        <v>2</v>
      </c>
      <c r="G43" s="7">
        <v>2</v>
      </c>
      <c r="H43" s="7">
        <v>2</v>
      </c>
      <c r="I43" s="7" t="s">
        <v>140</v>
      </c>
      <c r="J43" s="9"/>
      <c r="K43" s="7" t="s">
        <v>2</v>
      </c>
      <c r="L43" s="6">
        <v>74</v>
      </c>
      <c r="M43" s="6"/>
      <c r="N43" s="6">
        <v>77</v>
      </c>
      <c r="O43" s="6"/>
      <c r="P43" s="6">
        <v>80</v>
      </c>
      <c r="Q43" s="6">
        <v>82</v>
      </c>
      <c r="R43" s="6"/>
      <c r="S43" s="6"/>
      <c r="T43" s="6"/>
      <c r="U43" s="6">
        <v>91</v>
      </c>
      <c r="V43" s="6"/>
      <c r="W43" s="6">
        <v>73</v>
      </c>
      <c r="X43" s="6"/>
      <c r="Y43" s="6">
        <v>84</v>
      </c>
      <c r="Z43" s="6"/>
      <c r="AA43" s="4">
        <f t="shared" si="5"/>
        <v>81</v>
      </c>
      <c r="AB43" s="4">
        <f t="shared" si="6"/>
        <v>80</v>
      </c>
      <c r="AC43" s="4">
        <f t="shared" si="7"/>
        <v>2.780887148615228</v>
      </c>
      <c r="AD43" s="3"/>
      <c r="AE43" s="3"/>
      <c r="AF43" s="3"/>
      <c r="AG43" s="3"/>
      <c r="AH43" s="3"/>
    </row>
    <row r="44" spans="2:87" ht="24" customHeight="1" thickBot="1" x14ac:dyDescent="0.25">
      <c r="B44" s="15">
        <v>906</v>
      </c>
      <c r="C44" s="15" t="s">
        <v>139</v>
      </c>
      <c r="D44" s="15">
        <v>22</v>
      </c>
      <c r="E44" s="15">
        <v>4</v>
      </c>
      <c r="F44" s="15">
        <v>2</v>
      </c>
      <c r="G44" s="15">
        <v>2</v>
      </c>
      <c r="H44" s="15">
        <v>2</v>
      </c>
      <c r="I44" s="15" t="s">
        <v>140</v>
      </c>
      <c r="J44" s="16"/>
      <c r="K44" s="15" t="s">
        <v>0</v>
      </c>
      <c r="L44" s="14">
        <v>83</v>
      </c>
      <c r="M44" s="13"/>
      <c r="N44" s="14">
        <v>89</v>
      </c>
      <c r="O44" s="13"/>
      <c r="P44" s="14">
        <v>91</v>
      </c>
      <c r="Q44" s="14">
        <v>82</v>
      </c>
      <c r="R44" s="14"/>
      <c r="S44" s="14"/>
      <c r="T44" s="13"/>
      <c r="U44" s="14">
        <v>76</v>
      </c>
      <c r="V44" s="13"/>
      <c r="W44" s="14">
        <v>72</v>
      </c>
      <c r="X44" s="13"/>
      <c r="Y44" s="14">
        <v>93</v>
      </c>
      <c r="Z44" s="13"/>
      <c r="AA44" s="4">
        <f t="shared" si="5"/>
        <v>86.5</v>
      </c>
      <c r="AB44" s="4">
        <f t="shared" si="6"/>
        <v>83.25</v>
      </c>
      <c r="AC44" s="4">
        <f t="shared" si="7"/>
        <v>3.2551241655785321</v>
      </c>
      <c r="AD44" s="3"/>
      <c r="AE44" s="3"/>
      <c r="AF44" s="3"/>
      <c r="AG44" s="3"/>
      <c r="AH44" s="3"/>
      <c r="AT44" s="12"/>
      <c r="AU44" s="12"/>
      <c r="AV44" s="11"/>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2:87" ht="24" customHeight="1" x14ac:dyDescent="0.2">
      <c r="B45" s="7">
        <v>904</v>
      </c>
      <c r="C45" s="7" t="s">
        <v>137</v>
      </c>
      <c r="D45" s="7">
        <v>21</v>
      </c>
      <c r="E45" s="7">
        <v>3</v>
      </c>
      <c r="F45" s="7">
        <v>2</v>
      </c>
      <c r="G45" s="7">
        <v>2</v>
      </c>
      <c r="H45" s="7">
        <v>1</v>
      </c>
      <c r="I45" s="7" t="s">
        <v>141</v>
      </c>
      <c r="J45" s="9"/>
      <c r="K45" s="7" t="s">
        <v>2</v>
      </c>
      <c r="L45" s="6">
        <v>63</v>
      </c>
      <c r="M45" s="6"/>
      <c r="N45" s="6">
        <v>61</v>
      </c>
      <c r="O45" s="6"/>
      <c r="P45" s="6">
        <v>51</v>
      </c>
      <c r="Q45" s="6">
        <v>53</v>
      </c>
      <c r="R45" s="6"/>
      <c r="S45" s="6"/>
      <c r="T45" s="6"/>
      <c r="U45" s="6">
        <v>63</v>
      </c>
      <c r="V45" s="6"/>
      <c r="W45" s="6">
        <v>68</v>
      </c>
      <c r="X45" s="6"/>
      <c r="Y45" s="6">
        <v>58</v>
      </c>
      <c r="Z45" s="6"/>
      <c r="AA45" s="4">
        <f t="shared" si="5"/>
        <v>52</v>
      </c>
      <c r="AB45" s="4">
        <f t="shared" si="6"/>
        <v>60.833333333333336</v>
      </c>
      <c r="AC45" s="4">
        <f t="shared" si="7"/>
        <v>2.2123391341393495</v>
      </c>
      <c r="AD45" s="3"/>
      <c r="AE45" s="3"/>
      <c r="AF45" s="3"/>
      <c r="AG45" s="3"/>
      <c r="AH45" s="3"/>
    </row>
    <row r="46" spans="2:87" ht="24" customHeight="1" thickBot="1" x14ac:dyDescent="0.25">
      <c r="B46" s="15">
        <v>904</v>
      </c>
      <c r="C46" s="15" t="s">
        <v>137</v>
      </c>
      <c r="D46" s="15">
        <v>21</v>
      </c>
      <c r="E46" s="15">
        <v>3</v>
      </c>
      <c r="F46" s="15">
        <v>2</v>
      </c>
      <c r="G46" s="15">
        <v>2</v>
      </c>
      <c r="H46" s="15">
        <v>1</v>
      </c>
      <c r="I46" s="15" t="s">
        <v>141</v>
      </c>
      <c r="J46" s="16"/>
      <c r="K46" s="15" t="s">
        <v>0</v>
      </c>
      <c r="L46" s="14">
        <v>64</v>
      </c>
      <c r="M46" s="13"/>
      <c r="N46" s="14">
        <v>70</v>
      </c>
      <c r="O46" s="13"/>
      <c r="P46" s="14">
        <v>66</v>
      </c>
      <c r="Q46" s="14">
        <v>66</v>
      </c>
      <c r="R46" s="14"/>
      <c r="S46" s="14"/>
      <c r="T46" s="13"/>
      <c r="U46" s="14">
        <v>65</v>
      </c>
      <c r="V46" s="13"/>
      <c r="W46" s="14">
        <v>76</v>
      </c>
      <c r="X46" s="13"/>
      <c r="Y46" s="14">
        <v>56</v>
      </c>
      <c r="Z46" s="13"/>
      <c r="AA46" s="4">
        <f t="shared" si="5"/>
        <v>66</v>
      </c>
      <c r="AB46" s="4">
        <f t="shared" si="6"/>
        <v>66.166666666666671</v>
      </c>
      <c r="AC46" s="4">
        <f t="shared" si="7"/>
        <v>2.7131367660166181</v>
      </c>
      <c r="AD46" s="3"/>
      <c r="AE46" s="3"/>
      <c r="AF46" s="3"/>
      <c r="AG46" s="3"/>
      <c r="AH46" s="3"/>
      <c r="AT46" s="12"/>
      <c r="AU46" s="12"/>
      <c r="AV46" s="11"/>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row>
    <row r="47" spans="2:87" ht="24" customHeight="1" x14ac:dyDescent="0.2">
      <c r="B47" s="7">
        <v>902</v>
      </c>
      <c r="C47" s="7" t="s">
        <v>139</v>
      </c>
      <c r="D47" s="7">
        <v>22</v>
      </c>
      <c r="E47" s="7">
        <v>4</v>
      </c>
      <c r="F47" s="7">
        <v>2</v>
      </c>
      <c r="G47" s="7">
        <v>2</v>
      </c>
      <c r="H47" s="7">
        <v>1</v>
      </c>
      <c r="I47" s="7" t="s">
        <v>142</v>
      </c>
      <c r="J47" s="9"/>
      <c r="K47" s="7" t="s">
        <v>2</v>
      </c>
      <c r="L47" s="6">
        <v>66</v>
      </c>
      <c r="M47" s="6"/>
      <c r="N47" s="6">
        <v>73</v>
      </c>
      <c r="O47" s="6"/>
      <c r="P47" s="6">
        <v>71</v>
      </c>
      <c r="Q47" s="6">
        <v>63</v>
      </c>
      <c r="R47" s="6"/>
      <c r="S47" s="6"/>
      <c r="T47" s="6"/>
      <c r="U47" s="6">
        <v>79</v>
      </c>
      <c r="V47" s="6"/>
      <c r="W47" s="6">
        <v>55</v>
      </c>
      <c r="X47" s="6"/>
      <c r="Y47" s="6">
        <v>72</v>
      </c>
      <c r="Z47" s="6"/>
      <c r="AA47" s="4">
        <f t="shared" si="5"/>
        <v>67</v>
      </c>
      <c r="AB47" s="4">
        <f t="shared" si="6"/>
        <v>68.666666666666671</v>
      </c>
      <c r="AC47" s="4">
        <f t="shared" si="7"/>
        <v>3.3333333333333282</v>
      </c>
      <c r="AD47" s="3"/>
      <c r="AE47" s="3"/>
      <c r="AF47" s="3"/>
      <c r="AG47" s="3"/>
      <c r="AH47" s="3"/>
    </row>
    <row r="48" spans="2:87" ht="24" customHeight="1" thickBot="1" x14ac:dyDescent="0.25">
      <c r="B48" s="15">
        <v>902</v>
      </c>
      <c r="C48" s="15" t="s">
        <v>139</v>
      </c>
      <c r="D48" s="15">
        <v>22</v>
      </c>
      <c r="E48" s="15">
        <v>4</v>
      </c>
      <c r="F48" s="15">
        <v>2</v>
      </c>
      <c r="G48" s="15">
        <v>2</v>
      </c>
      <c r="H48" s="15">
        <v>1</v>
      </c>
      <c r="I48" s="15" t="s">
        <v>142</v>
      </c>
      <c r="J48" s="16"/>
      <c r="K48" s="15" t="s">
        <v>0</v>
      </c>
      <c r="L48" s="14">
        <v>84</v>
      </c>
      <c r="M48" s="13"/>
      <c r="N48" s="14">
        <v>82</v>
      </c>
      <c r="O48" s="13"/>
      <c r="P48" s="14">
        <v>78</v>
      </c>
      <c r="Q48" s="14">
        <v>72</v>
      </c>
      <c r="R48" s="14"/>
      <c r="S48" s="14"/>
      <c r="T48" s="13"/>
      <c r="U48" s="14">
        <v>80</v>
      </c>
      <c r="V48" s="13"/>
      <c r="W48" s="14">
        <v>73</v>
      </c>
      <c r="X48" s="13"/>
      <c r="Y48" s="14">
        <v>89</v>
      </c>
      <c r="Z48" s="13"/>
      <c r="AA48" s="4">
        <f t="shared" si="5"/>
        <v>75</v>
      </c>
      <c r="AB48" s="4">
        <f t="shared" si="6"/>
        <v>80.5</v>
      </c>
      <c r="AC48" s="4">
        <f t="shared" si="7"/>
        <v>2.4048561980570344</v>
      </c>
      <c r="AD48" s="3"/>
      <c r="AE48" s="3"/>
      <c r="AF48" s="3"/>
      <c r="AG48" s="3"/>
      <c r="AH48" s="3"/>
      <c r="AT48" s="12"/>
      <c r="AU48" s="12"/>
      <c r="AV48" s="11"/>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row>
    <row r="49" spans="2:87" ht="24" customHeight="1" x14ac:dyDescent="0.2">
      <c r="B49" s="7">
        <f>B47-601</f>
        <v>301</v>
      </c>
      <c r="C49" s="7" t="s">
        <v>113</v>
      </c>
      <c r="D49" s="7">
        <v>10</v>
      </c>
      <c r="E49" s="7">
        <v>2</v>
      </c>
      <c r="F49" s="7">
        <v>2</v>
      </c>
      <c r="G49" s="7">
        <v>1</v>
      </c>
      <c r="H49" s="7">
        <v>3</v>
      </c>
      <c r="I49" s="7" t="s">
        <v>143</v>
      </c>
      <c r="J49" s="7"/>
      <c r="K49" s="7" t="s">
        <v>2</v>
      </c>
      <c r="L49" s="6">
        <v>90</v>
      </c>
      <c r="M49" s="6"/>
      <c r="N49" s="6">
        <v>94</v>
      </c>
      <c r="O49" s="6"/>
      <c r="P49" s="6">
        <v>88</v>
      </c>
      <c r="Q49" s="6">
        <v>87</v>
      </c>
      <c r="R49" s="6"/>
      <c r="S49" s="6"/>
      <c r="T49" s="6"/>
      <c r="U49" s="6">
        <v>81</v>
      </c>
      <c r="V49" s="6"/>
      <c r="W49" s="6">
        <v>78</v>
      </c>
      <c r="X49" s="6"/>
      <c r="Y49" s="6">
        <v>85</v>
      </c>
      <c r="Z49" s="6"/>
      <c r="AA49" s="4">
        <f t="shared" si="5"/>
        <v>87.5</v>
      </c>
      <c r="AB49" s="4">
        <f t="shared" si="6"/>
        <v>85.916666666666671</v>
      </c>
      <c r="AC49" s="4">
        <f t="shared" si="7"/>
        <v>2.3958876805430132</v>
      </c>
      <c r="AT49" s="12">
        <v>2</v>
      </c>
      <c r="AU49" s="12" t="s">
        <v>3</v>
      </c>
      <c r="AV49" s="12">
        <v>150</v>
      </c>
    </row>
    <row r="50" spans="2:87" ht="24" customHeight="1" thickBot="1" x14ac:dyDescent="0.25">
      <c r="B50" s="15">
        <f>B48-601</f>
        <v>301</v>
      </c>
      <c r="C50" s="15" t="s">
        <v>113</v>
      </c>
      <c r="D50" s="15">
        <v>10</v>
      </c>
      <c r="E50" s="15">
        <v>2</v>
      </c>
      <c r="F50" s="15">
        <v>2</v>
      </c>
      <c r="G50" s="15">
        <v>1</v>
      </c>
      <c r="H50" s="15">
        <v>3</v>
      </c>
      <c r="I50" s="15" t="s">
        <v>143</v>
      </c>
      <c r="J50" s="16"/>
      <c r="K50" s="15" t="s">
        <v>0</v>
      </c>
      <c r="L50" s="14">
        <v>89</v>
      </c>
      <c r="M50" s="13"/>
      <c r="N50" s="14">
        <v>105</v>
      </c>
      <c r="O50" s="13"/>
      <c r="P50" s="14">
        <v>104</v>
      </c>
      <c r="Q50" s="14">
        <v>98</v>
      </c>
      <c r="R50" s="14"/>
      <c r="S50" s="14"/>
      <c r="T50" s="13"/>
      <c r="U50" s="14">
        <v>97</v>
      </c>
      <c r="V50" s="13"/>
      <c r="W50" s="14">
        <v>94</v>
      </c>
      <c r="X50" s="13"/>
      <c r="Y50" s="14">
        <v>98</v>
      </c>
      <c r="Z50" s="13"/>
      <c r="AA50" s="4">
        <f t="shared" si="5"/>
        <v>101</v>
      </c>
      <c r="AB50" s="4">
        <f t="shared" si="6"/>
        <v>97.333333333333329</v>
      </c>
      <c r="AC50" s="4">
        <f t="shared" si="7"/>
        <v>2.2607766610417568</v>
      </c>
      <c r="AD50" s="3"/>
      <c r="AE50" s="3"/>
      <c r="AF50" s="3"/>
      <c r="AG50" s="3"/>
      <c r="AH50" s="3"/>
      <c r="AT50" s="12"/>
      <c r="AU50" s="12"/>
      <c r="AV50" s="11"/>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row>
    <row r="51" spans="2:87" ht="24" customHeight="1" x14ac:dyDescent="0.2">
      <c r="B51" s="7">
        <f t="shared" ref="B51:B64" si="8">B49+1</f>
        <v>302</v>
      </c>
      <c r="C51" s="7" t="s">
        <v>122</v>
      </c>
      <c r="D51" s="7">
        <v>4</v>
      </c>
      <c r="E51" s="7">
        <v>1</v>
      </c>
      <c r="F51" s="7">
        <v>2</v>
      </c>
      <c r="G51" s="7">
        <v>1</v>
      </c>
      <c r="H51" s="7">
        <v>3</v>
      </c>
      <c r="I51" s="7" t="s">
        <v>144</v>
      </c>
      <c r="J51" s="9"/>
      <c r="K51" s="7" t="s">
        <v>2</v>
      </c>
      <c r="L51" s="6">
        <v>73</v>
      </c>
      <c r="M51" s="6"/>
      <c r="N51" s="6">
        <v>73</v>
      </c>
      <c r="O51" s="6"/>
      <c r="P51" s="6">
        <v>83</v>
      </c>
      <c r="Q51" s="6">
        <v>76</v>
      </c>
      <c r="R51" s="6"/>
      <c r="S51" s="6"/>
      <c r="T51" s="6"/>
      <c r="U51" s="6">
        <v>64</v>
      </c>
      <c r="V51" s="6"/>
      <c r="W51" s="6">
        <v>69</v>
      </c>
      <c r="X51" s="6"/>
      <c r="Y51" s="6">
        <v>76</v>
      </c>
      <c r="Z51" s="6"/>
      <c r="AA51" s="4">
        <f t="shared" si="5"/>
        <v>79.5</v>
      </c>
      <c r="AB51" s="4">
        <f t="shared" si="6"/>
        <v>72.416666666666671</v>
      </c>
      <c r="AC51" s="4">
        <f t="shared" si="7"/>
        <v>2.2076256727785877</v>
      </c>
      <c r="AD51" s="3"/>
      <c r="AE51" s="3"/>
      <c r="AF51" s="3"/>
      <c r="AG51" s="3"/>
      <c r="AH51" s="3"/>
    </row>
    <row r="52" spans="2:87" ht="24" customHeight="1" thickBot="1" x14ac:dyDescent="0.25">
      <c r="B52" s="15">
        <f t="shared" si="8"/>
        <v>302</v>
      </c>
      <c r="C52" s="15" t="s">
        <v>122</v>
      </c>
      <c r="D52" s="15">
        <v>4</v>
      </c>
      <c r="E52" s="15">
        <v>1</v>
      </c>
      <c r="F52" s="15">
        <v>2</v>
      </c>
      <c r="G52" s="15">
        <v>1</v>
      </c>
      <c r="H52" s="15">
        <v>3</v>
      </c>
      <c r="I52" s="15" t="s">
        <v>144</v>
      </c>
      <c r="J52" s="16"/>
      <c r="K52" s="15" t="s">
        <v>0</v>
      </c>
      <c r="L52" s="14">
        <v>97</v>
      </c>
      <c r="M52" s="13"/>
      <c r="N52" s="14">
        <v>113</v>
      </c>
      <c r="O52" s="13"/>
      <c r="P52" s="14">
        <v>90</v>
      </c>
      <c r="Q52" s="14">
        <v>96</v>
      </c>
      <c r="R52" s="14"/>
      <c r="S52" s="14"/>
      <c r="T52" s="13"/>
      <c r="U52" s="14">
        <v>113</v>
      </c>
      <c r="V52" s="13"/>
      <c r="W52" s="14">
        <v>107</v>
      </c>
      <c r="X52" s="13"/>
      <c r="Y52" s="14">
        <v>107</v>
      </c>
      <c r="Z52" s="13"/>
      <c r="AA52" s="4">
        <f t="shared" si="5"/>
        <v>93</v>
      </c>
      <c r="AB52" s="4">
        <f t="shared" si="6"/>
        <v>105</v>
      </c>
      <c r="AC52" s="4">
        <f t="shared" si="7"/>
        <v>3.3862466931200785</v>
      </c>
      <c r="AD52" s="3"/>
      <c r="AE52" s="3"/>
      <c r="AF52" s="3"/>
      <c r="AG52" s="3"/>
      <c r="AH52" s="3"/>
      <c r="AT52" s="12"/>
      <c r="AU52" s="12"/>
      <c r="AV52" s="11"/>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row>
    <row r="53" spans="2:87" ht="24" customHeight="1" x14ac:dyDescent="0.2">
      <c r="B53" s="7">
        <f t="shared" si="8"/>
        <v>303</v>
      </c>
      <c r="C53" s="7" t="s">
        <v>132</v>
      </c>
      <c r="D53" s="7">
        <v>8</v>
      </c>
      <c r="E53" s="7">
        <v>2</v>
      </c>
      <c r="F53" s="7">
        <v>1</v>
      </c>
      <c r="G53" s="7">
        <v>1</v>
      </c>
      <c r="H53" s="7">
        <v>3</v>
      </c>
      <c r="I53" s="7" t="s">
        <v>145</v>
      </c>
      <c r="J53" s="9"/>
      <c r="K53" s="7" t="s">
        <v>2</v>
      </c>
      <c r="L53" s="6">
        <v>77</v>
      </c>
      <c r="M53" s="6"/>
      <c r="N53" s="6">
        <v>73</v>
      </c>
      <c r="O53" s="6"/>
      <c r="P53" s="6">
        <v>86</v>
      </c>
      <c r="Q53" s="6">
        <v>81</v>
      </c>
      <c r="R53" s="6"/>
      <c r="S53" s="6"/>
      <c r="T53" s="6"/>
      <c r="U53" s="6">
        <v>80</v>
      </c>
      <c r="V53" s="6"/>
      <c r="W53" s="6">
        <v>83</v>
      </c>
      <c r="X53" s="6"/>
      <c r="Y53" s="6">
        <v>84</v>
      </c>
      <c r="Z53" s="6"/>
      <c r="AA53" s="4">
        <f t="shared" si="5"/>
        <v>83.5</v>
      </c>
      <c r="AB53" s="4">
        <f t="shared" si="6"/>
        <v>80.083333333333329</v>
      </c>
      <c r="AC53" s="4">
        <f t="shared" si="7"/>
        <v>1.7814631938693293</v>
      </c>
      <c r="AD53" s="3"/>
      <c r="AE53" s="3"/>
      <c r="AF53" s="3"/>
      <c r="AG53" s="3"/>
      <c r="AH53" s="3"/>
    </row>
    <row r="54" spans="2:87" ht="24" customHeight="1" thickBot="1" x14ac:dyDescent="0.25">
      <c r="B54" s="15">
        <f t="shared" si="8"/>
        <v>303</v>
      </c>
      <c r="C54" s="15" t="s">
        <v>132</v>
      </c>
      <c r="D54" s="15">
        <v>8</v>
      </c>
      <c r="E54" s="15">
        <v>2</v>
      </c>
      <c r="F54" s="15">
        <v>1</v>
      </c>
      <c r="G54" s="15">
        <v>1</v>
      </c>
      <c r="H54" s="15">
        <v>3</v>
      </c>
      <c r="I54" s="15" t="s">
        <v>145</v>
      </c>
      <c r="J54" s="16"/>
      <c r="K54" s="15" t="s">
        <v>0</v>
      </c>
      <c r="L54" s="14">
        <v>96</v>
      </c>
      <c r="M54" s="13"/>
      <c r="N54" s="14">
        <v>103</v>
      </c>
      <c r="O54" s="13"/>
      <c r="P54" s="14">
        <v>97</v>
      </c>
      <c r="Q54" s="14">
        <v>104</v>
      </c>
      <c r="R54" s="14"/>
      <c r="S54" s="14"/>
      <c r="T54" s="13"/>
      <c r="U54" s="14">
        <v>82</v>
      </c>
      <c r="V54" s="13"/>
      <c r="W54" s="14">
        <v>105</v>
      </c>
      <c r="X54" s="13"/>
      <c r="Y54" s="14">
        <v>108</v>
      </c>
      <c r="Z54" s="13"/>
      <c r="AA54" s="4">
        <f t="shared" si="5"/>
        <v>100.5</v>
      </c>
      <c r="AB54" s="4">
        <f t="shared" si="6"/>
        <v>99.083333333333329</v>
      </c>
      <c r="AC54" s="4">
        <f t="shared" si="7"/>
        <v>3.8000365495318307</v>
      </c>
      <c r="AD54" s="3"/>
      <c r="AE54" s="3"/>
      <c r="AF54" s="3"/>
      <c r="AG54" s="3"/>
      <c r="AH54" s="3"/>
      <c r="AT54" s="12"/>
      <c r="AU54" s="12"/>
      <c r="AV54" s="11"/>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row>
    <row r="55" spans="2:87" ht="24" customHeight="1" x14ac:dyDescent="0.2">
      <c r="B55" s="7">
        <f t="shared" si="8"/>
        <v>304</v>
      </c>
      <c r="C55" s="7" t="s">
        <v>135</v>
      </c>
      <c r="D55" s="7">
        <v>2</v>
      </c>
      <c r="E55" s="7">
        <v>1</v>
      </c>
      <c r="F55" s="7">
        <v>1</v>
      </c>
      <c r="G55" s="7">
        <v>1</v>
      </c>
      <c r="H55" s="7">
        <v>3</v>
      </c>
      <c r="I55" s="7" t="s">
        <v>146</v>
      </c>
      <c r="J55" s="9"/>
      <c r="K55" s="7" t="s">
        <v>2</v>
      </c>
      <c r="L55" s="6">
        <v>87</v>
      </c>
      <c r="M55" s="6"/>
      <c r="N55" s="6">
        <v>77</v>
      </c>
      <c r="O55" s="6"/>
      <c r="P55" s="6">
        <v>95</v>
      </c>
      <c r="Q55" s="6">
        <v>82</v>
      </c>
      <c r="R55" s="6"/>
      <c r="S55" s="6"/>
      <c r="T55" s="6"/>
      <c r="U55" s="6">
        <v>81</v>
      </c>
      <c r="V55" s="6"/>
      <c r="W55" s="6">
        <v>85</v>
      </c>
      <c r="X55" s="6"/>
      <c r="Y55" s="6">
        <v>86</v>
      </c>
      <c r="Z55" s="6"/>
      <c r="AA55" s="4">
        <f t="shared" si="5"/>
        <v>88.5</v>
      </c>
      <c r="AB55" s="4">
        <f t="shared" si="6"/>
        <v>84.083333333333329</v>
      </c>
      <c r="AC55" s="4">
        <f t="shared" si="7"/>
        <v>1.7531717289276345</v>
      </c>
      <c r="AD55" s="3"/>
      <c r="AE55" s="3"/>
      <c r="AF55" s="3"/>
      <c r="AG55" s="3"/>
      <c r="AH55" s="3"/>
    </row>
    <row r="56" spans="2:87" ht="24" customHeight="1" thickBot="1" x14ac:dyDescent="0.25">
      <c r="B56" s="15">
        <f t="shared" si="8"/>
        <v>304</v>
      </c>
      <c r="C56" s="15" t="s">
        <v>135</v>
      </c>
      <c r="D56" s="15">
        <v>2</v>
      </c>
      <c r="E56" s="15">
        <v>1</v>
      </c>
      <c r="F56" s="15">
        <v>1</v>
      </c>
      <c r="G56" s="15">
        <v>1</v>
      </c>
      <c r="H56" s="15">
        <v>3</v>
      </c>
      <c r="I56" s="15" t="s">
        <v>146</v>
      </c>
      <c r="J56" s="16"/>
      <c r="K56" s="15" t="s">
        <v>0</v>
      </c>
      <c r="L56" s="14">
        <v>104</v>
      </c>
      <c r="M56" s="13"/>
      <c r="N56" s="14">
        <v>110</v>
      </c>
      <c r="O56" s="13"/>
      <c r="P56" s="14">
        <v>96</v>
      </c>
      <c r="Q56" s="14">
        <v>97</v>
      </c>
      <c r="R56" s="14"/>
      <c r="S56" s="14"/>
      <c r="T56" s="13"/>
      <c r="U56" s="14">
        <v>98</v>
      </c>
      <c r="V56" s="13"/>
      <c r="W56" s="14">
        <v>93</v>
      </c>
      <c r="X56" s="13"/>
      <c r="Y56" s="14">
        <v>90</v>
      </c>
      <c r="Z56" s="13"/>
      <c r="AA56" s="4">
        <f t="shared" si="5"/>
        <v>96.5</v>
      </c>
      <c r="AB56" s="4">
        <f t="shared" si="6"/>
        <v>98.583333333333329</v>
      </c>
      <c r="AC56" s="4">
        <f t="shared" si="7"/>
        <v>2.9955986231655127</v>
      </c>
      <c r="AD56" s="3"/>
      <c r="AE56" s="3"/>
      <c r="AF56" s="3"/>
      <c r="AG56" s="3"/>
      <c r="AH56" s="3"/>
      <c r="AT56" s="12"/>
      <c r="AU56" s="12"/>
      <c r="AV56" s="11"/>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row>
    <row r="57" spans="2:87" ht="24" customHeight="1" thickBot="1" x14ac:dyDescent="0.25">
      <c r="B57" s="7">
        <f t="shared" si="8"/>
        <v>305</v>
      </c>
      <c r="C57" s="7" t="s">
        <v>129</v>
      </c>
      <c r="D57" s="7">
        <v>11</v>
      </c>
      <c r="E57" s="7">
        <v>2</v>
      </c>
      <c r="F57" s="7">
        <v>3</v>
      </c>
      <c r="G57" s="7">
        <v>2</v>
      </c>
      <c r="H57" s="7">
        <v>4</v>
      </c>
      <c r="I57" s="7" t="s">
        <v>147</v>
      </c>
      <c r="J57" s="16"/>
      <c r="K57" s="7" t="s">
        <v>2</v>
      </c>
      <c r="L57" s="6">
        <v>87</v>
      </c>
      <c r="M57" s="6"/>
      <c r="N57" s="6">
        <v>92</v>
      </c>
      <c r="O57" s="6"/>
      <c r="P57" s="6">
        <v>86</v>
      </c>
      <c r="Q57" s="6">
        <v>90</v>
      </c>
      <c r="R57" s="6"/>
      <c r="S57" s="6"/>
      <c r="T57" s="6"/>
      <c r="U57" s="6">
        <v>96</v>
      </c>
      <c r="V57" s="6"/>
      <c r="W57" s="6">
        <v>100</v>
      </c>
      <c r="X57" s="6"/>
      <c r="Y57" s="6">
        <v>90</v>
      </c>
      <c r="Z57" s="6"/>
      <c r="AA57" s="4">
        <f t="shared" si="5"/>
        <v>88</v>
      </c>
      <c r="AB57" s="4">
        <f t="shared" si="6"/>
        <v>92.166666666666671</v>
      </c>
      <c r="AC57" s="4">
        <f t="shared" si="7"/>
        <v>2.0398801707725656</v>
      </c>
      <c r="AD57" s="3"/>
      <c r="AE57" s="3"/>
      <c r="AF57" s="3"/>
      <c r="AG57" s="3"/>
      <c r="AH57" s="3"/>
    </row>
    <row r="58" spans="2:87" ht="24" customHeight="1" thickBot="1" x14ac:dyDescent="0.25">
      <c r="B58" s="15">
        <f t="shared" si="8"/>
        <v>305</v>
      </c>
      <c r="C58" s="15" t="s">
        <v>129</v>
      </c>
      <c r="D58" s="15">
        <v>11</v>
      </c>
      <c r="E58" s="15">
        <v>2</v>
      </c>
      <c r="F58" s="15">
        <v>3</v>
      </c>
      <c r="G58" s="15">
        <v>2</v>
      </c>
      <c r="H58" s="15">
        <v>4</v>
      </c>
      <c r="I58" s="15" t="s">
        <v>147</v>
      </c>
      <c r="J58" s="16"/>
      <c r="K58" s="15" t="s">
        <v>0</v>
      </c>
      <c r="L58" s="14">
        <v>148</v>
      </c>
      <c r="M58" s="13"/>
      <c r="N58" s="14">
        <v>146</v>
      </c>
      <c r="O58" s="13"/>
      <c r="P58" s="14">
        <v>118</v>
      </c>
      <c r="Q58" s="14">
        <v>64</v>
      </c>
      <c r="R58" s="14"/>
      <c r="S58" s="14"/>
      <c r="T58" s="13"/>
      <c r="U58" s="14">
        <v>100</v>
      </c>
      <c r="V58" s="13"/>
      <c r="W58" s="14">
        <v>127</v>
      </c>
      <c r="X58" s="13"/>
      <c r="Y58" s="14">
        <v>108</v>
      </c>
      <c r="Z58" s="13"/>
      <c r="AA58" s="4">
        <f t="shared" si="5"/>
        <v>91</v>
      </c>
      <c r="AB58" s="4">
        <f t="shared" si="6"/>
        <v>120</v>
      </c>
      <c r="AC58" s="4">
        <f t="shared" si="7"/>
        <v>9.8217445836606174</v>
      </c>
      <c r="AD58" s="3"/>
      <c r="AE58" s="3"/>
      <c r="AF58" s="3"/>
      <c r="AG58" s="3"/>
      <c r="AH58" s="3"/>
      <c r="AT58" s="12"/>
      <c r="AU58" s="12"/>
      <c r="AV58" s="11"/>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row>
    <row r="59" spans="2:87" ht="24" customHeight="1" x14ac:dyDescent="0.2">
      <c r="B59" s="7">
        <f t="shared" si="8"/>
        <v>306</v>
      </c>
      <c r="C59" s="7" t="s">
        <v>122</v>
      </c>
      <c r="D59" s="7">
        <v>4</v>
      </c>
      <c r="E59" s="7">
        <v>1</v>
      </c>
      <c r="F59" s="7">
        <v>2</v>
      </c>
      <c r="G59" s="7">
        <v>1</v>
      </c>
      <c r="H59" s="7">
        <v>4</v>
      </c>
      <c r="I59" s="7" t="s">
        <v>148</v>
      </c>
      <c r="J59" s="9"/>
      <c r="K59" s="7" t="s">
        <v>2</v>
      </c>
      <c r="L59" s="6">
        <v>81</v>
      </c>
      <c r="M59" s="6"/>
      <c r="N59" s="6">
        <v>76</v>
      </c>
      <c r="O59" s="6"/>
      <c r="P59" s="6">
        <v>84</v>
      </c>
      <c r="Q59" s="6">
        <v>78</v>
      </c>
      <c r="R59" s="6"/>
      <c r="S59" s="6"/>
      <c r="T59" s="6"/>
      <c r="U59" s="6">
        <v>88</v>
      </c>
      <c r="V59" s="6"/>
      <c r="W59" s="6">
        <v>79</v>
      </c>
      <c r="X59" s="6"/>
      <c r="Y59" s="6">
        <v>93</v>
      </c>
      <c r="Z59" s="6"/>
      <c r="AA59" s="4">
        <f t="shared" si="5"/>
        <v>81</v>
      </c>
      <c r="AB59" s="4">
        <f t="shared" si="6"/>
        <v>83</v>
      </c>
      <c r="AC59" s="4">
        <f t="shared" si="7"/>
        <v>2.5690465157330262</v>
      </c>
      <c r="AD59" s="3"/>
      <c r="AE59" s="3"/>
      <c r="AF59" s="3"/>
      <c r="AG59" s="3"/>
      <c r="AH59" s="3"/>
    </row>
    <row r="60" spans="2:87" ht="24" customHeight="1" thickBot="1" x14ac:dyDescent="0.25">
      <c r="B60" s="15">
        <f t="shared" si="8"/>
        <v>306</v>
      </c>
      <c r="C60" s="15" t="s">
        <v>122</v>
      </c>
      <c r="D60" s="15">
        <v>4</v>
      </c>
      <c r="E60" s="15">
        <v>1</v>
      </c>
      <c r="F60" s="15">
        <v>2</v>
      </c>
      <c r="G60" s="15">
        <v>1</v>
      </c>
      <c r="H60" s="15">
        <v>4</v>
      </c>
      <c r="I60" s="15" t="s">
        <v>148</v>
      </c>
      <c r="J60" s="16"/>
      <c r="K60" s="15" t="s">
        <v>0</v>
      </c>
      <c r="L60" s="14">
        <v>105</v>
      </c>
      <c r="M60" s="13"/>
      <c r="N60" s="14">
        <v>83</v>
      </c>
      <c r="O60" s="13"/>
      <c r="P60" s="14">
        <v>92</v>
      </c>
      <c r="Q60" s="14">
        <v>84</v>
      </c>
      <c r="R60" s="14"/>
      <c r="S60" s="14"/>
      <c r="T60" s="13"/>
      <c r="U60" s="14">
        <v>93</v>
      </c>
      <c r="V60" s="13"/>
      <c r="W60" s="14">
        <v>112</v>
      </c>
      <c r="X60" s="13"/>
      <c r="Y60" s="14">
        <v>105</v>
      </c>
      <c r="Z60" s="13"/>
      <c r="AA60" s="4">
        <f t="shared" si="5"/>
        <v>88</v>
      </c>
      <c r="AB60" s="4">
        <f t="shared" si="6"/>
        <v>97.666666666666671</v>
      </c>
      <c r="AC60" s="4">
        <f t="shared" si="7"/>
        <v>4.6308146631499438</v>
      </c>
      <c r="AD60" s="3"/>
      <c r="AE60" s="3"/>
      <c r="AF60" s="3"/>
      <c r="AG60" s="3"/>
      <c r="AH60" s="3"/>
      <c r="AT60" s="12"/>
      <c r="AU60" s="12"/>
      <c r="AV60" s="11"/>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row>
    <row r="61" spans="2:87" ht="24" customHeight="1" x14ac:dyDescent="0.2">
      <c r="B61" s="7">
        <f t="shared" si="8"/>
        <v>307</v>
      </c>
      <c r="C61" s="7" t="s">
        <v>115</v>
      </c>
      <c r="D61" s="7">
        <v>9</v>
      </c>
      <c r="E61" s="7">
        <v>2</v>
      </c>
      <c r="F61" s="7">
        <v>2</v>
      </c>
      <c r="G61" s="7">
        <v>2</v>
      </c>
      <c r="H61" s="7">
        <v>4</v>
      </c>
      <c r="I61" s="7" t="s">
        <v>149</v>
      </c>
      <c r="J61" s="9"/>
      <c r="K61" s="7" t="s">
        <v>2</v>
      </c>
      <c r="L61" s="6">
        <v>89</v>
      </c>
      <c r="M61" s="5"/>
      <c r="N61" s="6">
        <v>93</v>
      </c>
      <c r="O61" s="5"/>
      <c r="P61" s="6">
        <v>87</v>
      </c>
      <c r="Q61" s="6">
        <v>86</v>
      </c>
      <c r="R61" s="6"/>
      <c r="S61" s="6"/>
      <c r="T61" s="5"/>
      <c r="U61" s="6">
        <v>83</v>
      </c>
      <c r="V61" s="5"/>
      <c r="W61" s="6">
        <v>89</v>
      </c>
      <c r="X61" s="5"/>
      <c r="Y61" s="6">
        <v>91</v>
      </c>
      <c r="Z61" s="5"/>
      <c r="AA61" s="4">
        <f t="shared" si="5"/>
        <v>86.5</v>
      </c>
      <c r="AB61" s="4">
        <f t="shared" si="6"/>
        <v>88.583333333333329</v>
      </c>
      <c r="AC61" s="4">
        <f t="shared" si="7"/>
        <v>1.4283829240710553</v>
      </c>
      <c r="AD61" s="3"/>
      <c r="AE61" s="3"/>
      <c r="AF61" s="3"/>
      <c r="AG61" s="3"/>
      <c r="AH61" s="3"/>
    </row>
    <row r="62" spans="2:87" ht="24" customHeight="1" thickBot="1" x14ac:dyDescent="0.25">
      <c r="B62" s="15">
        <f t="shared" si="8"/>
        <v>307</v>
      </c>
      <c r="C62" s="15" t="s">
        <v>115</v>
      </c>
      <c r="D62" s="15">
        <v>9</v>
      </c>
      <c r="E62" s="15">
        <v>2</v>
      </c>
      <c r="F62" s="15">
        <v>2</v>
      </c>
      <c r="G62" s="15">
        <v>2</v>
      </c>
      <c r="H62" s="15">
        <v>4</v>
      </c>
      <c r="I62" s="15" t="s">
        <v>149</v>
      </c>
      <c r="J62" s="16"/>
      <c r="K62" s="15" t="s">
        <v>0</v>
      </c>
      <c r="L62" s="14">
        <v>102</v>
      </c>
      <c r="M62" s="13"/>
      <c r="N62" s="14">
        <v>120</v>
      </c>
      <c r="O62" s="13"/>
      <c r="P62" s="14">
        <v>114</v>
      </c>
      <c r="Q62" s="14">
        <v>119</v>
      </c>
      <c r="R62" s="14"/>
      <c r="S62" s="14"/>
      <c r="T62" s="13"/>
      <c r="U62" s="14">
        <v>120</v>
      </c>
      <c r="V62" s="13"/>
      <c r="W62" s="14">
        <v>113</v>
      </c>
      <c r="X62" s="13"/>
      <c r="Y62" s="14">
        <v>115</v>
      </c>
      <c r="Z62" s="13"/>
      <c r="AA62" s="4">
        <f t="shared" si="5"/>
        <v>116.5</v>
      </c>
      <c r="AB62" s="4">
        <f t="shared" si="6"/>
        <v>114.41666666666667</v>
      </c>
      <c r="AC62" s="4">
        <f t="shared" si="7"/>
        <v>2.7276872580590648</v>
      </c>
      <c r="AD62" s="3"/>
      <c r="AE62" s="3"/>
      <c r="AF62" s="3"/>
      <c r="AG62" s="3"/>
      <c r="AH62" s="3"/>
      <c r="AT62" s="12"/>
      <c r="AU62" s="12"/>
      <c r="AV62" s="11"/>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row>
    <row r="63" spans="2:87" ht="24" customHeight="1" x14ac:dyDescent="0.2">
      <c r="B63" s="7">
        <f t="shared" si="8"/>
        <v>308</v>
      </c>
      <c r="C63" s="7" t="s">
        <v>120</v>
      </c>
      <c r="D63" s="7">
        <v>5</v>
      </c>
      <c r="E63" s="7">
        <v>1</v>
      </c>
      <c r="F63" s="7">
        <v>3</v>
      </c>
      <c r="G63" s="7">
        <v>2</v>
      </c>
      <c r="H63" s="7">
        <v>4</v>
      </c>
      <c r="I63" s="7" t="s">
        <v>150</v>
      </c>
      <c r="J63" s="9"/>
      <c r="K63" s="7" t="s">
        <v>2</v>
      </c>
      <c r="L63" s="6">
        <v>79</v>
      </c>
      <c r="M63" s="5"/>
      <c r="N63" s="6">
        <v>83</v>
      </c>
      <c r="O63" s="5"/>
      <c r="P63" s="6">
        <v>88</v>
      </c>
      <c r="Q63" s="6">
        <v>84</v>
      </c>
      <c r="R63" s="6"/>
      <c r="S63" s="6"/>
      <c r="T63" s="5"/>
      <c r="U63" s="6">
        <v>85</v>
      </c>
      <c r="V63" s="5"/>
      <c r="W63" s="6">
        <v>82</v>
      </c>
      <c r="X63" s="5"/>
      <c r="Y63" s="6">
        <v>82</v>
      </c>
      <c r="Z63" s="5"/>
      <c r="AA63" s="4">
        <f t="shared" si="5"/>
        <v>86</v>
      </c>
      <c r="AB63" s="4">
        <f t="shared" si="6"/>
        <v>82.833333333333329</v>
      </c>
      <c r="AC63" s="4">
        <f t="shared" si="7"/>
        <v>1.0137937550497034</v>
      </c>
      <c r="AD63" s="3"/>
      <c r="AE63" s="3"/>
      <c r="AF63" s="3"/>
      <c r="AG63" s="3"/>
      <c r="AH63" s="3"/>
    </row>
    <row r="64" spans="2:87" ht="24" customHeight="1" x14ac:dyDescent="0.2">
      <c r="B64" s="7">
        <f t="shared" si="8"/>
        <v>308</v>
      </c>
      <c r="C64" s="7" t="s">
        <v>120</v>
      </c>
      <c r="D64" s="7">
        <v>5</v>
      </c>
      <c r="E64" s="7">
        <v>1</v>
      </c>
      <c r="F64" s="7">
        <v>3</v>
      </c>
      <c r="G64" s="7">
        <v>2</v>
      </c>
      <c r="H64" s="7">
        <v>4</v>
      </c>
      <c r="I64" s="7" t="s">
        <v>150</v>
      </c>
      <c r="J64" s="9"/>
      <c r="K64" s="7" t="s">
        <v>0</v>
      </c>
      <c r="L64" s="6">
        <v>101</v>
      </c>
      <c r="M64" s="6"/>
      <c r="N64" s="6">
        <v>96</v>
      </c>
      <c r="O64" s="6"/>
      <c r="P64" s="6">
        <v>99</v>
      </c>
      <c r="Q64" s="6">
        <v>100</v>
      </c>
      <c r="R64" s="6"/>
      <c r="S64" s="6"/>
      <c r="T64" s="6"/>
      <c r="U64" s="6">
        <v>119</v>
      </c>
      <c r="V64" s="6"/>
      <c r="W64" s="6">
        <v>102</v>
      </c>
      <c r="X64" s="6"/>
      <c r="Y64" s="6">
        <v>103</v>
      </c>
      <c r="Z64" s="6"/>
      <c r="AA64" s="4">
        <f t="shared" si="5"/>
        <v>99.5</v>
      </c>
      <c r="AB64" s="4">
        <f t="shared" si="6"/>
        <v>103.41666666666667</v>
      </c>
      <c r="AC64" s="4">
        <f t="shared" si="7"/>
        <v>3.2721467638913215</v>
      </c>
      <c r="AD64" s="3"/>
      <c r="AE64" s="3"/>
      <c r="AF64" s="3"/>
      <c r="AG64" s="3"/>
      <c r="AH64" s="3"/>
    </row>
    <row r="65" spans="2:87" ht="24" customHeight="1" x14ac:dyDescent="0.2">
      <c r="B65" s="7">
        <f>B63+100</f>
        <v>408</v>
      </c>
      <c r="C65" s="7" t="s">
        <v>113</v>
      </c>
      <c r="D65" s="7">
        <v>10</v>
      </c>
      <c r="E65" s="7">
        <v>2</v>
      </c>
      <c r="F65" s="7">
        <v>2</v>
      </c>
      <c r="G65" s="7">
        <v>1</v>
      </c>
      <c r="H65" s="7">
        <v>4</v>
      </c>
      <c r="I65" s="7" t="s">
        <v>151</v>
      </c>
      <c r="J65" s="7"/>
      <c r="K65" s="7" t="s">
        <v>2</v>
      </c>
      <c r="L65" s="6">
        <v>86</v>
      </c>
      <c r="M65" s="6"/>
      <c r="N65" s="6">
        <v>81</v>
      </c>
      <c r="O65" s="6"/>
      <c r="P65" s="6">
        <v>78</v>
      </c>
      <c r="Q65" s="6">
        <v>84</v>
      </c>
      <c r="R65" s="6"/>
      <c r="S65" s="6"/>
      <c r="T65" s="6"/>
      <c r="U65" s="6">
        <v>91</v>
      </c>
      <c r="V65" s="6"/>
      <c r="W65" s="6">
        <v>103</v>
      </c>
      <c r="X65" s="6"/>
      <c r="Y65" s="6">
        <v>73</v>
      </c>
      <c r="Z65" s="6"/>
      <c r="AA65" s="4">
        <f t="shared" si="5"/>
        <v>81</v>
      </c>
      <c r="AB65" s="4">
        <f t="shared" si="6"/>
        <v>85.833333333333329</v>
      </c>
      <c r="AC65" s="4">
        <f t="shared" si="7"/>
        <v>4.2143933265787137</v>
      </c>
      <c r="AT65" s="12">
        <v>2</v>
      </c>
      <c r="AU65" s="12" t="s">
        <v>3</v>
      </c>
      <c r="AV65" s="12">
        <v>150</v>
      </c>
    </row>
    <row r="66" spans="2:87" ht="24" customHeight="1" thickBot="1" x14ac:dyDescent="0.25">
      <c r="B66" s="7">
        <f>B64+100</f>
        <v>408</v>
      </c>
      <c r="C66" s="15" t="s">
        <v>113</v>
      </c>
      <c r="D66" s="15">
        <v>10</v>
      </c>
      <c r="E66" s="15">
        <v>2</v>
      </c>
      <c r="F66" s="15">
        <v>2</v>
      </c>
      <c r="G66" s="15">
        <v>1</v>
      </c>
      <c r="H66" s="15">
        <v>4</v>
      </c>
      <c r="I66" s="15" t="s">
        <v>151</v>
      </c>
      <c r="J66" s="16"/>
      <c r="K66" s="15" t="s">
        <v>0</v>
      </c>
      <c r="L66" s="14">
        <v>108</v>
      </c>
      <c r="M66" s="13"/>
      <c r="N66" s="14">
        <v>100</v>
      </c>
      <c r="O66" s="13"/>
      <c r="P66" s="14">
        <v>112</v>
      </c>
      <c r="Q66" s="14">
        <v>118</v>
      </c>
      <c r="R66" s="14"/>
      <c r="S66" s="14"/>
      <c r="T66" s="13"/>
      <c r="U66" s="14">
        <v>101</v>
      </c>
      <c r="V66" s="13"/>
      <c r="W66" s="14">
        <v>103</v>
      </c>
      <c r="X66" s="13"/>
      <c r="Y66" s="14">
        <v>122</v>
      </c>
      <c r="Z66" s="13"/>
      <c r="AA66" s="4">
        <f t="shared" si="5"/>
        <v>115</v>
      </c>
      <c r="AB66" s="4">
        <f t="shared" si="6"/>
        <v>108.16666666666667</v>
      </c>
      <c r="AC66" s="4">
        <f t="shared" si="7"/>
        <v>3.5722697422102816</v>
      </c>
      <c r="AD66" s="3"/>
      <c r="AE66" s="3"/>
      <c r="AF66" s="3"/>
      <c r="AG66" s="3"/>
      <c r="AH66" s="3"/>
      <c r="AT66" s="12"/>
      <c r="AU66" s="12"/>
      <c r="AV66" s="11"/>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row>
    <row r="67" spans="2:87" ht="24" customHeight="1" x14ac:dyDescent="0.2">
      <c r="B67" s="7">
        <f t="shared" ref="B67:B80" si="9">B65-1</f>
        <v>407</v>
      </c>
      <c r="C67" s="7" t="s">
        <v>152</v>
      </c>
      <c r="D67" s="7">
        <v>7</v>
      </c>
      <c r="E67" s="7">
        <v>2</v>
      </c>
      <c r="F67" s="7">
        <v>1</v>
      </c>
      <c r="G67" s="7">
        <v>2</v>
      </c>
      <c r="H67" s="7">
        <v>4</v>
      </c>
      <c r="I67" s="7" t="s">
        <v>153</v>
      </c>
      <c r="J67" s="9"/>
      <c r="K67" s="7" t="s">
        <v>2</v>
      </c>
      <c r="L67" s="6">
        <v>75</v>
      </c>
      <c r="M67" s="6"/>
      <c r="N67" s="6">
        <v>88</v>
      </c>
      <c r="O67" s="6"/>
      <c r="P67" s="6">
        <v>79</v>
      </c>
      <c r="Q67" s="6">
        <v>83</v>
      </c>
      <c r="R67" s="6"/>
      <c r="S67" s="6"/>
      <c r="T67" s="6"/>
      <c r="U67" s="6">
        <v>85</v>
      </c>
      <c r="V67" s="6"/>
      <c r="W67" s="6">
        <v>78</v>
      </c>
      <c r="X67" s="6"/>
      <c r="Y67" s="6">
        <v>100</v>
      </c>
      <c r="Z67" s="6"/>
      <c r="AA67" s="4">
        <f t="shared" si="5"/>
        <v>81</v>
      </c>
      <c r="AB67" s="4">
        <f t="shared" si="6"/>
        <v>84.5</v>
      </c>
      <c r="AC67" s="4">
        <f t="shared" si="7"/>
        <v>3.640054944640259</v>
      </c>
      <c r="AD67" s="3"/>
      <c r="AE67" s="3"/>
      <c r="AF67" s="3"/>
      <c r="AG67" s="3"/>
      <c r="AH67" s="3"/>
    </row>
    <row r="68" spans="2:87" ht="24" customHeight="1" thickBot="1" x14ac:dyDescent="0.25">
      <c r="B68" s="7">
        <f t="shared" si="9"/>
        <v>407</v>
      </c>
      <c r="C68" s="15" t="s">
        <v>152</v>
      </c>
      <c r="D68" s="15">
        <v>7</v>
      </c>
      <c r="E68" s="15">
        <v>2</v>
      </c>
      <c r="F68" s="15">
        <v>1</v>
      </c>
      <c r="G68" s="15">
        <v>2</v>
      </c>
      <c r="H68" s="15">
        <v>4</v>
      </c>
      <c r="I68" s="15" t="s">
        <v>153</v>
      </c>
      <c r="J68" s="16"/>
      <c r="K68" s="15" t="s">
        <v>0</v>
      </c>
      <c r="L68" s="14">
        <v>114</v>
      </c>
      <c r="M68" s="13"/>
      <c r="N68" s="14">
        <v>118</v>
      </c>
      <c r="O68" s="13"/>
      <c r="P68" s="14">
        <v>105</v>
      </c>
      <c r="Q68" s="14">
        <v>89</v>
      </c>
      <c r="R68" s="14"/>
      <c r="S68" s="14"/>
      <c r="T68" s="13"/>
      <c r="U68" s="14">
        <v>101</v>
      </c>
      <c r="V68" s="13"/>
      <c r="W68" s="14">
        <v>110</v>
      </c>
      <c r="X68" s="13"/>
      <c r="Y68" s="14">
        <v>117</v>
      </c>
      <c r="Z68" s="13"/>
      <c r="AA68" s="4">
        <f t="shared" si="5"/>
        <v>97</v>
      </c>
      <c r="AB68" s="4">
        <f t="shared" si="6"/>
        <v>109.5</v>
      </c>
      <c r="AC68" s="4">
        <f t="shared" si="7"/>
        <v>3.5472994422987938</v>
      </c>
      <c r="AD68" s="3"/>
      <c r="AE68" s="3"/>
      <c r="AF68" s="3"/>
      <c r="AG68" s="3"/>
      <c r="AH68" s="3"/>
      <c r="AT68" s="12"/>
      <c r="AU68" s="12"/>
      <c r="AV68" s="11"/>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row>
    <row r="69" spans="2:87" ht="24" customHeight="1" x14ac:dyDescent="0.2">
      <c r="B69" s="7">
        <f t="shared" si="9"/>
        <v>406</v>
      </c>
      <c r="C69" s="7" t="s">
        <v>111</v>
      </c>
      <c r="D69" s="7">
        <v>3</v>
      </c>
      <c r="E69" s="7">
        <v>1</v>
      </c>
      <c r="F69" s="7">
        <v>2</v>
      </c>
      <c r="G69" s="7">
        <v>2</v>
      </c>
      <c r="H69" s="7">
        <v>4</v>
      </c>
      <c r="I69" s="7" t="s">
        <v>154</v>
      </c>
      <c r="J69" s="9"/>
      <c r="K69" s="7" t="s">
        <v>2</v>
      </c>
      <c r="L69" s="6">
        <v>75</v>
      </c>
      <c r="M69" s="6"/>
      <c r="N69" s="6">
        <v>77</v>
      </c>
      <c r="O69" s="6"/>
      <c r="P69" s="6">
        <v>93</v>
      </c>
      <c r="Q69" s="6">
        <v>90</v>
      </c>
      <c r="R69" s="6"/>
      <c r="S69" s="6"/>
      <c r="T69" s="6"/>
      <c r="U69" s="6">
        <v>83</v>
      </c>
      <c r="V69" s="6"/>
      <c r="W69" s="6">
        <v>84</v>
      </c>
      <c r="X69" s="6"/>
      <c r="Y69" s="6">
        <v>81</v>
      </c>
      <c r="Z69" s="6"/>
      <c r="AA69" s="4">
        <f t="shared" si="5"/>
        <v>91.5</v>
      </c>
      <c r="AB69" s="4">
        <f t="shared" si="6"/>
        <v>81.916666666666671</v>
      </c>
      <c r="AC69" s="4">
        <f t="shared" si="7"/>
        <v>2.3819343213260757</v>
      </c>
      <c r="AD69" s="3"/>
      <c r="AE69" s="3"/>
      <c r="AF69" s="3"/>
      <c r="AG69" s="3"/>
      <c r="AH69" s="3"/>
    </row>
    <row r="70" spans="2:87" ht="24" customHeight="1" thickBot="1" x14ac:dyDescent="0.25">
      <c r="B70" s="7">
        <f t="shared" si="9"/>
        <v>406</v>
      </c>
      <c r="C70" s="15" t="s">
        <v>111</v>
      </c>
      <c r="D70" s="15">
        <v>3</v>
      </c>
      <c r="E70" s="15">
        <v>1</v>
      </c>
      <c r="F70" s="15">
        <v>2</v>
      </c>
      <c r="G70" s="15">
        <v>2</v>
      </c>
      <c r="H70" s="15">
        <v>4</v>
      </c>
      <c r="I70" s="15" t="s">
        <v>154</v>
      </c>
      <c r="J70" s="16"/>
      <c r="K70" s="15" t="s">
        <v>0</v>
      </c>
      <c r="L70" s="14">
        <v>103</v>
      </c>
      <c r="M70" s="13"/>
      <c r="N70" s="14">
        <v>100</v>
      </c>
      <c r="O70" s="13"/>
      <c r="P70" s="14">
        <v>106</v>
      </c>
      <c r="Q70" s="14">
        <v>127</v>
      </c>
      <c r="R70" s="14"/>
      <c r="S70" s="14"/>
      <c r="T70" s="13"/>
      <c r="U70" s="14">
        <v>124</v>
      </c>
      <c r="V70" s="13"/>
      <c r="W70" s="14">
        <v>113</v>
      </c>
      <c r="X70" s="13"/>
      <c r="Y70" s="14">
        <v>118</v>
      </c>
      <c r="Z70" s="13"/>
      <c r="AA70" s="4">
        <f t="shared" si="5"/>
        <v>116.5</v>
      </c>
      <c r="AB70" s="4">
        <f t="shared" si="6"/>
        <v>112.41666666666667</v>
      </c>
      <c r="AC70" s="4">
        <f t="shared" si="7"/>
        <v>3.7647856660255061</v>
      </c>
      <c r="AD70" s="3"/>
      <c r="AE70" s="3"/>
      <c r="AF70" s="3"/>
      <c r="AG70" s="3"/>
      <c r="AH70" s="3"/>
      <c r="AT70" s="12"/>
      <c r="AU70" s="12"/>
      <c r="AV70" s="11"/>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row>
    <row r="71" spans="2:87" ht="24" customHeight="1" x14ac:dyDescent="0.2">
      <c r="B71" s="7">
        <f t="shared" si="9"/>
        <v>405</v>
      </c>
      <c r="C71" s="7" t="s">
        <v>155</v>
      </c>
      <c r="D71" s="7">
        <v>6</v>
      </c>
      <c r="E71" s="7">
        <v>1</v>
      </c>
      <c r="F71" s="7">
        <v>3</v>
      </c>
      <c r="G71" s="7">
        <v>1</v>
      </c>
      <c r="H71" s="7">
        <v>4</v>
      </c>
      <c r="I71" s="7" t="s">
        <v>156</v>
      </c>
      <c r="J71" s="9"/>
      <c r="K71" s="7" t="s">
        <v>2</v>
      </c>
      <c r="L71" s="6">
        <v>60</v>
      </c>
      <c r="M71" s="6"/>
      <c r="N71" s="6">
        <v>43</v>
      </c>
      <c r="O71" s="6"/>
      <c r="P71" s="6">
        <v>73</v>
      </c>
      <c r="Q71" s="6">
        <v>81</v>
      </c>
      <c r="R71" s="6"/>
      <c r="S71" s="6"/>
      <c r="T71" s="6"/>
      <c r="U71" s="6">
        <v>86</v>
      </c>
      <c r="V71" s="6"/>
      <c r="W71" s="6">
        <v>90</v>
      </c>
      <c r="X71" s="6"/>
      <c r="Y71" s="6">
        <v>92</v>
      </c>
      <c r="Z71" s="6"/>
      <c r="AA71" s="4">
        <f t="shared" si="5"/>
        <v>77</v>
      </c>
      <c r="AB71" s="4">
        <f t="shared" si="6"/>
        <v>74.666666666666671</v>
      </c>
      <c r="AC71" s="4">
        <f t="shared" si="7"/>
        <v>7.9316524830019635</v>
      </c>
      <c r="AD71" s="3"/>
      <c r="AE71" s="3"/>
      <c r="AF71" s="3"/>
      <c r="AG71" s="3"/>
      <c r="AH71" s="3"/>
    </row>
    <row r="72" spans="2:87" ht="24" customHeight="1" thickBot="1" x14ac:dyDescent="0.25">
      <c r="B72" s="7">
        <f t="shared" si="9"/>
        <v>405</v>
      </c>
      <c r="C72" s="15" t="s">
        <v>155</v>
      </c>
      <c r="D72" s="15">
        <v>6</v>
      </c>
      <c r="E72" s="15">
        <v>1</v>
      </c>
      <c r="F72" s="15">
        <v>3</v>
      </c>
      <c r="G72" s="15">
        <v>1</v>
      </c>
      <c r="H72" s="15">
        <v>4</v>
      </c>
      <c r="I72" s="15" t="s">
        <v>156</v>
      </c>
      <c r="J72" s="16"/>
      <c r="K72" s="15" t="s">
        <v>0</v>
      </c>
      <c r="L72" s="14">
        <v>93</v>
      </c>
      <c r="M72" s="13"/>
      <c r="N72" s="14">
        <v>83</v>
      </c>
      <c r="O72" s="13"/>
      <c r="P72" s="14">
        <v>71</v>
      </c>
      <c r="Q72" s="14">
        <v>72</v>
      </c>
      <c r="R72" s="14"/>
      <c r="S72" s="14"/>
      <c r="T72" s="13"/>
      <c r="U72" s="14">
        <v>88</v>
      </c>
      <c r="V72" s="13"/>
      <c r="W72" s="14">
        <v>91</v>
      </c>
      <c r="X72" s="13"/>
      <c r="Y72" s="14">
        <v>73</v>
      </c>
      <c r="Z72" s="13"/>
      <c r="AA72" s="4">
        <f t="shared" si="5"/>
        <v>71.5</v>
      </c>
      <c r="AB72" s="4">
        <f t="shared" si="6"/>
        <v>83.25</v>
      </c>
      <c r="AC72" s="4">
        <f t="shared" si="7"/>
        <v>3.7455529186845924</v>
      </c>
      <c r="AD72" s="3"/>
      <c r="AE72" s="3"/>
      <c r="AF72" s="3"/>
      <c r="AG72" s="3"/>
      <c r="AH72" s="3"/>
      <c r="AT72" s="12"/>
      <c r="AU72" s="12"/>
      <c r="AV72" s="11"/>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row>
    <row r="73" spans="2:87" ht="24" customHeight="1" thickBot="1" x14ac:dyDescent="0.25">
      <c r="B73" s="7">
        <f t="shared" si="9"/>
        <v>404</v>
      </c>
      <c r="C73" s="7" t="s">
        <v>111</v>
      </c>
      <c r="D73" s="7">
        <v>3</v>
      </c>
      <c r="E73" s="7">
        <v>1</v>
      </c>
      <c r="F73" s="7">
        <v>2</v>
      </c>
      <c r="G73" s="7">
        <v>2</v>
      </c>
      <c r="H73" s="7">
        <v>3</v>
      </c>
      <c r="I73" s="7" t="s">
        <v>157</v>
      </c>
      <c r="J73" s="16"/>
      <c r="K73" s="7" t="s">
        <v>2</v>
      </c>
      <c r="L73" s="6">
        <v>77</v>
      </c>
      <c r="M73" s="6"/>
      <c r="N73" s="6">
        <v>88</v>
      </c>
      <c r="O73" s="6"/>
      <c r="P73" s="6">
        <v>76</v>
      </c>
      <c r="Q73" s="6">
        <v>66</v>
      </c>
      <c r="R73" s="6"/>
      <c r="S73" s="6"/>
      <c r="T73" s="6"/>
      <c r="U73" s="6">
        <v>83</v>
      </c>
      <c r="V73" s="6"/>
      <c r="W73" s="6">
        <v>80</v>
      </c>
      <c r="X73" s="6"/>
      <c r="Y73" s="6">
        <v>90</v>
      </c>
      <c r="Z73" s="6"/>
      <c r="AA73" s="4">
        <f t="shared" ref="AA73:AA80" si="10">AVERAGE(P73:T73)</f>
        <v>71</v>
      </c>
      <c r="AB73" s="4">
        <f t="shared" ref="AB73:AB80" si="11">AVERAGE(AVERAGE(L73:M73),AVERAGE(N73:O73),AVERAGE(P73:T73),AVERAGE(U73:V73),AVERAGE(W73:X73),AVERAGE(Y73:Z73))</f>
        <v>81.5</v>
      </c>
      <c r="AC73" s="4">
        <f t="shared" ref="AC73:AC80" si="12">STDEV(AVERAGE(L73:M73),AVERAGE(N73:O73),AVERAGE(P73:T73),AVERAGE(U73:V73),AVERAGE(W73:X73),AVERAGE(Y73:Z73))/SQRT(6)</f>
        <v>2.8838631497813254</v>
      </c>
      <c r="AD73" s="3"/>
      <c r="AE73" s="3"/>
      <c r="AF73" s="3"/>
      <c r="AG73" s="3"/>
      <c r="AH73" s="3"/>
    </row>
    <row r="74" spans="2:87" ht="24" customHeight="1" thickBot="1" x14ac:dyDescent="0.25">
      <c r="B74" s="7">
        <f t="shared" si="9"/>
        <v>404</v>
      </c>
      <c r="C74" s="15" t="s">
        <v>111</v>
      </c>
      <c r="D74" s="15">
        <v>3</v>
      </c>
      <c r="E74" s="15">
        <v>1</v>
      </c>
      <c r="F74" s="15">
        <v>2</v>
      </c>
      <c r="G74" s="15">
        <v>2</v>
      </c>
      <c r="H74" s="15">
        <v>3</v>
      </c>
      <c r="I74" s="15" t="s">
        <v>157</v>
      </c>
      <c r="J74" s="16"/>
      <c r="K74" s="15" t="s">
        <v>0</v>
      </c>
      <c r="L74" s="14">
        <v>113</v>
      </c>
      <c r="M74" s="13"/>
      <c r="N74" s="14">
        <v>143</v>
      </c>
      <c r="O74" s="13"/>
      <c r="P74" s="14">
        <v>95</v>
      </c>
      <c r="Q74" s="14">
        <v>105</v>
      </c>
      <c r="R74" s="14"/>
      <c r="S74" s="14"/>
      <c r="T74" s="13"/>
      <c r="U74" s="14">
        <v>117</v>
      </c>
      <c r="V74" s="13"/>
      <c r="W74" s="14">
        <v>107</v>
      </c>
      <c r="X74" s="13"/>
      <c r="Y74" s="14">
        <v>110</v>
      </c>
      <c r="Z74" s="13"/>
      <c r="AA74" s="4">
        <f t="shared" si="10"/>
        <v>100</v>
      </c>
      <c r="AB74" s="4">
        <f t="shared" si="11"/>
        <v>115</v>
      </c>
      <c r="AC74" s="4">
        <f t="shared" si="12"/>
        <v>6.0717927061673205</v>
      </c>
      <c r="AD74" s="3"/>
      <c r="AE74" s="3"/>
      <c r="AF74" s="3"/>
      <c r="AG74" s="3"/>
      <c r="AH74" s="3"/>
      <c r="AT74" s="12"/>
      <c r="AU74" s="12"/>
      <c r="AV74" s="11"/>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row>
    <row r="75" spans="2:87" ht="24" customHeight="1" x14ac:dyDescent="0.2">
      <c r="B75" s="7">
        <f t="shared" si="9"/>
        <v>403</v>
      </c>
      <c r="C75" s="7" t="s">
        <v>155</v>
      </c>
      <c r="D75" s="7">
        <v>6</v>
      </c>
      <c r="E75" s="7">
        <v>1</v>
      </c>
      <c r="F75" s="7">
        <v>3</v>
      </c>
      <c r="G75" s="7">
        <v>1</v>
      </c>
      <c r="H75" s="7">
        <v>3</v>
      </c>
      <c r="I75" s="7" t="s">
        <v>158</v>
      </c>
      <c r="J75" s="9"/>
      <c r="K75" s="7" t="s">
        <v>2</v>
      </c>
      <c r="L75" s="6">
        <v>87</v>
      </c>
      <c r="M75" s="6"/>
      <c r="N75" s="6">
        <v>81</v>
      </c>
      <c r="O75" s="6"/>
      <c r="P75" s="6">
        <v>88</v>
      </c>
      <c r="Q75" s="6">
        <v>85</v>
      </c>
      <c r="R75" s="6"/>
      <c r="S75" s="6"/>
      <c r="T75" s="6"/>
      <c r="U75" s="6">
        <v>69</v>
      </c>
      <c r="V75" s="6"/>
      <c r="W75" s="6">
        <v>73</v>
      </c>
      <c r="X75" s="6"/>
      <c r="Y75" s="6">
        <v>78</v>
      </c>
      <c r="Z75" s="6"/>
      <c r="AA75" s="4">
        <f t="shared" si="10"/>
        <v>86.5</v>
      </c>
      <c r="AB75" s="4">
        <f t="shared" si="11"/>
        <v>79.083333333333329</v>
      </c>
      <c r="AC75" s="4">
        <f t="shared" si="12"/>
        <v>2.9507531995143959</v>
      </c>
      <c r="AD75" s="3"/>
      <c r="AE75" s="3"/>
      <c r="AF75" s="3"/>
      <c r="AG75" s="3"/>
      <c r="AH75" s="3"/>
    </row>
    <row r="76" spans="2:87" ht="24" customHeight="1" thickBot="1" x14ac:dyDescent="0.25">
      <c r="B76" s="7">
        <f t="shared" si="9"/>
        <v>403</v>
      </c>
      <c r="C76" s="15" t="s">
        <v>155</v>
      </c>
      <c r="D76" s="15">
        <v>6</v>
      </c>
      <c r="E76" s="15">
        <v>1</v>
      </c>
      <c r="F76" s="15">
        <v>3</v>
      </c>
      <c r="G76" s="15">
        <v>1</v>
      </c>
      <c r="H76" s="15">
        <v>3</v>
      </c>
      <c r="I76" s="15" t="s">
        <v>158</v>
      </c>
      <c r="J76" s="16"/>
      <c r="K76" s="15" t="s">
        <v>0</v>
      </c>
      <c r="L76" s="14">
        <v>105</v>
      </c>
      <c r="M76" s="13"/>
      <c r="N76" s="14">
        <v>93</v>
      </c>
      <c r="O76" s="13"/>
      <c r="P76" s="14">
        <v>90</v>
      </c>
      <c r="Q76" s="14">
        <v>82</v>
      </c>
      <c r="R76" s="14"/>
      <c r="S76" s="14"/>
      <c r="T76" s="13"/>
      <c r="U76" s="14">
        <v>87</v>
      </c>
      <c r="V76" s="13"/>
      <c r="W76" s="14">
        <v>107</v>
      </c>
      <c r="X76" s="13"/>
      <c r="Y76" s="14">
        <v>91</v>
      </c>
      <c r="Z76" s="13"/>
      <c r="AA76" s="4">
        <f t="shared" si="10"/>
        <v>86</v>
      </c>
      <c r="AB76" s="4">
        <f t="shared" si="11"/>
        <v>94.833333333333329</v>
      </c>
      <c r="AC76" s="4">
        <f t="shared" si="12"/>
        <v>3.6915820155832622</v>
      </c>
      <c r="AD76" s="3"/>
      <c r="AE76" s="3"/>
      <c r="AF76" s="3"/>
      <c r="AG76" s="3"/>
      <c r="AH76" s="3"/>
      <c r="AT76" s="12"/>
      <c r="AU76" s="12"/>
      <c r="AV76" s="11"/>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row>
    <row r="77" spans="2:87" ht="24" customHeight="1" x14ac:dyDescent="0.2">
      <c r="B77" s="7">
        <f t="shared" si="9"/>
        <v>402</v>
      </c>
      <c r="C77" s="7" t="s">
        <v>115</v>
      </c>
      <c r="D77" s="7">
        <v>9</v>
      </c>
      <c r="E77" s="7">
        <v>2</v>
      </c>
      <c r="F77" s="7">
        <v>2</v>
      </c>
      <c r="G77" s="7">
        <v>2</v>
      </c>
      <c r="H77" s="7">
        <v>3</v>
      </c>
      <c r="I77" s="7" t="s">
        <v>159</v>
      </c>
      <c r="J77" s="9"/>
      <c r="K77" s="7" t="s">
        <v>2</v>
      </c>
      <c r="L77" s="6">
        <v>89</v>
      </c>
      <c r="M77" s="5"/>
      <c r="N77" s="6">
        <v>90</v>
      </c>
      <c r="O77" s="5"/>
      <c r="P77" s="6">
        <v>98</v>
      </c>
      <c r="Q77" s="6">
        <v>92</v>
      </c>
      <c r="R77" s="6"/>
      <c r="S77" s="6"/>
      <c r="T77" s="5"/>
      <c r="U77" s="6">
        <v>92</v>
      </c>
      <c r="V77" s="5"/>
      <c r="W77" s="6">
        <v>86</v>
      </c>
      <c r="X77" s="5"/>
      <c r="Y77" s="6">
        <v>73</v>
      </c>
      <c r="Z77" s="5"/>
      <c r="AA77" s="4">
        <f t="shared" si="10"/>
        <v>95</v>
      </c>
      <c r="AB77" s="4">
        <f t="shared" si="11"/>
        <v>87.5</v>
      </c>
      <c r="AC77" s="4">
        <f t="shared" si="12"/>
        <v>3.1490739379485309</v>
      </c>
      <c r="AD77" s="3"/>
      <c r="AE77" s="3"/>
      <c r="AF77" s="3"/>
      <c r="AG77" s="3"/>
      <c r="AH77" s="3"/>
    </row>
    <row r="78" spans="2:87" ht="24" customHeight="1" thickBot="1" x14ac:dyDescent="0.25">
      <c r="B78" s="7">
        <f t="shared" si="9"/>
        <v>402</v>
      </c>
      <c r="C78" s="15" t="s">
        <v>115</v>
      </c>
      <c r="D78" s="15">
        <v>9</v>
      </c>
      <c r="E78" s="15">
        <v>2</v>
      </c>
      <c r="F78" s="15">
        <v>2</v>
      </c>
      <c r="G78" s="15">
        <v>2</v>
      </c>
      <c r="H78" s="15">
        <v>3</v>
      </c>
      <c r="I78" s="15" t="s">
        <v>159</v>
      </c>
      <c r="J78" s="16"/>
      <c r="K78" s="15" t="s">
        <v>0</v>
      </c>
      <c r="L78" s="14">
        <v>99</v>
      </c>
      <c r="M78" s="13"/>
      <c r="N78" s="14">
        <v>128</v>
      </c>
      <c r="O78" s="13"/>
      <c r="P78" s="14">
        <v>113</v>
      </c>
      <c r="Q78" s="14">
        <v>104</v>
      </c>
      <c r="R78" s="14"/>
      <c r="S78" s="14"/>
      <c r="T78" s="13"/>
      <c r="U78" s="14">
        <v>105</v>
      </c>
      <c r="V78" s="13"/>
      <c r="W78" s="14">
        <v>126</v>
      </c>
      <c r="X78" s="13"/>
      <c r="Y78" s="14">
        <v>101</v>
      </c>
      <c r="Z78" s="13"/>
      <c r="AA78" s="4">
        <f t="shared" si="10"/>
        <v>108.5</v>
      </c>
      <c r="AB78" s="4">
        <f t="shared" si="11"/>
        <v>111.25</v>
      </c>
      <c r="AC78" s="4">
        <f t="shared" si="12"/>
        <v>5.1635743434175518</v>
      </c>
      <c r="AD78" s="3"/>
      <c r="AE78" s="3"/>
      <c r="AF78" s="3"/>
      <c r="AG78" s="3"/>
      <c r="AH78" s="3"/>
      <c r="AT78" s="12"/>
      <c r="AU78" s="12"/>
      <c r="AV78" s="11"/>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row>
    <row r="79" spans="2:87" ht="24" customHeight="1" x14ac:dyDescent="0.2">
      <c r="B79" s="7">
        <f t="shared" si="9"/>
        <v>401</v>
      </c>
      <c r="C79" s="7" t="s">
        <v>152</v>
      </c>
      <c r="D79" s="7">
        <v>7</v>
      </c>
      <c r="E79" s="7">
        <v>2</v>
      </c>
      <c r="F79" s="7">
        <v>1</v>
      </c>
      <c r="G79" s="7">
        <v>2</v>
      </c>
      <c r="H79" s="7">
        <v>3</v>
      </c>
      <c r="I79" s="7" t="s">
        <v>160</v>
      </c>
      <c r="J79" s="9"/>
      <c r="K79" s="7" t="s">
        <v>2</v>
      </c>
      <c r="L79" s="6">
        <v>76</v>
      </c>
      <c r="M79" s="5"/>
      <c r="N79" s="6">
        <v>73</v>
      </c>
      <c r="O79" s="5"/>
      <c r="P79" s="6">
        <v>82</v>
      </c>
      <c r="Q79" s="6">
        <v>81</v>
      </c>
      <c r="R79" s="6"/>
      <c r="S79" s="6"/>
      <c r="T79" s="5"/>
      <c r="U79" s="6">
        <v>77</v>
      </c>
      <c r="V79" s="5"/>
      <c r="W79" s="6">
        <v>81</v>
      </c>
      <c r="X79" s="5"/>
      <c r="Y79" s="6">
        <v>88</v>
      </c>
      <c r="Z79" s="5"/>
      <c r="AA79" s="4">
        <f t="shared" si="10"/>
        <v>81.5</v>
      </c>
      <c r="AB79" s="4">
        <f t="shared" si="11"/>
        <v>79.416666666666671</v>
      </c>
      <c r="AC79" s="4">
        <f t="shared" si="12"/>
        <v>2.1541303994368071</v>
      </c>
      <c r="AD79" s="3"/>
      <c r="AE79" s="3"/>
      <c r="AF79" s="3"/>
      <c r="AG79" s="3"/>
      <c r="AH79" s="3"/>
    </row>
    <row r="80" spans="2:87" ht="24" customHeight="1" x14ac:dyDescent="0.2">
      <c r="B80" s="7">
        <f t="shared" si="9"/>
        <v>401</v>
      </c>
      <c r="C80" s="7" t="s">
        <v>152</v>
      </c>
      <c r="D80" s="7">
        <v>7</v>
      </c>
      <c r="E80" s="7">
        <v>2</v>
      </c>
      <c r="F80" s="7">
        <v>1</v>
      </c>
      <c r="G80" s="7">
        <v>2</v>
      </c>
      <c r="H80" s="7">
        <v>3</v>
      </c>
      <c r="I80" s="7" t="s">
        <v>160</v>
      </c>
      <c r="J80" s="7"/>
      <c r="K80" s="7" t="s">
        <v>0</v>
      </c>
      <c r="L80" s="6">
        <v>125</v>
      </c>
      <c r="M80" s="5"/>
      <c r="N80" s="6">
        <v>115</v>
      </c>
      <c r="O80" s="5"/>
      <c r="P80" s="6">
        <v>81</v>
      </c>
      <c r="Q80" s="6">
        <v>116</v>
      </c>
      <c r="R80" s="6"/>
      <c r="S80" s="6"/>
      <c r="T80" s="5"/>
      <c r="U80" s="6">
        <v>103</v>
      </c>
      <c r="V80" s="5"/>
      <c r="W80" s="6">
        <v>130</v>
      </c>
      <c r="X80" s="5"/>
      <c r="Y80" s="6">
        <v>114</v>
      </c>
      <c r="Z80" s="5"/>
      <c r="AA80" s="4">
        <f t="shared" si="10"/>
        <v>98.5</v>
      </c>
      <c r="AB80" s="4">
        <f t="shared" si="11"/>
        <v>114.25</v>
      </c>
      <c r="AC80" s="4">
        <f t="shared" si="12"/>
        <v>4.9627781198303307</v>
      </c>
      <c r="AD80" s="3"/>
      <c r="AE80" s="3"/>
      <c r="AF80" s="3"/>
      <c r="AG80" s="3"/>
      <c r="AH80" s="3"/>
    </row>
    <row r="81" spans="11:11" x14ac:dyDescent="0.2">
      <c r="K81" s="2"/>
    </row>
    <row r="82" spans="11:11" x14ac:dyDescent="0.2">
      <c r="K82" s="2"/>
    </row>
    <row r="83" spans="11:11" x14ac:dyDescent="0.2">
      <c r="K83" s="2"/>
    </row>
    <row r="84" spans="11:11" x14ac:dyDescent="0.2">
      <c r="K84" s="2"/>
    </row>
    <row r="85" spans="11:11" x14ac:dyDescent="0.2">
      <c r="K85" s="2"/>
    </row>
    <row r="86" spans="11:11" x14ac:dyDescent="0.2">
      <c r="K86" s="2"/>
    </row>
    <row r="87" spans="11:11" x14ac:dyDescent="0.2">
      <c r="K87" s="2"/>
    </row>
  </sheetData>
  <mergeCells count="12">
    <mergeCell ref="P6:T6"/>
    <mergeCell ref="U6:V6"/>
    <mergeCell ref="AT5:AV5"/>
    <mergeCell ref="J7:K7"/>
    <mergeCell ref="B7:H7"/>
    <mergeCell ref="AA6:AA7"/>
    <mergeCell ref="AB6:AB7"/>
    <mergeCell ref="AC6:AC7"/>
    <mergeCell ref="L6:M6"/>
    <mergeCell ref="N6:O6"/>
    <mergeCell ref="W6:X6"/>
    <mergeCell ref="Y6:Z6"/>
  </mergeCells>
  <pageMargins left="0.51" right="0" top="0.85" bottom="0" header="0.64" footer="0"/>
  <pageSetup paperSize="512" scale="30" orientation="landscape" r:id="rId1"/>
  <headerFooter alignWithMargins="0">
    <oddHeader xml:space="preserve">&amp;L&amp;"Comic Sans MS,Bold"&amp;14FISE2003 ---Cotton Plant Cover and Heights in North 1 m of Harvest Area&amp;C&amp;"Comic Sans MS,Bold"&amp;12       </oddHeader>
    <oddFooter>&amp;L&amp;F   USWCL Remote Sensing&amp;R&amp;D</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FBAE-0ABD-43E7-9134-EDCC21CC6E75}">
  <dimension ref="B5:T62"/>
  <sheetViews>
    <sheetView topLeftCell="D1" workbookViewId="0">
      <selection activeCell="T21" sqref="T21"/>
    </sheetView>
  </sheetViews>
  <sheetFormatPr defaultRowHeight="12.75" x14ac:dyDescent="0.2"/>
  <cols>
    <col min="1" max="16384" width="9.140625" style="1"/>
  </cols>
  <sheetData>
    <row r="5" spans="2:20" x14ac:dyDescent="0.2">
      <c r="B5" s="1" t="s">
        <v>171</v>
      </c>
      <c r="D5" s="61"/>
    </row>
    <row r="7" spans="2:20" x14ac:dyDescent="0.2">
      <c r="D7" s="1" t="s">
        <v>170</v>
      </c>
    </row>
    <row r="9" spans="2:20" x14ac:dyDescent="0.2">
      <c r="B9" s="1" t="s">
        <v>51</v>
      </c>
      <c r="C9" s="1" t="s">
        <v>14</v>
      </c>
      <c r="D9" s="1">
        <v>114</v>
      </c>
      <c r="E9" s="1">
        <v>115</v>
      </c>
      <c r="F9" s="1">
        <v>118</v>
      </c>
      <c r="G9" s="1">
        <v>119</v>
      </c>
      <c r="H9" s="1">
        <v>120</v>
      </c>
      <c r="I9" s="1">
        <v>122</v>
      </c>
      <c r="J9" s="1">
        <v>126</v>
      </c>
      <c r="K9" s="1">
        <v>132</v>
      </c>
      <c r="L9" s="1">
        <v>136</v>
      </c>
      <c r="M9" s="1">
        <v>140</v>
      </c>
      <c r="O9" s="60">
        <v>0.5</v>
      </c>
      <c r="P9" s="1" t="s">
        <v>169</v>
      </c>
      <c r="R9" s="1" t="s">
        <v>161</v>
      </c>
    </row>
    <row r="10" spans="2:20" ht="15" x14ac:dyDescent="0.25">
      <c r="B10" s="59">
        <v>101</v>
      </c>
      <c r="C10" s="59">
        <v>1</v>
      </c>
      <c r="D10" s="58">
        <v>2.1666666666666665</v>
      </c>
      <c r="E10" s="58">
        <v>4.75</v>
      </c>
      <c r="F10" s="58">
        <v>8</v>
      </c>
      <c r="G10" s="58">
        <v>11.333333333333334</v>
      </c>
      <c r="H10" s="58">
        <v>11.25</v>
      </c>
      <c r="I10" s="58">
        <v>10.333333333333334</v>
      </c>
      <c r="J10" s="58">
        <v>8.6666666666666661</v>
      </c>
      <c r="K10" s="58">
        <v>10.75</v>
      </c>
      <c r="L10" s="58">
        <v>9.9166666666666661</v>
      </c>
      <c r="M10" s="58">
        <v>5.270833333333333</v>
      </c>
      <c r="N10" s="58"/>
      <c r="O10" s="58">
        <f t="shared" ref="O10:O41" si="0">L10/2</f>
        <v>4.958333333333333</v>
      </c>
      <c r="P10" s="58">
        <f>$E$9+(O10-E10)/(F10-E10)*($F$9-$E$9)</f>
        <v>115.19230769230769</v>
      </c>
      <c r="Q10" s="58"/>
      <c r="R10" s="132">
        <f>IF(M10&lt;7,M10,AVERAGE(K10:M10))</f>
        <v>5.270833333333333</v>
      </c>
      <c r="S10" s="58"/>
      <c r="T10" s="58"/>
    </row>
    <row r="11" spans="2:20" ht="15" x14ac:dyDescent="0.25">
      <c r="B11" s="59">
        <v>102</v>
      </c>
      <c r="C11" s="59">
        <v>2</v>
      </c>
      <c r="D11" s="58">
        <v>2.4166666666666665</v>
      </c>
      <c r="E11" s="58">
        <v>4.166666666666667</v>
      </c>
      <c r="F11" s="58">
        <v>6.583333333333333</v>
      </c>
      <c r="G11" s="58">
        <v>10.416666666666666</v>
      </c>
      <c r="H11" s="58">
        <v>8.25</v>
      </c>
      <c r="I11" s="58">
        <v>9.5</v>
      </c>
      <c r="J11" s="58">
        <v>8.5</v>
      </c>
      <c r="K11" s="58">
        <v>10.333333333333334</v>
      </c>
      <c r="L11" s="58">
        <v>9.1666666666666661</v>
      </c>
      <c r="M11" s="58">
        <v>9.3333333333333339</v>
      </c>
      <c r="N11" s="58"/>
      <c r="O11" s="58">
        <f t="shared" si="0"/>
        <v>4.583333333333333</v>
      </c>
      <c r="P11" s="58">
        <f>$E$9+(O11-E11)/(F11-E11)*($F$9-$E$9)</f>
        <v>115.51724137931035</v>
      </c>
      <c r="Q11" s="58"/>
      <c r="R11" s="132">
        <f t="shared" ref="R11:R41" si="1">IF(M11&lt;7,M11,AVERAGE(K11:M11))</f>
        <v>9.6111111111111125</v>
      </c>
      <c r="S11" s="58"/>
      <c r="T11" s="58"/>
    </row>
    <row r="12" spans="2:20" ht="15" x14ac:dyDescent="0.25">
      <c r="B12" s="59">
        <v>103</v>
      </c>
      <c r="C12" s="59">
        <v>3</v>
      </c>
      <c r="D12" s="58">
        <v>15.833333333333334</v>
      </c>
      <c r="E12" s="58">
        <v>18</v>
      </c>
      <c r="F12" s="58">
        <v>20.916666666666668</v>
      </c>
      <c r="G12" s="58">
        <v>22.333333333333332</v>
      </c>
      <c r="H12" s="58">
        <v>21.666666666666668</v>
      </c>
      <c r="I12" s="58">
        <v>22.583333333333332</v>
      </c>
      <c r="J12" s="58">
        <v>20.916666666666668</v>
      </c>
      <c r="K12" s="58">
        <v>24.333333333333332</v>
      </c>
      <c r="L12" s="58">
        <v>22</v>
      </c>
      <c r="M12" s="58">
        <v>22.416666666666668</v>
      </c>
      <c r="N12" s="58"/>
      <c r="O12" s="58">
        <f t="shared" si="0"/>
        <v>11</v>
      </c>
      <c r="P12" s="58">
        <v>113</v>
      </c>
      <c r="Q12" s="58"/>
      <c r="R12" s="132">
        <f t="shared" si="1"/>
        <v>22.916666666666668</v>
      </c>
      <c r="S12" s="58"/>
      <c r="T12" s="58"/>
    </row>
    <row r="13" spans="2:20" ht="15" x14ac:dyDescent="0.25">
      <c r="B13" s="59">
        <v>104</v>
      </c>
      <c r="C13" s="59">
        <v>2</v>
      </c>
      <c r="D13" s="58">
        <v>4.166666666666667</v>
      </c>
      <c r="E13" s="58">
        <v>5.083333333333333</v>
      </c>
      <c r="F13" s="58">
        <v>10.25</v>
      </c>
      <c r="G13" s="58">
        <v>11.416666666666666</v>
      </c>
      <c r="H13" s="58">
        <v>11.25</v>
      </c>
      <c r="I13" s="58">
        <v>11.916666666666666</v>
      </c>
      <c r="J13" s="58">
        <v>11.166666666666666</v>
      </c>
      <c r="K13" s="58">
        <v>13.083333333333334</v>
      </c>
      <c r="L13" s="58">
        <v>11.833333333333334</v>
      </c>
      <c r="M13" s="58">
        <v>12.027777777777779</v>
      </c>
      <c r="N13" s="58"/>
      <c r="O13" s="58">
        <f t="shared" si="0"/>
        <v>5.916666666666667</v>
      </c>
      <c r="P13" s="58">
        <f>$E$9+(O13-E13)/(F13-E13)*($F$9-$E$9)</f>
        <v>115.48387096774194</v>
      </c>
      <c r="Q13" s="58"/>
      <c r="R13" s="132">
        <f t="shared" si="1"/>
        <v>12.314814814814815</v>
      </c>
      <c r="S13" s="58"/>
      <c r="T13" s="58"/>
    </row>
    <row r="14" spans="2:20" ht="15" x14ac:dyDescent="0.25">
      <c r="B14" s="59">
        <v>105</v>
      </c>
      <c r="C14" s="59">
        <v>3</v>
      </c>
      <c r="D14" s="58">
        <v>12.166666666666666</v>
      </c>
      <c r="E14" s="58">
        <v>17.166666666666668</v>
      </c>
      <c r="F14" s="58">
        <v>20.25</v>
      </c>
      <c r="G14" s="58">
        <v>23.833333333333332</v>
      </c>
      <c r="H14" s="58">
        <v>21.75</v>
      </c>
      <c r="I14" s="58">
        <v>24.083333333333332</v>
      </c>
      <c r="J14" s="58">
        <v>21.5</v>
      </c>
      <c r="K14" s="58">
        <v>25.083333333333332</v>
      </c>
      <c r="L14" s="58">
        <v>23.25</v>
      </c>
      <c r="M14" s="58">
        <v>23.277777777777782</v>
      </c>
      <c r="N14" s="58"/>
      <c r="O14" s="58">
        <f t="shared" si="0"/>
        <v>11.625</v>
      </c>
      <c r="P14" s="58">
        <v>113</v>
      </c>
      <c r="Q14" s="58"/>
      <c r="R14" s="132">
        <f t="shared" si="1"/>
        <v>23.87037037037037</v>
      </c>
      <c r="S14" s="58"/>
      <c r="T14" s="58"/>
    </row>
    <row r="15" spans="2:20" ht="15" x14ac:dyDescent="0.25">
      <c r="B15" s="59">
        <v>106</v>
      </c>
      <c r="C15" s="59">
        <v>2</v>
      </c>
      <c r="D15" s="58">
        <v>6.5</v>
      </c>
      <c r="E15" s="58">
        <v>9.75</v>
      </c>
      <c r="F15" s="58">
        <v>11.75</v>
      </c>
      <c r="G15" s="58">
        <v>11.666666666666666</v>
      </c>
      <c r="H15" s="58">
        <v>11.75</v>
      </c>
      <c r="I15" s="58">
        <v>12.333333333333334</v>
      </c>
      <c r="J15" s="58">
        <v>11.416666666666666</v>
      </c>
      <c r="K15" s="58">
        <v>13.083333333333334</v>
      </c>
      <c r="L15" s="58">
        <v>12</v>
      </c>
      <c r="M15" s="58">
        <v>12.166666666666666</v>
      </c>
      <c r="N15" s="58"/>
      <c r="O15" s="58">
        <f t="shared" si="0"/>
        <v>6</v>
      </c>
      <c r="P15" s="58">
        <v>113</v>
      </c>
      <c r="Q15" s="58"/>
      <c r="R15" s="132">
        <f t="shared" si="1"/>
        <v>12.416666666666666</v>
      </c>
      <c r="S15" s="58"/>
      <c r="T15" s="58"/>
    </row>
    <row r="16" spans="2:20" ht="15" x14ac:dyDescent="0.25">
      <c r="B16" s="59">
        <v>107</v>
      </c>
      <c r="C16" s="59">
        <v>2</v>
      </c>
      <c r="D16" s="58">
        <v>7.416666666666667</v>
      </c>
      <c r="E16" s="58">
        <v>9.6666666666666661</v>
      </c>
      <c r="F16" s="58">
        <v>10.75</v>
      </c>
      <c r="G16" s="58">
        <v>11.083333333333334</v>
      </c>
      <c r="H16" s="58">
        <v>10.666666666666666</v>
      </c>
      <c r="I16" s="58">
        <v>11.166666666666666</v>
      </c>
      <c r="J16" s="58">
        <v>10.916666666666666</v>
      </c>
      <c r="K16" s="58">
        <v>12.166666666666666</v>
      </c>
      <c r="L16" s="58">
        <v>11.333333333333334</v>
      </c>
      <c r="M16" s="58">
        <v>11.472222222222221</v>
      </c>
      <c r="N16" s="58"/>
      <c r="O16" s="58">
        <f t="shared" si="0"/>
        <v>5.666666666666667</v>
      </c>
      <c r="P16" s="58">
        <v>113</v>
      </c>
      <c r="Q16" s="58"/>
      <c r="R16" s="132">
        <f t="shared" si="1"/>
        <v>11.657407407407407</v>
      </c>
      <c r="S16" s="58"/>
      <c r="T16" s="58"/>
    </row>
    <row r="17" spans="2:20" ht="15" x14ac:dyDescent="0.25">
      <c r="B17" s="59">
        <v>108</v>
      </c>
      <c r="C17" s="59">
        <v>2</v>
      </c>
      <c r="D17" s="58">
        <v>6.666666666666667</v>
      </c>
      <c r="E17" s="58">
        <v>8.6666666666666661</v>
      </c>
      <c r="F17" s="58">
        <v>11.083333333333334</v>
      </c>
      <c r="G17" s="58">
        <v>11.833333333333334</v>
      </c>
      <c r="H17" s="58">
        <v>11.416666666666666</v>
      </c>
      <c r="I17" s="58">
        <v>12.083333333333334</v>
      </c>
      <c r="J17" s="58">
        <v>11.25</v>
      </c>
      <c r="K17" s="58">
        <v>12.75</v>
      </c>
      <c r="L17" s="58">
        <v>11.75</v>
      </c>
      <c r="M17" s="58">
        <v>11.916666666666666</v>
      </c>
      <c r="N17" s="58"/>
      <c r="O17" s="58">
        <f t="shared" si="0"/>
        <v>5.875</v>
      </c>
      <c r="P17" s="58">
        <v>113</v>
      </c>
      <c r="Q17" s="58"/>
      <c r="R17" s="132">
        <f t="shared" si="1"/>
        <v>12.138888888888888</v>
      </c>
      <c r="S17" s="58"/>
      <c r="T17" s="58"/>
    </row>
    <row r="18" spans="2:20" ht="15" x14ac:dyDescent="0.25">
      <c r="B18" s="59">
        <v>201</v>
      </c>
      <c r="C18" s="59">
        <v>3</v>
      </c>
      <c r="D18" s="58">
        <v>9.0833333333333339</v>
      </c>
      <c r="E18" s="58">
        <v>14.666666666666666</v>
      </c>
      <c r="F18" s="58">
        <v>19.416666666666668</v>
      </c>
      <c r="G18" s="58">
        <v>20.916666666666668</v>
      </c>
      <c r="H18" s="58">
        <v>19.666666666666668</v>
      </c>
      <c r="I18" s="58">
        <v>22.166666666666668</v>
      </c>
      <c r="J18" s="58">
        <v>20</v>
      </c>
      <c r="K18" s="58">
        <v>23.583333333333332</v>
      </c>
      <c r="L18" s="58">
        <v>21.75</v>
      </c>
      <c r="M18" s="58">
        <v>21.777777777777775</v>
      </c>
      <c r="N18" s="58"/>
      <c r="O18" s="58">
        <f t="shared" si="0"/>
        <v>10.875</v>
      </c>
      <c r="P18" s="58">
        <f>$D$9+(O18-D18)/(E18-D18)*($E$9-$D$9)</f>
        <v>114.32089552238806</v>
      </c>
      <c r="Q18" s="58"/>
      <c r="R18" s="132">
        <f t="shared" si="1"/>
        <v>22.370370370370367</v>
      </c>
      <c r="S18" s="58"/>
      <c r="T18" s="58"/>
    </row>
    <row r="19" spans="2:20" ht="15" x14ac:dyDescent="0.25">
      <c r="B19" s="59">
        <v>202</v>
      </c>
      <c r="C19" s="59">
        <v>2</v>
      </c>
      <c r="D19" s="58">
        <v>3.3333333333333335</v>
      </c>
      <c r="E19" s="58">
        <v>6.25</v>
      </c>
      <c r="F19" s="58">
        <v>11.333333333333334</v>
      </c>
      <c r="G19" s="58">
        <v>12.666666666666666</v>
      </c>
      <c r="H19" s="58">
        <v>11.583333333333334</v>
      </c>
      <c r="I19" s="58">
        <v>12.5</v>
      </c>
      <c r="J19" s="58">
        <v>11.916666666666666</v>
      </c>
      <c r="K19" s="58">
        <v>13.25</v>
      </c>
      <c r="L19" s="58">
        <v>12.416666666666666</v>
      </c>
      <c r="M19" s="58">
        <v>12.527777777777777</v>
      </c>
      <c r="N19" s="58"/>
      <c r="O19" s="58">
        <f t="shared" si="0"/>
        <v>6.208333333333333</v>
      </c>
      <c r="P19" s="58">
        <f>$D$9+(O19-D19)/(E19-D19)*($E$9-$D$9)</f>
        <v>114.98571428571428</v>
      </c>
      <c r="Q19" s="58"/>
      <c r="R19" s="132">
        <f t="shared" si="1"/>
        <v>12.731481481481481</v>
      </c>
      <c r="S19" s="58"/>
      <c r="T19" s="58"/>
    </row>
    <row r="20" spans="2:20" ht="15" x14ac:dyDescent="0.25">
      <c r="B20" s="59">
        <v>203</v>
      </c>
      <c r="C20" s="59">
        <v>2</v>
      </c>
      <c r="D20" s="58">
        <v>6.166666666666667</v>
      </c>
      <c r="E20" s="58">
        <v>8.75</v>
      </c>
      <c r="F20" s="58">
        <v>10</v>
      </c>
      <c r="G20" s="58">
        <v>10.5</v>
      </c>
      <c r="H20" s="58">
        <v>10.833333333333334</v>
      </c>
      <c r="I20" s="58">
        <v>9.6666666666666661</v>
      </c>
      <c r="J20" s="58">
        <v>9.6666666666666661</v>
      </c>
      <c r="K20" s="58">
        <v>11.833333333333334</v>
      </c>
      <c r="L20" s="58">
        <v>10.5</v>
      </c>
      <c r="M20" s="58">
        <v>10.666666666666666</v>
      </c>
      <c r="N20" s="58"/>
      <c r="O20" s="58">
        <f t="shared" si="0"/>
        <v>5.25</v>
      </c>
      <c r="P20" s="58">
        <v>113</v>
      </c>
      <c r="Q20" s="58"/>
      <c r="R20" s="132">
        <f t="shared" si="1"/>
        <v>11</v>
      </c>
      <c r="S20" s="58"/>
      <c r="T20" s="58"/>
    </row>
    <row r="21" spans="2:20" ht="15" x14ac:dyDescent="0.25">
      <c r="B21" s="59">
        <v>204</v>
      </c>
      <c r="C21" s="59">
        <v>3</v>
      </c>
      <c r="D21" s="58">
        <v>17.583333333333332</v>
      </c>
      <c r="E21" s="58">
        <v>19.833333333333332</v>
      </c>
      <c r="F21" s="58">
        <v>23.583333333333332</v>
      </c>
      <c r="G21" s="58">
        <v>24.583333333333332</v>
      </c>
      <c r="H21" s="58">
        <v>23.166666666666668</v>
      </c>
      <c r="I21" s="58">
        <v>22.666666666666668</v>
      </c>
      <c r="J21" s="58">
        <v>22.416666666666668</v>
      </c>
      <c r="K21" s="58">
        <v>25.833333333333332</v>
      </c>
      <c r="L21" s="58">
        <v>23.833333333333332</v>
      </c>
      <c r="M21" s="58">
        <v>24.027777777777782</v>
      </c>
      <c r="N21" s="58"/>
      <c r="O21" s="58">
        <f t="shared" si="0"/>
        <v>11.916666666666666</v>
      </c>
      <c r="P21" s="58">
        <v>113</v>
      </c>
      <c r="Q21" s="58"/>
      <c r="R21" s="132">
        <f t="shared" si="1"/>
        <v>24.564814814814813</v>
      </c>
      <c r="S21" s="58"/>
      <c r="T21" s="58"/>
    </row>
    <row r="22" spans="2:20" ht="15" x14ac:dyDescent="0.25">
      <c r="B22" s="59">
        <v>205</v>
      </c>
      <c r="C22" s="59">
        <v>1</v>
      </c>
      <c r="D22" s="58">
        <v>4.5</v>
      </c>
      <c r="E22" s="58">
        <v>8.25</v>
      </c>
      <c r="F22" s="58">
        <v>10.833333333333334</v>
      </c>
      <c r="G22" s="58">
        <v>11.75</v>
      </c>
      <c r="H22" s="58">
        <v>11</v>
      </c>
      <c r="I22" s="58">
        <v>11.083333333333334</v>
      </c>
      <c r="J22" s="58">
        <v>10.833333333333334</v>
      </c>
      <c r="K22" s="58">
        <v>12.5</v>
      </c>
      <c r="L22" s="58">
        <v>11.583333333333334</v>
      </c>
      <c r="M22" s="58">
        <v>5</v>
      </c>
      <c r="N22" s="58"/>
      <c r="O22" s="58">
        <f t="shared" si="0"/>
        <v>5.791666666666667</v>
      </c>
      <c r="P22" s="58">
        <f>$D$9+(O22-D22)/(E22-D22)*($E$9-$D$9)</f>
        <v>114.34444444444445</v>
      </c>
      <c r="Q22" s="58"/>
      <c r="R22" s="132">
        <f t="shared" si="1"/>
        <v>5</v>
      </c>
      <c r="S22" s="58"/>
      <c r="T22" s="58"/>
    </row>
    <row r="23" spans="2:20" ht="15" x14ac:dyDescent="0.25">
      <c r="B23" s="59">
        <v>206</v>
      </c>
      <c r="C23" s="59">
        <v>1</v>
      </c>
      <c r="D23" s="58">
        <v>8.8333333333333339</v>
      </c>
      <c r="E23" s="58">
        <v>10.916666666666666</v>
      </c>
      <c r="F23" s="58">
        <v>11.833333333333334</v>
      </c>
      <c r="G23" s="58">
        <v>12.583333333333334</v>
      </c>
      <c r="H23" s="58">
        <v>11.833333333333334</v>
      </c>
      <c r="I23" s="58">
        <v>11.583333333333334</v>
      </c>
      <c r="J23" s="58">
        <v>11.75</v>
      </c>
      <c r="K23" s="58">
        <v>13.416666666666666</v>
      </c>
      <c r="L23" s="58">
        <v>12.333333333333334</v>
      </c>
      <c r="M23" s="58">
        <v>5.229166666666667</v>
      </c>
      <c r="N23" s="58"/>
      <c r="O23" s="58">
        <f t="shared" si="0"/>
        <v>6.166666666666667</v>
      </c>
      <c r="P23" s="58">
        <v>113</v>
      </c>
      <c r="Q23" s="58"/>
      <c r="R23" s="132">
        <f t="shared" si="1"/>
        <v>5.229166666666667</v>
      </c>
      <c r="S23" s="58"/>
      <c r="T23" s="58"/>
    </row>
    <row r="24" spans="2:20" ht="15" x14ac:dyDescent="0.25">
      <c r="B24" s="59">
        <v>207</v>
      </c>
      <c r="C24" s="59">
        <v>2</v>
      </c>
      <c r="D24" s="58">
        <v>7.416666666666667</v>
      </c>
      <c r="E24" s="58">
        <v>9.75</v>
      </c>
      <c r="F24" s="58">
        <v>11.583333333333334</v>
      </c>
      <c r="G24" s="58">
        <v>11.75</v>
      </c>
      <c r="H24" s="58">
        <v>11.166666666666666</v>
      </c>
      <c r="I24" s="58">
        <v>11.25</v>
      </c>
      <c r="J24" s="58">
        <v>11</v>
      </c>
      <c r="K24" s="58">
        <v>12.75</v>
      </c>
      <c r="L24" s="58">
        <v>11.5</v>
      </c>
      <c r="M24" s="58">
        <v>11.75</v>
      </c>
      <c r="N24" s="58"/>
      <c r="O24" s="58">
        <f t="shared" si="0"/>
        <v>5.75</v>
      </c>
      <c r="P24" s="58">
        <v>113</v>
      </c>
      <c r="Q24" s="58"/>
      <c r="R24" s="132">
        <f t="shared" si="1"/>
        <v>12</v>
      </c>
      <c r="S24" s="58"/>
      <c r="T24" s="58"/>
    </row>
    <row r="25" spans="2:20" ht="15" x14ac:dyDescent="0.25">
      <c r="B25" s="59">
        <v>208</v>
      </c>
      <c r="C25" s="59">
        <v>1</v>
      </c>
      <c r="D25" s="58">
        <v>6.75</v>
      </c>
      <c r="E25" s="58">
        <v>8.5833333333333339</v>
      </c>
      <c r="F25" s="58">
        <v>11.083333333333334</v>
      </c>
      <c r="G25" s="58">
        <v>11.166666666666666</v>
      </c>
      <c r="H25" s="58">
        <v>10.916666666666666</v>
      </c>
      <c r="I25" s="58">
        <v>11.416666666666666</v>
      </c>
      <c r="J25" s="58">
        <v>10.583333333333334</v>
      </c>
      <c r="K25" s="58">
        <v>12.333333333333334</v>
      </c>
      <c r="L25" s="58">
        <v>11.25</v>
      </c>
      <c r="M25" s="58">
        <v>5.020833333333333</v>
      </c>
      <c r="N25" s="58"/>
      <c r="O25" s="58">
        <f t="shared" si="0"/>
        <v>5.625</v>
      </c>
      <c r="P25" s="58">
        <v>113</v>
      </c>
      <c r="Q25" s="58"/>
      <c r="R25" s="132">
        <f t="shared" si="1"/>
        <v>5.020833333333333</v>
      </c>
      <c r="S25" s="58"/>
      <c r="T25" s="58"/>
    </row>
    <row r="26" spans="2:20" ht="15" x14ac:dyDescent="0.25">
      <c r="B26" s="59">
        <v>301</v>
      </c>
      <c r="C26" s="59">
        <v>2</v>
      </c>
      <c r="D26" s="58">
        <v>1</v>
      </c>
      <c r="E26" s="58">
        <v>3.3333333333333335</v>
      </c>
      <c r="F26" s="58">
        <v>10.083333333333334</v>
      </c>
      <c r="G26" s="58">
        <v>10.25</v>
      </c>
      <c r="H26" s="58">
        <v>10.666666666666666</v>
      </c>
      <c r="I26" s="58">
        <v>10.5</v>
      </c>
      <c r="J26" s="58">
        <v>11.75</v>
      </c>
      <c r="K26" s="58">
        <v>10.916666666666666</v>
      </c>
      <c r="L26" s="58">
        <v>11.25</v>
      </c>
      <c r="M26" s="58">
        <v>11.305555555555557</v>
      </c>
      <c r="N26" s="58"/>
      <c r="O26" s="58">
        <f t="shared" si="0"/>
        <v>5.625</v>
      </c>
      <c r="P26" s="58">
        <f>$E$9+(O26-E26)/(F26-E26)*($F$9-$E$9)</f>
        <v>116.01851851851852</v>
      </c>
      <c r="Q26" s="58"/>
      <c r="R26" s="132">
        <f t="shared" si="1"/>
        <v>11.157407407407407</v>
      </c>
      <c r="S26" s="58"/>
      <c r="T26" s="58"/>
    </row>
    <row r="27" spans="2:20" ht="15" x14ac:dyDescent="0.25">
      <c r="B27" s="59">
        <v>302</v>
      </c>
      <c r="C27" s="59">
        <v>2</v>
      </c>
      <c r="D27" s="58">
        <v>2.0833333333333335</v>
      </c>
      <c r="E27" s="58">
        <v>3.75</v>
      </c>
      <c r="F27" s="58">
        <v>10.5</v>
      </c>
      <c r="G27" s="58">
        <v>10.583333333333334</v>
      </c>
      <c r="H27" s="58">
        <v>11.583333333333334</v>
      </c>
      <c r="I27" s="58">
        <v>11.333333333333334</v>
      </c>
      <c r="J27" s="58">
        <v>12.5</v>
      </c>
      <c r="K27" s="58">
        <v>11.25</v>
      </c>
      <c r="L27" s="58">
        <v>11.916666666666666</v>
      </c>
      <c r="M27" s="58">
        <v>11.888888888888891</v>
      </c>
      <c r="N27" s="58"/>
      <c r="O27" s="58">
        <f t="shared" si="0"/>
        <v>5.958333333333333</v>
      </c>
      <c r="P27" s="58">
        <f>$E$9+(O27-E27)/(F27-E27)*($F$9-$E$9)</f>
        <v>115.98148148148148</v>
      </c>
      <c r="Q27" s="58"/>
      <c r="R27" s="132">
        <f t="shared" si="1"/>
        <v>11.685185185185185</v>
      </c>
      <c r="S27" s="58"/>
      <c r="T27" s="58"/>
    </row>
    <row r="28" spans="2:20" ht="15" x14ac:dyDescent="0.25">
      <c r="B28" s="59">
        <v>303</v>
      </c>
      <c r="C28" s="59">
        <v>1</v>
      </c>
      <c r="D28" s="58">
        <v>3.1666666666666665</v>
      </c>
      <c r="E28" s="58">
        <v>5.75</v>
      </c>
      <c r="F28" s="58">
        <v>11.333333333333334</v>
      </c>
      <c r="G28" s="58">
        <v>11.083333333333334</v>
      </c>
      <c r="H28" s="58">
        <v>11.916666666666666</v>
      </c>
      <c r="I28" s="58">
        <v>11.583333333333334</v>
      </c>
      <c r="J28" s="58">
        <v>12.916666666666666</v>
      </c>
      <c r="K28" s="58">
        <v>11.916666666666666</v>
      </c>
      <c r="L28" s="58">
        <v>12</v>
      </c>
      <c r="M28" s="58">
        <v>5.375</v>
      </c>
      <c r="N28" s="58"/>
      <c r="O28" s="58">
        <f t="shared" si="0"/>
        <v>6</v>
      </c>
      <c r="P28" s="58">
        <f>$E$9+(O28-E28)/(F28-E28)*($F$9-$E$9)</f>
        <v>115.13432835820896</v>
      </c>
      <c r="Q28" s="58"/>
      <c r="R28" s="132">
        <f t="shared" si="1"/>
        <v>5.375</v>
      </c>
      <c r="S28" s="58"/>
      <c r="T28" s="58"/>
    </row>
    <row r="29" spans="2:20" ht="15" x14ac:dyDescent="0.25">
      <c r="B29" s="59">
        <v>304</v>
      </c>
      <c r="C29" s="59">
        <v>1</v>
      </c>
      <c r="D29" s="58">
        <v>5.25</v>
      </c>
      <c r="E29" s="58">
        <v>7.333333333333333</v>
      </c>
      <c r="F29" s="58">
        <v>11.666666666666666</v>
      </c>
      <c r="G29" s="58">
        <v>11.583333333333334</v>
      </c>
      <c r="H29" s="58">
        <v>12.333333333333334</v>
      </c>
      <c r="I29" s="58">
        <v>12</v>
      </c>
      <c r="J29" s="58">
        <v>12.916666666666666</v>
      </c>
      <c r="K29" s="58">
        <v>11.75</v>
      </c>
      <c r="L29" s="58">
        <v>12.5</v>
      </c>
      <c r="M29" s="58">
        <v>5.166666666666667</v>
      </c>
      <c r="N29" s="58"/>
      <c r="O29" s="58">
        <f t="shared" si="0"/>
        <v>6.25</v>
      </c>
      <c r="P29" s="58">
        <f>$D$9+(O29-D29)/(E29-D29)*($E$9-$D$9)</f>
        <v>114.48</v>
      </c>
      <c r="Q29" s="58"/>
      <c r="R29" s="132">
        <f t="shared" si="1"/>
        <v>5.166666666666667</v>
      </c>
      <c r="S29" s="58"/>
      <c r="T29" s="58"/>
    </row>
    <row r="30" spans="2:20" ht="15" x14ac:dyDescent="0.25">
      <c r="B30" s="59">
        <v>305</v>
      </c>
      <c r="C30" s="59">
        <v>3</v>
      </c>
      <c r="D30" s="58">
        <v>14.333333333333334</v>
      </c>
      <c r="E30" s="58">
        <v>19.25</v>
      </c>
      <c r="F30" s="58">
        <v>24.5</v>
      </c>
      <c r="G30" s="58">
        <v>24</v>
      </c>
      <c r="H30" s="58">
        <v>25</v>
      </c>
      <c r="I30" s="58">
        <v>25</v>
      </c>
      <c r="J30" s="58">
        <v>26.833333333333332</v>
      </c>
      <c r="K30" s="58">
        <v>24.5</v>
      </c>
      <c r="L30" s="58">
        <v>25.666666666666668</v>
      </c>
      <c r="M30" s="58">
        <v>25.666666666666668</v>
      </c>
      <c r="N30" s="58"/>
      <c r="O30" s="58">
        <f t="shared" si="0"/>
        <v>12.833333333333334</v>
      </c>
      <c r="P30" s="58">
        <v>113</v>
      </c>
      <c r="Q30" s="58"/>
      <c r="R30" s="132">
        <f t="shared" si="1"/>
        <v>25.277777777777782</v>
      </c>
      <c r="S30" s="58"/>
      <c r="T30" s="58"/>
    </row>
    <row r="31" spans="2:20" ht="15" x14ac:dyDescent="0.25">
      <c r="B31" s="59">
        <v>306</v>
      </c>
      <c r="C31" s="59">
        <v>2</v>
      </c>
      <c r="D31" s="58">
        <v>6.333333333333333</v>
      </c>
      <c r="E31" s="58">
        <v>8</v>
      </c>
      <c r="F31" s="58">
        <v>11.25</v>
      </c>
      <c r="G31" s="58">
        <v>11.75</v>
      </c>
      <c r="H31" s="58">
        <v>12.416666666666666</v>
      </c>
      <c r="I31" s="58">
        <v>12.416666666666666</v>
      </c>
      <c r="J31" s="58">
        <v>13.25</v>
      </c>
      <c r="K31" s="58">
        <v>11.833333333333334</v>
      </c>
      <c r="L31" s="58">
        <v>13</v>
      </c>
      <c r="M31" s="58">
        <v>12.694444444444443</v>
      </c>
      <c r="N31" s="58"/>
      <c r="O31" s="58">
        <f t="shared" si="0"/>
        <v>6.5</v>
      </c>
      <c r="P31" s="58">
        <f>$D$9+(O31-D31)/(E31-D31)*($E$9-$D$9)</f>
        <v>114.1</v>
      </c>
      <c r="Q31" s="58"/>
      <c r="R31" s="132">
        <f t="shared" si="1"/>
        <v>12.50925925925926</v>
      </c>
      <c r="S31" s="58"/>
      <c r="T31" s="58"/>
    </row>
    <row r="32" spans="2:20" ht="15" x14ac:dyDescent="0.25">
      <c r="B32" s="59">
        <v>307</v>
      </c>
      <c r="C32" s="59">
        <v>2</v>
      </c>
      <c r="D32" s="58">
        <v>8.6666666666666661</v>
      </c>
      <c r="E32" s="58">
        <v>9.6666666666666661</v>
      </c>
      <c r="F32" s="58">
        <v>11.416666666666666</v>
      </c>
      <c r="G32" s="58">
        <v>11.416666666666666</v>
      </c>
      <c r="H32" s="58">
        <v>11.583333333333334</v>
      </c>
      <c r="I32" s="58">
        <v>11.416666666666666</v>
      </c>
      <c r="J32" s="58">
        <v>12.416666666666666</v>
      </c>
      <c r="K32" s="58">
        <v>11.333333333333334</v>
      </c>
      <c r="L32" s="58">
        <v>12.083333333333334</v>
      </c>
      <c r="M32" s="58">
        <v>11.944444444444445</v>
      </c>
      <c r="N32" s="58"/>
      <c r="O32" s="58">
        <f t="shared" si="0"/>
        <v>6.041666666666667</v>
      </c>
      <c r="P32" s="58">
        <v>113</v>
      </c>
      <c r="Q32" s="58"/>
      <c r="R32" s="132">
        <f t="shared" si="1"/>
        <v>11.787037037037038</v>
      </c>
      <c r="S32" s="58"/>
      <c r="T32" s="58"/>
    </row>
    <row r="33" spans="2:20" ht="15" x14ac:dyDescent="0.25">
      <c r="B33" s="59">
        <v>308</v>
      </c>
      <c r="C33" s="59">
        <v>3</v>
      </c>
      <c r="D33" s="58">
        <v>16</v>
      </c>
      <c r="E33" s="58">
        <v>18.833333333333332</v>
      </c>
      <c r="F33" s="58">
        <v>21.75</v>
      </c>
      <c r="G33" s="58">
        <v>20.333333333333332</v>
      </c>
      <c r="H33" s="58">
        <v>21.75</v>
      </c>
      <c r="I33" s="58">
        <v>22.25</v>
      </c>
      <c r="J33" s="58">
        <v>24</v>
      </c>
      <c r="K33" s="58">
        <v>22.833333333333332</v>
      </c>
      <c r="L33" s="58">
        <v>23.166666666666668</v>
      </c>
      <c r="M33" s="58">
        <v>23.333333333333332</v>
      </c>
      <c r="N33" s="58"/>
      <c r="O33" s="58">
        <f t="shared" si="0"/>
        <v>11.583333333333334</v>
      </c>
      <c r="P33" s="58">
        <v>113</v>
      </c>
      <c r="Q33" s="58"/>
      <c r="R33" s="132">
        <f t="shared" si="1"/>
        <v>23.111111111111111</v>
      </c>
      <c r="S33" s="58"/>
      <c r="T33" s="58"/>
    </row>
    <row r="34" spans="2:20" ht="15" x14ac:dyDescent="0.25">
      <c r="B34" s="59">
        <v>401</v>
      </c>
      <c r="C34" s="59">
        <v>1</v>
      </c>
      <c r="D34" s="58">
        <v>2</v>
      </c>
      <c r="E34" s="58">
        <v>3.9166666666666665</v>
      </c>
      <c r="F34" s="58">
        <v>10.416666666666666</v>
      </c>
      <c r="G34" s="58">
        <v>10.416666666666666</v>
      </c>
      <c r="H34" s="58">
        <v>10.583333333333334</v>
      </c>
      <c r="I34" s="58">
        <v>10.083333333333334</v>
      </c>
      <c r="J34" s="58">
        <v>12.166666666666666</v>
      </c>
      <c r="K34" s="58">
        <v>10.666666666666666</v>
      </c>
      <c r="L34" s="58">
        <v>11.583333333333334</v>
      </c>
      <c r="M34" s="58">
        <v>4.875</v>
      </c>
      <c r="N34" s="58"/>
      <c r="O34" s="58">
        <f t="shared" si="0"/>
        <v>5.791666666666667</v>
      </c>
      <c r="P34" s="58">
        <f>$E$9+(O34-E34)/(F34-E34)*($F$9-$E$9)</f>
        <v>115.86538461538461</v>
      </c>
      <c r="Q34" s="58"/>
      <c r="R34" s="132">
        <f t="shared" si="1"/>
        <v>4.875</v>
      </c>
      <c r="S34" s="58"/>
      <c r="T34" s="58"/>
    </row>
    <row r="35" spans="2:20" ht="15" x14ac:dyDescent="0.25">
      <c r="B35" s="59">
        <v>402</v>
      </c>
      <c r="C35" s="59">
        <v>2</v>
      </c>
      <c r="D35" s="58">
        <v>1.5</v>
      </c>
      <c r="E35" s="58">
        <v>4.25</v>
      </c>
      <c r="F35" s="58">
        <v>10.083333333333334</v>
      </c>
      <c r="G35" s="58">
        <v>10.166666666666666</v>
      </c>
      <c r="H35" s="58">
        <v>11.083333333333334</v>
      </c>
      <c r="I35" s="58">
        <v>10.916666666666666</v>
      </c>
      <c r="J35" s="58">
        <v>11.916666666666666</v>
      </c>
      <c r="K35" s="58">
        <v>11.166666666666666</v>
      </c>
      <c r="L35" s="58">
        <v>11.666666666666666</v>
      </c>
      <c r="M35" s="58">
        <v>11.583333333333334</v>
      </c>
      <c r="N35" s="58"/>
      <c r="O35" s="58">
        <f t="shared" si="0"/>
        <v>5.833333333333333</v>
      </c>
      <c r="P35" s="58">
        <f>$E$9+(O35-E35)/(F35-E35)*($F$9-$E$9)</f>
        <v>115.81428571428572</v>
      </c>
      <c r="Q35" s="58"/>
      <c r="R35" s="132">
        <f t="shared" si="1"/>
        <v>11.472222222222221</v>
      </c>
      <c r="S35" s="58"/>
      <c r="T35" s="58"/>
    </row>
    <row r="36" spans="2:20" ht="15" x14ac:dyDescent="0.25">
      <c r="B36" s="59">
        <v>403</v>
      </c>
      <c r="C36" s="59">
        <v>3</v>
      </c>
      <c r="D36" s="58">
        <v>12.166666666666666</v>
      </c>
      <c r="E36" s="58">
        <v>14.833333333333334</v>
      </c>
      <c r="F36" s="58">
        <v>21.083333333333332</v>
      </c>
      <c r="G36" s="58">
        <v>20.25</v>
      </c>
      <c r="H36" s="58">
        <v>22</v>
      </c>
      <c r="I36" s="58">
        <v>21.333333333333332</v>
      </c>
      <c r="J36" s="58">
        <v>23.833333333333332</v>
      </c>
      <c r="K36" s="58">
        <v>21.666666666666668</v>
      </c>
      <c r="L36" s="58">
        <v>22.666666666666668</v>
      </c>
      <c r="M36" s="58">
        <v>22.722222222222225</v>
      </c>
      <c r="N36" s="58"/>
      <c r="O36" s="58">
        <f t="shared" si="0"/>
        <v>11.333333333333334</v>
      </c>
      <c r="P36" s="58">
        <v>113</v>
      </c>
      <c r="Q36" s="58"/>
      <c r="R36" s="132">
        <f t="shared" si="1"/>
        <v>22.351851851851851</v>
      </c>
      <c r="S36" s="58"/>
      <c r="T36" s="58"/>
    </row>
    <row r="37" spans="2:20" ht="15" x14ac:dyDescent="0.25">
      <c r="B37" s="59">
        <v>404</v>
      </c>
      <c r="C37" s="59">
        <v>2</v>
      </c>
      <c r="D37" s="58">
        <v>7.166666666666667</v>
      </c>
      <c r="E37" s="58">
        <v>8.25</v>
      </c>
      <c r="F37" s="58">
        <v>11.333333333333334</v>
      </c>
      <c r="G37" s="58">
        <v>10.5</v>
      </c>
      <c r="H37" s="58">
        <v>11.333333333333334</v>
      </c>
      <c r="I37" s="58">
        <v>10</v>
      </c>
      <c r="J37" s="58">
        <v>11.5</v>
      </c>
      <c r="K37" s="58">
        <v>10.25</v>
      </c>
      <c r="L37" s="58">
        <v>11.5</v>
      </c>
      <c r="M37" s="58">
        <v>11.083333333333334</v>
      </c>
      <c r="N37" s="58"/>
      <c r="O37" s="58">
        <f t="shared" si="0"/>
        <v>5.75</v>
      </c>
      <c r="P37" s="58">
        <v>113</v>
      </c>
      <c r="Q37" s="58"/>
      <c r="R37" s="132">
        <f t="shared" si="1"/>
        <v>10.944444444444445</v>
      </c>
      <c r="S37" s="58"/>
      <c r="T37" s="58"/>
    </row>
    <row r="38" spans="2:20" ht="15" x14ac:dyDescent="0.25">
      <c r="B38" s="59">
        <v>405</v>
      </c>
      <c r="C38" s="59">
        <v>3</v>
      </c>
      <c r="D38" s="58">
        <v>13.75</v>
      </c>
      <c r="E38" s="58">
        <v>17.833333333333332</v>
      </c>
      <c r="F38" s="58">
        <v>23.5</v>
      </c>
      <c r="G38" s="58">
        <v>22.833333333333332</v>
      </c>
      <c r="H38" s="58">
        <v>23.583333333333332</v>
      </c>
      <c r="I38" s="58">
        <v>23.333333333333332</v>
      </c>
      <c r="J38" s="58">
        <v>25.583333333333332</v>
      </c>
      <c r="K38" s="58">
        <v>23.333333333333332</v>
      </c>
      <c r="L38" s="58">
        <v>24.166666666666668</v>
      </c>
      <c r="M38" s="58">
        <v>24.361111111111114</v>
      </c>
      <c r="N38" s="58"/>
      <c r="O38" s="58">
        <f t="shared" si="0"/>
        <v>12.083333333333334</v>
      </c>
      <c r="P38" s="58">
        <v>113</v>
      </c>
      <c r="Q38" s="58"/>
      <c r="R38" s="132">
        <f t="shared" si="1"/>
        <v>23.953703703703706</v>
      </c>
      <c r="S38" s="58"/>
      <c r="T38" s="58"/>
    </row>
    <row r="39" spans="2:20" ht="15" x14ac:dyDescent="0.25">
      <c r="B39" s="59">
        <v>406</v>
      </c>
      <c r="C39" s="59">
        <v>2</v>
      </c>
      <c r="D39" s="58">
        <v>6.333333333333333</v>
      </c>
      <c r="E39" s="58">
        <v>7.5</v>
      </c>
      <c r="F39" s="58">
        <v>11.666666666666666</v>
      </c>
      <c r="G39" s="58">
        <v>11.416666666666666</v>
      </c>
      <c r="H39" s="58">
        <v>11.75</v>
      </c>
      <c r="I39" s="58">
        <v>11.583333333333334</v>
      </c>
      <c r="J39" s="58">
        <v>12.5</v>
      </c>
      <c r="K39" s="58">
        <v>11.416666666666666</v>
      </c>
      <c r="L39" s="58">
        <v>11.666666666666666</v>
      </c>
      <c r="M39" s="58">
        <v>11.861111111111112</v>
      </c>
      <c r="N39" s="58"/>
      <c r="O39" s="58">
        <f t="shared" si="0"/>
        <v>5.833333333333333</v>
      </c>
      <c r="P39" s="58">
        <v>113</v>
      </c>
      <c r="Q39" s="58"/>
      <c r="R39" s="132">
        <f t="shared" si="1"/>
        <v>11.648148148148147</v>
      </c>
      <c r="S39" s="58"/>
      <c r="T39" s="58"/>
    </row>
    <row r="40" spans="2:20" ht="15" x14ac:dyDescent="0.25">
      <c r="B40" s="59">
        <v>407</v>
      </c>
      <c r="C40" s="59">
        <v>1</v>
      </c>
      <c r="D40" s="58">
        <v>9.0833333333333339</v>
      </c>
      <c r="E40" s="58">
        <v>9.5833333333333339</v>
      </c>
      <c r="F40" s="58">
        <v>12.25</v>
      </c>
      <c r="G40" s="58">
        <v>11.916666666666666</v>
      </c>
      <c r="H40" s="58">
        <v>12.333333333333334</v>
      </c>
      <c r="I40" s="58">
        <v>12.833333333333334</v>
      </c>
      <c r="J40" s="58">
        <v>13.75</v>
      </c>
      <c r="K40" s="58">
        <v>11.75</v>
      </c>
      <c r="L40" s="58">
        <v>12.916666666666666</v>
      </c>
      <c r="M40" s="58">
        <v>5.0625</v>
      </c>
      <c r="N40" s="58"/>
      <c r="O40" s="58">
        <f t="shared" si="0"/>
        <v>6.458333333333333</v>
      </c>
      <c r="P40" s="58">
        <v>113</v>
      </c>
      <c r="Q40" s="58"/>
      <c r="R40" s="132">
        <f t="shared" si="1"/>
        <v>5.0625</v>
      </c>
      <c r="S40" s="58"/>
      <c r="T40" s="58"/>
    </row>
    <row r="41" spans="2:20" ht="15" x14ac:dyDescent="0.25">
      <c r="B41" s="59">
        <v>408</v>
      </c>
      <c r="C41" s="59">
        <v>2</v>
      </c>
      <c r="D41" s="58">
        <v>6</v>
      </c>
      <c r="E41" s="58">
        <v>7.416666666666667</v>
      </c>
      <c r="F41" s="58">
        <v>11.25</v>
      </c>
      <c r="G41" s="58">
        <v>11.25</v>
      </c>
      <c r="H41" s="58">
        <v>11.916666666666666</v>
      </c>
      <c r="I41" s="58">
        <v>11.916666666666666</v>
      </c>
      <c r="J41" s="58">
        <v>12.583333333333334</v>
      </c>
      <c r="K41" s="58">
        <v>11.75</v>
      </c>
      <c r="L41" s="58">
        <v>12.083333333333334</v>
      </c>
      <c r="M41" s="58">
        <v>12.138888888888891</v>
      </c>
      <c r="N41" s="58"/>
      <c r="O41" s="58">
        <f t="shared" si="0"/>
        <v>6.041666666666667</v>
      </c>
      <c r="P41" s="58">
        <f>$D$9+(O41-D41)/(E41-D41)*($E$9-$D$9)</f>
        <v>114.02941176470588</v>
      </c>
      <c r="Q41" s="58"/>
      <c r="R41" s="132">
        <f t="shared" si="1"/>
        <v>11.990740740740742</v>
      </c>
      <c r="S41" s="58"/>
      <c r="T41" s="58"/>
    </row>
    <row r="42" spans="2:20" x14ac:dyDescent="0.2">
      <c r="B42" s="59">
        <v>901</v>
      </c>
      <c r="C42" s="59">
        <v>0</v>
      </c>
      <c r="D42" s="58"/>
      <c r="E42" s="58"/>
      <c r="F42" s="58"/>
      <c r="G42" s="58"/>
      <c r="H42" s="58"/>
      <c r="I42" s="58"/>
      <c r="J42" s="58"/>
      <c r="K42" s="58"/>
      <c r="L42" s="58"/>
      <c r="M42" s="58"/>
      <c r="N42" s="58"/>
      <c r="O42" s="58"/>
      <c r="P42" s="58"/>
      <c r="Q42" s="58"/>
      <c r="R42" s="58"/>
      <c r="S42" s="58"/>
      <c r="T42" s="58"/>
    </row>
    <row r="43" spans="2:20" x14ac:dyDescent="0.2">
      <c r="B43" s="59">
        <v>902</v>
      </c>
      <c r="C43" s="59" t="s">
        <v>139</v>
      </c>
      <c r="D43" s="58">
        <v>1.4166666666666667</v>
      </c>
      <c r="E43" s="58">
        <v>8.0833333333333339</v>
      </c>
      <c r="F43" s="58">
        <v>8.4166666666666661</v>
      </c>
      <c r="G43" s="58">
        <v>9.5</v>
      </c>
      <c r="H43" s="58">
        <v>9.5</v>
      </c>
      <c r="I43" s="58">
        <v>9.6666666666666661</v>
      </c>
      <c r="J43" s="58">
        <v>11.166666666666666</v>
      </c>
      <c r="K43" s="58">
        <v>10.166666666666666</v>
      </c>
      <c r="L43" s="58">
        <v>10.666666666666666</v>
      </c>
      <c r="M43" s="58">
        <v>10.666666666666666</v>
      </c>
      <c r="N43" s="58"/>
      <c r="O43" s="58">
        <f>L43/2</f>
        <v>5.333333333333333</v>
      </c>
      <c r="P43" s="58">
        <f>$D$9+(O43-D43)/(E43-D43)*($E$9-$D$9)</f>
        <v>114.58750000000001</v>
      </c>
      <c r="Q43" s="58"/>
      <c r="R43" s="58"/>
      <c r="S43" s="58"/>
      <c r="T43" s="58"/>
    </row>
    <row r="44" spans="2:20" x14ac:dyDescent="0.2">
      <c r="B44" s="59">
        <v>903</v>
      </c>
      <c r="C44" s="59">
        <v>0</v>
      </c>
      <c r="D44" s="58"/>
      <c r="E44" s="58"/>
      <c r="F44" s="58"/>
      <c r="G44" s="58"/>
      <c r="H44" s="58"/>
      <c r="I44" s="58"/>
      <c r="J44" s="58"/>
      <c r="K44" s="58"/>
      <c r="L44" s="58"/>
      <c r="M44" s="58"/>
      <c r="N44" s="58"/>
      <c r="O44" s="58"/>
      <c r="P44" s="58"/>
      <c r="Q44" s="58"/>
      <c r="R44" s="58"/>
      <c r="S44" s="58"/>
      <c r="T44" s="58"/>
    </row>
    <row r="45" spans="2:20" x14ac:dyDescent="0.2">
      <c r="B45" s="59">
        <v>904</v>
      </c>
      <c r="C45" s="59" t="s">
        <v>137</v>
      </c>
      <c r="D45" s="58">
        <v>1</v>
      </c>
      <c r="E45" s="58">
        <v>5.666666666666667</v>
      </c>
      <c r="F45" s="58">
        <v>8.9166666666666661</v>
      </c>
      <c r="G45" s="58">
        <v>10.166666666666666</v>
      </c>
      <c r="H45" s="58">
        <v>10</v>
      </c>
      <c r="I45" s="58">
        <v>9.5833333333333339</v>
      </c>
      <c r="J45" s="58">
        <v>11.583333333333334</v>
      </c>
      <c r="K45" s="58">
        <v>10.25</v>
      </c>
      <c r="L45" s="58">
        <v>10.833333333333334</v>
      </c>
      <c r="M45" s="58">
        <v>10.888888888888891</v>
      </c>
      <c r="N45" s="58"/>
      <c r="O45" s="58">
        <f>L45/2</f>
        <v>5.416666666666667</v>
      </c>
      <c r="P45" s="58">
        <f>$D$9+(O45-D45)/(E45-D45)*($E$9-$D$9)</f>
        <v>114.94642857142857</v>
      </c>
      <c r="Q45" s="58"/>
      <c r="R45" s="58"/>
      <c r="S45" s="58"/>
      <c r="T45" s="58"/>
    </row>
    <row r="46" spans="2:20" x14ac:dyDescent="0.2">
      <c r="B46" s="59">
        <v>905</v>
      </c>
      <c r="C46" s="59">
        <v>0</v>
      </c>
      <c r="D46" s="58"/>
      <c r="E46" s="58"/>
      <c r="F46" s="58"/>
      <c r="G46" s="58"/>
      <c r="H46" s="58"/>
      <c r="I46" s="58"/>
      <c r="J46" s="58"/>
      <c r="K46" s="58"/>
      <c r="L46" s="58"/>
      <c r="M46" s="58"/>
      <c r="N46" s="58"/>
      <c r="O46" s="58"/>
      <c r="P46" s="58"/>
      <c r="Q46" s="58"/>
      <c r="R46" s="58"/>
      <c r="S46" s="58"/>
      <c r="T46" s="58"/>
    </row>
    <row r="47" spans="2:20" x14ac:dyDescent="0.2">
      <c r="B47" s="59">
        <v>906</v>
      </c>
      <c r="C47" s="59" t="s">
        <v>139</v>
      </c>
      <c r="D47" s="58">
        <v>1.4166666666666667</v>
      </c>
      <c r="E47" s="58">
        <v>4.583333333333333</v>
      </c>
      <c r="F47" s="58">
        <v>9.9166666666666661</v>
      </c>
      <c r="G47" s="58">
        <v>10.583333333333334</v>
      </c>
      <c r="H47" s="58">
        <v>10.583333333333334</v>
      </c>
      <c r="I47" s="58">
        <v>10.333333333333334</v>
      </c>
      <c r="J47" s="58">
        <v>11.666666666666666</v>
      </c>
      <c r="K47" s="58">
        <v>10.833333333333334</v>
      </c>
      <c r="L47" s="58">
        <v>11.5</v>
      </c>
      <c r="M47" s="58">
        <v>11.333333333333334</v>
      </c>
      <c r="N47" s="58"/>
      <c r="O47" s="58">
        <f>L47/2</f>
        <v>5.75</v>
      </c>
      <c r="P47" s="58">
        <f>$E$9+(O47-E47)/(F47-E47)*($F$9-$E$9)</f>
        <v>115.65625</v>
      </c>
      <c r="Q47" s="58"/>
      <c r="R47" s="58"/>
      <c r="S47" s="58"/>
      <c r="T47" s="58"/>
    </row>
    <row r="48" spans="2:20" x14ac:dyDescent="0.2">
      <c r="B48" s="59">
        <v>907</v>
      </c>
      <c r="C48" s="59">
        <v>0</v>
      </c>
      <c r="D48" s="58"/>
      <c r="E48" s="58"/>
      <c r="F48" s="58"/>
      <c r="G48" s="58"/>
      <c r="H48" s="58"/>
      <c r="I48" s="58"/>
      <c r="J48" s="58"/>
      <c r="K48" s="58"/>
      <c r="L48" s="58"/>
      <c r="M48" s="58"/>
      <c r="N48" s="58"/>
      <c r="O48" s="58"/>
      <c r="P48" s="58"/>
      <c r="Q48" s="58"/>
      <c r="R48" s="58"/>
      <c r="S48" s="58"/>
      <c r="T48" s="58"/>
    </row>
    <row r="49" spans="2:20" x14ac:dyDescent="0.2">
      <c r="B49" s="59">
        <v>908</v>
      </c>
      <c r="C49" s="59" t="s">
        <v>137</v>
      </c>
      <c r="D49" s="58">
        <v>3.25</v>
      </c>
      <c r="E49" s="58">
        <v>3.8333333333333335</v>
      </c>
      <c r="F49" s="58">
        <v>12.083333333333334</v>
      </c>
      <c r="G49" s="58">
        <v>12.5</v>
      </c>
      <c r="H49" s="58">
        <v>12.25</v>
      </c>
      <c r="I49" s="58">
        <v>11.416666666666666</v>
      </c>
      <c r="J49" s="58">
        <v>13.5</v>
      </c>
      <c r="K49" s="58">
        <v>13.166666666666666</v>
      </c>
      <c r="L49" s="58">
        <v>13.5</v>
      </c>
      <c r="M49" s="58">
        <v>13.388888888888888</v>
      </c>
      <c r="N49" s="58"/>
      <c r="O49" s="58">
        <f>L49/2</f>
        <v>6.75</v>
      </c>
      <c r="P49" s="58">
        <f>$E$9+(O49-E49)/(F49-E49)*($F$9-$E$9)</f>
        <v>116.06060606060606</v>
      </c>
      <c r="Q49" s="58"/>
      <c r="R49" s="58"/>
      <c r="S49" s="58"/>
      <c r="T49" s="58"/>
    </row>
    <row r="52" spans="2:20" x14ac:dyDescent="0.2">
      <c r="D52" s="58">
        <f t="shared" ref="D52:P52" si="2">AVERAGE(D10:D41)</f>
        <v>7.369791666666667</v>
      </c>
      <c r="E52" s="58">
        <f t="shared" si="2"/>
        <v>9.8046875</v>
      </c>
      <c r="F52" s="58">
        <f t="shared" si="2"/>
        <v>13.541666666666668</v>
      </c>
      <c r="G52" s="58">
        <f t="shared" si="2"/>
        <v>14.049479166666668</v>
      </c>
      <c r="H52" s="58">
        <f t="shared" si="2"/>
        <v>14.062499999999998</v>
      </c>
      <c r="I52" s="58">
        <f t="shared" si="2"/>
        <v>14.213541666666666</v>
      </c>
      <c r="J52" s="58">
        <f t="shared" si="2"/>
        <v>14.466145833333332</v>
      </c>
      <c r="K52" s="58">
        <f t="shared" si="2"/>
        <v>14.856770833333336</v>
      </c>
      <c r="L52" s="58">
        <f t="shared" si="2"/>
        <v>14.570312500000004</v>
      </c>
      <c r="M52" s="58">
        <f t="shared" si="2"/>
        <v>12.967013888888889</v>
      </c>
      <c r="N52" s="58" t="e">
        <f t="shared" si="2"/>
        <v>#DIV/0!</v>
      </c>
      <c r="O52" s="58">
        <f t="shared" si="2"/>
        <v>7.2851562500000018</v>
      </c>
      <c r="P52" s="58">
        <f t="shared" si="2"/>
        <v>113.91462139826538</v>
      </c>
    </row>
    <row r="55" spans="2:20" x14ac:dyDescent="0.2">
      <c r="C55" s="1" t="s">
        <v>168</v>
      </c>
      <c r="D55" s="1">
        <f t="shared" ref="D55:M55" si="3">D9</f>
        <v>114</v>
      </c>
      <c r="E55" s="1">
        <f t="shared" si="3"/>
        <v>115</v>
      </c>
      <c r="F55" s="1">
        <f t="shared" si="3"/>
        <v>118</v>
      </c>
      <c r="G55" s="1">
        <f t="shared" si="3"/>
        <v>119</v>
      </c>
      <c r="H55" s="1">
        <f t="shared" si="3"/>
        <v>120</v>
      </c>
      <c r="I55" s="1">
        <f t="shared" si="3"/>
        <v>122</v>
      </c>
      <c r="J55" s="1">
        <f t="shared" si="3"/>
        <v>126</v>
      </c>
      <c r="K55" s="1">
        <f t="shared" si="3"/>
        <v>132</v>
      </c>
      <c r="L55" s="1">
        <f t="shared" si="3"/>
        <v>136</v>
      </c>
      <c r="M55" s="1">
        <f t="shared" si="3"/>
        <v>140</v>
      </c>
    </row>
    <row r="56" spans="2:20" x14ac:dyDescent="0.2">
      <c r="C56" s="1" t="s">
        <v>167</v>
      </c>
      <c r="D56" s="58">
        <f t="shared" ref="D56:M56" si="4">AVERAGE(D10,D22,D23,D25,D28,D29,D34,D40)</f>
        <v>5.2187500000000009</v>
      </c>
      <c r="E56" s="58">
        <f t="shared" si="4"/>
        <v>7.385416666666667</v>
      </c>
      <c r="F56" s="58">
        <f t="shared" si="4"/>
        <v>10.927083333333336</v>
      </c>
      <c r="G56" s="58">
        <f t="shared" si="4"/>
        <v>11.479166666666668</v>
      </c>
      <c r="H56" s="58">
        <f t="shared" si="4"/>
        <v>11.520833333333332</v>
      </c>
      <c r="I56" s="58">
        <f t="shared" si="4"/>
        <v>11.364583333333332</v>
      </c>
      <c r="J56" s="58">
        <f t="shared" si="4"/>
        <v>11.697916666666668</v>
      </c>
      <c r="K56" s="58">
        <f t="shared" si="4"/>
        <v>11.885416666666666</v>
      </c>
      <c r="L56" s="58">
        <f t="shared" si="4"/>
        <v>11.760416666666668</v>
      </c>
      <c r="M56" s="58">
        <f t="shared" si="4"/>
        <v>5.125</v>
      </c>
    </row>
    <row r="57" spans="2:20" x14ac:dyDescent="0.2">
      <c r="C57" s="1" t="s">
        <v>166</v>
      </c>
      <c r="D57" s="58">
        <f t="shared" ref="D57:M57" si="5">AVERAGE(D11,D13,D15,D16,D17,D19,D20,D24,D26,D27,D31,D32,D35,D37,D39,D41)</f>
        <v>5.1979166666666661</v>
      </c>
      <c r="E57" s="58">
        <f t="shared" si="5"/>
        <v>7.140625</v>
      </c>
      <c r="F57" s="58">
        <f t="shared" si="5"/>
        <v>10.682291666666666</v>
      </c>
      <c r="G57" s="58">
        <f t="shared" si="5"/>
        <v>11.166666666666666</v>
      </c>
      <c r="H57" s="58">
        <f t="shared" si="5"/>
        <v>11.203125</v>
      </c>
      <c r="I57" s="58">
        <f t="shared" si="5"/>
        <v>11.28125</v>
      </c>
      <c r="J57" s="58">
        <f t="shared" si="5"/>
        <v>11.515625</v>
      </c>
      <c r="K57" s="58">
        <f t="shared" si="5"/>
        <v>11.822916666666666</v>
      </c>
      <c r="L57" s="58">
        <f t="shared" si="5"/>
        <v>11.604166666666666</v>
      </c>
      <c r="M57" s="58">
        <f t="shared" si="5"/>
        <v>11.647569444444446</v>
      </c>
    </row>
    <row r="58" spans="2:20" x14ac:dyDescent="0.2">
      <c r="C58" s="1" t="s">
        <v>165</v>
      </c>
      <c r="D58" s="58">
        <f t="shared" ref="D58:M58" si="6">AVERAGE(D12,D14,D18,D21,D30,D33,D36,D38)</f>
        <v>13.864583333333334</v>
      </c>
      <c r="E58" s="58">
        <f t="shared" si="6"/>
        <v>17.552083333333332</v>
      </c>
      <c r="F58" s="58">
        <f t="shared" si="6"/>
        <v>21.875000000000004</v>
      </c>
      <c r="G58" s="58">
        <f t="shared" si="6"/>
        <v>22.385416666666668</v>
      </c>
      <c r="H58" s="58">
        <f t="shared" si="6"/>
        <v>22.322916666666668</v>
      </c>
      <c r="I58" s="58">
        <f t="shared" si="6"/>
        <v>22.927083333333336</v>
      </c>
      <c r="J58" s="58">
        <f t="shared" si="6"/>
        <v>23.135416666666671</v>
      </c>
      <c r="K58" s="58">
        <f t="shared" si="6"/>
        <v>23.895833333333332</v>
      </c>
      <c r="L58" s="58">
        <f t="shared" si="6"/>
        <v>23.312499999999996</v>
      </c>
      <c r="M58" s="58">
        <f t="shared" si="6"/>
        <v>23.447916666666671</v>
      </c>
    </row>
    <row r="60" spans="2:20" x14ac:dyDescent="0.2">
      <c r="C60" s="1" t="s">
        <v>137</v>
      </c>
      <c r="D60" s="58">
        <f t="shared" ref="D60:M60" si="7">AVERAGE(D45,D49)</f>
        <v>2.125</v>
      </c>
      <c r="E60" s="58">
        <f t="shared" si="7"/>
        <v>4.75</v>
      </c>
      <c r="F60" s="58">
        <f t="shared" si="7"/>
        <v>10.5</v>
      </c>
      <c r="G60" s="58">
        <f t="shared" si="7"/>
        <v>11.333333333333332</v>
      </c>
      <c r="H60" s="58">
        <f t="shared" si="7"/>
        <v>11.125</v>
      </c>
      <c r="I60" s="58">
        <f t="shared" si="7"/>
        <v>10.5</v>
      </c>
      <c r="J60" s="58">
        <f t="shared" si="7"/>
        <v>12.541666666666668</v>
      </c>
      <c r="K60" s="58">
        <f t="shared" si="7"/>
        <v>11.708333333333332</v>
      </c>
      <c r="L60" s="58">
        <f t="shared" si="7"/>
        <v>12.166666666666668</v>
      </c>
      <c r="M60" s="58">
        <f t="shared" si="7"/>
        <v>12.138888888888889</v>
      </c>
      <c r="P60" s="1">
        <v>0.58330000000000004</v>
      </c>
      <c r="Q60" s="1">
        <v>57.332999999999998</v>
      </c>
    </row>
    <row r="61" spans="2:20" x14ac:dyDescent="0.2">
      <c r="C61" s="1" t="s">
        <v>139</v>
      </c>
      <c r="D61" s="58">
        <f t="shared" ref="D61:M61" si="8">AVERAGE(D43,D47)</f>
        <v>1.4166666666666667</v>
      </c>
      <c r="E61" s="58">
        <f t="shared" si="8"/>
        <v>6.3333333333333339</v>
      </c>
      <c r="F61" s="58">
        <f t="shared" si="8"/>
        <v>9.1666666666666661</v>
      </c>
      <c r="G61" s="58">
        <f t="shared" si="8"/>
        <v>10.041666666666668</v>
      </c>
      <c r="H61" s="58">
        <f t="shared" si="8"/>
        <v>10.041666666666668</v>
      </c>
      <c r="I61" s="58">
        <f t="shared" si="8"/>
        <v>10</v>
      </c>
      <c r="J61" s="58">
        <f t="shared" si="8"/>
        <v>11.416666666666666</v>
      </c>
      <c r="K61" s="58">
        <f t="shared" si="8"/>
        <v>10.5</v>
      </c>
      <c r="L61" s="58">
        <f t="shared" si="8"/>
        <v>11.083333333333332</v>
      </c>
      <c r="M61" s="58">
        <f t="shared" si="8"/>
        <v>11</v>
      </c>
    </row>
    <row r="62" spans="2:20" x14ac:dyDescent="0.2">
      <c r="P62" s="1">
        <f>(O40+57.333)/0.5833</f>
        <v>109.36282073261329</v>
      </c>
    </row>
  </sheetData>
  <autoFilter ref="C9:M49" xr:uid="{F80305D2-D275-4551-8E67-70F2468BC89B}"/>
  <dataConsolidate/>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5532-92C9-4CE2-BC6B-9673FC93748C}">
  <dimension ref="A1:M217"/>
  <sheetViews>
    <sheetView topLeftCell="A136" workbookViewId="0">
      <selection activeCell="M175" sqref="M175"/>
    </sheetView>
  </sheetViews>
  <sheetFormatPr defaultRowHeight="15" x14ac:dyDescent="0.25"/>
  <sheetData>
    <row r="1" spans="1:13" x14ac:dyDescent="0.25">
      <c r="A1" t="s">
        <v>388</v>
      </c>
      <c r="B1">
        <v>114</v>
      </c>
      <c r="C1">
        <v>115</v>
      </c>
      <c r="D1">
        <v>118</v>
      </c>
      <c r="E1">
        <v>119</v>
      </c>
      <c r="F1">
        <v>120</v>
      </c>
      <c r="G1">
        <v>122</v>
      </c>
      <c r="H1">
        <v>126</v>
      </c>
      <c r="I1">
        <v>132</v>
      </c>
      <c r="J1">
        <v>136</v>
      </c>
      <c r="L1" s="131">
        <v>0.5</v>
      </c>
      <c r="M1" t="s">
        <v>515</v>
      </c>
    </row>
    <row r="2" spans="1:13" x14ac:dyDescent="0.25">
      <c r="A2" t="s">
        <v>172</v>
      </c>
      <c r="B2">
        <v>6</v>
      </c>
      <c r="C2">
        <v>15</v>
      </c>
      <c r="D2">
        <v>16</v>
      </c>
      <c r="E2">
        <v>22</v>
      </c>
      <c r="F2">
        <v>22</v>
      </c>
      <c r="G2">
        <v>21</v>
      </c>
      <c r="H2">
        <v>15</v>
      </c>
      <c r="I2">
        <v>22</v>
      </c>
      <c r="J2">
        <v>20</v>
      </c>
      <c r="L2">
        <f>AVERAGE(I2:J2)/2</f>
        <v>10.5</v>
      </c>
      <c r="M2" s="55">
        <f>B$1+(L2-B2)/(C2-B2)*(C$1-B$1)</f>
        <v>114.5</v>
      </c>
    </row>
    <row r="3" spans="1:13" x14ac:dyDescent="0.25">
      <c r="A3" t="s">
        <v>173</v>
      </c>
      <c r="B3">
        <v>6</v>
      </c>
      <c r="C3">
        <v>13</v>
      </c>
      <c r="D3">
        <v>18</v>
      </c>
      <c r="E3">
        <v>16</v>
      </c>
      <c r="F3">
        <v>16</v>
      </c>
      <c r="G3">
        <v>18</v>
      </c>
      <c r="H3">
        <v>20</v>
      </c>
      <c r="I3">
        <v>20</v>
      </c>
      <c r="J3">
        <v>19</v>
      </c>
      <c r="L3">
        <f t="shared" ref="L3:L66" si="0">AVERAGE(I3:J3)/2</f>
        <v>9.75</v>
      </c>
      <c r="M3" s="55">
        <f>B$1+(L3-B3)/(C3-B3)*(C$1-B$1)</f>
        <v>114.53571428571429</v>
      </c>
    </row>
    <row r="4" spans="1:13" x14ac:dyDescent="0.25">
      <c r="A4" t="s">
        <v>174</v>
      </c>
      <c r="B4">
        <v>4</v>
      </c>
      <c r="C4">
        <v>7</v>
      </c>
      <c r="D4">
        <v>18</v>
      </c>
      <c r="E4">
        <v>21</v>
      </c>
      <c r="F4">
        <v>21</v>
      </c>
      <c r="G4">
        <v>23</v>
      </c>
      <c r="H4">
        <v>22</v>
      </c>
      <c r="I4">
        <v>25</v>
      </c>
      <c r="J4">
        <v>24</v>
      </c>
      <c r="L4">
        <f t="shared" si="0"/>
        <v>12.25</v>
      </c>
      <c r="M4" s="55">
        <f>C$1+(L4-C4)/(D4-C4)*(D$1-C$1)</f>
        <v>116.43181818181819</v>
      </c>
    </row>
    <row r="5" spans="1:13" x14ac:dyDescent="0.25">
      <c r="A5" t="s">
        <v>175</v>
      </c>
      <c r="B5">
        <v>3</v>
      </c>
      <c r="C5">
        <v>4</v>
      </c>
      <c r="D5">
        <v>7</v>
      </c>
      <c r="E5">
        <v>25</v>
      </c>
      <c r="F5">
        <v>23</v>
      </c>
      <c r="G5">
        <v>15</v>
      </c>
      <c r="H5">
        <v>11</v>
      </c>
      <c r="I5">
        <v>14</v>
      </c>
      <c r="J5">
        <v>13</v>
      </c>
      <c r="L5">
        <f t="shared" si="0"/>
        <v>6.75</v>
      </c>
      <c r="M5" s="55">
        <f>C$1+(L5-C5)/(D5-C5)*(D$1-C$1)</f>
        <v>117.75</v>
      </c>
    </row>
    <row r="6" spans="1:13" x14ac:dyDescent="0.25">
      <c r="A6" t="s">
        <v>176</v>
      </c>
      <c r="B6">
        <v>1</v>
      </c>
      <c r="C6">
        <v>3</v>
      </c>
      <c r="D6">
        <v>9</v>
      </c>
      <c r="E6">
        <v>25</v>
      </c>
      <c r="F6">
        <v>26</v>
      </c>
      <c r="G6">
        <v>20</v>
      </c>
      <c r="H6">
        <v>11</v>
      </c>
      <c r="I6">
        <v>19</v>
      </c>
      <c r="J6">
        <v>18</v>
      </c>
      <c r="L6">
        <f t="shared" si="0"/>
        <v>9.25</v>
      </c>
      <c r="M6" s="55">
        <f>D$1+(L6-D6)/(E6-D6)*(E$1-D$1)</f>
        <v>118.015625</v>
      </c>
    </row>
    <row r="7" spans="1:13" x14ac:dyDescent="0.25">
      <c r="A7" t="s">
        <v>177</v>
      </c>
      <c r="B7">
        <v>6</v>
      </c>
      <c r="C7">
        <v>15</v>
      </c>
      <c r="D7">
        <v>28</v>
      </c>
      <c r="E7">
        <v>27</v>
      </c>
      <c r="F7">
        <v>27</v>
      </c>
      <c r="G7">
        <v>27</v>
      </c>
      <c r="H7">
        <v>25</v>
      </c>
      <c r="I7">
        <v>29</v>
      </c>
      <c r="J7">
        <v>25</v>
      </c>
      <c r="L7">
        <f t="shared" si="0"/>
        <v>13.5</v>
      </c>
      <c r="M7" s="55">
        <f>B$1+(L7-B7)/(C7-B7)*(C$1-B$1)</f>
        <v>114.83333333333333</v>
      </c>
    </row>
    <row r="8" spans="1:13" x14ac:dyDescent="0.25">
      <c r="A8" t="s">
        <v>178</v>
      </c>
      <c r="B8">
        <v>8</v>
      </c>
      <c r="C8">
        <v>17</v>
      </c>
      <c r="D8">
        <v>23</v>
      </c>
      <c r="E8">
        <v>23</v>
      </c>
      <c r="F8">
        <v>22</v>
      </c>
      <c r="G8">
        <v>25</v>
      </c>
      <c r="H8">
        <v>25</v>
      </c>
      <c r="I8">
        <v>26</v>
      </c>
      <c r="J8">
        <v>25</v>
      </c>
      <c r="L8">
        <f t="shared" si="0"/>
        <v>12.75</v>
      </c>
      <c r="M8" s="55">
        <f>B$1+(L8-B8)/(C8-B8)*(C$1-B$1)</f>
        <v>114.52777777777777</v>
      </c>
    </row>
    <row r="9" spans="1:13" x14ac:dyDescent="0.25">
      <c r="A9" t="s">
        <v>179</v>
      </c>
      <c r="B9">
        <v>1</v>
      </c>
      <c r="C9">
        <v>2</v>
      </c>
      <c r="D9">
        <v>11</v>
      </c>
      <c r="E9">
        <v>18</v>
      </c>
      <c r="F9">
        <v>14</v>
      </c>
      <c r="G9">
        <v>15</v>
      </c>
      <c r="H9">
        <v>14</v>
      </c>
      <c r="I9">
        <v>18</v>
      </c>
      <c r="J9">
        <v>14</v>
      </c>
      <c r="L9">
        <f t="shared" si="0"/>
        <v>8</v>
      </c>
      <c r="M9" s="55">
        <f>C$1+(L9-C9)/(D9-C9)*(D$1-C$1)</f>
        <v>117</v>
      </c>
    </row>
    <row r="10" spans="1:13" x14ac:dyDescent="0.25">
      <c r="A10" t="s">
        <v>180</v>
      </c>
      <c r="B10">
        <v>3</v>
      </c>
      <c r="C10">
        <v>3</v>
      </c>
      <c r="D10">
        <v>6</v>
      </c>
      <c r="E10">
        <v>18</v>
      </c>
      <c r="F10">
        <v>10</v>
      </c>
      <c r="G10">
        <v>13</v>
      </c>
      <c r="H10">
        <v>9</v>
      </c>
      <c r="I10">
        <v>15</v>
      </c>
      <c r="J10">
        <v>13</v>
      </c>
      <c r="L10">
        <f t="shared" si="0"/>
        <v>7</v>
      </c>
      <c r="M10" s="55">
        <f>D$1+(L10-D10)/(E10-D10)*(E$1-D$1)</f>
        <v>118.08333333333333</v>
      </c>
    </row>
    <row r="11" spans="1:13" x14ac:dyDescent="0.25">
      <c r="A11" t="s">
        <v>181</v>
      </c>
      <c r="B11">
        <v>0</v>
      </c>
      <c r="C11">
        <v>3</v>
      </c>
      <c r="D11">
        <v>5</v>
      </c>
      <c r="E11">
        <v>20</v>
      </c>
      <c r="F11">
        <v>14</v>
      </c>
      <c r="G11">
        <v>14</v>
      </c>
      <c r="H11">
        <v>15</v>
      </c>
      <c r="I11">
        <v>18</v>
      </c>
      <c r="J11">
        <v>16</v>
      </c>
      <c r="L11">
        <f t="shared" si="0"/>
        <v>8.5</v>
      </c>
      <c r="M11" s="55">
        <f>D$1+(L11-D11)/(E11-D11)*(E$1-D$1)</f>
        <v>118.23333333333333</v>
      </c>
    </row>
    <row r="12" spans="1:13" x14ac:dyDescent="0.25">
      <c r="A12" t="s">
        <v>182</v>
      </c>
      <c r="B12">
        <v>1</v>
      </c>
      <c r="C12">
        <v>3</v>
      </c>
      <c r="D12">
        <v>9</v>
      </c>
      <c r="E12">
        <v>22</v>
      </c>
      <c r="F12">
        <v>17</v>
      </c>
      <c r="G12">
        <v>22</v>
      </c>
      <c r="H12">
        <v>17</v>
      </c>
      <c r="I12">
        <v>22</v>
      </c>
      <c r="J12">
        <v>21</v>
      </c>
      <c r="L12">
        <f t="shared" si="0"/>
        <v>10.75</v>
      </c>
      <c r="M12" s="55">
        <f>D$1+(L12-D12)/(E12-D12)*(E$1-D$1)</f>
        <v>118.13461538461539</v>
      </c>
    </row>
    <row r="13" spans="1:13" x14ac:dyDescent="0.25">
      <c r="A13" t="s">
        <v>183</v>
      </c>
      <c r="B13">
        <v>16</v>
      </c>
      <c r="C13">
        <v>22</v>
      </c>
      <c r="D13">
        <v>25</v>
      </c>
      <c r="E13">
        <v>24</v>
      </c>
      <c r="F13">
        <v>22</v>
      </c>
      <c r="G13">
        <v>25</v>
      </c>
      <c r="H13">
        <v>22</v>
      </c>
      <c r="I13">
        <v>25</v>
      </c>
      <c r="J13">
        <v>21</v>
      </c>
      <c r="L13">
        <f t="shared" si="0"/>
        <v>11.5</v>
      </c>
      <c r="M13" s="55">
        <f>B$1+(L13-B13)/(C13-B13)*(C$1-B$1)</f>
        <v>113.25</v>
      </c>
    </row>
    <row r="14" spans="1:13" x14ac:dyDescent="0.25">
      <c r="A14" t="s">
        <v>184</v>
      </c>
      <c r="B14">
        <v>29</v>
      </c>
      <c r="C14">
        <v>35</v>
      </c>
      <c r="D14">
        <v>43</v>
      </c>
      <c r="E14">
        <v>46</v>
      </c>
      <c r="F14">
        <v>44</v>
      </c>
      <c r="G14">
        <v>46</v>
      </c>
      <c r="H14">
        <v>42</v>
      </c>
      <c r="I14">
        <v>48</v>
      </c>
      <c r="J14">
        <v>42</v>
      </c>
      <c r="L14">
        <f t="shared" si="0"/>
        <v>22.5</v>
      </c>
      <c r="M14" s="55">
        <f t="shared" ref="M14:M17" si="1">B$1+(L14-B14)/(C14-B14)*(C$1-B$1)</f>
        <v>112.91666666666667</v>
      </c>
    </row>
    <row r="15" spans="1:13" x14ac:dyDescent="0.25">
      <c r="A15" t="s">
        <v>185</v>
      </c>
      <c r="B15">
        <v>30</v>
      </c>
      <c r="C15">
        <v>35</v>
      </c>
      <c r="D15">
        <v>43</v>
      </c>
      <c r="E15">
        <v>49</v>
      </c>
      <c r="F15">
        <v>48</v>
      </c>
      <c r="G15">
        <v>51</v>
      </c>
      <c r="H15">
        <v>43</v>
      </c>
      <c r="I15">
        <v>53</v>
      </c>
      <c r="J15">
        <v>47</v>
      </c>
      <c r="L15">
        <f t="shared" si="0"/>
        <v>25</v>
      </c>
      <c r="M15" s="55">
        <f t="shared" si="1"/>
        <v>113</v>
      </c>
    </row>
    <row r="16" spans="1:13" x14ac:dyDescent="0.25">
      <c r="A16" t="s">
        <v>186</v>
      </c>
      <c r="B16">
        <v>29</v>
      </c>
      <c r="C16">
        <v>34</v>
      </c>
      <c r="D16">
        <v>40</v>
      </c>
      <c r="E16">
        <v>43</v>
      </c>
      <c r="F16">
        <v>42</v>
      </c>
      <c r="G16">
        <v>42</v>
      </c>
      <c r="H16">
        <v>42</v>
      </c>
      <c r="I16">
        <v>49</v>
      </c>
      <c r="J16">
        <v>45</v>
      </c>
      <c r="L16">
        <f t="shared" si="0"/>
        <v>23.5</v>
      </c>
      <c r="M16" s="55">
        <f t="shared" si="1"/>
        <v>112.9</v>
      </c>
    </row>
    <row r="17" spans="1:13" x14ac:dyDescent="0.25">
      <c r="A17" t="s">
        <v>187</v>
      </c>
      <c r="B17">
        <v>29</v>
      </c>
      <c r="C17">
        <v>37</v>
      </c>
      <c r="D17">
        <v>40</v>
      </c>
      <c r="E17">
        <v>42</v>
      </c>
      <c r="F17">
        <v>42</v>
      </c>
      <c r="G17">
        <v>44</v>
      </c>
      <c r="H17">
        <v>41</v>
      </c>
      <c r="I17">
        <v>48</v>
      </c>
      <c r="J17">
        <v>42</v>
      </c>
      <c r="L17">
        <f t="shared" si="0"/>
        <v>22.5</v>
      </c>
      <c r="M17" s="55">
        <f t="shared" si="1"/>
        <v>113.1875</v>
      </c>
    </row>
    <row r="18" spans="1:13" x14ac:dyDescent="0.25">
      <c r="A18" t="s">
        <v>188</v>
      </c>
      <c r="B18">
        <v>31</v>
      </c>
      <c r="C18">
        <v>33</v>
      </c>
      <c r="D18">
        <v>39</v>
      </c>
      <c r="E18">
        <v>40</v>
      </c>
      <c r="F18">
        <v>37</v>
      </c>
      <c r="G18">
        <v>39</v>
      </c>
      <c r="H18">
        <v>36</v>
      </c>
      <c r="I18">
        <v>41</v>
      </c>
      <c r="J18">
        <v>40</v>
      </c>
      <c r="L18">
        <f t="shared" si="0"/>
        <v>20.25</v>
      </c>
      <c r="M18" s="55"/>
    </row>
    <row r="19" spans="1:13" x14ac:dyDescent="0.25">
      <c r="A19" t="s">
        <v>189</v>
      </c>
      <c r="B19">
        <v>42</v>
      </c>
      <c r="C19">
        <v>42</v>
      </c>
      <c r="D19">
        <v>46</v>
      </c>
      <c r="E19">
        <v>48</v>
      </c>
      <c r="F19">
        <v>47</v>
      </c>
      <c r="G19">
        <v>49</v>
      </c>
      <c r="H19">
        <v>47</v>
      </c>
      <c r="I19">
        <v>53</v>
      </c>
      <c r="J19">
        <v>48</v>
      </c>
      <c r="L19">
        <f t="shared" si="0"/>
        <v>25.25</v>
      </c>
      <c r="M19" s="55"/>
    </row>
    <row r="20" spans="1:13" x14ac:dyDescent="0.25">
      <c r="A20" t="s">
        <v>190</v>
      </c>
      <c r="B20">
        <v>6</v>
      </c>
      <c r="C20">
        <v>12</v>
      </c>
      <c r="D20">
        <v>23</v>
      </c>
      <c r="E20">
        <v>24</v>
      </c>
      <c r="F20">
        <v>22</v>
      </c>
      <c r="G20">
        <v>25</v>
      </c>
      <c r="H20">
        <v>22</v>
      </c>
      <c r="I20">
        <v>27</v>
      </c>
      <c r="J20">
        <v>25</v>
      </c>
      <c r="L20">
        <f t="shared" si="0"/>
        <v>13</v>
      </c>
      <c r="M20" s="55">
        <f>C$1+(L20-C20)/(D20-C20)*(D$1-C$1)</f>
        <v>115.27272727272727</v>
      </c>
    </row>
    <row r="21" spans="1:13" x14ac:dyDescent="0.25">
      <c r="A21" t="s">
        <v>191</v>
      </c>
      <c r="B21">
        <v>14</v>
      </c>
      <c r="C21">
        <v>20</v>
      </c>
      <c r="D21">
        <v>26</v>
      </c>
      <c r="E21">
        <v>27</v>
      </c>
      <c r="F21">
        <v>27</v>
      </c>
      <c r="G21">
        <v>28</v>
      </c>
      <c r="H21">
        <v>27</v>
      </c>
      <c r="I21">
        <v>31</v>
      </c>
      <c r="J21">
        <v>28</v>
      </c>
      <c r="L21">
        <f t="shared" si="0"/>
        <v>14.75</v>
      </c>
      <c r="M21" s="55">
        <f>B$1+(L21-B21)/(C21-B21)*(C$1-B$1)</f>
        <v>114.125</v>
      </c>
    </row>
    <row r="22" spans="1:13" x14ac:dyDescent="0.25">
      <c r="A22" t="s">
        <v>192</v>
      </c>
      <c r="B22">
        <v>6</v>
      </c>
      <c r="C22">
        <v>12</v>
      </c>
      <c r="D22">
        <v>17</v>
      </c>
      <c r="E22">
        <v>20</v>
      </c>
      <c r="F22">
        <v>19</v>
      </c>
      <c r="G22">
        <v>21</v>
      </c>
      <c r="H22">
        <v>20</v>
      </c>
      <c r="I22">
        <v>24</v>
      </c>
      <c r="J22">
        <v>21</v>
      </c>
      <c r="L22">
        <f t="shared" si="0"/>
        <v>11.25</v>
      </c>
      <c r="M22" s="55">
        <f>B$1+(L22-B22)/(C22-B22)*(C$1-B$1)</f>
        <v>114.875</v>
      </c>
    </row>
    <row r="23" spans="1:13" x14ac:dyDescent="0.25">
      <c r="A23" t="s">
        <v>193</v>
      </c>
      <c r="B23">
        <v>2</v>
      </c>
      <c r="C23">
        <v>6</v>
      </c>
      <c r="D23">
        <v>18</v>
      </c>
      <c r="E23">
        <v>22</v>
      </c>
      <c r="F23">
        <v>21</v>
      </c>
      <c r="G23">
        <v>23</v>
      </c>
      <c r="H23">
        <v>21</v>
      </c>
      <c r="I23">
        <v>24</v>
      </c>
      <c r="J23">
        <v>21</v>
      </c>
      <c r="L23">
        <f t="shared" si="0"/>
        <v>11.25</v>
      </c>
      <c r="M23" s="55">
        <f>C$1+(L23-C23)/(D23-C23)*(D$1-C$1)</f>
        <v>116.3125</v>
      </c>
    </row>
    <row r="24" spans="1:13" x14ac:dyDescent="0.25">
      <c r="A24" t="s">
        <v>194</v>
      </c>
      <c r="B24">
        <v>9</v>
      </c>
      <c r="C24">
        <v>14</v>
      </c>
      <c r="D24">
        <v>19</v>
      </c>
      <c r="E24">
        <v>20</v>
      </c>
      <c r="F24">
        <v>20</v>
      </c>
      <c r="G24">
        <v>21</v>
      </c>
      <c r="H24">
        <v>20</v>
      </c>
      <c r="I24">
        <v>23</v>
      </c>
      <c r="J24">
        <v>22</v>
      </c>
      <c r="L24">
        <f t="shared" si="0"/>
        <v>11.25</v>
      </c>
      <c r="M24" s="55">
        <f t="shared" ref="M24:M37" si="2">B$1+(L24-B24)/(C24-B24)*(C$1-B$1)</f>
        <v>114.45</v>
      </c>
    </row>
    <row r="25" spans="1:13" x14ac:dyDescent="0.25">
      <c r="A25" t="s">
        <v>195</v>
      </c>
      <c r="B25">
        <v>13</v>
      </c>
      <c r="C25">
        <v>15</v>
      </c>
      <c r="D25">
        <v>20</v>
      </c>
      <c r="E25">
        <v>24</v>
      </c>
      <c r="F25">
        <v>26</v>
      </c>
      <c r="G25">
        <v>25</v>
      </c>
      <c r="H25">
        <v>24</v>
      </c>
      <c r="I25">
        <v>28</v>
      </c>
      <c r="J25">
        <v>25</v>
      </c>
      <c r="L25">
        <f t="shared" si="0"/>
        <v>13.25</v>
      </c>
      <c r="M25" s="55">
        <f t="shared" si="2"/>
        <v>114.125</v>
      </c>
    </row>
    <row r="26" spans="1:13" x14ac:dyDescent="0.25">
      <c r="A26" t="s">
        <v>196</v>
      </c>
      <c r="B26">
        <v>28</v>
      </c>
      <c r="C26">
        <v>40</v>
      </c>
      <c r="D26">
        <v>45</v>
      </c>
      <c r="E26">
        <v>50</v>
      </c>
      <c r="F26">
        <v>49</v>
      </c>
      <c r="G26">
        <v>51</v>
      </c>
      <c r="H26">
        <v>48</v>
      </c>
      <c r="I26">
        <v>52</v>
      </c>
      <c r="J26">
        <v>48</v>
      </c>
      <c r="L26">
        <f t="shared" si="0"/>
        <v>25</v>
      </c>
      <c r="M26" s="55">
        <f t="shared" si="2"/>
        <v>113.75</v>
      </c>
    </row>
    <row r="27" spans="1:13" x14ac:dyDescent="0.25">
      <c r="A27" t="s">
        <v>197</v>
      </c>
      <c r="B27">
        <v>10</v>
      </c>
      <c r="C27">
        <v>24</v>
      </c>
      <c r="D27">
        <v>29</v>
      </c>
      <c r="E27">
        <v>54</v>
      </c>
      <c r="F27">
        <v>40</v>
      </c>
      <c r="G27">
        <v>50</v>
      </c>
      <c r="H27">
        <v>40</v>
      </c>
      <c r="I27">
        <v>52</v>
      </c>
      <c r="J27">
        <v>44</v>
      </c>
      <c r="L27">
        <f t="shared" si="0"/>
        <v>24</v>
      </c>
      <c r="M27" s="55">
        <f t="shared" si="2"/>
        <v>115</v>
      </c>
    </row>
    <row r="28" spans="1:13" x14ac:dyDescent="0.25">
      <c r="A28" t="s">
        <v>198</v>
      </c>
      <c r="B28">
        <v>24</v>
      </c>
      <c r="C28">
        <v>31</v>
      </c>
      <c r="D28">
        <v>38</v>
      </c>
      <c r="E28">
        <v>39</v>
      </c>
      <c r="F28">
        <v>39</v>
      </c>
      <c r="G28">
        <v>46</v>
      </c>
      <c r="H28">
        <v>40</v>
      </c>
      <c r="I28">
        <v>49</v>
      </c>
      <c r="J28">
        <v>50</v>
      </c>
      <c r="L28">
        <f t="shared" si="0"/>
        <v>24.75</v>
      </c>
      <c r="M28" s="55">
        <f t="shared" si="2"/>
        <v>114.10714285714286</v>
      </c>
    </row>
    <row r="29" spans="1:13" x14ac:dyDescent="0.25">
      <c r="A29" t="s">
        <v>199</v>
      </c>
      <c r="B29">
        <v>20</v>
      </c>
      <c r="C29">
        <v>29</v>
      </c>
      <c r="D29">
        <v>41</v>
      </c>
      <c r="E29">
        <v>45</v>
      </c>
      <c r="F29">
        <v>40</v>
      </c>
      <c r="G29">
        <v>44</v>
      </c>
      <c r="H29">
        <v>43</v>
      </c>
      <c r="I29">
        <v>47</v>
      </c>
      <c r="J29">
        <v>43</v>
      </c>
      <c r="L29">
        <f t="shared" si="0"/>
        <v>22.5</v>
      </c>
      <c r="M29" s="55">
        <f t="shared" si="2"/>
        <v>114.27777777777777</v>
      </c>
    </row>
    <row r="30" spans="1:13" x14ac:dyDescent="0.25">
      <c r="A30" t="s">
        <v>200</v>
      </c>
      <c r="B30">
        <v>25</v>
      </c>
      <c r="C30">
        <v>33</v>
      </c>
      <c r="D30">
        <v>40</v>
      </c>
      <c r="E30">
        <v>44</v>
      </c>
      <c r="F30">
        <v>41</v>
      </c>
      <c r="G30">
        <v>44</v>
      </c>
      <c r="H30">
        <v>40</v>
      </c>
      <c r="I30">
        <v>45</v>
      </c>
      <c r="J30">
        <v>42</v>
      </c>
      <c r="L30">
        <f t="shared" si="0"/>
        <v>21.75</v>
      </c>
      <c r="M30" s="55">
        <f t="shared" si="2"/>
        <v>113.59375</v>
      </c>
    </row>
    <row r="31" spans="1:13" x14ac:dyDescent="0.25">
      <c r="A31" t="s">
        <v>201</v>
      </c>
      <c r="B31">
        <v>39</v>
      </c>
      <c r="C31">
        <v>49</v>
      </c>
      <c r="D31">
        <v>50</v>
      </c>
      <c r="E31">
        <v>54</v>
      </c>
      <c r="F31">
        <v>52</v>
      </c>
      <c r="G31">
        <v>54</v>
      </c>
      <c r="H31">
        <v>47</v>
      </c>
      <c r="I31">
        <v>56</v>
      </c>
      <c r="J31">
        <v>52</v>
      </c>
      <c r="L31">
        <f t="shared" si="0"/>
        <v>27</v>
      </c>
      <c r="M31" s="55">
        <f t="shared" si="2"/>
        <v>112.8</v>
      </c>
    </row>
    <row r="32" spans="1:13" x14ac:dyDescent="0.25">
      <c r="A32" t="s">
        <v>202</v>
      </c>
      <c r="B32">
        <v>18</v>
      </c>
      <c r="C32">
        <v>20</v>
      </c>
      <c r="D32">
        <v>26</v>
      </c>
      <c r="E32">
        <v>26</v>
      </c>
      <c r="F32">
        <v>26</v>
      </c>
      <c r="G32">
        <v>26</v>
      </c>
      <c r="H32">
        <v>24</v>
      </c>
      <c r="I32">
        <v>29</v>
      </c>
      <c r="J32">
        <v>26</v>
      </c>
      <c r="L32">
        <f t="shared" si="0"/>
        <v>13.75</v>
      </c>
      <c r="M32" s="55">
        <f t="shared" si="2"/>
        <v>111.875</v>
      </c>
    </row>
    <row r="33" spans="1:13" x14ac:dyDescent="0.25">
      <c r="A33" t="s">
        <v>203</v>
      </c>
      <c r="B33">
        <v>10</v>
      </c>
      <c r="C33">
        <v>20</v>
      </c>
      <c r="D33">
        <v>27</v>
      </c>
      <c r="E33">
        <v>28</v>
      </c>
      <c r="F33">
        <v>29</v>
      </c>
      <c r="G33">
        <v>30</v>
      </c>
      <c r="H33">
        <v>28</v>
      </c>
      <c r="I33">
        <v>31</v>
      </c>
      <c r="J33">
        <v>29</v>
      </c>
      <c r="L33">
        <f t="shared" si="0"/>
        <v>15</v>
      </c>
      <c r="M33" s="55">
        <f t="shared" si="2"/>
        <v>114.5</v>
      </c>
    </row>
    <row r="34" spans="1:13" x14ac:dyDescent="0.25">
      <c r="A34" t="s">
        <v>204</v>
      </c>
      <c r="B34">
        <v>12</v>
      </c>
      <c r="C34">
        <v>19</v>
      </c>
      <c r="D34">
        <v>22</v>
      </c>
      <c r="E34">
        <v>21</v>
      </c>
      <c r="F34">
        <v>22</v>
      </c>
      <c r="G34">
        <v>24</v>
      </c>
      <c r="H34">
        <v>23</v>
      </c>
      <c r="I34">
        <v>25</v>
      </c>
      <c r="J34">
        <v>24</v>
      </c>
      <c r="L34">
        <f t="shared" si="0"/>
        <v>12.25</v>
      </c>
      <c r="M34" s="55">
        <f t="shared" si="2"/>
        <v>114.03571428571429</v>
      </c>
    </row>
    <row r="35" spans="1:13" x14ac:dyDescent="0.25">
      <c r="A35" t="s">
        <v>205</v>
      </c>
      <c r="B35">
        <v>10</v>
      </c>
      <c r="C35">
        <v>22</v>
      </c>
      <c r="D35">
        <v>25</v>
      </c>
      <c r="E35">
        <v>25</v>
      </c>
      <c r="F35">
        <v>24</v>
      </c>
      <c r="G35">
        <v>25</v>
      </c>
      <c r="H35">
        <v>24</v>
      </c>
      <c r="I35">
        <v>27</v>
      </c>
      <c r="J35">
        <v>25</v>
      </c>
      <c r="L35">
        <f t="shared" si="0"/>
        <v>13</v>
      </c>
      <c r="M35" s="55">
        <f t="shared" si="2"/>
        <v>114.25</v>
      </c>
    </row>
    <row r="36" spans="1:13" x14ac:dyDescent="0.25">
      <c r="A36" t="s">
        <v>206</v>
      </c>
      <c r="B36">
        <v>15</v>
      </c>
      <c r="C36">
        <v>19</v>
      </c>
      <c r="D36">
        <v>20</v>
      </c>
      <c r="E36">
        <v>19</v>
      </c>
      <c r="F36">
        <v>21</v>
      </c>
      <c r="G36">
        <v>21</v>
      </c>
      <c r="H36">
        <v>17</v>
      </c>
      <c r="I36">
        <v>23</v>
      </c>
      <c r="J36">
        <v>19</v>
      </c>
      <c r="L36">
        <f t="shared" si="0"/>
        <v>10.5</v>
      </c>
      <c r="M36" s="55">
        <f t="shared" si="2"/>
        <v>112.875</v>
      </c>
    </row>
    <row r="37" spans="1:13" x14ac:dyDescent="0.25">
      <c r="A37" t="s">
        <v>207</v>
      </c>
      <c r="B37">
        <v>13</v>
      </c>
      <c r="C37">
        <v>17</v>
      </c>
      <c r="D37">
        <v>21</v>
      </c>
      <c r="E37">
        <v>21</v>
      </c>
      <c r="F37">
        <v>19</v>
      </c>
      <c r="G37">
        <v>22</v>
      </c>
      <c r="H37">
        <v>21</v>
      </c>
      <c r="I37">
        <v>22</v>
      </c>
      <c r="J37">
        <v>21</v>
      </c>
      <c r="L37">
        <f t="shared" si="0"/>
        <v>10.75</v>
      </c>
      <c r="M37" s="55">
        <f t="shared" si="2"/>
        <v>113.4375</v>
      </c>
    </row>
    <row r="38" spans="1:13" x14ac:dyDescent="0.25">
      <c r="A38" t="s">
        <v>208</v>
      </c>
      <c r="B38">
        <v>15</v>
      </c>
      <c r="C38">
        <v>15</v>
      </c>
      <c r="D38">
        <v>15</v>
      </c>
      <c r="E38">
        <v>16</v>
      </c>
      <c r="F38">
        <v>15</v>
      </c>
      <c r="G38">
        <v>17</v>
      </c>
      <c r="H38">
        <v>18</v>
      </c>
      <c r="I38">
        <v>21</v>
      </c>
      <c r="J38">
        <v>18</v>
      </c>
      <c r="L38">
        <f t="shared" si="0"/>
        <v>9.75</v>
      </c>
      <c r="M38" s="55"/>
    </row>
    <row r="39" spans="1:13" x14ac:dyDescent="0.25">
      <c r="A39" t="s">
        <v>209</v>
      </c>
      <c r="B39">
        <v>15</v>
      </c>
      <c r="C39">
        <v>21</v>
      </c>
      <c r="D39">
        <v>23</v>
      </c>
      <c r="E39">
        <v>25</v>
      </c>
      <c r="F39">
        <v>21</v>
      </c>
      <c r="G39">
        <v>23</v>
      </c>
      <c r="H39">
        <v>22</v>
      </c>
      <c r="I39">
        <v>25</v>
      </c>
      <c r="J39">
        <v>24</v>
      </c>
      <c r="L39">
        <f t="shared" si="0"/>
        <v>12.25</v>
      </c>
      <c r="M39" s="55">
        <f t="shared" ref="M39:M54" si="3">B$1+(L39-B39)/(C39-B39)*(C$1-B$1)</f>
        <v>113.54166666666667</v>
      </c>
    </row>
    <row r="40" spans="1:13" x14ac:dyDescent="0.25">
      <c r="A40" t="s">
        <v>210</v>
      </c>
      <c r="B40">
        <v>15</v>
      </c>
      <c r="C40">
        <v>18</v>
      </c>
      <c r="D40">
        <v>19</v>
      </c>
      <c r="E40">
        <v>20</v>
      </c>
      <c r="F40">
        <v>19</v>
      </c>
      <c r="G40">
        <v>20</v>
      </c>
      <c r="H40">
        <v>20</v>
      </c>
      <c r="I40">
        <v>22</v>
      </c>
      <c r="J40">
        <v>20</v>
      </c>
      <c r="L40">
        <f t="shared" si="0"/>
        <v>10.5</v>
      </c>
      <c r="M40" s="55">
        <f t="shared" si="3"/>
        <v>112.5</v>
      </c>
    </row>
    <row r="41" spans="1:13" x14ac:dyDescent="0.25">
      <c r="A41" t="s">
        <v>211</v>
      </c>
      <c r="B41">
        <v>14</v>
      </c>
      <c r="C41">
        <v>17</v>
      </c>
      <c r="D41">
        <v>21</v>
      </c>
      <c r="E41">
        <v>21</v>
      </c>
      <c r="F41">
        <v>22</v>
      </c>
      <c r="G41">
        <v>22</v>
      </c>
      <c r="H41">
        <v>23</v>
      </c>
      <c r="I41">
        <v>24</v>
      </c>
      <c r="J41">
        <v>23</v>
      </c>
      <c r="L41">
        <f t="shared" si="0"/>
        <v>11.75</v>
      </c>
      <c r="M41" s="55">
        <f t="shared" si="3"/>
        <v>113.25</v>
      </c>
    </row>
    <row r="42" spans="1:13" x14ac:dyDescent="0.25">
      <c r="A42" t="s">
        <v>212</v>
      </c>
      <c r="B42">
        <v>16</v>
      </c>
      <c r="C42">
        <v>25</v>
      </c>
      <c r="D42">
        <v>26</v>
      </c>
      <c r="E42">
        <v>25</v>
      </c>
      <c r="F42">
        <v>25</v>
      </c>
      <c r="G42">
        <v>26</v>
      </c>
      <c r="H42">
        <v>21</v>
      </c>
      <c r="I42">
        <v>25</v>
      </c>
      <c r="J42">
        <v>24</v>
      </c>
      <c r="L42">
        <f t="shared" si="0"/>
        <v>12.25</v>
      </c>
      <c r="M42" s="55">
        <f t="shared" si="3"/>
        <v>113.58333333333333</v>
      </c>
    </row>
    <row r="43" spans="1:13" x14ac:dyDescent="0.25">
      <c r="A43" t="s">
        <v>213</v>
      </c>
      <c r="B43">
        <v>14</v>
      </c>
      <c r="C43">
        <v>20</v>
      </c>
      <c r="D43">
        <v>25</v>
      </c>
      <c r="E43">
        <v>26</v>
      </c>
      <c r="F43">
        <v>26</v>
      </c>
      <c r="G43">
        <v>26</v>
      </c>
      <c r="H43">
        <v>27</v>
      </c>
      <c r="I43">
        <v>29</v>
      </c>
      <c r="J43">
        <v>27</v>
      </c>
      <c r="L43">
        <f t="shared" si="0"/>
        <v>14</v>
      </c>
      <c r="M43" s="55">
        <f t="shared" si="3"/>
        <v>114</v>
      </c>
    </row>
    <row r="44" spans="1:13" x14ac:dyDescent="0.25">
      <c r="A44" t="s">
        <v>214</v>
      </c>
      <c r="B44">
        <v>17</v>
      </c>
      <c r="C44">
        <v>19</v>
      </c>
      <c r="D44">
        <v>22</v>
      </c>
      <c r="E44">
        <v>22</v>
      </c>
      <c r="F44">
        <v>23</v>
      </c>
      <c r="G44">
        <v>25</v>
      </c>
      <c r="H44">
        <v>23</v>
      </c>
      <c r="I44">
        <v>26</v>
      </c>
      <c r="J44">
        <v>23</v>
      </c>
      <c r="L44">
        <f t="shared" si="0"/>
        <v>12.25</v>
      </c>
      <c r="M44" s="55">
        <f t="shared" si="3"/>
        <v>111.625</v>
      </c>
    </row>
    <row r="45" spans="1:13" x14ac:dyDescent="0.25">
      <c r="A45" t="s">
        <v>215</v>
      </c>
      <c r="B45">
        <v>13</v>
      </c>
      <c r="C45">
        <v>16</v>
      </c>
      <c r="D45">
        <v>20</v>
      </c>
      <c r="E45">
        <v>23</v>
      </c>
      <c r="F45">
        <v>23</v>
      </c>
      <c r="G45">
        <v>25</v>
      </c>
      <c r="H45">
        <v>23</v>
      </c>
      <c r="I45">
        <v>26</v>
      </c>
      <c r="J45">
        <v>26</v>
      </c>
      <c r="L45">
        <f t="shared" si="0"/>
        <v>13</v>
      </c>
      <c r="M45" s="55">
        <f t="shared" si="3"/>
        <v>114</v>
      </c>
    </row>
    <row r="46" spans="1:13" x14ac:dyDescent="0.25">
      <c r="A46" t="s">
        <v>216</v>
      </c>
      <c r="B46">
        <v>10</v>
      </c>
      <c r="C46">
        <v>15</v>
      </c>
      <c r="D46">
        <v>23</v>
      </c>
      <c r="E46">
        <v>26</v>
      </c>
      <c r="F46">
        <v>23</v>
      </c>
      <c r="G46">
        <v>26</v>
      </c>
      <c r="H46">
        <v>23</v>
      </c>
      <c r="I46">
        <v>26</v>
      </c>
      <c r="J46">
        <v>25</v>
      </c>
      <c r="L46">
        <f t="shared" si="0"/>
        <v>12.75</v>
      </c>
      <c r="M46" s="55">
        <f t="shared" si="3"/>
        <v>114.55</v>
      </c>
    </row>
    <row r="47" spans="1:13" x14ac:dyDescent="0.25">
      <c r="A47" t="s">
        <v>217</v>
      </c>
      <c r="B47">
        <v>10</v>
      </c>
      <c r="C47">
        <v>18</v>
      </c>
      <c r="D47">
        <v>25</v>
      </c>
      <c r="E47">
        <v>26</v>
      </c>
      <c r="F47">
        <v>24</v>
      </c>
      <c r="G47">
        <v>25</v>
      </c>
      <c r="H47">
        <v>23</v>
      </c>
      <c r="I47">
        <v>27</v>
      </c>
      <c r="J47">
        <v>24</v>
      </c>
      <c r="L47">
        <f t="shared" si="0"/>
        <v>12.75</v>
      </c>
      <c r="M47" s="55">
        <f t="shared" si="3"/>
        <v>114.34375</v>
      </c>
    </row>
    <row r="48" spans="1:13" x14ac:dyDescent="0.25">
      <c r="A48" t="s">
        <v>218</v>
      </c>
      <c r="B48">
        <v>16</v>
      </c>
      <c r="C48">
        <v>20</v>
      </c>
      <c r="D48">
        <v>20</v>
      </c>
      <c r="E48">
        <v>22</v>
      </c>
      <c r="F48">
        <v>20</v>
      </c>
      <c r="G48">
        <v>21</v>
      </c>
      <c r="H48">
        <v>20</v>
      </c>
      <c r="I48">
        <v>23</v>
      </c>
      <c r="J48">
        <v>21</v>
      </c>
      <c r="L48">
        <f t="shared" si="0"/>
        <v>11</v>
      </c>
      <c r="M48" s="55">
        <f t="shared" si="3"/>
        <v>112.75</v>
      </c>
    </row>
    <row r="49" spans="1:13" x14ac:dyDescent="0.25">
      <c r="A49" t="s">
        <v>219</v>
      </c>
      <c r="B49">
        <v>14</v>
      </c>
      <c r="C49">
        <v>16</v>
      </c>
      <c r="D49">
        <v>23</v>
      </c>
      <c r="E49">
        <v>23</v>
      </c>
      <c r="F49">
        <v>24</v>
      </c>
      <c r="G49">
        <v>23</v>
      </c>
      <c r="H49">
        <v>23</v>
      </c>
      <c r="I49">
        <v>25</v>
      </c>
      <c r="J49">
        <v>22</v>
      </c>
      <c r="L49">
        <f t="shared" si="0"/>
        <v>11.75</v>
      </c>
      <c r="M49" s="55">
        <f t="shared" si="3"/>
        <v>112.875</v>
      </c>
    </row>
    <row r="50" spans="1:13" x14ac:dyDescent="0.25">
      <c r="A50" t="s">
        <v>220</v>
      </c>
      <c r="B50">
        <v>21</v>
      </c>
      <c r="C50">
        <v>28</v>
      </c>
      <c r="D50">
        <v>42</v>
      </c>
      <c r="E50">
        <v>44</v>
      </c>
      <c r="F50">
        <v>44</v>
      </c>
      <c r="G50">
        <v>46</v>
      </c>
      <c r="H50">
        <v>41</v>
      </c>
      <c r="I50">
        <v>46</v>
      </c>
      <c r="J50">
        <v>41</v>
      </c>
      <c r="L50">
        <f t="shared" si="0"/>
        <v>21.75</v>
      </c>
      <c r="M50" s="55">
        <f t="shared" si="3"/>
        <v>114.10714285714286</v>
      </c>
    </row>
    <row r="51" spans="1:13" x14ac:dyDescent="0.25">
      <c r="A51" t="s">
        <v>221</v>
      </c>
      <c r="B51">
        <v>26</v>
      </c>
      <c r="C51">
        <v>33</v>
      </c>
      <c r="D51">
        <v>50</v>
      </c>
      <c r="E51">
        <v>51</v>
      </c>
      <c r="F51">
        <v>47</v>
      </c>
      <c r="G51">
        <v>49</v>
      </c>
      <c r="H51">
        <v>46</v>
      </c>
      <c r="I51">
        <v>56</v>
      </c>
      <c r="J51">
        <v>53</v>
      </c>
      <c r="L51">
        <f t="shared" si="0"/>
        <v>27.25</v>
      </c>
      <c r="M51" s="55">
        <f t="shared" si="3"/>
        <v>114.17857142857143</v>
      </c>
    </row>
    <row r="52" spans="1:13" x14ac:dyDescent="0.25">
      <c r="A52" t="s">
        <v>222</v>
      </c>
      <c r="B52">
        <v>21</v>
      </c>
      <c r="C52">
        <v>37</v>
      </c>
      <c r="D52">
        <v>40</v>
      </c>
      <c r="E52">
        <v>44</v>
      </c>
      <c r="F52">
        <v>43</v>
      </c>
      <c r="G52">
        <v>45</v>
      </c>
      <c r="H52">
        <v>44</v>
      </c>
      <c r="I52">
        <v>53</v>
      </c>
      <c r="J52">
        <v>47</v>
      </c>
      <c r="L52">
        <f t="shared" si="0"/>
        <v>25</v>
      </c>
      <c r="M52" s="55">
        <f t="shared" si="3"/>
        <v>114.25</v>
      </c>
    </row>
    <row r="53" spans="1:13" x14ac:dyDescent="0.25">
      <c r="A53" t="s">
        <v>223</v>
      </c>
      <c r="B53">
        <v>17</v>
      </c>
      <c r="C53">
        <v>32</v>
      </c>
      <c r="D53">
        <v>34</v>
      </c>
      <c r="E53">
        <v>36</v>
      </c>
      <c r="F53">
        <v>35</v>
      </c>
      <c r="G53">
        <v>38</v>
      </c>
      <c r="H53">
        <v>38</v>
      </c>
      <c r="I53">
        <v>38</v>
      </c>
      <c r="J53">
        <v>37</v>
      </c>
      <c r="L53">
        <f t="shared" si="0"/>
        <v>18.75</v>
      </c>
      <c r="M53" s="55">
        <f t="shared" si="3"/>
        <v>114.11666666666666</v>
      </c>
    </row>
    <row r="54" spans="1:13" x14ac:dyDescent="0.25">
      <c r="A54" t="s">
        <v>224</v>
      </c>
      <c r="B54">
        <v>11</v>
      </c>
      <c r="C54">
        <v>23</v>
      </c>
      <c r="D54">
        <v>30</v>
      </c>
      <c r="E54">
        <v>37</v>
      </c>
      <c r="F54">
        <v>34</v>
      </c>
      <c r="G54">
        <v>39</v>
      </c>
      <c r="H54">
        <v>31</v>
      </c>
      <c r="I54">
        <v>40</v>
      </c>
      <c r="J54">
        <v>38</v>
      </c>
      <c r="L54">
        <f t="shared" si="0"/>
        <v>19.5</v>
      </c>
      <c r="M54" s="55">
        <f t="shared" si="3"/>
        <v>114.70833333333333</v>
      </c>
    </row>
    <row r="55" spans="1:13" x14ac:dyDescent="0.25">
      <c r="A55" t="s">
        <v>225</v>
      </c>
      <c r="B55">
        <v>13</v>
      </c>
      <c r="C55">
        <v>23</v>
      </c>
      <c r="D55">
        <v>37</v>
      </c>
      <c r="E55">
        <v>39</v>
      </c>
      <c r="F55">
        <v>33</v>
      </c>
      <c r="G55">
        <v>49</v>
      </c>
      <c r="H55">
        <v>40</v>
      </c>
      <c r="I55">
        <v>50</v>
      </c>
      <c r="J55">
        <v>45</v>
      </c>
      <c r="L55">
        <f t="shared" si="0"/>
        <v>23.75</v>
      </c>
      <c r="M55" s="55">
        <f>C$1+(L55-C55)/(D55-C55)*(D$1-C$1)</f>
        <v>115.16071428571429</v>
      </c>
    </row>
    <row r="56" spans="1:13" x14ac:dyDescent="0.25">
      <c r="A56" t="s">
        <v>226</v>
      </c>
      <c r="B56">
        <v>9</v>
      </c>
      <c r="C56">
        <v>22</v>
      </c>
      <c r="D56">
        <v>27</v>
      </c>
      <c r="E56">
        <v>26</v>
      </c>
      <c r="F56">
        <v>27</v>
      </c>
      <c r="G56">
        <v>27</v>
      </c>
      <c r="H56">
        <v>27</v>
      </c>
      <c r="I56">
        <v>28</v>
      </c>
      <c r="J56">
        <v>26</v>
      </c>
      <c r="L56">
        <f t="shared" si="0"/>
        <v>13.5</v>
      </c>
      <c r="M56" s="55">
        <f>B$1+(L56-B56)/(C56-B56)*(C$1-B$1)</f>
        <v>114.34615384615384</v>
      </c>
    </row>
    <row r="57" spans="1:13" x14ac:dyDescent="0.25">
      <c r="A57" t="s">
        <v>227</v>
      </c>
      <c r="B57">
        <v>2</v>
      </c>
      <c r="C57">
        <v>3</v>
      </c>
      <c r="D57">
        <v>18</v>
      </c>
      <c r="E57">
        <v>22</v>
      </c>
      <c r="F57">
        <v>18</v>
      </c>
      <c r="G57">
        <v>23</v>
      </c>
      <c r="H57">
        <v>22</v>
      </c>
      <c r="I57">
        <v>24</v>
      </c>
      <c r="J57">
        <v>23</v>
      </c>
      <c r="L57">
        <f t="shared" si="0"/>
        <v>11.75</v>
      </c>
      <c r="M57" s="55">
        <f>C$1+(L57-C57)/(D57-C57)*(D$1-C$1)</f>
        <v>116.75</v>
      </c>
    </row>
    <row r="58" spans="1:13" x14ac:dyDescent="0.25">
      <c r="A58" t="s">
        <v>228</v>
      </c>
      <c r="B58">
        <v>6</v>
      </c>
      <c r="C58">
        <v>13</v>
      </c>
      <c r="D58">
        <v>25</v>
      </c>
      <c r="E58">
        <v>27</v>
      </c>
      <c r="F58">
        <v>28</v>
      </c>
      <c r="G58">
        <v>28</v>
      </c>
      <c r="H58">
        <v>28</v>
      </c>
      <c r="I58">
        <v>30</v>
      </c>
      <c r="J58">
        <v>29</v>
      </c>
      <c r="L58">
        <f t="shared" si="0"/>
        <v>14.75</v>
      </c>
      <c r="M58" s="55">
        <f>C$1+(L58-C58)/(D58-C58)*(D$1-C$1)</f>
        <v>115.4375</v>
      </c>
    </row>
    <row r="59" spans="1:13" x14ac:dyDescent="0.25">
      <c r="A59" t="s">
        <v>229</v>
      </c>
      <c r="B59">
        <v>0</v>
      </c>
      <c r="C59">
        <v>2</v>
      </c>
      <c r="D59">
        <v>10</v>
      </c>
      <c r="E59">
        <v>23</v>
      </c>
      <c r="F59">
        <v>13</v>
      </c>
      <c r="G59">
        <v>15</v>
      </c>
      <c r="H59">
        <v>13</v>
      </c>
      <c r="I59">
        <v>17</v>
      </c>
      <c r="J59">
        <v>15</v>
      </c>
      <c r="L59">
        <f t="shared" si="0"/>
        <v>8</v>
      </c>
      <c r="M59" s="55">
        <f>C$1+(L59-C59)/(D59-C59)*(D$1-C$1)</f>
        <v>117.25</v>
      </c>
    </row>
    <row r="60" spans="1:13" x14ac:dyDescent="0.25">
      <c r="A60" t="s">
        <v>230</v>
      </c>
      <c r="B60">
        <v>4</v>
      </c>
      <c r="C60">
        <v>10</v>
      </c>
      <c r="D60">
        <v>29</v>
      </c>
      <c r="E60">
        <v>27</v>
      </c>
      <c r="F60">
        <v>27</v>
      </c>
      <c r="G60">
        <v>29</v>
      </c>
      <c r="H60">
        <v>27</v>
      </c>
      <c r="I60">
        <v>31</v>
      </c>
      <c r="J60">
        <v>30</v>
      </c>
      <c r="L60">
        <f t="shared" si="0"/>
        <v>15.25</v>
      </c>
      <c r="M60" s="55">
        <f>C$1+(L60-C60)/(D60-C60)*(D$1-C$1)</f>
        <v>115.82894736842105</v>
      </c>
    </row>
    <row r="61" spans="1:13" x14ac:dyDescent="0.25">
      <c r="A61" t="s">
        <v>231</v>
      </c>
      <c r="B61">
        <v>19</v>
      </c>
      <c r="C61">
        <v>25</v>
      </c>
      <c r="D61">
        <v>27</v>
      </c>
      <c r="E61">
        <v>27</v>
      </c>
      <c r="F61">
        <v>26</v>
      </c>
      <c r="G61">
        <v>28</v>
      </c>
      <c r="H61">
        <v>26</v>
      </c>
      <c r="I61">
        <v>29</v>
      </c>
      <c r="J61">
        <v>26</v>
      </c>
      <c r="L61">
        <f t="shared" si="0"/>
        <v>13.75</v>
      </c>
      <c r="M61" s="55">
        <f>B$1+(L61-B61)/(C61-B61)*(C$1-B$1)</f>
        <v>113.125</v>
      </c>
    </row>
    <row r="62" spans="1:13" x14ac:dyDescent="0.25">
      <c r="A62" t="s">
        <v>232</v>
      </c>
      <c r="B62">
        <v>9</v>
      </c>
      <c r="C62">
        <v>17</v>
      </c>
      <c r="D62">
        <v>20</v>
      </c>
      <c r="E62">
        <v>21</v>
      </c>
      <c r="F62">
        <v>21</v>
      </c>
      <c r="G62">
        <v>18</v>
      </c>
      <c r="H62">
        <v>19</v>
      </c>
      <c r="I62">
        <v>23</v>
      </c>
      <c r="J62">
        <v>22</v>
      </c>
      <c r="L62">
        <f t="shared" si="0"/>
        <v>11.25</v>
      </c>
      <c r="M62" s="55">
        <f>B$1+(L62-B62)/(C62-B62)*(C$1-B$1)</f>
        <v>114.28125</v>
      </c>
    </row>
    <row r="63" spans="1:13" x14ac:dyDescent="0.25">
      <c r="A63" t="s">
        <v>233</v>
      </c>
      <c r="B63">
        <v>19</v>
      </c>
      <c r="C63">
        <v>17</v>
      </c>
      <c r="D63">
        <v>27</v>
      </c>
      <c r="E63">
        <v>28</v>
      </c>
      <c r="F63">
        <v>27</v>
      </c>
      <c r="G63">
        <v>25</v>
      </c>
      <c r="H63">
        <v>27</v>
      </c>
      <c r="I63">
        <v>29</v>
      </c>
      <c r="J63">
        <v>26</v>
      </c>
      <c r="L63">
        <f t="shared" si="0"/>
        <v>13.75</v>
      </c>
      <c r="M63" s="55">
        <f>B$1+(L63-B63)/(D63-B63)*(D$1-B$1)</f>
        <v>111.375</v>
      </c>
    </row>
    <row r="64" spans="1:13" x14ac:dyDescent="0.25">
      <c r="A64" t="s">
        <v>234</v>
      </c>
      <c r="B64">
        <v>15</v>
      </c>
      <c r="C64">
        <v>29</v>
      </c>
      <c r="D64">
        <v>20</v>
      </c>
      <c r="E64">
        <v>21</v>
      </c>
      <c r="F64">
        <v>20</v>
      </c>
      <c r="G64">
        <v>20</v>
      </c>
      <c r="H64">
        <v>20</v>
      </c>
      <c r="I64">
        <v>24</v>
      </c>
      <c r="J64">
        <v>19</v>
      </c>
      <c r="L64">
        <f t="shared" si="0"/>
        <v>10.75</v>
      </c>
      <c r="M64" s="55">
        <f>B$1+(L64-B64)/(C64-B64)*(C$1-B$1)</f>
        <v>113.69642857142857</v>
      </c>
    </row>
    <row r="65" spans="1:13" x14ac:dyDescent="0.25">
      <c r="A65" t="s">
        <v>235</v>
      </c>
      <c r="B65">
        <v>7</v>
      </c>
      <c r="C65">
        <v>16</v>
      </c>
      <c r="D65">
        <v>14</v>
      </c>
      <c r="E65">
        <v>17</v>
      </c>
      <c r="F65">
        <v>17</v>
      </c>
      <c r="G65">
        <v>15</v>
      </c>
      <c r="H65">
        <v>15</v>
      </c>
      <c r="I65">
        <v>21</v>
      </c>
      <c r="J65">
        <v>19</v>
      </c>
      <c r="L65">
        <f t="shared" si="0"/>
        <v>10</v>
      </c>
      <c r="M65" s="55">
        <f>B$1+(L65-B65)/(C65-B65)*(C$1-B$1)</f>
        <v>114.33333333333333</v>
      </c>
    </row>
    <row r="66" spans="1:13" x14ac:dyDescent="0.25">
      <c r="A66" t="s">
        <v>236</v>
      </c>
      <c r="B66">
        <v>14</v>
      </c>
      <c r="C66">
        <v>9</v>
      </c>
      <c r="D66">
        <v>21</v>
      </c>
      <c r="E66">
        <v>21</v>
      </c>
      <c r="F66">
        <v>27</v>
      </c>
      <c r="G66">
        <v>21</v>
      </c>
      <c r="H66">
        <v>18</v>
      </c>
      <c r="I66">
        <v>24</v>
      </c>
      <c r="J66">
        <v>22</v>
      </c>
      <c r="L66">
        <f t="shared" si="0"/>
        <v>11.5</v>
      </c>
      <c r="M66" s="55">
        <f>B$1+(L66-B66)/(D66-B66)*(D$1-B$1)</f>
        <v>112.57142857142857</v>
      </c>
    </row>
    <row r="67" spans="1:13" x14ac:dyDescent="0.25">
      <c r="A67" t="s">
        <v>237</v>
      </c>
      <c r="B67">
        <v>10</v>
      </c>
      <c r="C67">
        <v>17</v>
      </c>
      <c r="D67">
        <v>18</v>
      </c>
      <c r="E67">
        <v>18</v>
      </c>
      <c r="F67">
        <v>18</v>
      </c>
      <c r="G67">
        <v>17</v>
      </c>
      <c r="H67">
        <v>17</v>
      </c>
      <c r="I67">
        <v>21</v>
      </c>
      <c r="J67">
        <v>18</v>
      </c>
      <c r="L67">
        <f t="shared" ref="L67:L130" si="4">AVERAGE(I67:J67)/2</f>
        <v>9.75</v>
      </c>
      <c r="M67" s="55">
        <f>B$1+(L67-B67)/(C67-B67)*(C$1-B$1)</f>
        <v>113.96428571428571</v>
      </c>
    </row>
    <row r="68" spans="1:13" x14ac:dyDescent="0.25">
      <c r="A68" t="s">
        <v>238</v>
      </c>
      <c r="B68">
        <v>33</v>
      </c>
      <c r="C68">
        <v>41</v>
      </c>
      <c r="D68">
        <v>48</v>
      </c>
      <c r="E68">
        <v>47</v>
      </c>
      <c r="F68">
        <v>42</v>
      </c>
      <c r="G68">
        <v>44</v>
      </c>
      <c r="H68">
        <v>44</v>
      </c>
      <c r="I68">
        <v>50</v>
      </c>
      <c r="J68">
        <v>48</v>
      </c>
      <c r="L68">
        <f t="shared" si="4"/>
        <v>24.5</v>
      </c>
      <c r="M68" s="55">
        <f>B$1+(L68-B68)/(C68-B68)*(C$1-B$1)</f>
        <v>112.9375</v>
      </c>
    </row>
    <row r="69" spans="1:13" x14ac:dyDescent="0.25">
      <c r="A69" t="s">
        <v>239</v>
      </c>
      <c r="B69">
        <v>36</v>
      </c>
      <c r="C69">
        <v>43</v>
      </c>
      <c r="D69">
        <v>47</v>
      </c>
      <c r="E69">
        <v>48</v>
      </c>
      <c r="F69">
        <v>47</v>
      </c>
      <c r="G69">
        <v>47</v>
      </c>
      <c r="H69">
        <v>45</v>
      </c>
      <c r="I69">
        <v>50</v>
      </c>
      <c r="J69">
        <v>48</v>
      </c>
      <c r="L69">
        <f t="shared" si="4"/>
        <v>24.5</v>
      </c>
      <c r="M69" s="55">
        <f>B$1+(L69-B69)/(C69-B69)*(C$1-B$1)</f>
        <v>112.35714285714286</v>
      </c>
    </row>
    <row r="70" spans="1:13" x14ac:dyDescent="0.25">
      <c r="A70" t="s">
        <v>240</v>
      </c>
      <c r="B70">
        <v>36</v>
      </c>
      <c r="C70">
        <v>37</v>
      </c>
      <c r="D70">
        <v>45</v>
      </c>
      <c r="E70">
        <v>50</v>
      </c>
      <c r="F70">
        <v>48</v>
      </c>
      <c r="G70">
        <v>46</v>
      </c>
      <c r="H70">
        <v>49</v>
      </c>
      <c r="I70">
        <v>54</v>
      </c>
      <c r="J70">
        <v>48</v>
      </c>
      <c r="L70">
        <f t="shared" si="4"/>
        <v>25.5</v>
      </c>
      <c r="M70" s="55"/>
    </row>
    <row r="71" spans="1:13" x14ac:dyDescent="0.25">
      <c r="A71" t="s">
        <v>241</v>
      </c>
      <c r="B71">
        <v>33</v>
      </c>
      <c r="C71">
        <v>35</v>
      </c>
      <c r="D71">
        <v>47</v>
      </c>
      <c r="E71">
        <v>53</v>
      </c>
      <c r="F71">
        <v>50</v>
      </c>
      <c r="G71">
        <v>45</v>
      </c>
      <c r="H71">
        <v>45</v>
      </c>
      <c r="I71">
        <v>55</v>
      </c>
      <c r="J71">
        <v>50</v>
      </c>
      <c r="L71">
        <f t="shared" si="4"/>
        <v>26.25</v>
      </c>
      <c r="M71" s="55">
        <f>B$1+(L71-B71)/(D71-B71)*(D$1-B$1)</f>
        <v>112.07142857142857</v>
      </c>
    </row>
    <row r="72" spans="1:13" x14ac:dyDescent="0.25">
      <c r="A72" t="s">
        <v>242</v>
      </c>
      <c r="B72">
        <v>42</v>
      </c>
      <c r="C72">
        <v>42</v>
      </c>
      <c r="D72">
        <v>46</v>
      </c>
      <c r="E72">
        <v>46</v>
      </c>
      <c r="F72">
        <v>44</v>
      </c>
      <c r="G72">
        <v>45</v>
      </c>
      <c r="H72">
        <v>42</v>
      </c>
      <c r="I72">
        <v>48</v>
      </c>
      <c r="J72">
        <v>43</v>
      </c>
      <c r="L72">
        <f t="shared" si="4"/>
        <v>22.75</v>
      </c>
      <c r="M72" s="55"/>
    </row>
    <row r="73" spans="1:13" x14ac:dyDescent="0.25">
      <c r="A73" t="s">
        <v>243</v>
      </c>
      <c r="B73">
        <v>31</v>
      </c>
      <c r="C73">
        <v>40</v>
      </c>
      <c r="D73">
        <v>50</v>
      </c>
      <c r="E73">
        <v>51</v>
      </c>
      <c r="F73">
        <v>47</v>
      </c>
      <c r="G73">
        <v>45</v>
      </c>
      <c r="H73">
        <v>44</v>
      </c>
      <c r="I73">
        <v>53</v>
      </c>
      <c r="J73">
        <v>49</v>
      </c>
      <c r="L73">
        <f t="shared" si="4"/>
        <v>25.5</v>
      </c>
      <c r="M73" s="55">
        <f>B$1+(L73-B73)/(C73-B73)*(C$1-B$1)</f>
        <v>113.38888888888889</v>
      </c>
    </row>
    <row r="74" spans="1:13" x14ac:dyDescent="0.25">
      <c r="A74" t="s">
        <v>244</v>
      </c>
      <c r="B74">
        <v>4</v>
      </c>
      <c r="C74">
        <v>14</v>
      </c>
      <c r="D74">
        <v>13</v>
      </c>
      <c r="E74">
        <v>18</v>
      </c>
      <c r="F74">
        <v>14</v>
      </c>
      <c r="G74">
        <v>14</v>
      </c>
      <c r="H74">
        <v>14</v>
      </c>
      <c r="I74">
        <v>18</v>
      </c>
      <c r="J74">
        <v>16</v>
      </c>
      <c r="L74">
        <f t="shared" si="4"/>
        <v>8.5</v>
      </c>
      <c r="M74" s="55">
        <f>B$1+(L74-B74)/(C74-B74)*(C$1-B$1)</f>
        <v>114.45</v>
      </c>
    </row>
    <row r="75" spans="1:13" x14ac:dyDescent="0.25">
      <c r="A75" t="s">
        <v>245</v>
      </c>
      <c r="B75">
        <v>15</v>
      </c>
      <c r="C75">
        <v>20</v>
      </c>
      <c r="D75">
        <v>25</v>
      </c>
      <c r="E75">
        <v>27</v>
      </c>
      <c r="F75">
        <v>25</v>
      </c>
      <c r="G75">
        <v>26</v>
      </c>
      <c r="H75">
        <v>26</v>
      </c>
      <c r="I75">
        <v>28</v>
      </c>
      <c r="J75">
        <v>25</v>
      </c>
      <c r="L75">
        <f t="shared" si="4"/>
        <v>13.25</v>
      </c>
      <c r="M75" s="55">
        <f>B$1+(L75-B75)/(C75-B75)*(C$1-B$1)</f>
        <v>113.65</v>
      </c>
    </row>
    <row r="76" spans="1:13" x14ac:dyDescent="0.25">
      <c r="A76" t="s">
        <v>246</v>
      </c>
      <c r="B76">
        <v>10</v>
      </c>
      <c r="C76">
        <v>18</v>
      </c>
      <c r="D76">
        <v>26</v>
      </c>
      <c r="E76">
        <v>26</v>
      </c>
      <c r="F76">
        <v>26</v>
      </c>
      <c r="G76">
        <v>24</v>
      </c>
      <c r="H76">
        <v>26</v>
      </c>
      <c r="I76">
        <v>28</v>
      </c>
      <c r="J76">
        <v>27</v>
      </c>
      <c r="L76">
        <f t="shared" si="4"/>
        <v>13.75</v>
      </c>
      <c r="M76" s="55">
        <f>B$1+(L76-B76)/(C76-B76)*(C$1-B$1)</f>
        <v>114.46875</v>
      </c>
    </row>
    <row r="77" spans="1:13" x14ac:dyDescent="0.25">
      <c r="A77" t="s">
        <v>247</v>
      </c>
      <c r="B77">
        <v>7</v>
      </c>
      <c r="C77">
        <v>13</v>
      </c>
      <c r="D77">
        <v>24</v>
      </c>
      <c r="E77">
        <v>26</v>
      </c>
      <c r="F77">
        <v>24</v>
      </c>
      <c r="G77">
        <v>25</v>
      </c>
      <c r="H77">
        <v>22</v>
      </c>
      <c r="I77">
        <v>27</v>
      </c>
      <c r="J77">
        <v>26</v>
      </c>
      <c r="L77">
        <f t="shared" si="4"/>
        <v>13.25</v>
      </c>
      <c r="M77" s="55">
        <f>C$1+(L77-C77)/(D77-C77)*(D$1-C$1)</f>
        <v>115.06818181818181</v>
      </c>
    </row>
    <row r="78" spans="1:13" x14ac:dyDescent="0.25">
      <c r="A78" t="s">
        <v>248</v>
      </c>
      <c r="B78">
        <v>7</v>
      </c>
      <c r="C78">
        <v>15</v>
      </c>
      <c r="D78">
        <v>18</v>
      </c>
      <c r="E78">
        <v>19</v>
      </c>
      <c r="F78">
        <v>19</v>
      </c>
      <c r="G78">
        <v>19</v>
      </c>
      <c r="H78">
        <v>17</v>
      </c>
      <c r="I78">
        <v>21</v>
      </c>
      <c r="J78">
        <v>19</v>
      </c>
      <c r="L78">
        <f t="shared" si="4"/>
        <v>10</v>
      </c>
      <c r="M78" s="55">
        <f t="shared" ref="M78:M85" si="5">B$1+(L78-B78)/(C78-B78)*(C$1-B$1)</f>
        <v>114.375</v>
      </c>
    </row>
    <row r="79" spans="1:13" x14ac:dyDescent="0.25">
      <c r="A79" t="s">
        <v>249</v>
      </c>
      <c r="B79">
        <v>11</v>
      </c>
      <c r="C79">
        <v>19</v>
      </c>
      <c r="D79">
        <v>24</v>
      </c>
      <c r="E79">
        <v>25</v>
      </c>
      <c r="F79">
        <v>24</v>
      </c>
      <c r="G79">
        <v>25</v>
      </c>
      <c r="H79">
        <v>25</v>
      </c>
      <c r="I79">
        <v>28</v>
      </c>
      <c r="J79">
        <v>26</v>
      </c>
      <c r="L79">
        <f t="shared" si="4"/>
        <v>13.5</v>
      </c>
      <c r="M79" s="55">
        <f t="shared" si="5"/>
        <v>114.3125</v>
      </c>
    </row>
    <row r="80" spans="1:13" x14ac:dyDescent="0.25">
      <c r="A80" t="s">
        <v>250</v>
      </c>
      <c r="B80">
        <v>14</v>
      </c>
      <c r="C80">
        <v>21</v>
      </c>
      <c r="D80">
        <v>23</v>
      </c>
      <c r="E80">
        <v>28</v>
      </c>
      <c r="F80">
        <v>26</v>
      </c>
      <c r="G80">
        <v>25</v>
      </c>
      <c r="H80">
        <v>27</v>
      </c>
      <c r="I80">
        <v>29</v>
      </c>
      <c r="J80">
        <v>26</v>
      </c>
      <c r="L80">
        <f t="shared" si="4"/>
        <v>13.75</v>
      </c>
      <c r="M80" s="55">
        <f t="shared" si="5"/>
        <v>113.96428571428571</v>
      </c>
    </row>
    <row r="81" spans="1:13" x14ac:dyDescent="0.25">
      <c r="A81" t="s">
        <v>251</v>
      </c>
      <c r="B81">
        <v>14</v>
      </c>
      <c r="C81">
        <v>16</v>
      </c>
      <c r="D81">
        <v>19</v>
      </c>
      <c r="E81">
        <v>21</v>
      </c>
      <c r="F81">
        <v>21</v>
      </c>
      <c r="G81">
        <v>20</v>
      </c>
      <c r="H81">
        <v>20</v>
      </c>
      <c r="I81">
        <v>23</v>
      </c>
      <c r="J81">
        <v>22</v>
      </c>
      <c r="L81">
        <f t="shared" si="4"/>
        <v>11.25</v>
      </c>
      <c r="M81" s="55">
        <f t="shared" si="5"/>
        <v>112.625</v>
      </c>
    </row>
    <row r="82" spans="1:13" x14ac:dyDescent="0.25">
      <c r="A82" t="s">
        <v>252</v>
      </c>
      <c r="B82">
        <v>20</v>
      </c>
      <c r="C82">
        <v>23</v>
      </c>
      <c r="D82">
        <v>24</v>
      </c>
      <c r="E82">
        <v>25</v>
      </c>
      <c r="F82">
        <v>22</v>
      </c>
      <c r="G82">
        <v>22</v>
      </c>
      <c r="H82">
        <v>22</v>
      </c>
      <c r="I82">
        <v>26</v>
      </c>
      <c r="J82">
        <v>24</v>
      </c>
      <c r="L82">
        <f t="shared" si="4"/>
        <v>12.5</v>
      </c>
      <c r="M82" s="55">
        <f t="shared" si="5"/>
        <v>111.5</v>
      </c>
    </row>
    <row r="83" spans="1:13" x14ac:dyDescent="0.25">
      <c r="A83" t="s">
        <v>253</v>
      </c>
      <c r="B83">
        <v>17</v>
      </c>
      <c r="C83">
        <v>24</v>
      </c>
      <c r="D83">
        <v>28</v>
      </c>
      <c r="E83">
        <v>28</v>
      </c>
      <c r="F83">
        <v>26</v>
      </c>
      <c r="G83">
        <v>26</v>
      </c>
      <c r="H83">
        <v>27</v>
      </c>
      <c r="I83">
        <v>30</v>
      </c>
      <c r="J83">
        <v>27</v>
      </c>
      <c r="L83">
        <f t="shared" si="4"/>
        <v>14.25</v>
      </c>
      <c r="M83" s="55">
        <f t="shared" si="5"/>
        <v>113.60714285714286</v>
      </c>
    </row>
    <row r="84" spans="1:13" x14ac:dyDescent="0.25">
      <c r="A84" t="s">
        <v>254</v>
      </c>
      <c r="B84">
        <v>21</v>
      </c>
      <c r="C84">
        <v>24</v>
      </c>
      <c r="D84">
        <v>24</v>
      </c>
      <c r="E84">
        <v>24</v>
      </c>
      <c r="F84">
        <v>23</v>
      </c>
      <c r="G84">
        <v>23</v>
      </c>
      <c r="H84">
        <v>23</v>
      </c>
      <c r="I84">
        <v>26</v>
      </c>
      <c r="J84">
        <v>24</v>
      </c>
      <c r="L84">
        <f t="shared" si="4"/>
        <v>12.5</v>
      </c>
      <c r="M84" s="55">
        <f t="shared" si="5"/>
        <v>111.16666666666667</v>
      </c>
    </row>
    <row r="85" spans="1:13" x14ac:dyDescent="0.25">
      <c r="A85" t="s">
        <v>255</v>
      </c>
      <c r="B85">
        <v>20</v>
      </c>
      <c r="C85">
        <v>23</v>
      </c>
      <c r="D85">
        <v>24</v>
      </c>
      <c r="E85">
        <v>25</v>
      </c>
      <c r="F85">
        <v>24</v>
      </c>
      <c r="G85">
        <v>23</v>
      </c>
      <c r="H85">
        <v>22</v>
      </c>
      <c r="I85">
        <v>27</v>
      </c>
      <c r="J85">
        <v>25</v>
      </c>
      <c r="L85">
        <f t="shared" si="4"/>
        <v>13</v>
      </c>
      <c r="M85" s="55">
        <f t="shared" si="5"/>
        <v>111.66666666666667</v>
      </c>
    </row>
    <row r="86" spans="1:13" x14ac:dyDescent="0.25">
      <c r="A86" t="s">
        <v>256</v>
      </c>
      <c r="B86">
        <v>16</v>
      </c>
      <c r="C86">
        <v>17</v>
      </c>
      <c r="D86">
        <v>19</v>
      </c>
      <c r="E86">
        <v>22</v>
      </c>
      <c r="F86">
        <v>18</v>
      </c>
      <c r="G86">
        <v>18</v>
      </c>
      <c r="H86">
        <v>19</v>
      </c>
      <c r="I86">
        <v>22</v>
      </c>
      <c r="J86">
        <v>19</v>
      </c>
      <c r="L86">
        <f t="shared" si="4"/>
        <v>10.25</v>
      </c>
      <c r="M86" s="55"/>
    </row>
    <row r="87" spans="1:13" x14ac:dyDescent="0.25">
      <c r="A87" t="s">
        <v>257</v>
      </c>
      <c r="B87">
        <v>14</v>
      </c>
      <c r="C87">
        <v>17</v>
      </c>
      <c r="D87">
        <v>20</v>
      </c>
      <c r="E87">
        <v>21</v>
      </c>
      <c r="F87">
        <v>20</v>
      </c>
      <c r="G87">
        <v>20</v>
      </c>
      <c r="H87">
        <v>22</v>
      </c>
      <c r="I87">
        <v>24</v>
      </c>
      <c r="J87">
        <v>21</v>
      </c>
      <c r="L87">
        <f t="shared" si="4"/>
        <v>11.25</v>
      </c>
      <c r="M87" s="55">
        <f t="shared" ref="M87:M93" si="6">B$1+(L87-B87)/(C87-B87)*(C$1-B$1)</f>
        <v>113.08333333333333</v>
      </c>
    </row>
    <row r="88" spans="1:13" x14ac:dyDescent="0.25">
      <c r="A88" t="s">
        <v>258</v>
      </c>
      <c r="B88">
        <v>17</v>
      </c>
      <c r="C88">
        <v>20</v>
      </c>
      <c r="D88">
        <v>21</v>
      </c>
      <c r="E88">
        <v>22</v>
      </c>
      <c r="F88">
        <v>22</v>
      </c>
      <c r="G88">
        <v>22</v>
      </c>
      <c r="H88">
        <v>21</v>
      </c>
      <c r="I88">
        <v>25</v>
      </c>
      <c r="J88">
        <v>21</v>
      </c>
      <c r="L88">
        <f t="shared" si="4"/>
        <v>11.5</v>
      </c>
      <c r="M88" s="55">
        <f t="shared" si="6"/>
        <v>112.16666666666667</v>
      </c>
    </row>
    <row r="89" spans="1:13" x14ac:dyDescent="0.25">
      <c r="A89" t="s">
        <v>259</v>
      </c>
      <c r="B89">
        <v>14</v>
      </c>
      <c r="C89">
        <v>20</v>
      </c>
      <c r="D89">
        <v>26</v>
      </c>
      <c r="E89">
        <v>25</v>
      </c>
      <c r="F89">
        <v>24</v>
      </c>
      <c r="G89">
        <v>25</v>
      </c>
      <c r="H89">
        <v>25</v>
      </c>
      <c r="I89">
        <v>28</v>
      </c>
      <c r="J89">
        <v>26</v>
      </c>
      <c r="L89">
        <f t="shared" si="4"/>
        <v>13.5</v>
      </c>
      <c r="M89" s="55">
        <f t="shared" si="6"/>
        <v>113.91666666666667</v>
      </c>
    </row>
    <row r="90" spans="1:13" x14ac:dyDescent="0.25">
      <c r="A90" t="s">
        <v>260</v>
      </c>
      <c r="B90">
        <v>20</v>
      </c>
      <c r="C90">
        <v>24</v>
      </c>
      <c r="D90">
        <v>28</v>
      </c>
      <c r="E90">
        <v>27</v>
      </c>
      <c r="F90">
        <v>27</v>
      </c>
      <c r="G90">
        <v>27</v>
      </c>
      <c r="H90">
        <v>24</v>
      </c>
      <c r="I90">
        <v>29</v>
      </c>
      <c r="J90">
        <v>27</v>
      </c>
      <c r="L90">
        <f t="shared" si="4"/>
        <v>14</v>
      </c>
      <c r="M90" s="55">
        <f t="shared" si="6"/>
        <v>112.5</v>
      </c>
    </row>
    <row r="91" spans="1:13" x14ac:dyDescent="0.25">
      <c r="A91" t="s">
        <v>261</v>
      </c>
      <c r="B91">
        <v>8</v>
      </c>
      <c r="C91">
        <v>19</v>
      </c>
      <c r="D91">
        <v>25</v>
      </c>
      <c r="E91">
        <v>24</v>
      </c>
      <c r="F91">
        <v>23</v>
      </c>
      <c r="G91">
        <v>23</v>
      </c>
      <c r="H91">
        <v>21</v>
      </c>
      <c r="I91">
        <v>25</v>
      </c>
      <c r="J91">
        <v>24</v>
      </c>
      <c r="L91">
        <f t="shared" si="4"/>
        <v>12.25</v>
      </c>
      <c r="M91" s="55">
        <f t="shared" si="6"/>
        <v>114.38636363636364</v>
      </c>
    </row>
    <row r="92" spans="1:13" x14ac:dyDescent="0.25">
      <c r="A92" t="s">
        <v>262</v>
      </c>
      <c r="B92">
        <v>18</v>
      </c>
      <c r="C92">
        <v>20</v>
      </c>
      <c r="D92">
        <v>25</v>
      </c>
      <c r="E92">
        <v>26</v>
      </c>
      <c r="F92">
        <v>26</v>
      </c>
      <c r="G92">
        <v>28</v>
      </c>
      <c r="H92">
        <v>25</v>
      </c>
      <c r="I92">
        <v>29</v>
      </c>
      <c r="J92">
        <v>27</v>
      </c>
      <c r="L92">
        <f t="shared" si="4"/>
        <v>14</v>
      </c>
      <c r="M92" s="55">
        <f t="shared" si="6"/>
        <v>112</v>
      </c>
    </row>
    <row r="93" spans="1:13" x14ac:dyDescent="0.25">
      <c r="A93" t="s">
        <v>263</v>
      </c>
      <c r="B93">
        <v>15</v>
      </c>
      <c r="C93">
        <v>25</v>
      </c>
      <c r="D93">
        <v>27</v>
      </c>
      <c r="E93">
        <v>26</v>
      </c>
      <c r="F93">
        <v>26</v>
      </c>
      <c r="G93">
        <v>26</v>
      </c>
      <c r="H93">
        <v>23</v>
      </c>
      <c r="I93">
        <v>28</v>
      </c>
      <c r="J93">
        <v>25</v>
      </c>
      <c r="L93">
        <f t="shared" si="4"/>
        <v>13.25</v>
      </c>
      <c r="M93" s="55">
        <f t="shared" si="6"/>
        <v>113.825</v>
      </c>
    </row>
    <row r="94" spans="1:13" x14ac:dyDescent="0.25">
      <c r="A94" t="s">
        <v>264</v>
      </c>
      <c r="B94">
        <v>7</v>
      </c>
      <c r="C94">
        <v>10</v>
      </c>
      <c r="D94">
        <v>20</v>
      </c>
      <c r="E94">
        <v>20</v>
      </c>
      <c r="F94">
        <v>20</v>
      </c>
      <c r="G94">
        <v>22</v>
      </c>
      <c r="H94">
        <v>21</v>
      </c>
      <c r="I94">
        <v>24</v>
      </c>
      <c r="J94">
        <v>20</v>
      </c>
      <c r="L94">
        <f t="shared" si="4"/>
        <v>11</v>
      </c>
      <c r="M94" s="55">
        <f>C$1+(L94-C94)/(D94-C94)*(D$1-C$1)</f>
        <v>115.3</v>
      </c>
    </row>
    <row r="95" spans="1:13" x14ac:dyDescent="0.25">
      <c r="A95" t="s">
        <v>265</v>
      </c>
      <c r="B95">
        <v>15</v>
      </c>
      <c r="C95">
        <v>18</v>
      </c>
      <c r="D95">
        <v>23</v>
      </c>
      <c r="E95">
        <v>25</v>
      </c>
      <c r="F95">
        <v>22</v>
      </c>
      <c r="G95">
        <v>25</v>
      </c>
      <c r="H95">
        <v>23</v>
      </c>
      <c r="I95">
        <v>26</v>
      </c>
      <c r="J95">
        <v>25</v>
      </c>
      <c r="L95">
        <f t="shared" si="4"/>
        <v>12.75</v>
      </c>
      <c r="M95" s="55">
        <f>B$1+(L95-B95)/(C95-B95)*(C$1-B$1)</f>
        <v>113.25</v>
      </c>
    </row>
    <row r="96" spans="1:13" x14ac:dyDescent="0.25">
      <c r="A96" t="s">
        <v>266</v>
      </c>
      <c r="B96">
        <v>13</v>
      </c>
      <c r="C96">
        <v>13</v>
      </c>
      <c r="D96">
        <v>15</v>
      </c>
      <c r="E96">
        <v>15</v>
      </c>
      <c r="F96">
        <v>14</v>
      </c>
      <c r="G96">
        <v>15</v>
      </c>
      <c r="H96">
        <v>15</v>
      </c>
      <c r="I96">
        <v>16</v>
      </c>
      <c r="J96">
        <v>16</v>
      </c>
      <c r="L96">
        <f t="shared" si="4"/>
        <v>8</v>
      </c>
      <c r="M96" s="55"/>
    </row>
    <row r="97" spans="1:13" x14ac:dyDescent="0.25">
      <c r="A97" t="s">
        <v>267</v>
      </c>
      <c r="B97">
        <v>13</v>
      </c>
      <c r="C97">
        <v>17</v>
      </c>
      <c r="D97">
        <v>23</v>
      </c>
      <c r="E97">
        <v>22</v>
      </c>
      <c r="F97">
        <v>23</v>
      </c>
      <c r="G97">
        <v>21</v>
      </c>
      <c r="H97">
        <v>20</v>
      </c>
      <c r="I97">
        <v>25</v>
      </c>
      <c r="J97">
        <v>22</v>
      </c>
      <c r="L97">
        <f t="shared" si="4"/>
        <v>11.75</v>
      </c>
      <c r="M97" s="55">
        <f>B$1+(L97-B97)/(C97-B97)*(C$1-B$1)</f>
        <v>113.6875</v>
      </c>
    </row>
    <row r="98" spans="1:13" x14ac:dyDescent="0.25">
      <c r="A98" t="s">
        <v>268</v>
      </c>
      <c r="B98">
        <v>0</v>
      </c>
      <c r="C98">
        <v>1</v>
      </c>
      <c r="D98">
        <v>14</v>
      </c>
      <c r="E98">
        <v>18</v>
      </c>
      <c r="F98">
        <v>19</v>
      </c>
      <c r="G98">
        <v>17</v>
      </c>
      <c r="H98">
        <v>21</v>
      </c>
      <c r="I98">
        <v>18</v>
      </c>
      <c r="J98">
        <v>20</v>
      </c>
      <c r="L98">
        <f t="shared" si="4"/>
        <v>9.5</v>
      </c>
      <c r="M98" s="55">
        <f>C$1+(L98-C98)/(D98-C98)*(D$1-C$1)</f>
        <v>116.96153846153847</v>
      </c>
    </row>
    <row r="99" spans="1:13" x14ac:dyDescent="0.25">
      <c r="A99" t="s">
        <v>269</v>
      </c>
      <c r="B99">
        <v>8</v>
      </c>
      <c r="C99">
        <v>10</v>
      </c>
      <c r="D99">
        <v>25</v>
      </c>
      <c r="E99">
        <v>23</v>
      </c>
      <c r="F99">
        <v>27</v>
      </c>
      <c r="G99">
        <v>24</v>
      </c>
      <c r="H99">
        <v>28</v>
      </c>
      <c r="I99">
        <v>27</v>
      </c>
      <c r="J99">
        <v>27</v>
      </c>
      <c r="L99">
        <f t="shared" si="4"/>
        <v>13.5</v>
      </c>
      <c r="M99" s="55">
        <f>C$1+(L99-C99)/(D99-C99)*(D$1-C$1)</f>
        <v>115.7</v>
      </c>
    </row>
    <row r="100" spans="1:13" x14ac:dyDescent="0.25">
      <c r="A100" t="s">
        <v>270</v>
      </c>
      <c r="B100">
        <v>2</v>
      </c>
      <c r="C100">
        <v>11</v>
      </c>
      <c r="D100">
        <v>18</v>
      </c>
      <c r="E100">
        <v>17</v>
      </c>
      <c r="F100">
        <v>17</v>
      </c>
      <c r="G100">
        <v>18</v>
      </c>
      <c r="H100">
        <v>19</v>
      </c>
      <c r="I100">
        <v>19</v>
      </c>
      <c r="J100">
        <v>19</v>
      </c>
      <c r="L100">
        <f t="shared" si="4"/>
        <v>9.5</v>
      </c>
      <c r="M100" s="55">
        <f>B$1+(L100-B100)/(C100-B100)*(C$1-B$1)</f>
        <v>114.83333333333333</v>
      </c>
    </row>
    <row r="101" spans="1:13" x14ac:dyDescent="0.25">
      <c r="A101" t="s">
        <v>271</v>
      </c>
      <c r="B101">
        <v>1</v>
      </c>
      <c r="C101">
        <v>5</v>
      </c>
      <c r="D101">
        <v>17</v>
      </c>
      <c r="E101">
        <v>18</v>
      </c>
      <c r="F101">
        <v>19</v>
      </c>
      <c r="G101">
        <v>20</v>
      </c>
      <c r="H101">
        <v>22</v>
      </c>
      <c r="I101">
        <v>20</v>
      </c>
      <c r="J101">
        <v>21</v>
      </c>
      <c r="L101">
        <f t="shared" si="4"/>
        <v>10.25</v>
      </c>
      <c r="M101" s="55">
        <f t="shared" ref="M101:M108" si="7">C$1+(L101-C101)/(D101-C101)*(D$1-C$1)</f>
        <v>116.3125</v>
      </c>
    </row>
    <row r="102" spans="1:13" x14ac:dyDescent="0.25">
      <c r="A102" t="s">
        <v>272</v>
      </c>
      <c r="B102">
        <v>0</v>
      </c>
      <c r="C102">
        <v>7</v>
      </c>
      <c r="D102">
        <v>24</v>
      </c>
      <c r="E102">
        <v>25</v>
      </c>
      <c r="F102">
        <v>24</v>
      </c>
      <c r="G102">
        <v>24</v>
      </c>
      <c r="H102">
        <v>27</v>
      </c>
      <c r="I102">
        <v>25</v>
      </c>
      <c r="J102">
        <v>25</v>
      </c>
      <c r="L102">
        <f t="shared" si="4"/>
        <v>12.5</v>
      </c>
      <c r="M102" s="55">
        <f t="shared" si="7"/>
        <v>115.97058823529412</v>
      </c>
    </row>
    <row r="103" spans="1:13" x14ac:dyDescent="0.25">
      <c r="A103" t="s">
        <v>273</v>
      </c>
      <c r="B103">
        <v>1</v>
      </c>
      <c r="C103">
        <v>6</v>
      </c>
      <c r="D103">
        <v>23</v>
      </c>
      <c r="E103">
        <v>22</v>
      </c>
      <c r="F103">
        <v>22</v>
      </c>
      <c r="G103">
        <v>23</v>
      </c>
      <c r="H103">
        <v>24</v>
      </c>
      <c r="I103">
        <v>22</v>
      </c>
      <c r="J103">
        <v>23</v>
      </c>
      <c r="L103">
        <f t="shared" si="4"/>
        <v>11.25</v>
      </c>
      <c r="M103" s="55">
        <f t="shared" si="7"/>
        <v>115.92647058823529</v>
      </c>
    </row>
    <row r="104" spans="1:13" x14ac:dyDescent="0.25">
      <c r="A104" t="s">
        <v>274</v>
      </c>
      <c r="B104">
        <v>0</v>
      </c>
      <c r="C104">
        <v>8</v>
      </c>
      <c r="D104">
        <v>24</v>
      </c>
      <c r="E104">
        <v>25</v>
      </c>
      <c r="F104">
        <v>28</v>
      </c>
      <c r="G104">
        <v>27</v>
      </c>
      <c r="H104">
        <v>29</v>
      </c>
      <c r="I104">
        <v>26</v>
      </c>
      <c r="J104">
        <v>29</v>
      </c>
      <c r="L104">
        <f t="shared" si="4"/>
        <v>13.75</v>
      </c>
      <c r="M104" s="55">
        <f t="shared" si="7"/>
        <v>116.078125</v>
      </c>
    </row>
    <row r="105" spans="1:13" x14ac:dyDescent="0.25">
      <c r="A105" t="s">
        <v>275</v>
      </c>
      <c r="B105">
        <v>0</v>
      </c>
      <c r="C105">
        <v>1</v>
      </c>
      <c r="D105">
        <v>18</v>
      </c>
      <c r="E105">
        <v>17</v>
      </c>
      <c r="F105">
        <v>21</v>
      </c>
      <c r="G105">
        <v>20</v>
      </c>
      <c r="H105">
        <v>22</v>
      </c>
      <c r="I105">
        <v>17</v>
      </c>
      <c r="J105">
        <v>21</v>
      </c>
      <c r="L105">
        <f t="shared" si="4"/>
        <v>9.5</v>
      </c>
      <c r="M105" s="55">
        <f t="shared" si="7"/>
        <v>116.5</v>
      </c>
    </row>
    <row r="106" spans="1:13" x14ac:dyDescent="0.25">
      <c r="A106" t="s">
        <v>276</v>
      </c>
      <c r="B106">
        <v>3</v>
      </c>
      <c r="C106">
        <v>4</v>
      </c>
      <c r="D106">
        <v>20</v>
      </c>
      <c r="E106">
        <v>21</v>
      </c>
      <c r="F106">
        <v>24</v>
      </c>
      <c r="G106">
        <v>23</v>
      </c>
      <c r="H106">
        <v>27</v>
      </c>
      <c r="I106">
        <v>25</v>
      </c>
      <c r="J106">
        <v>25</v>
      </c>
      <c r="L106">
        <f t="shared" si="4"/>
        <v>12.5</v>
      </c>
      <c r="M106" s="55">
        <f t="shared" si="7"/>
        <v>116.59375</v>
      </c>
    </row>
    <row r="107" spans="1:13" x14ac:dyDescent="0.25">
      <c r="A107" t="s">
        <v>277</v>
      </c>
      <c r="B107">
        <v>0</v>
      </c>
      <c r="C107">
        <v>3</v>
      </c>
      <c r="D107">
        <v>17</v>
      </c>
      <c r="E107">
        <v>18</v>
      </c>
      <c r="F107">
        <v>19</v>
      </c>
      <c r="G107">
        <v>19</v>
      </c>
      <c r="H107">
        <v>22</v>
      </c>
      <c r="I107">
        <v>22</v>
      </c>
      <c r="J107">
        <v>21</v>
      </c>
      <c r="L107">
        <f t="shared" si="4"/>
        <v>10.75</v>
      </c>
      <c r="M107" s="55">
        <f t="shared" si="7"/>
        <v>116.66071428571429</v>
      </c>
    </row>
    <row r="108" spans="1:13" x14ac:dyDescent="0.25">
      <c r="A108" t="s">
        <v>278</v>
      </c>
      <c r="B108">
        <v>4</v>
      </c>
      <c r="C108">
        <v>8</v>
      </c>
      <c r="D108">
        <v>22</v>
      </c>
      <c r="E108">
        <v>21</v>
      </c>
      <c r="F108">
        <v>23</v>
      </c>
      <c r="G108">
        <v>23</v>
      </c>
      <c r="H108">
        <v>24</v>
      </c>
      <c r="I108">
        <v>23</v>
      </c>
      <c r="J108">
        <v>23</v>
      </c>
      <c r="L108">
        <f t="shared" si="4"/>
        <v>11.5</v>
      </c>
      <c r="M108" s="55">
        <f t="shared" si="7"/>
        <v>115.75</v>
      </c>
    </row>
    <row r="109" spans="1:13" x14ac:dyDescent="0.25">
      <c r="A109" t="s">
        <v>279</v>
      </c>
      <c r="B109">
        <v>18</v>
      </c>
      <c r="C109">
        <v>21</v>
      </c>
      <c r="D109">
        <v>25</v>
      </c>
      <c r="E109">
        <v>25</v>
      </c>
      <c r="F109">
        <v>24</v>
      </c>
      <c r="G109">
        <v>24</v>
      </c>
      <c r="H109">
        <v>26</v>
      </c>
      <c r="I109">
        <v>22</v>
      </c>
      <c r="J109">
        <v>24</v>
      </c>
      <c r="L109">
        <f t="shared" si="4"/>
        <v>11.5</v>
      </c>
      <c r="M109" s="55">
        <f>B$1+(L109-B109)/(C109-B109)*(C$1-B$1)</f>
        <v>111.83333333333333</v>
      </c>
    </row>
    <row r="110" spans="1:13" x14ac:dyDescent="0.25">
      <c r="A110" t="s">
        <v>280</v>
      </c>
      <c r="B110">
        <v>6</v>
      </c>
      <c r="C110">
        <v>15</v>
      </c>
      <c r="D110">
        <v>24</v>
      </c>
      <c r="E110">
        <v>23</v>
      </c>
      <c r="F110">
        <v>25</v>
      </c>
      <c r="G110">
        <v>25</v>
      </c>
      <c r="H110">
        <v>25</v>
      </c>
      <c r="I110">
        <v>26</v>
      </c>
      <c r="J110">
        <v>25</v>
      </c>
      <c r="L110">
        <f t="shared" si="4"/>
        <v>12.75</v>
      </c>
      <c r="M110" s="55">
        <f>B$1+(L110-B110)/(C110-B110)*(C$1-B$1)</f>
        <v>114.75</v>
      </c>
    </row>
    <row r="111" spans="1:13" x14ac:dyDescent="0.25">
      <c r="A111" t="s">
        <v>281</v>
      </c>
      <c r="B111">
        <v>5</v>
      </c>
      <c r="C111">
        <v>11</v>
      </c>
      <c r="D111">
        <v>18</v>
      </c>
      <c r="E111">
        <v>18</v>
      </c>
      <c r="F111">
        <v>19</v>
      </c>
      <c r="G111">
        <v>20</v>
      </c>
      <c r="H111">
        <v>22</v>
      </c>
      <c r="I111">
        <v>20</v>
      </c>
      <c r="J111">
        <v>21</v>
      </c>
      <c r="L111">
        <f t="shared" si="4"/>
        <v>10.25</v>
      </c>
      <c r="M111" s="55">
        <f>B$1+(L111-B111)/(C111-B111)*(C$1-B$1)</f>
        <v>114.875</v>
      </c>
    </row>
    <row r="112" spans="1:13" x14ac:dyDescent="0.25">
      <c r="A112" t="s">
        <v>282</v>
      </c>
      <c r="B112">
        <v>4</v>
      </c>
      <c r="C112">
        <v>6</v>
      </c>
      <c r="D112">
        <v>22</v>
      </c>
      <c r="E112">
        <v>24</v>
      </c>
      <c r="F112">
        <v>25</v>
      </c>
      <c r="G112">
        <v>24</v>
      </c>
      <c r="H112">
        <v>26</v>
      </c>
      <c r="I112">
        <v>22</v>
      </c>
      <c r="J112">
        <v>23</v>
      </c>
      <c r="L112">
        <f t="shared" si="4"/>
        <v>11.25</v>
      </c>
      <c r="M112" s="55">
        <f>C$1+(L112-C112)/(D112-C112)*(D$1-C$1)</f>
        <v>115.984375</v>
      </c>
    </row>
    <row r="113" spans="1:13" x14ac:dyDescent="0.25">
      <c r="A113" t="s">
        <v>283</v>
      </c>
      <c r="B113">
        <v>4</v>
      </c>
      <c r="C113">
        <v>8</v>
      </c>
      <c r="D113">
        <v>26</v>
      </c>
      <c r="E113">
        <v>24</v>
      </c>
      <c r="F113">
        <v>27</v>
      </c>
      <c r="G113">
        <v>26</v>
      </c>
      <c r="H113">
        <v>29</v>
      </c>
      <c r="I113">
        <v>27</v>
      </c>
      <c r="J113">
        <v>26</v>
      </c>
      <c r="L113">
        <f t="shared" si="4"/>
        <v>13.25</v>
      </c>
      <c r="M113" s="55">
        <f>C$1+(L113-C113)/(D113-C113)*(D$1-C$1)</f>
        <v>115.875</v>
      </c>
    </row>
    <row r="114" spans="1:13" x14ac:dyDescent="0.25">
      <c r="A114" t="s">
        <v>284</v>
      </c>
      <c r="B114">
        <v>9</v>
      </c>
      <c r="C114">
        <v>14</v>
      </c>
      <c r="D114">
        <v>20</v>
      </c>
      <c r="E114">
        <v>18</v>
      </c>
      <c r="F114">
        <v>20</v>
      </c>
      <c r="G114">
        <v>17</v>
      </c>
      <c r="H114">
        <v>23</v>
      </c>
      <c r="I114">
        <v>21</v>
      </c>
      <c r="J114">
        <v>22</v>
      </c>
      <c r="L114">
        <f t="shared" si="4"/>
        <v>10.75</v>
      </c>
      <c r="M114" s="55">
        <f>B$1+(L114-B114)/(C114-B114)*(C$1-B$1)</f>
        <v>114.35</v>
      </c>
    </row>
    <row r="115" spans="1:13" x14ac:dyDescent="0.25">
      <c r="A115" t="s">
        <v>285</v>
      </c>
      <c r="B115">
        <v>10</v>
      </c>
      <c r="C115">
        <v>15</v>
      </c>
      <c r="D115">
        <v>26</v>
      </c>
      <c r="E115">
        <v>26</v>
      </c>
      <c r="F115">
        <v>27</v>
      </c>
      <c r="G115">
        <v>27</v>
      </c>
      <c r="H115">
        <v>30</v>
      </c>
      <c r="I115">
        <v>27</v>
      </c>
      <c r="J115">
        <v>27</v>
      </c>
      <c r="L115">
        <f t="shared" si="4"/>
        <v>13.5</v>
      </c>
      <c r="M115" s="55">
        <f>B$1+(L115-B115)/(C115-B115)*(C$1-B$1)</f>
        <v>114.7</v>
      </c>
    </row>
    <row r="116" spans="1:13" x14ac:dyDescent="0.25">
      <c r="A116" t="s">
        <v>286</v>
      </c>
      <c r="B116">
        <v>10</v>
      </c>
      <c r="C116">
        <v>12</v>
      </c>
      <c r="D116">
        <v>25</v>
      </c>
      <c r="E116">
        <v>23</v>
      </c>
      <c r="F116">
        <v>26</v>
      </c>
      <c r="G116">
        <v>25</v>
      </c>
      <c r="H116">
        <v>27</v>
      </c>
      <c r="I116">
        <v>26</v>
      </c>
      <c r="J116">
        <v>26</v>
      </c>
      <c r="L116">
        <f t="shared" si="4"/>
        <v>13</v>
      </c>
      <c r="M116" s="55">
        <f>C$1+(L116-C116)/(D116-C116)*(D$1-C$1)</f>
        <v>115.23076923076923</v>
      </c>
    </row>
    <row r="117" spans="1:13" x14ac:dyDescent="0.25">
      <c r="A117" t="s">
        <v>287</v>
      </c>
      <c r="B117">
        <v>16</v>
      </c>
      <c r="C117">
        <v>20</v>
      </c>
      <c r="D117">
        <v>26</v>
      </c>
      <c r="E117">
        <v>26</v>
      </c>
      <c r="F117">
        <v>27</v>
      </c>
      <c r="G117">
        <v>27</v>
      </c>
      <c r="H117">
        <v>29</v>
      </c>
      <c r="I117">
        <v>27</v>
      </c>
      <c r="J117">
        <v>30</v>
      </c>
      <c r="L117">
        <f t="shared" si="4"/>
        <v>14.25</v>
      </c>
      <c r="M117" s="55">
        <f>B$1+(L117-B117)/(C117-B117)*(C$1-B$1)</f>
        <v>113.5625</v>
      </c>
    </row>
    <row r="118" spans="1:13" x14ac:dyDescent="0.25">
      <c r="A118" t="s">
        <v>288</v>
      </c>
      <c r="B118">
        <v>6</v>
      </c>
      <c r="C118">
        <v>8</v>
      </c>
      <c r="D118">
        <v>22</v>
      </c>
      <c r="E118">
        <v>22</v>
      </c>
      <c r="F118">
        <v>23</v>
      </c>
      <c r="G118">
        <v>23</v>
      </c>
      <c r="H118">
        <v>25</v>
      </c>
      <c r="I118">
        <v>21</v>
      </c>
      <c r="J118">
        <v>22</v>
      </c>
      <c r="L118">
        <f t="shared" si="4"/>
        <v>10.75</v>
      </c>
      <c r="M118" s="55">
        <f>C$1+(L118-C118)/(D118-C118)*(D$1-C$1)</f>
        <v>115.58928571428571</v>
      </c>
    </row>
    <row r="119" spans="1:13" x14ac:dyDescent="0.25">
      <c r="A119" t="s">
        <v>289</v>
      </c>
      <c r="B119">
        <v>8</v>
      </c>
      <c r="C119">
        <v>17</v>
      </c>
      <c r="D119">
        <v>23</v>
      </c>
      <c r="E119">
        <v>23</v>
      </c>
      <c r="F119">
        <v>25</v>
      </c>
      <c r="G119">
        <v>25</v>
      </c>
      <c r="H119">
        <v>25</v>
      </c>
      <c r="I119">
        <v>23</v>
      </c>
      <c r="J119">
        <v>24</v>
      </c>
      <c r="L119">
        <f t="shared" si="4"/>
        <v>11.75</v>
      </c>
      <c r="M119" s="55">
        <f t="shared" ref="M119:M131" si="8">B$1+(L119-B119)/(C119-B119)*(C$1-B$1)</f>
        <v>114.41666666666667</v>
      </c>
    </row>
    <row r="120" spans="1:13" x14ac:dyDescent="0.25">
      <c r="A120" t="s">
        <v>290</v>
      </c>
      <c r="B120">
        <v>15</v>
      </c>
      <c r="C120">
        <v>17</v>
      </c>
      <c r="D120">
        <v>22</v>
      </c>
      <c r="E120">
        <v>23</v>
      </c>
      <c r="F120">
        <v>23</v>
      </c>
      <c r="G120">
        <v>23</v>
      </c>
      <c r="H120">
        <v>26</v>
      </c>
      <c r="I120">
        <v>22</v>
      </c>
      <c r="J120">
        <v>25</v>
      </c>
      <c r="L120">
        <f t="shared" si="4"/>
        <v>11.75</v>
      </c>
      <c r="M120" s="55">
        <f t="shared" si="8"/>
        <v>112.375</v>
      </c>
    </row>
    <row r="121" spans="1:13" x14ac:dyDescent="0.25">
      <c r="A121" t="s">
        <v>291</v>
      </c>
      <c r="B121">
        <v>8</v>
      </c>
      <c r="C121">
        <v>14</v>
      </c>
      <c r="D121">
        <v>22</v>
      </c>
      <c r="E121">
        <v>22</v>
      </c>
      <c r="F121">
        <v>24</v>
      </c>
      <c r="G121">
        <v>21</v>
      </c>
      <c r="H121">
        <v>23</v>
      </c>
      <c r="I121">
        <v>22</v>
      </c>
      <c r="J121">
        <v>23</v>
      </c>
      <c r="L121">
        <f t="shared" si="4"/>
        <v>11.25</v>
      </c>
      <c r="M121" s="55">
        <f t="shared" si="8"/>
        <v>114.54166666666667</v>
      </c>
    </row>
    <row r="122" spans="1:13" x14ac:dyDescent="0.25">
      <c r="A122" t="s">
        <v>292</v>
      </c>
      <c r="B122">
        <v>25</v>
      </c>
      <c r="C122">
        <v>35</v>
      </c>
      <c r="D122">
        <v>48</v>
      </c>
      <c r="E122">
        <v>45</v>
      </c>
      <c r="F122">
        <v>48</v>
      </c>
      <c r="G122">
        <v>52</v>
      </c>
      <c r="H122">
        <v>53</v>
      </c>
      <c r="I122">
        <v>50</v>
      </c>
      <c r="J122">
        <v>52</v>
      </c>
      <c r="L122">
        <f t="shared" si="4"/>
        <v>25.5</v>
      </c>
      <c r="M122" s="55">
        <f t="shared" si="8"/>
        <v>114.05</v>
      </c>
    </row>
    <row r="123" spans="1:13" x14ac:dyDescent="0.25">
      <c r="A123" t="s">
        <v>293</v>
      </c>
      <c r="B123">
        <v>31</v>
      </c>
      <c r="C123">
        <v>37</v>
      </c>
      <c r="D123">
        <v>52</v>
      </c>
      <c r="E123">
        <v>52</v>
      </c>
      <c r="F123">
        <v>53</v>
      </c>
      <c r="G123">
        <v>52</v>
      </c>
      <c r="H123">
        <v>57</v>
      </c>
      <c r="I123">
        <v>52</v>
      </c>
      <c r="J123">
        <v>54</v>
      </c>
      <c r="L123">
        <f t="shared" si="4"/>
        <v>26.5</v>
      </c>
      <c r="M123" s="55">
        <f t="shared" si="8"/>
        <v>113.25</v>
      </c>
    </row>
    <row r="124" spans="1:13" x14ac:dyDescent="0.25">
      <c r="A124" t="s">
        <v>294</v>
      </c>
      <c r="B124">
        <v>21</v>
      </c>
      <c r="C124">
        <v>35</v>
      </c>
      <c r="D124">
        <v>44</v>
      </c>
      <c r="E124">
        <v>41</v>
      </c>
      <c r="F124">
        <v>43</v>
      </c>
      <c r="G124">
        <v>44</v>
      </c>
      <c r="H124">
        <v>48</v>
      </c>
      <c r="I124">
        <v>43</v>
      </c>
      <c r="J124">
        <v>47</v>
      </c>
      <c r="L124">
        <f t="shared" si="4"/>
        <v>22.5</v>
      </c>
      <c r="M124" s="55">
        <f t="shared" si="8"/>
        <v>114.10714285714286</v>
      </c>
    </row>
    <row r="125" spans="1:13" x14ac:dyDescent="0.25">
      <c r="A125" t="s">
        <v>295</v>
      </c>
      <c r="B125">
        <v>30</v>
      </c>
      <c r="C125">
        <v>40</v>
      </c>
      <c r="D125">
        <v>50</v>
      </c>
      <c r="E125">
        <v>49</v>
      </c>
      <c r="F125">
        <v>50</v>
      </c>
      <c r="G125">
        <v>49</v>
      </c>
      <c r="H125">
        <v>53</v>
      </c>
      <c r="I125">
        <v>49</v>
      </c>
      <c r="J125">
        <v>51</v>
      </c>
      <c r="L125">
        <f t="shared" si="4"/>
        <v>25</v>
      </c>
      <c r="M125" s="55">
        <f t="shared" si="8"/>
        <v>113.5</v>
      </c>
    </row>
    <row r="126" spans="1:13" x14ac:dyDescent="0.25">
      <c r="A126" t="s">
        <v>296</v>
      </c>
      <c r="B126">
        <v>30</v>
      </c>
      <c r="C126">
        <v>44</v>
      </c>
      <c r="D126">
        <v>49</v>
      </c>
      <c r="E126">
        <v>48</v>
      </c>
      <c r="F126">
        <v>51</v>
      </c>
      <c r="G126">
        <v>49</v>
      </c>
      <c r="H126">
        <v>53</v>
      </c>
      <c r="I126">
        <v>47</v>
      </c>
      <c r="J126">
        <v>49</v>
      </c>
      <c r="L126">
        <f t="shared" si="4"/>
        <v>24</v>
      </c>
      <c r="M126" s="55">
        <f t="shared" si="8"/>
        <v>113.57142857142857</v>
      </c>
    </row>
    <row r="127" spans="1:13" x14ac:dyDescent="0.25">
      <c r="A127" t="s">
        <v>297</v>
      </c>
      <c r="B127">
        <v>35</v>
      </c>
      <c r="C127">
        <v>40</v>
      </c>
      <c r="D127">
        <v>51</v>
      </c>
      <c r="E127">
        <v>53</v>
      </c>
      <c r="F127">
        <v>55</v>
      </c>
      <c r="G127">
        <v>54</v>
      </c>
      <c r="H127">
        <v>58</v>
      </c>
      <c r="I127">
        <v>53</v>
      </c>
      <c r="J127">
        <v>55</v>
      </c>
      <c r="L127">
        <f t="shared" si="4"/>
        <v>27</v>
      </c>
      <c r="M127" s="55">
        <f t="shared" si="8"/>
        <v>112.4</v>
      </c>
    </row>
    <row r="128" spans="1:13" x14ac:dyDescent="0.25">
      <c r="A128" t="s">
        <v>298</v>
      </c>
      <c r="B128">
        <v>14</v>
      </c>
      <c r="C128">
        <v>20</v>
      </c>
      <c r="D128">
        <v>26</v>
      </c>
      <c r="E128">
        <v>26</v>
      </c>
      <c r="F128">
        <v>27</v>
      </c>
      <c r="G128">
        <v>27</v>
      </c>
      <c r="H128">
        <v>28</v>
      </c>
      <c r="I128">
        <v>26</v>
      </c>
      <c r="J128">
        <v>28</v>
      </c>
      <c r="L128">
        <f t="shared" si="4"/>
        <v>13.5</v>
      </c>
      <c r="M128" s="55">
        <f t="shared" si="8"/>
        <v>113.91666666666667</v>
      </c>
    </row>
    <row r="129" spans="1:13" x14ac:dyDescent="0.25">
      <c r="A129" t="s">
        <v>299</v>
      </c>
      <c r="B129">
        <v>12</v>
      </c>
      <c r="C129">
        <v>14</v>
      </c>
      <c r="D129">
        <v>22</v>
      </c>
      <c r="E129">
        <v>24</v>
      </c>
      <c r="F129">
        <v>25</v>
      </c>
      <c r="G129">
        <v>25</v>
      </c>
      <c r="H129">
        <v>27</v>
      </c>
      <c r="I129">
        <v>23</v>
      </c>
      <c r="J129">
        <v>26</v>
      </c>
      <c r="L129">
        <f t="shared" si="4"/>
        <v>12.25</v>
      </c>
      <c r="M129" s="55">
        <f t="shared" si="8"/>
        <v>114.125</v>
      </c>
    </row>
    <row r="130" spans="1:13" x14ac:dyDescent="0.25">
      <c r="A130" t="s">
        <v>300</v>
      </c>
      <c r="B130">
        <v>7</v>
      </c>
      <c r="C130">
        <v>15</v>
      </c>
      <c r="D130">
        <v>22</v>
      </c>
      <c r="E130">
        <v>22</v>
      </c>
      <c r="F130">
        <v>22</v>
      </c>
      <c r="G130">
        <v>22</v>
      </c>
      <c r="H130">
        <v>23</v>
      </c>
      <c r="I130">
        <v>20</v>
      </c>
      <c r="J130">
        <v>24</v>
      </c>
      <c r="L130">
        <f t="shared" si="4"/>
        <v>11</v>
      </c>
      <c r="M130" s="55">
        <f t="shared" si="8"/>
        <v>114.5</v>
      </c>
    </row>
    <row r="131" spans="1:13" x14ac:dyDescent="0.25">
      <c r="A131" t="s">
        <v>301</v>
      </c>
      <c r="B131">
        <v>8</v>
      </c>
      <c r="C131">
        <v>14</v>
      </c>
      <c r="D131">
        <v>22</v>
      </c>
      <c r="E131">
        <v>23</v>
      </c>
      <c r="F131">
        <v>24</v>
      </c>
      <c r="G131">
        <v>24</v>
      </c>
      <c r="H131">
        <v>26</v>
      </c>
      <c r="I131">
        <v>24</v>
      </c>
      <c r="J131">
        <v>25</v>
      </c>
      <c r="L131">
        <f t="shared" ref="L131:L194" si="9">AVERAGE(I131:J131)/2</f>
        <v>12.25</v>
      </c>
      <c r="M131" s="55">
        <f t="shared" si="8"/>
        <v>114.70833333333333</v>
      </c>
    </row>
    <row r="132" spans="1:13" x14ac:dyDescent="0.25">
      <c r="A132" t="s">
        <v>302</v>
      </c>
      <c r="B132">
        <v>18</v>
      </c>
      <c r="C132">
        <v>17</v>
      </c>
      <c r="D132">
        <v>22</v>
      </c>
      <c r="E132">
        <v>24</v>
      </c>
      <c r="F132">
        <v>25</v>
      </c>
      <c r="G132">
        <v>26</v>
      </c>
      <c r="H132">
        <v>28</v>
      </c>
      <c r="I132">
        <v>25</v>
      </c>
      <c r="J132">
        <v>26</v>
      </c>
      <c r="L132">
        <f t="shared" si="9"/>
        <v>12.75</v>
      </c>
      <c r="M132" s="55"/>
    </row>
    <row r="133" spans="1:13" x14ac:dyDescent="0.25">
      <c r="A133" t="s">
        <v>303</v>
      </c>
      <c r="B133">
        <v>17</v>
      </c>
      <c r="C133">
        <v>16</v>
      </c>
      <c r="D133">
        <v>21</v>
      </c>
      <c r="E133">
        <v>22</v>
      </c>
      <c r="F133">
        <v>26</v>
      </c>
      <c r="G133">
        <v>25</v>
      </c>
      <c r="H133">
        <v>27</v>
      </c>
      <c r="I133">
        <v>24</v>
      </c>
      <c r="J133">
        <v>27</v>
      </c>
      <c r="L133">
        <f t="shared" si="9"/>
        <v>12.75</v>
      </c>
      <c r="M133" s="55"/>
    </row>
    <row r="134" spans="1:13" x14ac:dyDescent="0.25">
      <c r="A134" t="s">
        <v>304</v>
      </c>
      <c r="B134">
        <v>17</v>
      </c>
      <c r="C134">
        <v>20</v>
      </c>
      <c r="D134">
        <v>18</v>
      </c>
      <c r="E134">
        <v>22</v>
      </c>
      <c r="F134">
        <v>20</v>
      </c>
      <c r="G134">
        <v>20</v>
      </c>
      <c r="H134">
        <v>23</v>
      </c>
      <c r="I134">
        <v>20</v>
      </c>
      <c r="J134">
        <v>22</v>
      </c>
      <c r="L134">
        <f t="shared" si="9"/>
        <v>10.5</v>
      </c>
      <c r="M134" s="55">
        <f>B$1+(L134-B134)/(C134-B134)*(C$1-B$1)</f>
        <v>111.83333333333333</v>
      </c>
    </row>
    <row r="135" spans="1:13" x14ac:dyDescent="0.25">
      <c r="A135" t="s">
        <v>305</v>
      </c>
      <c r="B135">
        <v>15</v>
      </c>
      <c r="C135">
        <v>17</v>
      </c>
      <c r="D135">
        <v>22</v>
      </c>
      <c r="E135">
        <v>21</v>
      </c>
      <c r="F135">
        <v>21</v>
      </c>
      <c r="G135">
        <v>22</v>
      </c>
      <c r="H135">
        <v>23</v>
      </c>
      <c r="I135">
        <v>22</v>
      </c>
      <c r="J135">
        <v>22</v>
      </c>
      <c r="L135">
        <f t="shared" si="9"/>
        <v>11</v>
      </c>
      <c r="M135" s="55">
        <f>B$1+(L135-B135)/(C135-B135)*(C$1-B$1)</f>
        <v>112</v>
      </c>
    </row>
    <row r="136" spans="1:13" x14ac:dyDescent="0.25">
      <c r="A136" t="s">
        <v>306</v>
      </c>
      <c r="B136">
        <v>11</v>
      </c>
      <c r="C136">
        <v>14</v>
      </c>
      <c r="D136">
        <v>19</v>
      </c>
      <c r="E136">
        <v>18</v>
      </c>
      <c r="F136">
        <v>19</v>
      </c>
      <c r="G136">
        <v>19</v>
      </c>
      <c r="H136">
        <v>21</v>
      </c>
      <c r="I136">
        <v>18</v>
      </c>
      <c r="J136">
        <v>20</v>
      </c>
      <c r="L136">
        <f t="shared" si="9"/>
        <v>9.5</v>
      </c>
      <c r="M136" s="55">
        <f>B$1+(L136-B136)/(C136-B136)*(C$1-B$1)</f>
        <v>113.5</v>
      </c>
    </row>
    <row r="137" spans="1:13" x14ac:dyDescent="0.25">
      <c r="A137" t="s">
        <v>307</v>
      </c>
      <c r="B137">
        <v>24</v>
      </c>
      <c r="C137">
        <v>24</v>
      </c>
      <c r="D137">
        <v>27</v>
      </c>
      <c r="E137">
        <v>26</v>
      </c>
      <c r="F137">
        <v>27</v>
      </c>
      <c r="G137">
        <v>26</v>
      </c>
      <c r="H137">
        <v>28</v>
      </c>
      <c r="I137">
        <v>26</v>
      </c>
      <c r="J137">
        <v>28</v>
      </c>
      <c r="L137">
        <f t="shared" si="9"/>
        <v>13.5</v>
      </c>
      <c r="M137" s="55"/>
    </row>
    <row r="138" spans="1:13" x14ac:dyDescent="0.25">
      <c r="A138" t="s">
        <v>308</v>
      </c>
      <c r="B138">
        <v>21</v>
      </c>
      <c r="C138">
        <v>22</v>
      </c>
      <c r="D138">
        <v>25</v>
      </c>
      <c r="E138">
        <v>23</v>
      </c>
      <c r="F138">
        <v>25</v>
      </c>
      <c r="G138">
        <v>23</v>
      </c>
      <c r="H138">
        <v>25</v>
      </c>
      <c r="I138">
        <v>23</v>
      </c>
      <c r="J138">
        <v>26</v>
      </c>
      <c r="L138">
        <f t="shared" si="9"/>
        <v>12.25</v>
      </c>
      <c r="M138" s="55"/>
    </row>
    <row r="139" spans="1:13" x14ac:dyDescent="0.25">
      <c r="A139" t="s">
        <v>309</v>
      </c>
      <c r="B139">
        <v>16</v>
      </c>
      <c r="C139">
        <v>19</v>
      </c>
      <c r="D139">
        <v>26</v>
      </c>
      <c r="E139">
        <v>27</v>
      </c>
      <c r="F139">
        <v>27</v>
      </c>
      <c r="G139">
        <v>27</v>
      </c>
      <c r="H139">
        <v>29</v>
      </c>
      <c r="I139">
        <v>27</v>
      </c>
      <c r="J139">
        <v>27</v>
      </c>
      <c r="L139">
        <f t="shared" si="9"/>
        <v>13.5</v>
      </c>
      <c r="M139" s="55">
        <f>B$1+(L139-B139)/(C139-B139)*(C$1-B$1)</f>
        <v>113.16666666666667</v>
      </c>
    </row>
    <row r="140" spans="1:13" x14ac:dyDescent="0.25">
      <c r="A140" t="s">
        <v>310</v>
      </c>
      <c r="B140">
        <v>40</v>
      </c>
      <c r="C140">
        <v>46</v>
      </c>
      <c r="D140">
        <v>48</v>
      </c>
      <c r="E140">
        <v>47</v>
      </c>
      <c r="F140">
        <v>47</v>
      </c>
      <c r="G140">
        <v>50</v>
      </c>
      <c r="H140">
        <v>53</v>
      </c>
      <c r="I140">
        <v>50</v>
      </c>
      <c r="J140">
        <v>52</v>
      </c>
      <c r="L140">
        <f t="shared" si="9"/>
        <v>25.5</v>
      </c>
      <c r="M140" s="55">
        <f>B$1+(L140-B140)/(C140-B140)*(C$1-B$1)</f>
        <v>111.58333333333333</v>
      </c>
    </row>
    <row r="141" spans="1:13" x14ac:dyDescent="0.25">
      <c r="A141" t="s">
        <v>311</v>
      </c>
      <c r="B141">
        <v>41</v>
      </c>
      <c r="C141">
        <v>47</v>
      </c>
      <c r="D141">
        <v>52</v>
      </c>
      <c r="E141">
        <v>53</v>
      </c>
      <c r="F141">
        <v>52</v>
      </c>
      <c r="G141">
        <v>51</v>
      </c>
      <c r="H141">
        <v>55</v>
      </c>
      <c r="I141">
        <v>61</v>
      </c>
      <c r="J141">
        <v>54</v>
      </c>
      <c r="L141">
        <f t="shared" si="9"/>
        <v>28.75</v>
      </c>
      <c r="M141" s="55">
        <f t="shared" ref="M141:M187" si="10">B$1+(L141-B141)/(C141-B141)*(C$1-B$1)</f>
        <v>111.95833333333333</v>
      </c>
    </row>
    <row r="142" spans="1:13" x14ac:dyDescent="0.25">
      <c r="A142" t="s">
        <v>312</v>
      </c>
      <c r="B142">
        <v>30</v>
      </c>
      <c r="C142">
        <v>36</v>
      </c>
      <c r="D142">
        <v>42</v>
      </c>
      <c r="E142">
        <v>45</v>
      </c>
      <c r="F142">
        <v>45</v>
      </c>
      <c r="G142">
        <v>44</v>
      </c>
      <c r="H142">
        <v>49</v>
      </c>
      <c r="I142">
        <v>44</v>
      </c>
      <c r="J142">
        <v>44</v>
      </c>
      <c r="L142">
        <f t="shared" si="9"/>
        <v>22</v>
      </c>
      <c r="M142" s="55">
        <f>B$1+(L142-B142)/(C142-B142)*(C$1-B$1)</f>
        <v>112.66666666666667</v>
      </c>
    </row>
    <row r="143" spans="1:13" x14ac:dyDescent="0.25">
      <c r="A143" t="s">
        <v>313</v>
      </c>
      <c r="B143">
        <v>32</v>
      </c>
      <c r="C143">
        <v>35</v>
      </c>
      <c r="D143">
        <v>42</v>
      </c>
      <c r="E143">
        <v>41</v>
      </c>
      <c r="F143">
        <v>39</v>
      </c>
      <c r="G143">
        <v>42</v>
      </c>
      <c r="H143">
        <v>46</v>
      </c>
      <c r="I143">
        <v>42</v>
      </c>
      <c r="J143">
        <v>43</v>
      </c>
      <c r="L143">
        <f t="shared" si="9"/>
        <v>21.25</v>
      </c>
      <c r="M143" s="55"/>
    </row>
    <row r="144" spans="1:13" x14ac:dyDescent="0.25">
      <c r="A144" t="s">
        <v>314</v>
      </c>
      <c r="B144">
        <v>32</v>
      </c>
      <c r="C144">
        <v>37</v>
      </c>
      <c r="D144">
        <v>47</v>
      </c>
      <c r="E144">
        <v>30</v>
      </c>
      <c r="F144">
        <v>47</v>
      </c>
      <c r="G144">
        <v>48</v>
      </c>
      <c r="H144">
        <v>50</v>
      </c>
      <c r="I144">
        <v>45</v>
      </c>
      <c r="J144">
        <v>50</v>
      </c>
      <c r="L144">
        <f t="shared" si="9"/>
        <v>23.75</v>
      </c>
      <c r="M144" s="55">
        <f>B$1+(L144-B144)/(C144-B144)*(C$1-B$1)</f>
        <v>112.35</v>
      </c>
    </row>
    <row r="145" spans="1:13" x14ac:dyDescent="0.25">
      <c r="A145" t="s">
        <v>315</v>
      </c>
      <c r="B145">
        <v>17</v>
      </c>
      <c r="C145">
        <v>25</v>
      </c>
      <c r="D145">
        <v>30</v>
      </c>
      <c r="E145">
        <v>28</v>
      </c>
      <c r="F145">
        <v>31</v>
      </c>
      <c r="G145">
        <v>32</v>
      </c>
      <c r="H145">
        <v>35</v>
      </c>
      <c r="I145">
        <v>32</v>
      </c>
      <c r="J145">
        <v>35</v>
      </c>
      <c r="L145">
        <f t="shared" si="9"/>
        <v>16.75</v>
      </c>
      <c r="M145" s="55">
        <f>B$1+(L145-B145)/(C145-B145)*(C$1-B$1)</f>
        <v>113.96875</v>
      </c>
    </row>
    <row r="146" spans="1:13" x14ac:dyDescent="0.25">
      <c r="A146" t="s">
        <v>316</v>
      </c>
      <c r="B146">
        <v>4</v>
      </c>
      <c r="C146">
        <v>5</v>
      </c>
      <c r="D146">
        <v>22</v>
      </c>
      <c r="E146">
        <v>18</v>
      </c>
      <c r="F146">
        <v>21</v>
      </c>
      <c r="G146">
        <v>16</v>
      </c>
      <c r="H146">
        <v>22</v>
      </c>
      <c r="I146">
        <v>17</v>
      </c>
      <c r="J146">
        <v>19</v>
      </c>
      <c r="L146">
        <f t="shared" si="9"/>
        <v>9</v>
      </c>
      <c r="M146" s="55">
        <f>C$1+(L146-C146)/(D146-C146)*(D$1-C$1)</f>
        <v>115.70588235294117</v>
      </c>
    </row>
    <row r="147" spans="1:13" x14ac:dyDescent="0.25">
      <c r="A147" t="s">
        <v>317</v>
      </c>
      <c r="B147">
        <v>1</v>
      </c>
      <c r="C147">
        <v>5</v>
      </c>
      <c r="D147">
        <v>17</v>
      </c>
      <c r="E147">
        <v>18</v>
      </c>
      <c r="F147">
        <v>17</v>
      </c>
      <c r="G147">
        <v>16</v>
      </c>
      <c r="H147">
        <v>24</v>
      </c>
      <c r="I147">
        <v>19</v>
      </c>
      <c r="J147">
        <v>24</v>
      </c>
      <c r="L147">
        <f t="shared" si="9"/>
        <v>10.75</v>
      </c>
      <c r="M147" s="55">
        <f>C$1+(L147-C147)/(D147-C147)*(D$1-C$1)</f>
        <v>116.4375</v>
      </c>
    </row>
    <row r="148" spans="1:13" x14ac:dyDescent="0.25">
      <c r="A148" t="s">
        <v>318</v>
      </c>
      <c r="B148">
        <v>7</v>
      </c>
      <c r="C148">
        <v>11</v>
      </c>
      <c r="D148">
        <v>21</v>
      </c>
      <c r="E148">
        <v>21</v>
      </c>
      <c r="F148">
        <v>22</v>
      </c>
      <c r="G148">
        <v>21</v>
      </c>
      <c r="H148">
        <v>24</v>
      </c>
      <c r="I148">
        <v>22</v>
      </c>
      <c r="J148">
        <v>22</v>
      </c>
      <c r="L148">
        <f t="shared" si="9"/>
        <v>11</v>
      </c>
      <c r="M148" s="55">
        <f>B$1+(L148-B148)/(C148-B148)*(C$1-B$1)</f>
        <v>115</v>
      </c>
    </row>
    <row r="149" spans="1:13" x14ac:dyDescent="0.25">
      <c r="A149" t="s">
        <v>319</v>
      </c>
      <c r="B149">
        <v>9</v>
      </c>
      <c r="C149">
        <v>11</v>
      </c>
      <c r="D149">
        <v>20</v>
      </c>
      <c r="E149">
        <v>21</v>
      </c>
      <c r="F149">
        <v>21</v>
      </c>
      <c r="G149">
        <v>21</v>
      </c>
      <c r="H149">
        <v>23</v>
      </c>
      <c r="I149">
        <v>22</v>
      </c>
      <c r="J149">
        <v>23</v>
      </c>
      <c r="L149">
        <f t="shared" si="9"/>
        <v>11.25</v>
      </c>
      <c r="M149" s="55">
        <f t="shared" ref="M149:M157" si="11">C$1+(L149-C149)/(D149-C149)*(D$1-C$1)</f>
        <v>115.08333333333333</v>
      </c>
    </row>
    <row r="150" spans="1:13" x14ac:dyDescent="0.25">
      <c r="A150" t="s">
        <v>320</v>
      </c>
      <c r="B150">
        <v>1</v>
      </c>
      <c r="C150">
        <v>8</v>
      </c>
      <c r="D150">
        <v>23</v>
      </c>
      <c r="E150">
        <v>24</v>
      </c>
      <c r="F150">
        <v>23</v>
      </c>
      <c r="G150">
        <v>25</v>
      </c>
      <c r="H150">
        <v>27</v>
      </c>
      <c r="I150">
        <v>24</v>
      </c>
      <c r="J150">
        <v>26</v>
      </c>
      <c r="L150">
        <f t="shared" si="9"/>
        <v>12.5</v>
      </c>
      <c r="M150" s="55">
        <f t="shared" si="11"/>
        <v>115.9</v>
      </c>
    </row>
    <row r="151" spans="1:13" x14ac:dyDescent="0.25">
      <c r="A151" t="s">
        <v>321</v>
      </c>
      <c r="B151">
        <v>2</v>
      </c>
      <c r="C151">
        <v>7</v>
      </c>
      <c r="D151">
        <v>22</v>
      </c>
      <c r="E151">
        <v>23</v>
      </c>
      <c r="F151">
        <v>23</v>
      </c>
      <c r="G151">
        <v>22</v>
      </c>
      <c r="H151">
        <v>26</v>
      </c>
      <c r="I151">
        <v>24</v>
      </c>
      <c r="J151">
        <v>25</v>
      </c>
      <c r="L151">
        <f t="shared" si="9"/>
        <v>12.25</v>
      </c>
      <c r="M151" s="55">
        <f t="shared" si="11"/>
        <v>116.05</v>
      </c>
    </row>
    <row r="152" spans="1:13" x14ac:dyDescent="0.25">
      <c r="A152" t="s">
        <v>322</v>
      </c>
      <c r="B152">
        <v>3</v>
      </c>
      <c r="C152">
        <v>11</v>
      </c>
      <c r="D152">
        <v>21</v>
      </c>
      <c r="E152">
        <v>22</v>
      </c>
      <c r="F152">
        <v>24</v>
      </c>
      <c r="G152">
        <v>23</v>
      </c>
      <c r="H152">
        <v>26</v>
      </c>
      <c r="I152">
        <v>25</v>
      </c>
      <c r="J152">
        <v>25</v>
      </c>
      <c r="L152">
        <f t="shared" si="9"/>
        <v>12.5</v>
      </c>
      <c r="M152" s="55">
        <f t="shared" si="11"/>
        <v>115.45</v>
      </c>
    </row>
    <row r="153" spans="1:13" x14ac:dyDescent="0.25">
      <c r="A153" t="s">
        <v>323</v>
      </c>
      <c r="B153">
        <v>4</v>
      </c>
      <c r="C153">
        <v>12</v>
      </c>
      <c r="D153">
        <v>23</v>
      </c>
      <c r="E153">
        <v>24</v>
      </c>
      <c r="F153">
        <v>25</v>
      </c>
      <c r="G153">
        <v>24</v>
      </c>
      <c r="H153">
        <v>28</v>
      </c>
      <c r="I153">
        <v>25</v>
      </c>
      <c r="J153">
        <v>27</v>
      </c>
      <c r="L153">
        <f t="shared" si="9"/>
        <v>13</v>
      </c>
      <c r="M153" s="55">
        <f t="shared" si="11"/>
        <v>115.27272727272727</v>
      </c>
    </row>
    <row r="154" spans="1:13" x14ac:dyDescent="0.25">
      <c r="A154" t="s">
        <v>324</v>
      </c>
      <c r="B154">
        <v>3</v>
      </c>
      <c r="C154">
        <v>9</v>
      </c>
      <c r="D154">
        <v>20</v>
      </c>
      <c r="E154">
        <v>19</v>
      </c>
      <c r="F154">
        <v>20</v>
      </c>
      <c r="G154">
        <v>22</v>
      </c>
      <c r="H154">
        <v>24</v>
      </c>
      <c r="I154">
        <v>22</v>
      </c>
      <c r="J154">
        <v>23</v>
      </c>
      <c r="L154">
        <f t="shared" si="9"/>
        <v>11.25</v>
      </c>
      <c r="M154" s="55">
        <f t="shared" si="11"/>
        <v>115.61363636363636</v>
      </c>
    </row>
    <row r="155" spans="1:13" x14ac:dyDescent="0.25">
      <c r="A155" t="s">
        <v>325</v>
      </c>
      <c r="B155">
        <v>2</v>
      </c>
      <c r="C155">
        <v>8</v>
      </c>
      <c r="D155">
        <v>20</v>
      </c>
      <c r="E155">
        <v>19</v>
      </c>
      <c r="F155">
        <v>21</v>
      </c>
      <c r="G155">
        <v>21</v>
      </c>
      <c r="H155">
        <v>21</v>
      </c>
      <c r="I155">
        <v>21</v>
      </c>
      <c r="J155">
        <v>22</v>
      </c>
      <c r="L155">
        <f t="shared" si="9"/>
        <v>10.75</v>
      </c>
      <c r="M155" s="55">
        <f t="shared" si="11"/>
        <v>115.6875</v>
      </c>
    </row>
    <row r="156" spans="1:13" x14ac:dyDescent="0.25">
      <c r="A156" t="s">
        <v>326</v>
      </c>
      <c r="B156">
        <v>0</v>
      </c>
      <c r="C156">
        <v>0</v>
      </c>
      <c r="D156">
        <v>12</v>
      </c>
      <c r="E156">
        <v>15</v>
      </c>
      <c r="F156">
        <v>18</v>
      </c>
      <c r="G156">
        <v>16</v>
      </c>
      <c r="H156">
        <v>18</v>
      </c>
      <c r="I156">
        <v>17</v>
      </c>
      <c r="J156">
        <v>18</v>
      </c>
      <c r="L156">
        <f t="shared" si="9"/>
        <v>8.75</v>
      </c>
      <c r="M156" s="55">
        <f t="shared" si="11"/>
        <v>117.1875</v>
      </c>
    </row>
    <row r="157" spans="1:13" x14ac:dyDescent="0.25">
      <c r="A157" t="s">
        <v>327</v>
      </c>
      <c r="B157">
        <v>6</v>
      </c>
      <c r="C157">
        <v>11</v>
      </c>
      <c r="D157">
        <v>25</v>
      </c>
      <c r="E157">
        <v>23</v>
      </c>
      <c r="F157">
        <v>25</v>
      </c>
      <c r="G157">
        <v>25</v>
      </c>
      <c r="H157">
        <v>26</v>
      </c>
      <c r="I157">
        <v>24</v>
      </c>
      <c r="J157">
        <v>25</v>
      </c>
      <c r="L157">
        <f t="shared" si="9"/>
        <v>12.25</v>
      </c>
      <c r="M157" s="55">
        <f t="shared" si="11"/>
        <v>115.26785714285714</v>
      </c>
    </row>
    <row r="158" spans="1:13" x14ac:dyDescent="0.25">
      <c r="A158" t="s">
        <v>328</v>
      </c>
      <c r="B158">
        <v>35</v>
      </c>
      <c r="C158">
        <v>41</v>
      </c>
      <c r="D158">
        <v>52</v>
      </c>
      <c r="E158">
        <v>50</v>
      </c>
      <c r="F158">
        <v>52</v>
      </c>
      <c r="G158">
        <v>53</v>
      </c>
      <c r="H158">
        <v>55</v>
      </c>
      <c r="I158">
        <v>49</v>
      </c>
      <c r="J158">
        <v>51</v>
      </c>
      <c r="L158">
        <f t="shared" si="9"/>
        <v>25</v>
      </c>
      <c r="M158" s="55">
        <f>B$1+(L158-B158)/(C158-B158)*(C$1-B$1)</f>
        <v>112.33333333333333</v>
      </c>
    </row>
    <row r="159" spans="1:13" x14ac:dyDescent="0.25">
      <c r="A159" t="s">
        <v>329</v>
      </c>
      <c r="B159">
        <v>27</v>
      </c>
      <c r="C159">
        <v>36</v>
      </c>
      <c r="D159">
        <v>46</v>
      </c>
      <c r="E159">
        <v>42</v>
      </c>
      <c r="F159">
        <v>45</v>
      </c>
      <c r="G159">
        <v>43</v>
      </c>
      <c r="H159">
        <v>50</v>
      </c>
      <c r="I159">
        <v>44</v>
      </c>
      <c r="J159">
        <v>45</v>
      </c>
      <c r="L159">
        <f t="shared" si="9"/>
        <v>22.25</v>
      </c>
      <c r="M159" s="55">
        <f>B$1+(L159-B159)/(C159-B159)*(C$1-B$1)</f>
        <v>113.47222222222223</v>
      </c>
    </row>
    <row r="160" spans="1:13" x14ac:dyDescent="0.25">
      <c r="A160" t="s">
        <v>330</v>
      </c>
      <c r="B160">
        <v>25</v>
      </c>
      <c r="C160">
        <v>33</v>
      </c>
      <c r="D160">
        <v>45</v>
      </c>
      <c r="E160">
        <v>42</v>
      </c>
      <c r="F160">
        <v>46</v>
      </c>
      <c r="G160">
        <v>43</v>
      </c>
      <c r="H160">
        <v>50</v>
      </c>
      <c r="I160">
        <v>45</v>
      </c>
      <c r="J160">
        <v>46</v>
      </c>
      <c r="L160">
        <f t="shared" si="9"/>
        <v>22.75</v>
      </c>
      <c r="M160" s="55">
        <f>B$1+(L160-B160)/(C160-B160)*(C$1-B$1)</f>
        <v>113.71875</v>
      </c>
    </row>
    <row r="161" spans="1:13" x14ac:dyDescent="0.25">
      <c r="A161" t="s">
        <v>331</v>
      </c>
      <c r="B161">
        <v>16</v>
      </c>
      <c r="C161">
        <v>25</v>
      </c>
      <c r="D161">
        <v>40</v>
      </c>
      <c r="E161">
        <v>39</v>
      </c>
      <c r="F161">
        <v>43</v>
      </c>
      <c r="G161">
        <v>42</v>
      </c>
      <c r="H161">
        <v>44</v>
      </c>
      <c r="I161">
        <v>42</v>
      </c>
      <c r="J161">
        <v>43</v>
      </c>
      <c r="L161">
        <f t="shared" si="9"/>
        <v>21.25</v>
      </c>
      <c r="M161" s="55">
        <f>B$1+(L161-B161)/(C161-B161)*(C$1-B$1)</f>
        <v>114.58333333333333</v>
      </c>
    </row>
    <row r="162" spans="1:13" x14ac:dyDescent="0.25">
      <c r="A162" t="s">
        <v>332</v>
      </c>
      <c r="B162">
        <v>22</v>
      </c>
      <c r="C162">
        <v>15</v>
      </c>
      <c r="D162">
        <v>30</v>
      </c>
      <c r="E162">
        <v>32</v>
      </c>
      <c r="F162">
        <v>36</v>
      </c>
      <c r="G162">
        <v>34</v>
      </c>
      <c r="H162">
        <v>42</v>
      </c>
      <c r="I162">
        <v>35</v>
      </c>
      <c r="J162">
        <v>41</v>
      </c>
      <c r="L162">
        <f t="shared" si="9"/>
        <v>19</v>
      </c>
      <c r="M162" s="55"/>
    </row>
    <row r="163" spans="1:13" x14ac:dyDescent="0.25">
      <c r="A163" t="s">
        <v>333</v>
      </c>
      <c r="B163">
        <v>21</v>
      </c>
      <c r="C163">
        <v>28</v>
      </c>
      <c r="D163">
        <v>40</v>
      </c>
      <c r="E163">
        <v>38</v>
      </c>
      <c r="F163">
        <v>42</v>
      </c>
      <c r="G163">
        <v>41</v>
      </c>
      <c r="H163">
        <v>45</v>
      </c>
      <c r="I163">
        <v>45</v>
      </c>
      <c r="J163">
        <v>46</v>
      </c>
      <c r="L163">
        <f t="shared" si="9"/>
        <v>22.75</v>
      </c>
      <c r="M163" s="55">
        <f>B$1+(L163-B163)/(C163-B163)*(C$1-B$1)</f>
        <v>114.25</v>
      </c>
    </row>
    <row r="164" spans="1:13" x14ac:dyDescent="0.25">
      <c r="A164" t="s">
        <v>334</v>
      </c>
      <c r="B164">
        <v>13</v>
      </c>
      <c r="C164">
        <v>16</v>
      </c>
      <c r="D164">
        <v>24</v>
      </c>
      <c r="E164">
        <v>22</v>
      </c>
      <c r="F164">
        <v>24</v>
      </c>
      <c r="G164">
        <v>22</v>
      </c>
      <c r="H164">
        <v>26</v>
      </c>
      <c r="I164">
        <v>22</v>
      </c>
      <c r="J164">
        <v>24</v>
      </c>
      <c r="L164">
        <f t="shared" si="9"/>
        <v>11.5</v>
      </c>
      <c r="M164" s="55">
        <f>B$1+(L164-B164)/(C164-B164)*(C$1-B$1)</f>
        <v>113.5</v>
      </c>
    </row>
    <row r="165" spans="1:13" x14ac:dyDescent="0.25">
      <c r="A165" t="s">
        <v>335</v>
      </c>
      <c r="B165">
        <v>16</v>
      </c>
      <c r="C165">
        <v>21</v>
      </c>
      <c r="D165">
        <v>25</v>
      </c>
      <c r="E165">
        <v>23</v>
      </c>
      <c r="F165">
        <v>24</v>
      </c>
      <c r="G165">
        <v>22</v>
      </c>
      <c r="H165">
        <v>23</v>
      </c>
      <c r="I165">
        <v>22</v>
      </c>
      <c r="J165">
        <v>24</v>
      </c>
      <c r="L165">
        <f t="shared" si="9"/>
        <v>11.5</v>
      </c>
      <c r="M165" s="55">
        <f>B$1+(L165-B165)/(C165-B165)*(C$1-B$1)</f>
        <v>113.1</v>
      </c>
    </row>
    <row r="166" spans="1:13" x14ac:dyDescent="0.25">
      <c r="A166" t="s">
        <v>336</v>
      </c>
      <c r="B166">
        <v>16</v>
      </c>
      <c r="C166">
        <v>14</v>
      </c>
      <c r="D166">
        <v>22</v>
      </c>
      <c r="E166">
        <v>19</v>
      </c>
      <c r="F166">
        <v>22</v>
      </c>
      <c r="G166">
        <v>18</v>
      </c>
      <c r="H166">
        <v>22</v>
      </c>
      <c r="I166">
        <v>19</v>
      </c>
      <c r="J166">
        <v>22</v>
      </c>
      <c r="L166">
        <f t="shared" si="9"/>
        <v>10.25</v>
      </c>
      <c r="M166" s="55"/>
    </row>
    <row r="167" spans="1:13" x14ac:dyDescent="0.25">
      <c r="A167" t="s">
        <v>337</v>
      </c>
      <c r="B167">
        <v>11</v>
      </c>
      <c r="C167">
        <v>17</v>
      </c>
      <c r="D167">
        <v>26</v>
      </c>
      <c r="E167">
        <v>25</v>
      </c>
      <c r="F167">
        <v>26</v>
      </c>
      <c r="G167">
        <v>24</v>
      </c>
      <c r="H167">
        <v>27</v>
      </c>
      <c r="I167">
        <v>24</v>
      </c>
      <c r="J167">
        <v>26</v>
      </c>
      <c r="L167">
        <f t="shared" si="9"/>
        <v>12.5</v>
      </c>
      <c r="M167" s="55">
        <f>B$1+(L167-B167)/(C167-B167)*(C$1-B$1)</f>
        <v>114.25</v>
      </c>
    </row>
    <row r="168" spans="1:13" x14ac:dyDescent="0.25">
      <c r="A168" t="s">
        <v>338</v>
      </c>
      <c r="B168">
        <v>18</v>
      </c>
      <c r="C168">
        <v>18</v>
      </c>
      <c r="D168">
        <v>21</v>
      </c>
      <c r="E168">
        <v>20</v>
      </c>
      <c r="F168">
        <v>21</v>
      </c>
      <c r="G168">
        <v>16</v>
      </c>
      <c r="H168">
        <v>21</v>
      </c>
      <c r="I168">
        <v>19</v>
      </c>
      <c r="J168">
        <v>21</v>
      </c>
      <c r="L168">
        <f t="shared" si="9"/>
        <v>10</v>
      </c>
      <c r="M168" s="55"/>
    </row>
    <row r="169" spans="1:13" x14ac:dyDescent="0.25">
      <c r="A169" t="s">
        <v>339</v>
      </c>
      <c r="B169">
        <v>12</v>
      </c>
      <c r="C169">
        <v>13</v>
      </c>
      <c r="D169">
        <v>18</v>
      </c>
      <c r="E169">
        <v>17</v>
      </c>
      <c r="F169">
        <v>19</v>
      </c>
      <c r="G169">
        <v>18</v>
      </c>
      <c r="H169">
        <v>19</v>
      </c>
      <c r="I169">
        <v>17</v>
      </c>
      <c r="J169">
        <v>21</v>
      </c>
      <c r="L169">
        <f t="shared" si="9"/>
        <v>9.5</v>
      </c>
      <c r="M169" s="55">
        <f>B$1+(L169-B169)/(D169-B169)*(D$1-B$1)</f>
        <v>112.33333333333333</v>
      </c>
    </row>
    <row r="170" spans="1:13" x14ac:dyDescent="0.25">
      <c r="A170" t="s">
        <v>340</v>
      </c>
      <c r="B170">
        <v>29</v>
      </c>
      <c r="C170">
        <v>39</v>
      </c>
      <c r="D170">
        <v>50</v>
      </c>
      <c r="E170">
        <v>50</v>
      </c>
      <c r="F170">
        <v>49</v>
      </c>
      <c r="G170">
        <v>50</v>
      </c>
      <c r="H170">
        <v>51</v>
      </c>
      <c r="I170">
        <v>49</v>
      </c>
      <c r="J170">
        <v>50</v>
      </c>
      <c r="L170">
        <f t="shared" si="9"/>
        <v>24.75</v>
      </c>
      <c r="M170" s="55">
        <f>B$1+(L170-B170)/(C170-B170)*(C$1-B$1)</f>
        <v>113.575</v>
      </c>
    </row>
    <row r="171" spans="1:13" x14ac:dyDescent="0.25">
      <c r="A171" t="s">
        <v>341</v>
      </c>
      <c r="B171">
        <v>25</v>
      </c>
      <c r="C171">
        <v>35</v>
      </c>
      <c r="D171">
        <v>53</v>
      </c>
      <c r="E171">
        <v>51</v>
      </c>
      <c r="F171">
        <v>55</v>
      </c>
      <c r="G171">
        <v>53</v>
      </c>
      <c r="H171">
        <v>57</v>
      </c>
      <c r="I171">
        <v>51</v>
      </c>
      <c r="J171">
        <v>55</v>
      </c>
      <c r="L171">
        <f t="shared" si="9"/>
        <v>26.5</v>
      </c>
      <c r="M171" s="55">
        <f>B$1+(L171-B171)/(C171-B171)*(C$1-B$1)</f>
        <v>114.15</v>
      </c>
    </row>
    <row r="172" spans="1:13" x14ac:dyDescent="0.25">
      <c r="A172" t="s">
        <v>342</v>
      </c>
      <c r="B172">
        <v>29</v>
      </c>
      <c r="C172">
        <v>40</v>
      </c>
      <c r="D172">
        <v>46</v>
      </c>
      <c r="E172">
        <v>46</v>
      </c>
      <c r="F172">
        <v>45</v>
      </c>
      <c r="G172">
        <v>45</v>
      </c>
      <c r="H172">
        <v>50</v>
      </c>
      <c r="I172">
        <v>47</v>
      </c>
      <c r="J172">
        <v>48</v>
      </c>
      <c r="L172">
        <f t="shared" si="9"/>
        <v>23.75</v>
      </c>
      <c r="M172" s="55">
        <f>B$1+(L172-B172)/(C172-B172)*(C$1-B$1)</f>
        <v>113.52272727272727</v>
      </c>
    </row>
    <row r="173" spans="1:13" x14ac:dyDescent="0.25">
      <c r="A173" t="s">
        <v>343</v>
      </c>
      <c r="B173">
        <v>18</v>
      </c>
      <c r="C173">
        <v>28</v>
      </c>
      <c r="D173">
        <v>43</v>
      </c>
      <c r="E173">
        <v>41</v>
      </c>
      <c r="F173">
        <v>43</v>
      </c>
      <c r="G173">
        <v>43</v>
      </c>
      <c r="H173">
        <v>55</v>
      </c>
      <c r="I173">
        <v>44</v>
      </c>
      <c r="J173">
        <v>45</v>
      </c>
      <c r="L173">
        <f t="shared" si="9"/>
        <v>22.25</v>
      </c>
      <c r="M173" s="55">
        <f>B$1+(L173-B173)/(C173-B173)*(C$1-B$1)</f>
        <v>114.425</v>
      </c>
    </row>
    <row r="174" spans="1:13" x14ac:dyDescent="0.25">
      <c r="A174" t="s">
        <v>344</v>
      </c>
      <c r="B174">
        <v>25</v>
      </c>
      <c r="C174">
        <v>31</v>
      </c>
      <c r="D174">
        <v>41</v>
      </c>
      <c r="E174">
        <v>39</v>
      </c>
      <c r="F174">
        <v>41</v>
      </c>
      <c r="G174">
        <v>40</v>
      </c>
      <c r="H174">
        <v>43</v>
      </c>
      <c r="I174">
        <v>39</v>
      </c>
      <c r="J174">
        <v>42</v>
      </c>
      <c r="L174">
        <f t="shared" si="9"/>
        <v>20.25</v>
      </c>
      <c r="M174" s="55">
        <f>B$1+(L174-B174)/(C174-B174)*(C$1-B$1)</f>
        <v>113.20833333333333</v>
      </c>
    </row>
    <row r="175" spans="1:13" x14ac:dyDescent="0.25">
      <c r="A175" t="s">
        <v>345</v>
      </c>
      <c r="B175">
        <v>39</v>
      </c>
      <c r="C175">
        <v>41</v>
      </c>
      <c r="D175">
        <v>49</v>
      </c>
      <c r="E175">
        <v>47</v>
      </c>
      <c r="F175">
        <v>50</v>
      </c>
      <c r="G175">
        <v>49</v>
      </c>
      <c r="H175">
        <v>51</v>
      </c>
      <c r="I175">
        <v>50</v>
      </c>
      <c r="J175">
        <v>50</v>
      </c>
      <c r="L175">
        <f t="shared" si="9"/>
        <v>25</v>
      </c>
      <c r="M175" s="55"/>
    </row>
    <row r="176" spans="1:13" x14ac:dyDescent="0.25">
      <c r="A176" t="s">
        <v>346</v>
      </c>
      <c r="B176">
        <v>15</v>
      </c>
      <c r="C176">
        <v>17</v>
      </c>
      <c r="D176">
        <v>22</v>
      </c>
      <c r="E176">
        <v>21</v>
      </c>
      <c r="F176">
        <v>23</v>
      </c>
      <c r="G176">
        <v>24</v>
      </c>
      <c r="H176">
        <v>23</v>
      </c>
      <c r="I176">
        <v>22</v>
      </c>
      <c r="J176">
        <v>23</v>
      </c>
      <c r="L176">
        <f t="shared" si="9"/>
        <v>11.25</v>
      </c>
      <c r="M176" s="55">
        <f>B$1+(L176-B176)/(C176-B176)*(C$1-B$1)</f>
        <v>112.125</v>
      </c>
    </row>
    <row r="177" spans="1:13" x14ac:dyDescent="0.25">
      <c r="A177" t="s">
        <v>347</v>
      </c>
      <c r="B177">
        <v>20</v>
      </c>
      <c r="C177">
        <v>20</v>
      </c>
      <c r="D177">
        <v>25</v>
      </c>
      <c r="E177">
        <v>24</v>
      </c>
      <c r="F177">
        <v>25</v>
      </c>
      <c r="G177">
        <v>25</v>
      </c>
      <c r="H177">
        <v>27</v>
      </c>
      <c r="I177">
        <v>26</v>
      </c>
      <c r="J177">
        <v>26</v>
      </c>
      <c r="L177">
        <f t="shared" si="9"/>
        <v>13</v>
      </c>
      <c r="M177" s="55"/>
    </row>
    <row r="178" spans="1:13" x14ac:dyDescent="0.25">
      <c r="A178" t="s">
        <v>348</v>
      </c>
      <c r="B178">
        <v>7</v>
      </c>
      <c r="C178">
        <v>14</v>
      </c>
      <c r="D178">
        <v>26</v>
      </c>
      <c r="E178">
        <v>26</v>
      </c>
      <c r="F178">
        <v>26</v>
      </c>
      <c r="G178">
        <v>26</v>
      </c>
      <c r="H178">
        <v>30</v>
      </c>
      <c r="I178">
        <v>26</v>
      </c>
      <c r="J178">
        <v>27</v>
      </c>
      <c r="L178">
        <f t="shared" si="9"/>
        <v>13.25</v>
      </c>
      <c r="M178" s="55">
        <f>B$1+(L178-B178)/(C178-B178)*(C$1-B$1)</f>
        <v>114.89285714285714</v>
      </c>
    </row>
    <row r="179" spans="1:13" x14ac:dyDescent="0.25">
      <c r="A179" t="s">
        <v>349</v>
      </c>
      <c r="B179">
        <v>5</v>
      </c>
      <c r="C179">
        <v>8</v>
      </c>
      <c r="D179">
        <v>20</v>
      </c>
      <c r="E179">
        <v>20</v>
      </c>
      <c r="F179">
        <v>21</v>
      </c>
      <c r="G179">
        <v>17</v>
      </c>
      <c r="H179">
        <v>20</v>
      </c>
      <c r="I179">
        <v>17</v>
      </c>
      <c r="J179">
        <v>17</v>
      </c>
      <c r="L179">
        <f t="shared" si="9"/>
        <v>8.5</v>
      </c>
      <c r="M179" s="55">
        <f>C$1+(L179-C179)/(D179-C179)*(D$1-C$1)</f>
        <v>115.125</v>
      </c>
    </row>
    <row r="180" spans="1:13" x14ac:dyDescent="0.25">
      <c r="A180" t="s">
        <v>350</v>
      </c>
      <c r="B180">
        <v>14</v>
      </c>
      <c r="C180">
        <v>17</v>
      </c>
      <c r="D180">
        <v>23</v>
      </c>
      <c r="E180">
        <v>22</v>
      </c>
      <c r="F180">
        <v>23</v>
      </c>
      <c r="G180">
        <v>23</v>
      </c>
      <c r="H180">
        <v>24</v>
      </c>
      <c r="I180">
        <v>23</v>
      </c>
      <c r="J180">
        <v>23</v>
      </c>
      <c r="L180">
        <f t="shared" si="9"/>
        <v>11.5</v>
      </c>
      <c r="M180" s="55">
        <f>B$1+(L180-B180)/(C180-B180)*(C$1-B$1)</f>
        <v>113.16666666666667</v>
      </c>
    </row>
    <row r="181" spans="1:13" x14ac:dyDescent="0.25">
      <c r="A181" t="s">
        <v>351</v>
      </c>
      <c r="B181">
        <v>15</v>
      </c>
      <c r="C181">
        <v>14</v>
      </c>
      <c r="D181">
        <v>24</v>
      </c>
      <c r="E181">
        <v>24</v>
      </c>
      <c r="F181">
        <v>23</v>
      </c>
      <c r="G181">
        <v>24</v>
      </c>
      <c r="H181">
        <v>26</v>
      </c>
      <c r="I181">
        <v>23</v>
      </c>
      <c r="J181">
        <v>24</v>
      </c>
      <c r="L181">
        <f t="shared" si="9"/>
        <v>11.75</v>
      </c>
      <c r="M181" s="55">
        <f>C$1+(L181-C181)/(D181-C181)*(D$1-C$1)</f>
        <v>114.325</v>
      </c>
    </row>
    <row r="182" spans="1:13" x14ac:dyDescent="0.25">
      <c r="A182" t="s">
        <v>352</v>
      </c>
      <c r="B182">
        <v>20</v>
      </c>
      <c r="C182">
        <v>19</v>
      </c>
      <c r="D182">
        <v>23</v>
      </c>
      <c r="E182">
        <v>22</v>
      </c>
      <c r="F182">
        <v>21</v>
      </c>
      <c r="G182">
        <v>26</v>
      </c>
      <c r="H182">
        <v>24</v>
      </c>
      <c r="I182">
        <v>20</v>
      </c>
      <c r="J182">
        <v>23</v>
      </c>
      <c r="L182">
        <f t="shared" si="9"/>
        <v>10.75</v>
      </c>
      <c r="M182" s="55"/>
    </row>
    <row r="183" spans="1:13" x14ac:dyDescent="0.25">
      <c r="A183" t="s">
        <v>353</v>
      </c>
      <c r="B183">
        <v>19</v>
      </c>
      <c r="C183">
        <v>17</v>
      </c>
      <c r="D183">
        <v>23</v>
      </c>
      <c r="E183">
        <v>24</v>
      </c>
      <c r="F183">
        <v>24</v>
      </c>
      <c r="G183">
        <v>23</v>
      </c>
      <c r="H183">
        <v>27</v>
      </c>
      <c r="I183">
        <v>22</v>
      </c>
      <c r="J183">
        <v>25</v>
      </c>
      <c r="L183">
        <f t="shared" si="9"/>
        <v>11.75</v>
      </c>
      <c r="M183" s="55"/>
    </row>
    <row r="184" spans="1:13" x14ac:dyDescent="0.25">
      <c r="A184" t="s">
        <v>354</v>
      </c>
      <c r="B184">
        <v>15</v>
      </c>
      <c r="C184">
        <v>17</v>
      </c>
      <c r="D184">
        <v>22</v>
      </c>
      <c r="E184">
        <v>21</v>
      </c>
      <c r="F184">
        <v>23</v>
      </c>
      <c r="G184">
        <v>23</v>
      </c>
      <c r="H184">
        <v>25</v>
      </c>
      <c r="I184">
        <v>20</v>
      </c>
      <c r="J184">
        <v>24</v>
      </c>
      <c r="L184">
        <f t="shared" si="9"/>
        <v>11</v>
      </c>
      <c r="M184" s="55">
        <f>B$1+(L184-B184)/(C184-B184)*(C$1-B$1)</f>
        <v>112</v>
      </c>
    </row>
    <row r="185" spans="1:13" x14ac:dyDescent="0.25">
      <c r="A185" t="s">
        <v>355</v>
      </c>
      <c r="B185">
        <v>17</v>
      </c>
      <c r="C185">
        <v>17</v>
      </c>
      <c r="D185">
        <v>24</v>
      </c>
      <c r="E185">
        <v>22</v>
      </c>
      <c r="F185">
        <v>25</v>
      </c>
      <c r="G185">
        <v>26</v>
      </c>
      <c r="H185">
        <v>26</v>
      </c>
      <c r="I185">
        <v>23</v>
      </c>
      <c r="J185">
        <v>25</v>
      </c>
      <c r="L185">
        <f t="shared" si="9"/>
        <v>12</v>
      </c>
      <c r="M185" s="55"/>
    </row>
    <row r="186" spans="1:13" x14ac:dyDescent="0.25">
      <c r="A186" t="s">
        <v>356</v>
      </c>
      <c r="B186">
        <v>23</v>
      </c>
      <c r="C186">
        <v>25</v>
      </c>
      <c r="D186">
        <v>29</v>
      </c>
      <c r="E186">
        <v>28</v>
      </c>
      <c r="F186">
        <v>28</v>
      </c>
      <c r="G186">
        <v>29</v>
      </c>
      <c r="H186">
        <v>32</v>
      </c>
      <c r="I186">
        <v>28</v>
      </c>
      <c r="J186">
        <v>29</v>
      </c>
      <c r="L186">
        <f t="shared" si="9"/>
        <v>14.25</v>
      </c>
      <c r="M186" s="55"/>
    </row>
    <row r="187" spans="1:13" x14ac:dyDescent="0.25">
      <c r="A187" t="s">
        <v>357</v>
      </c>
      <c r="B187">
        <v>15</v>
      </c>
      <c r="C187">
        <v>20</v>
      </c>
      <c r="D187">
        <v>26</v>
      </c>
      <c r="E187">
        <v>26</v>
      </c>
      <c r="F187">
        <v>27</v>
      </c>
      <c r="G187">
        <v>27</v>
      </c>
      <c r="H187">
        <v>31</v>
      </c>
      <c r="I187">
        <v>28</v>
      </c>
      <c r="J187">
        <v>29</v>
      </c>
      <c r="L187">
        <f t="shared" si="9"/>
        <v>14.25</v>
      </c>
      <c r="M187" s="55">
        <f t="shared" si="10"/>
        <v>113.85</v>
      </c>
    </row>
    <row r="188" spans="1:13" x14ac:dyDescent="0.25">
      <c r="A188" t="s">
        <v>358</v>
      </c>
      <c r="B188">
        <v>21</v>
      </c>
      <c r="C188">
        <v>23</v>
      </c>
      <c r="D188">
        <v>27</v>
      </c>
      <c r="E188">
        <v>26</v>
      </c>
      <c r="F188">
        <v>27</v>
      </c>
      <c r="G188">
        <v>26</v>
      </c>
      <c r="H188">
        <v>29</v>
      </c>
      <c r="I188">
        <v>27</v>
      </c>
      <c r="J188">
        <v>27</v>
      </c>
      <c r="L188">
        <f t="shared" si="9"/>
        <v>13.5</v>
      </c>
      <c r="M188" s="55"/>
    </row>
    <row r="189" spans="1:13" x14ac:dyDescent="0.25">
      <c r="A189" t="s">
        <v>359</v>
      </c>
      <c r="B189">
        <v>10</v>
      </c>
      <c r="C189">
        <v>15</v>
      </c>
      <c r="D189">
        <v>22</v>
      </c>
      <c r="E189">
        <v>22</v>
      </c>
      <c r="F189">
        <v>23</v>
      </c>
      <c r="G189">
        <v>23</v>
      </c>
      <c r="H189">
        <v>24</v>
      </c>
      <c r="I189">
        <v>21</v>
      </c>
      <c r="J189">
        <v>23</v>
      </c>
      <c r="L189">
        <f t="shared" si="9"/>
        <v>11</v>
      </c>
      <c r="M189" s="55">
        <f>B$1+(L189-B189)/(C189-B189)*(C$1-B$1)</f>
        <v>114.2</v>
      </c>
    </row>
    <row r="190" spans="1:13" x14ac:dyDescent="0.25">
      <c r="A190" t="s">
        <v>360</v>
      </c>
      <c r="B190">
        <v>10</v>
      </c>
      <c r="C190">
        <v>12</v>
      </c>
      <c r="D190">
        <v>23</v>
      </c>
      <c r="E190">
        <v>23</v>
      </c>
      <c r="F190">
        <v>22</v>
      </c>
      <c r="G190">
        <v>24</v>
      </c>
      <c r="H190">
        <v>25</v>
      </c>
      <c r="I190">
        <v>24</v>
      </c>
      <c r="J190">
        <v>24</v>
      </c>
      <c r="L190">
        <f t="shared" si="9"/>
        <v>12</v>
      </c>
      <c r="M190" s="55">
        <f>B$1+(L190-B190)/(C190-B190)*(C$1-B$1)</f>
        <v>115</v>
      </c>
    </row>
    <row r="191" spans="1:13" x14ac:dyDescent="0.25">
      <c r="A191" t="s">
        <v>361</v>
      </c>
      <c r="B191">
        <v>10</v>
      </c>
      <c r="C191">
        <v>13</v>
      </c>
      <c r="D191">
        <v>26</v>
      </c>
      <c r="E191">
        <v>27</v>
      </c>
      <c r="F191">
        <v>28</v>
      </c>
      <c r="G191">
        <v>28</v>
      </c>
      <c r="H191">
        <v>28</v>
      </c>
      <c r="I191">
        <v>28</v>
      </c>
      <c r="J191">
        <v>28</v>
      </c>
      <c r="L191">
        <f t="shared" si="9"/>
        <v>14</v>
      </c>
      <c r="M191" s="55">
        <f>C$1+(L191-C191)/(D191-C191)*(D$1-C$1)</f>
        <v>115.23076923076923</v>
      </c>
    </row>
    <row r="192" spans="1:13" x14ac:dyDescent="0.25">
      <c r="A192" t="s">
        <v>362</v>
      </c>
      <c r="B192">
        <v>19</v>
      </c>
      <c r="C192">
        <v>20</v>
      </c>
      <c r="D192">
        <v>26</v>
      </c>
      <c r="E192">
        <v>26</v>
      </c>
      <c r="F192">
        <v>25</v>
      </c>
      <c r="G192">
        <v>26</v>
      </c>
      <c r="H192">
        <v>28</v>
      </c>
      <c r="I192">
        <v>26</v>
      </c>
      <c r="J192">
        <v>27</v>
      </c>
      <c r="L192">
        <f t="shared" si="9"/>
        <v>13.25</v>
      </c>
      <c r="M192" s="55"/>
    </row>
    <row r="193" spans="1:13" x14ac:dyDescent="0.25">
      <c r="A193" t="s">
        <v>363</v>
      </c>
      <c r="B193">
        <v>2</v>
      </c>
      <c r="C193">
        <v>6</v>
      </c>
      <c r="D193">
        <v>11</v>
      </c>
      <c r="E193">
        <v>11</v>
      </c>
      <c r="F193">
        <v>18</v>
      </c>
      <c r="G193">
        <v>16</v>
      </c>
      <c r="H193">
        <v>17</v>
      </c>
      <c r="I193">
        <v>15</v>
      </c>
      <c r="J193">
        <v>16</v>
      </c>
      <c r="L193">
        <f t="shared" si="9"/>
        <v>7.75</v>
      </c>
      <c r="M193" s="55">
        <f>C$1+(L193-C193)/(D193-C193)*(D$1-C$1)</f>
        <v>116.05</v>
      </c>
    </row>
    <row r="194" spans="1:13" x14ac:dyDescent="0.25">
      <c r="A194" t="s">
        <v>364</v>
      </c>
      <c r="B194">
        <v>7</v>
      </c>
      <c r="C194">
        <v>24</v>
      </c>
      <c r="D194">
        <v>21</v>
      </c>
      <c r="E194">
        <v>21</v>
      </c>
      <c r="F194">
        <v>21</v>
      </c>
      <c r="G194">
        <v>22</v>
      </c>
      <c r="H194">
        <v>24</v>
      </c>
      <c r="I194">
        <v>22</v>
      </c>
      <c r="J194">
        <v>24</v>
      </c>
      <c r="L194">
        <f t="shared" si="9"/>
        <v>11.5</v>
      </c>
      <c r="M194" s="55">
        <f>B$1+(L194-B194)/(C194-B194)*(C$1-B$1)</f>
        <v>114.26470588235294</v>
      </c>
    </row>
    <row r="195" spans="1:13" x14ac:dyDescent="0.25">
      <c r="A195" t="s">
        <v>365</v>
      </c>
      <c r="B195">
        <v>2</v>
      </c>
      <c r="C195">
        <v>16</v>
      </c>
      <c r="D195">
        <v>20</v>
      </c>
      <c r="E195">
        <v>23</v>
      </c>
      <c r="F195">
        <v>24</v>
      </c>
      <c r="G195">
        <v>24</v>
      </c>
      <c r="H195">
        <v>28</v>
      </c>
      <c r="I195">
        <v>25</v>
      </c>
      <c r="J195">
        <v>27</v>
      </c>
      <c r="L195">
        <f t="shared" ref="L195:L217" si="12">AVERAGE(I195:J195)/2</f>
        <v>13</v>
      </c>
      <c r="M195" s="55">
        <f>B$1+(L195-B195)/(C195-B195)*(C$1-B$1)</f>
        <v>114.78571428571429</v>
      </c>
    </row>
    <row r="196" spans="1:13" x14ac:dyDescent="0.25">
      <c r="A196" t="s">
        <v>366</v>
      </c>
      <c r="B196">
        <v>3</v>
      </c>
      <c r="C196">
        <v>16</v>
      </c>
      <c r="D196">
        <v>19</v>
      </c>
      <c r="E196">
        <v>18</v>
      </c>
      <c r="F196">
        <v>18</v>
      </c>
      <c r="G196">
        <v>18</v>
      </c>
      <c r="H196">
        <v>22</v>
      </c>
      <c r="I196">
        <v>19</v>
      </c>
      <c r="J196">
        <v>20</v>
      </c>
      <c r="L196">
        <f t="shared" si="12"/>
        <v>9.75</v>
      </c>
      <c r="M196" s="55">
        <f>B$1+(L196-B196)/(C196-B196)*(C$1-B$1)</f>
        <v>114.51923076923077</v>
      </c>
    </row>
    <row r="197" spans="1:13" x14ac:dyDescent="0.25">
      <c r="A197" t="s">
        <v>367</v>
      </c>
      <c r="B197">
        <v>1</v>
      </c>
      <c r="C197">
        <v>13</v>
      </c>
      <c r="D197">
        <v>17</v>
      </c>
      <c r="E197">
        <v>19</v>
      </c>
      <c r="F197">
        <v>19</v>
      </c>
      <c r="G197">
        <v>19</v>
      </c>
      <c r="H197">
        <v>21</v>
      </c>
      <c r="I197">
        <v>20</v>
      </c>
      <c r="J197">
        <v>21</v>
      </c>
      <c r="L197">
        <f t="shared" si="12"/>
        <v>10.25</v>
      </c>
      <c r="M197" s="55">
        <f>B$1+(L197-B197)/(C197-B197)*(C$1-B$1)</f>
        <v>114.77083333333333</v>
      </c>
    </row>
    <row r="198" spans="1:13" x14ac:dyDescent="0.25">
      <c r="A198" t="s">
        <v>368</v>
      </c>
      <c r="B198">
        <v>0</v>
      </c>
      <c r="C198">
        <v>19</v>
      </c>
      <c r="D198">
        <v>5</v>
      </c>
      <c r="E198">
        <v>13</v>
      </c>
      <c r="F198">
        <v>12</v>
      </c>
      <c r="G198">
        <v>13</v>
      </c>
      <c r="H198">
        <v>18</v>
      </c>
      <c r="I198">
        <v>15</v>
      </c>
      <c r="J198">
        <v>16</v>
      </c>
      <c r="L198">
        <f t="shared" si="12"/>
        <v>7.75</v>
      </c>
      <c r="M198" s="55">
        <f>B$1+(L198-B198)/(C198-B198)*(C$1-B$1)</f>
        <v>114.40789473684211</v>
      </c>
    </row>
    <row r="199" spans="1:13" x14ac:dyDescent="0.25">
      <c r="A199" t="s">
        <v>369</v>
      </c>
      <c r="B199">
        <v>4</v>
      </c>
      <c r="C199">
        <v>9</v>
      </c>
      <c r="D199">
        <v>19</v>
      </c>
      <c r="E199">
        <v>20</v>
      </c>
      <c r="F199">
        <v>20</v>
      </c>
      <c r="G199">
        <v>20</v>
      </c>
      <c r="H199">
        <v>21</v>
      </c>
      <c r="I199">
        <v>21</v>
      </c>
      <c r="J199">
        <v>20</v>
      </c>
      <c r="L199">
        <f t="shared" si="12"/>
        <v>10.25</v>
      </c>
      <c r="M199" s="55">
        <f>C$1+(L199-C199)/(D199-C199)*(D$1-C$1)</f>
        <v>115.375</v>
      </c>
    </row>
    <row r="200" spans="1:13" x14ac:dyDescent="0.25">
      <c r="A200" t="s">
        <v>370</v>
      </c>
      <c r="B200">
        <v>0</v>
      </c>
      <c r="C200">
        <v>20</v>
      </c>
      <c r="D200">
        <v>21</v>
      </c>
      <c r="E200">
        <v>24</v>
      </c>
      <c r="F200">
        <v>24</v>
      </c>
      <c r="G200">
        <v>21</v>
      </c>
      <c r="H200">
        <v>25</v>
      </c>
      <c r="I200">
        <v>22</v>
      </c>
      <c r="J200">
        <v>24</v>
      </c>
      <c r="L200">
        <f t="shared" si="12"/>
        <v>11.5</v>
      </c>
      <c r="M200" s="55">
        <f>B$1+(L200-B200)/(C200-B200)*(C$1-B$1)</f>
        <v>114.575</v>
      </c>
    </row>
    <row r="201" spans="1:13" x14ac:dyDescent="0.25">
      <c r="A201" t="s">
        <v>371</v>
      </c>
      <c r="B201">
        <v>3</v>
      </c>
      <c r="C201">
        <v>16</v>
      </c>
      <c r="D201">
        <v>26</v>
      </c>
      <c r="E201">
        <v>27</v>
      </c>
      <c r="F201">
        <v>26</v>
      </c>
      <c r="G201">
        <v>26</v>
      </c>
      <c r="H201">
        <v>28</v>
      </c>
      <c r="I201">
        <v>25</v>
      </c>
      <c r="J201">
        <v>27</v>
      </c>
      <c r="L201">
        <f t="shared" si="12"/>
        <v>13</v>
      </c>
      <c r="M201" s="55">
        <f>B$1+(L201-B201)/(C201-B201)*(C$1-B$1)</f>
        <v>114.76923076923077</v>
      </c>
    </row>
    <row r="202" spans="1:13" x14ac:dyDescent="0.25">
      <c r="A202" t="s">
        <v>372</v>
      </c>
      <c r="B202">
        <v>0</v>
      </c>
      <c r="C202">
        <v>13</v>
      </c>
      <c r="D202">
        <v>14</v>
      </c>
      <c r="E202">
        <v>17</v>
      </c>
      <c r="F202">
        <v>18</v>
      </c>
      <c r="G202">
        <v>14</v>
      </c>
      <c r="H202">
        <v>20</v>
      </c>
      <c r="I202">
        <v>17</v>
      </c>
      <c r="J202">
        <v>20</v>
      </c>
      <c r="L202">
        <f t="shared" si="12"/>
        <v>9.25</v>
      </c>
      <c r="M202" s="55">
        <f>B$1+(L202-B202)/(C202-B202)*(C$1-B$1)</f>
        <v>114.71153846153847</v>
      </c>
    </row>
    <row r="203" spans="1:13" x14ac:dyDescent="0.25">
      <c r="A203" t="s">
        <v>373</v>
      </c>
      <c r="B203">
        <v>0</v>
      </c>
      <c r="C203">
        <v>6</v>
      </c>
      <c r="D203">
        <v>7</v>
      </c>
      <c r="E203">
        <v>14</v>
      </c>
      <c r="F203">
        <v>14</v>
      </c>
      <c r="G203">
        <v>16</v>
      </c>
      <c r="H203">
        <v>21</v>
      </c>
      <c r="I203">
        <v>20</v>
      </c>
      <c r="J203">
        <v>20</v>
      </c>
      <c r="L203">
        <f t="shared" si="12"/>
        <v>10</v>
      </c>
      <c r="M203" s="55">
        <f>D$1+(L203-D203)/(E203-D203)*(E$1-D$1)</f>
        <v>118.42857142857143</v>
      </c>
    </row>
    <row r="204" spans="1:13" x14ac:dyDescent="0.25">
      <c r="A204" t="s">
        <v>374</v>
      </c>
      <c r="B204">
        <v>4</v>
      </c>
      <c r="C204">
        <v>8</v>
      </c>
      <c r="D204">
        <v>23</v>
      </c>
      <c r="E204">
        <v>23</v>
      </c>
      <c r="F204">
        <v>23</v>
      </c>
      <c r="G204">
        <v>22</v>
      </c>
      <c r="H204">
        <v>27</v>
      </c>
      <c r="I204">
        <v>23</v>
      </c>
      <c r="J204">
        <v>25</v>
      </c>
      <c r="L204">
        <f t="shared" si="12"/>
        <v>12</v>
      </c>
      <c r="M204" s="55">
        <f>C$1+(L204-C204)/(D204-C204)*(D$1-C$1)</f>
        <v>115.8</v>
      </c>
    </row>
    <row r="205" spans="1:13" x14ac:dyDescent="0.25">
      <c r="A205" t="s">
        <v>375</v>
      </c>
      <c r="B205">
        <v>5</v>
      </c>
      <c r="C205">
        <v>5</v>
      </c>
      <c r="D205">
        <v>16</v>
      </c>
      <c r="E205">
        <v>17</v>
      </c>
      <c r="F205">
        <v>15</v>
      </c>
      <c r="G205">
        <v>16</v>
      </c>
      <c r="H205">
        <v>18</v>
      </c>
      <c r="I205">
        <v>16</v>
      </c>
      <c r="J205">
        <v>14</v>
      </c>
      <c r="L205">
        <f t="shared" si="12"/>
        <v>7.5</v>
      </c>
      <c r="M205" s="55">
        <f>C$1+(L205-C205)/(D205-C205)*(D$1-C$1)</f>
        <v>115.68181818181819</v>
      </c>
    </row>
    <row r="206" spans="1:13" x14ac:dyDescent="0.25">
      <c r="A206" t="s">
        <v>376</v>
      </c>
      <c r="B206">
        <v>7</v>
      </c>
      <c r="C206">
        <v>11</v>
      </c>
      <c r="D206">
        <v>22</v>
      </c>
      <c r="E206">
        <v>24</v>
      </c>
      <c r="F206">
        <v>23</v>
      </c>
      <c r="G206">
        <v>21</v>
      </c>
      <c r="H206">
        <v>24</v>
      </c>
      <c r="I206">
        <v>23</v>
      </c>
      <c r="J206">
        <v>25</v>
      </c>
      <c r="L206">
        <f t="shared" si="12"/>
        <v>12</v>
      </c>
      <c r="M206" s="55">
        <f>C$1+(L206-C206)/(D206-C206)*(D$1-C$1)</f>
        <v>115.27272727272727</v>
      </c>
    </row>
    <row r="207" spans="1:13" x14ac:dyDescent="0.25">
      <c r="A207" t="s">
        <v>377</v>
      </c>
      <c r="B207">
        <v>5</v>
      </c>
      <c r="C207">
        <v>17</v>
      </c>
      <c r="D207">
        <v>22</v>
      </c>
      <c r="E207">
        <v>25</v>
      </c>
      <c r="F207">
        <v>25</v>
      </c>
      <c r="G207">
        <v>25</v>
      </c>
      <c r="H207">
        <v>26</v>
      </c>
      <c r="I207">
        <v>24</v>
      </c>
      <c r="J207">
        <v>26</v>
      </c>
      <c r="L207">
        <f t="shared" si="12"/>
        <v>12.5</v>
      </c>
      <c r="M207" s="55">
        <f>B$1+(L207-B207)/(C207-B207)*(C$1-B$1)</f>
        <v>114.625</v>
      </c>
    </row>
    <row r="208" spans="1:13" x14ac:dyDescent="0.25">
      <c r="A208" t="s">
        <v>378</v>
      </c>
      <c r="B208">
        <v>4</v>
      </c>
      <c r="C208">
        <v>3</v>
      </c>
      <c r="D208">
        <v>23</v>
      </c>
      <c r="E208">
        <v>23</v>
      </c>
      <c r="F208">
        <v>23</v>
      </c>
      <c r="G208">
        <v>24</v>
      </c>
      <c r="H208">
        <v>26</v>
      </c>
      <c r="I208">
        <v>24</v>
      </c>
      <c r="J208">
        <v>24</v>
      </c>
      <c r="L208">
        <f t="shared" si="12"/>
        <v>12</v>
      </c>
      <c r="M208" s="55">
        <f>C$1+(L208-C208)/(D208-C208)*(D$1-C$1)</f>
        <v>116.35</v>
      </c>
    </row>
    <row r="209" spans="1:13" x14ac:dyDescent="0.25">
      <c r="A209" t="s">
        <v>379</v>
      </c>
      <c r="B209">
        <v>1</v>
      </c>
      <c r="C209">
        <v>0</v>
      </c>
      <c r="D209">
        <v>20</v>
      </c>
      <c r="E209">
        <v>20</v>
      </c>
      <c r="F209">
        <v>20</v>
      </c>
      <c r="G209">
        <v>20</v>
      </c>
      <c r="H209">
        <v>22</v>
      </c>
      <c r="I209">
        <v>21</v>
      </c>
      <c r="J209">
        <v>23</v>
      </c>
      <c r="L209">
        <f t="shared" si="12"/>
        <v>11</v>
      </c>
      <c r="M209" s="55">
        <f>C$1+(L209-C209)/(D209-C209)*(D$1-C$1)</f>
        <v>116.65</v>
      </c>
    </row>
    <row r="210" spans="1:13" x14ac:dyDescent="0.25">
      <c r="A210" t="s">
        <v>380</v>
      </c>
      <c r="B210">
        <v>0</v>
      </c>
      <c r="C210">
        <v>14</v>
      </c>
      <c r="D210">
        <v>13</v>
      </c>
      <c r="E210">
        <v>15</v>
      </c>
      <c r="F210">
        <v>15</v>
      </c>
      <c r="G210">
        <v>17</v>
      </c>
      <c r="H210">
        <v>20</v>
      </c>
      <c r="I210">
        <v>18</v>
      </c>
      <c r="J210">
        <v>18</v>
      </c>
      <c r="L210">
        <f t="shared" si="12"/>
        <v>9</v>
      </c>
      <c r="M210" s="55">
        <f>B$1+(L210-B210)/(C210-B210)*(C$1-B$1)</f>
        <v>114.64285714285714</v>
      </c>
    </row>
    <row r="211" spans="1:13" x14ac:dyDescent="0.25">
      <c r="A211" t="s">
        <v>381</v>
      </c>
      <c r="B211">
        <v>0</v>
      </c>
      <c r="C211">
        <v>10</v>
      </c>
      <c r="D211">
        <v>19</v>
      </c>
      <c r="E211">
        <v>20</v>
      </c>
      <c r="F211">
        <v>21</v>
      </c>
      <c r="G211">
        <v>17</v>
      </c>
      <c r="H211">
        <v>22</v>
      </c>
      <c r="I211">
        <v>20</v>
      </c>
      <c r="J211">
        <v>22</v>
      </c>
      <c r="L211">
        <f t="shared" si="12"/>
        <v>10.5</v>
      </c>
      <c r="M211" s="55">
        <f>C$1+(L211-C211)/(D211-C211)*(D$1-C$1)</f>
        <v>115.16666666666667</v>
      </c>
    </row>
    <row r="212" spans="1:13" x14ac:dyDescent="0.25">
      <c r="A212" t="s">
        <v>382</v>
      </c>
      <c r="B212">
        <v>17</v>
      </c>
      <c r="C212">
        <v>14</v>
      </c>
      <c r="D212">
        <v>29</v>
      </c>
      <c r="E212">
        <v>30</v>
      </c>
      <c r="F212">
        <v>30</v>
      </c>
      <c r="G212">
        <v>27</v>
      </c>
      <c r="H212">
        <v>31</v>
      </c>
      <c r="I212">
        <v>30</v>
      </c>
      <c r="J212">
        <v>31</v>
      </c>
      <c r="L212">
        <f t="shared" si="12"/>
        <v>15.25</v>
      </c>
      <c r="M212" s="55">
        <f t="shared" ref="M212" si="13">C$1+(L212-C212)/(D212-C212)*(D$1-C$1)</f>
        <v>115.25</v>
      </c>
    </row>
    <row r="213" spans="1:13" x14ac:dyDescent="0.25">
      <c r="A213" t="s">
        <v>383</v>
      </c>
      <c r="B213">
        <v>8</v>
      </c>
      <c r="C213">
        <v>5</v>
      </c>
      <c r="D213">
        <v>24</v>
      </c>
      <c r="E213">
        <v>25</v>
      </c>
      <c r="F213">
        <v>24</v>
      </c>
      <c r="G213">
        <v>24</v>
      </c>
      <c r="H213">
        <v>29</v>
      </c>
      <c r="I213">
        <v>29</v>
      </c>
      <c r="J213">
        <v>30</v>
      </c>
      <c r="L213">
        <f t="shared" si="12"/>
        <v>14.75</v>
      </c>
      <c r="M213" s="55">
        <f>C$1+(L213-C213)/(D213-C213)*(D$1-C$1)</f>
        <v>116.53947368421052</v>
      </c>
    </row>
    <row r="214" spans="1:13" x14ac:dyDescent="0.25">
      <c r="A214" t="s">
        <v>384</v>
      </c>
      <c r="B214">
        <v>2</v>
      </c>
      <c r="C214">
        <v>10</v>
      </c>
      <c r="D214">
        <v>23</v>
      </c>
      <c r="E214">
        <v>24</v>
      </c>
      <c r="F214">
        <v>21</v>
      </c>
      <c r="G214">
        <v>22</v>
      </c>
      <c r="H214">
        <v>26</v>
      </c>
      <c r="I214">
        <v>25</v>
      </c>
      <c r="J214">
        <v>25</v>
      </c>
      <c r="L214">
        <f t="shared" si="12"/>
        <v>12.5</v>
      </c>
      <c r="M214" s="55">
        <f>C$1+(L214-C214)/(D214-C214)*(D$1-C$1)</f>
        <v>115.57692307692308</v>
      </c>
    </row>
    <row r="215" spans="1:13" x14ac:dyDescent="0.25">
      <c r="A215" t="s">
        <v>385</v>
      </c>
      <c r="B215">
        <v>3</v>
      </c>
      <c r="C215">
        <v>8</v>
      </c>
      <c r="D215">
        <v>23</v>
      </c>
      <c r="E215">
        <v>23</v>
      </c>
      <c r="F215">
        <v>23</v>
      </c>
      <c r="G215">
        <v>23</v>
      </c>
      <c r="H215">
        <v>24</v>
      </c>
      <c r="I215">
        <v>24</v>
      </c>
      <c r="J215">
        <v>25</v>
      </c>
      <c r="L215">
        <f t="shared" si="12"/>
        <v>12.25</v>
      </c>
      <c r="M215" s="55">
        <f>C$1+(L215-C215)/(D215-C215)*(D$1-C$1)</f>
        <v>115.85</v>
      </c>
    </row>
    <row r="216" spans="1:13" x14ac:dyDescent="0.25">
      <c r="A216" t="s">
        <v>386</v>
      </c>
      <c r="B216">
        <v>9</v>
      </c>
      <c r="C216">
        <v>0</v>
      </c>
      <c r="D216">
        <v>24</v>
      </c>
      <c r="E216">
        <v>25</v>
      </c>
      <c r="F216">
        <v>25</v>
      </c>
      <c r="G216">
        <v>23</v>
      </c>
      <c r="H216">
        <v>26</v>
      </c>
      <c r="I216">
        <v>25</v>
      </c>
      <c r="J216">
        <v>26</v>
      </c>
      <c r="L216">
        <f t="shared" si="12"/>
        <v>12.75</v>
      </c>
      <c r="M216" s="55">
        <f>C$1+(L216-C216)/(D216-C216)*(D$1-C$1)</f>
        <v>116.59375</v>
      </c>
    </row>
    <row r="217" spans="1:13" x14ac:dyDescent="0.25">
      <c r="A217" t="s">
        <v>387</v>
      </c>
      <c r="B217">
        <v>0</v>
      </c>
      <c r="C217">
        <v>9</v>
      </c>
      <c r="D217">
        <v>22</v>
      </c>
      <c r="E217">
        <v>23</v>
      </c>
      <c r="F217">
        <v>24</v>
      </c>
      <c r="G217">
        <v>18</v>
      </c>
      <c r="H217">
        <v>26</v>
      </c>
      <c r="I217">
        <v>25</v>
      </c>
      <c r="J217">
        <v>25</v>
      </c>
      <c r="L217">
        <f t="shared" si="12"/>
        <v>12.5</v>
      </c>
      <c r="M217" s="55">
        <f>C$1+(L217-C217)/(D217-C217)*(D$1-C$1)</f>
        <v>115.80769230769231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A7835-1A49-4708-94CC-07EBF9FBD812}">
  <dimension ref="A1:X81"/>
  <sheetViews>
    <sheetView workbookViewId="0">
      <selection activeCell="K10" sqref="K10:P49"/>
    </sheetView>
  </sheetViews>
  <sheetFormatPr defaultRowHeight="12.75" x14ac:dyDescent="0.2"/>
  <cols>
    <col min="1" max="19" width="9.140625" style="1"/>
    <col min="20" max="20" width="45.7109375" style="1" customWidth="1"/>
    <col min="21" max="21" width="9.140625" style="1"/>
    <col min="22" max="22" width="28.7109375" style="1" customWidth="1"/>
    <col min="23" max="24" width="5" style="1" customWidth="1"/>
    <col min="25" max="25" width="5.5703125" style="1" customWidth="1"/>
    <col min="26" max="26" width="4.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114</v>
      </c>
      <c r="E3" s="1" t="s">
        <v>425</v>
      </c>
      <c r="F3" s="105">
        <v>0.29375000000000001</v>
      </c>
    </row>
    <row r="4" spans="1:23" ht="13.5" thickBot="1" x14ac:dyDescent="0.25">
      <c r="E4" s="1" t="s">
        <v>424</v>
      </c>
      <c r="F4" s="105">
        <v>0.32361111111111113</v>
      </c>
      <c r="N4" s="58">
        <f>AVERAGE(Q10:Q11,Q13,Q15:Q17,Q19:Q20,Q22:Q29,Q31:Q32,Q34:Q35,Q37,Q39:Q41)</f>
        <v>5.2048611111111116</v>
      </c>
      <c r="O4" s="58">
        <f>AVERAGE(Q12,Q14,Q18,Q21,Q30,Q36,Q38,Q33)</f>
        <v>13.864583333333334</v>
      </c>
    </row>
    <row r="6" spans="1:23" x14ac:dyDescent="0.2">
      <c r="B6" s="1" t="s">
        <v>80</v>
      </c>
      <c r="D6" s="104" t="s">
        <v>439</v>
      </c>
      <c r="E6" s="104"/>
      <c r="F6" s="104"/>
      <c r="G6" s="104"/>
      <c r="H6" s="104"/>
      <c r="I6" s="104"/>
      <c r="J6" s="104"/>
      <c r="K6" s="104"/>
      <c r="L6" s="104"/>
      <c r="M6" s="104"/>
      <c r="N6" s="104"/>
      <c r="O6" s="104"/>
    </row>
    <row r="7" spans="1:23" x14ac:dyDescent="0.2">
      <c r="D7" s="104" t="s">
        <v>438</v>
      </c>
      <c r="E7" s="104"/>
      <c r="F7" s="104"/>
      <c r="G7" s="104"/>
      <c r="H7" s="104"/>
      <c r="I7" s="104"/>
      <c r="J7" s="104"/>
      <c r="K7" s="104"/>
      <c r="L7" s="104"/>
      <c r="M7" s="104"/>
      <c r="N7" s="104" t="s">
        <v>437</v>
      </c>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6</v>
      </c>
      <c r="L10" s="110">
        <v>6</v>
      </c>
      <c r="M10" s="110">
        <v>4</v>
      </c>
      <c r="N10" s="110">
        <v>3</v>
      </c>
      <c r="O10" s="110">
        <v>1</v>
      </c>
      <c r="P10" s="110">
        <v>6</v>
      </c>
      <c r="Q10" s="78">
        <f t="shared" ref="Q10:Q49" si="5">AVERAGE(K10:P10)/2</f>
        <v>2.1666666666666665</v>
      </c>
      <c r="R10" s="78">
        <f t="shared" ref="R10:R49" si="6">STDEV(K10:P10)/2/SQRT(COUNT(K10:P10))</f>
        <v>0.4216370213557839</v>
      </c>
      <c r="S10" s="72">
        <f t="shared" ref="S10:S49" si="7">IF(F10=3,Q10/2,Q10)</f>
        <v>2.1666666666666665</v>
      </c>
      <c r="T10" s="115">
        <v>0.30694444444444441</v>
      </c>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109">
        <v>8</v>
      </c>
      <c r="L11" s="109">
        <v>1</v>
      </c>
      <c r="M11" s="109">
        <v>3</v>
      </c>
      <c r="N11" s="109">
        <v>0</v>
      </c>
      <c r="O11" s="109">
        <v>1</v>
      </c>
      <c r="P11" s="109">
        <v>16</v>
      </c>
      <c r="Q11" s="78">
        <f t="shared" si="5"/>
        <v>2.4166666666666665</v>
      </c>
      <c r="R11" s="77">
        <f t="shared" si="6"/>
        <v>1.2610621625351297</v>
      </c>
      <c r="S11" s="72">
        <f t="shared" si="7"/>
        <v>2.4166666666666665</v>
      </c>
      <c r="T11" s="71"/>
      <c r="V11" s="83" t="s">
        <v>409</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v>29</v>
      </c>
      <c r="L12" s="111">
        <v>30</v>
      </c>
      <c r="M12" s="111">
        <v>29</v>
      </c>
      <c r="N12" s="111">
        <v>29</v>
      </c>
      <c r="O12" s="111">
        <v>31</v>
      </c>
      <c r="P12" s="111">
        <v>42</v>
      </c>
      <c r="Q12" s="87">
        <f t="shared" si="5"/>
        <v>15.833333333333334</v>
      </c>
      <c r="R12" s="86">
        <f t="shared" si="6"/>
        <v>1.0461569884316799</v>
      </c>
      <c r="S12" s="72">
        <f t="shared" si="7"/>
        <v>7.916666666666667</v>
      </c>
      <c r="T12" s="71"/>
      <c r="V12" s="67">
        <v>1</v>
      </c>
      <c r="W12" s="65">
        <v>2.4270833333333335</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6</v>
      </c>
      <c r="L13" s="109">
        <v>14</v>
      </c>
      <c r="M13" s="109">
        <v>6</v>
      </c>
      <c r="N13" s="109">
        <v>2</v>
      </c>
      <c r="O13" s="109">
        <v>9</v>
      </c>
      <c r="P13" s="109">
        <v>13</v>
      </c>
      <c r="Q13" s="78">
        <f t="shared" si="5"/>
        <v>4.166666666666667</v>
      </c>
      <c r="R13" s="77">
        <f t="shared" si="6"/>
        <v>0.9368979548370131</v>
      </c>
      <c r="S13" s="72">
        <f t="shared" si="7"/>
        <v>4.166666666666667</v>
      </c>
      <c r="T13" s="71"/>
      <c r="V13" s="70">
        <v>2</v>
      </c>
      <c r="W13" s="69">
        <v>2.3333333333333335</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v>28</v>
      </c>
      <c r="L14" s="111">
        <v>10</v>
      </c>
      <c r="M14" s="111">
        <v>24</v>
      </c>
      <c r="N14" s="111">
        <v>20</v>
      </c>
      <c r="O14" s="111">
        <v>25</v>
      </c>
      <c r="P14" s="111">
        <v>39</v>
      </c>
      <c r="Q14" s="87">
        <f t="shared" si="5"/>
        <v>12.166666666666666</v>
      </c>
      <c r="R14" s="86">
        <f t="shared" si="6"/>
        <v>1.9436506316151008</v>
      </c>
      <c r="S14" s="72">
        <f t="shared" si="7"/>
        <v>6.083333333333333</v>
      </c>
      <c r="T14" s="71"/>
      <c r="V14" s="70">
        <v>3</v>
      </c>
      <c r="W14" s="69">
        <v>5.833333333333333</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v>18</v>
      </c>
      <c r="L15" s="109">
        <v>10</v>
      </c>
      <c r="M15" s="109">
        <v>12</v>
      </c>
      <c r="N15" s="109">
        <v>10</v>
      </c>
      <c r="O15" s="109">
        <v>15</v>
      </c>
      <c r="P15" s="109">
        <v>13</v>
      </c>
      <c r="Q15" s="78">
        <f t="shared" si="5"/>
        <v>6.5</v>
      </c>
      <c r="R15" s="77">
        <f t="shared" si="6"/>
        <v>0.63245553203367599</v>
      </c>
      <c r="S15" s="72">
        <f t="shared" si="7"/>
        <v>6.5</v>
      </c>
      <c r="T15" s="71"/>
      <c r="V15" s="70">
        <v>4</v>
      </c>
      <c r="W15" s="69">
        <v>6.34375</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09">
        <v>15</v>
      </c>
      <c r="L16" s="109">
        <v>15</v>
      </c>
      <c r="M16" s="109">
        <v>15</v>
      </c>
      <c r="N16" s="109">
        <v>14</v>
      </c>
      <c r="O16" s="109">
        <v>16</v>
      </c>
      <c r="P16" s="109">
        <v>14</v>
      </c>
      <c r="Q16" s="78">
        <f t="shared" si="5"/>
        <v>7.416666666666667</v>
      </c>
      <c r="R16" s="77">
        <f t="shared" si="6"/>
        <v>0.15365907428821479</v>
      </c>
      <c r="S16" s="72">
        <f t="shared" si="7"/>
        <v>7.416666666666667</v>
      </c>
      <c r="T16" s="71"/>
      <c r="V16" s="70">
        <v>5</v>
      </c>
      <c r="W16" s="69">
        <v>6.15625</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4">
        <v>17</v>
      </c>
      <c r="L17" s="74">
        <v>13</v>
      </c>
      <c r="M17" s="74">
        <v>10</v>
      </c>
      <c r="N17" s="74">
        <v>10</v>
      </c>
      <c r="O17" s="74">
        <v>16</v>
      </c>
      <c r="P17" s="74">
        <v>14</v>
      </c>
      <c r="Q17" s="74">
        <f t="shared" si="5"/>
        <v>6.666666666666667</v>
      </c>
      <c r="R17" s="73">
        <f t="shared" si="6"/>
        <v>0.60092521257733111</v>
      </c>
      <c r="S17" s="72">
        <f t="shared" si="7"/>
        <v>6.666666666666667</v>
      </c>
      <c r="T17" s="115">
        <v>0.31874999999999998</v>
      </c>
      <c r="V17" s="70">
        <v>6</v>
      </c>
      <c r="W17" s="69">
        <v>7</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v>21</v>
      </c>
      <c r="L18" s="114">
        <v>26</v>
      </c>
      <c r="M18" s="114">
        <v>21</v>
      </c>
      <c r="N18" s="114">
        <v>17</v>
      </c>
      <c r="O18" s="114">
        <v>11</v>
      </c>
      <c r="P18" s="114">
        <v>13</v>
      </c>
      <c r="Q18" s="87">
        <f t="shared" si="5"/>
        <v>9.0833333333333339</v>
      </c>
      <c r="R18" s="87">
        <f t="shared" si="6"/>
        <v>1.1432167093095009</v>
      </c>
      <c r="S18" s="72">
        <f t="shared" si="7"/>
        <v>4.541666666666667</v>
      </c>
      <c r="T18" s="71"/>
      <c r="V18" s="70">
        <v>7</v>
      </c>
      <c r="W18" s="69">
        <v>8.1458333333333339</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3">
        <v>9</v>
      </c>
      <c r="L19" s="112">
        <v>2</v>
      </c>
      <c r="M19" s="112">
        <v>6</v>
      </c>
      <c r="N19" s="112">
        <v>0</v>
      </c>
      <c r="O19" s="109">
        <v>4</v>
      </c>
      <c r="P19" s="109">
        <v>19</v>
      </c>
      <c r="Q19" s="78">
        <f t="shared" si="5"/>
        <v>3.3333333333333335</v>
      </c>
      <c r="R19" s="77">
        <f t="shared" si="6"/>
        <v>1.3884443733105687</v>
      </c>
      <c r="S19" s="72">
        <f t="shared" si="7"/>
        <v>3.3333333333333335</v>
      </c>
      <c r="T19" s="71"/>
      <c r="V19" s="70">
        <v>8</v>
      </c>
      <c r="W19" s="69">
        <v>6.854166666666667</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109">
        <v>9</v>
      </c>
      <c r="L20" s="109">
        <v>19</v>
      </c>
      <c r="M20" s="109">
        <v>15</v>
      </c>
      <c r="N20" s="109">
        <v>7</v>
      </c>
      <c r="O20" s="109">
        <v>14</v>
      </c>
      <c r="P20" s="109">
        <v>10</v>
      </c>
      <c r="Q20" s="78">
        <f t="shared" si="5"/>
        <v>6.166666666666667</v>
      </c>
      <c r="R20" s="77">
        <f t="shared" si="6"/>
        <v>0.909822937597079</v>
      </c>
      <c r="S20" s="72">
        <f t="shared" si="7"/>
        <v>6.166666666666667</v>
      </c>
      <c r="T20" s="71"/>
      <c r="V20" s="64" t="s">
        <v>408</v>
      </c>
      <c r="W20" s="62">
        <v>5.63671875</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v>33</v>
      </c>
      <c r="L21" s="111">
        <v>36</v>
      </c>
      <c r="M21" s="111">
        <v>36</v>
      </c>
      <c r="N21" s="111">
        <v>33</v>
      </c>
      <c r="O21" s="111">
        <v>42</v>
      </c>
      <c r="P21" s="111">
        <v>31</v>
      </c>
      <c r="Q21" s="87">
        <f t="shared" si="5"/>
        <v>17.583333333333332</v>
      </c>
      <c r="R21" s="86">
        <f t="shared" si="6"/>
        <v>0.78969051603214235</v>
      </c>
      <c r="S21" s="72">
        <f t="shared" si="7"/>
        <v>8.7916666666666661</v>
      </c>
      <c r="T21" s="71"/>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4</v>
      </c>
      <c r="L22" s="109">
        <v>15</v>
      </c>
      <c r="M22" s="109">
        <v>10</v>
      </c>
      <c r="N22" s="109">
        <v>7</v>
      </c>
      <c r="O22" s="109">
        <v>7</v>
      </c>
      <c r="P22" s="109">
        <v>11</v>
      </c>
      <c r="Q22" s="78">
        <f t="shared" si="5"/>
        <v>4.5</v>
      </c>
      <c r="R22" s="77">
        <f t="shared" si="6"/>
        <v>0.78528126595931658</v>
      </c>
      <c r="S22" s="72">
        <f t="shared" si="7"/>
        <v>4.5</v>
      </c>
      <c r="T22" s="71"/>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14</v>
      </c>
      <c r="L23" s="109">
        <v>14</v>
      </c>
      <c r="M23" s="109">
        <v>20</v>
      </c>
      <c r="N23" s="109">
        <v>17</v>
      </c>
      <c r="O23" s="109">
        <v>21</v>
      </c>
      <c r="P23" s="109">
        <v>20</v>
      </c>
      <c r="Q23" s="78">
        <f t="shared" si="5"/>
        <v>8.8333333333333339</v>
      </c>
      <c r="R23" s="77">
        <f t="shared" si="6"/>
        <v>0.64117946872237774</v>
      </c>
      <c r="S23" s="72">
        <f t="shared" si="7"/>
        <v>8.8333333333333339</v>
      </c>
      <c r="T23" s="71"/>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16</v>
      </c>
      <c r="L24" s="109">
        <v>14</v>
      </c>
      <c r="M24" s="109">
        <v>17</v>
      </c>
      <c r="N24" s="109">
        <v>14</v>
      </c>
      <c r="O24" s="109">
        <v>20</v>
      </c>
      <c r="P24" s="109">
        <v>8</v>
      </c>
      <c r="Q24" s="78">
        <f t="shared" si="5"/>
        <v>7.416666666666667</v>
      </c>
      <c r="R24" s="77">
        <f t="shared" si="6"/>
        <v>0.82073815014967499</v>
      </c>
      <c r="S24" s="72">
        <f t="shared" si="7"/>
        <v>7.416666666666667</v>
      </c>
      <c r="T24" s="71"/>
      <c r="V24" s="58">
        <f>AVERAGE(W15:W17,W19)</f>
        <v>6.588541666666667</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18</v>
      </c>
      <c r="L25" s="74">
        <v>15</v>
      </c>
      <c r="M25" s="74">
        <v>7</v>
      </c>
      <c r="N25" s="74">
        <v>15</v>
      </c>
      <c r="O25" s="74">
        <v>13</v>
      </c>
      <c r="P25" s="74">
        <v>13</v>
      </c>
      <c r="Q25" s="74">
        <f t="shared" si="5"/>
        <v>6.75</v>
      </c>
      <c r="R25" s="73">
        <f t="shared" si="6"/>
        <v>0.75000000000000011</v>
      </c>
      <c r="S25" s="72">
        <f t="shared" si="7"/>
        <v>6.75</v>
      </c>
      <c r="T25" s="108">
        <v>0.29375000000000001</v>
      </c>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0</v>
      </c>
      <c r="L26" s="110">
        <v>8</v>
      </c>
      <c r="M26" s="110">
        <v>2</v>
      </c>
      <c r="N26" s="110">
        <v>1</v>
      </c>
      <c r="O26" s="110">
        <v>0</v>
      </c>
      <c r="P26" s="110">
        <v>1</v>
      </c>
      <c r="Q26" s="78">
        <f t="shared" si="5"/>
        <v>1</v>
      </c>
      <c r="R26" s="78">
        <f t="shared" si="6"/>
        <v>0.61913918736689033</v>
      </c>
      <c r="S26" s="72">
        <f t="shared" si="7"/>
        <v>1</v>
      </c>
      <c r="T26" s="108">
        <v>0.30902777777777779</v>
      </c>
      <c r="V26" s="58">
        <f>AVERAGE(W12:W14,W18)</f>
        <v>4.6848958333333339</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0</v>
      </c>
      <c r="L27" s="109">
        <v>0</v>
      </c>
      <c r="M27" s="109">
        <v>3</v>
      </c>
      <c r="N27" s="109">
        <v>0</v>
      </c>
      <c r="O27" s="109">
        <v>4</v>
      </c>
      <c r="P27" s="109">
        <v>18</v>
      </c>
      <c r="Q27" s="78">
        <f t="shared" si="5"/>
        <v>2.0833333333333335</v>
      </c>
      <c r="R27" s="77">
        <f t="shared" si="6"/>
        <v>1.4283829240710553</v>
      </c>
      <c r="S27" s="72">
        <f t="shared" si="7"/>
        <v>2.0833333333333335</v>
      </c>
      <c r="T27" s="71"/>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6</v>
      </c>
      <c r="L28" s="109">
        <v>5</v>
      </c>
      <c r="M28" s="109">
        <v>4</v>
      </c>
      <c r="N28" s="109">
        <v>4</v>
      </c>
      <c r="O28" s="109">
        <v>9</v>
      </c>
      <c r="P28" s="109">
        <v>10</v>
      </c>
      <c r="Q28" s="78">
        <f t="shared" si="5"/>
        <v>3.1666666666666665</v>
      </c>
      <c r="R28" s="77">
        <f t="shared" si="6"/>
        <v>0.52704627669473003</v>
      </c>
      <c r="S28" s="72">
        <f t="shared" si="7"/>
        <v>3.1666666666666665</v>
      </c>
      <c r="T28" s="71"/>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10</v>
      </c>
      <c r="L29" s="109">
        <v>16</v>
      </c>
      <c r="M29" s="109">
        <v>6</v>
      </c>
      <c r="N29" s="109">
        <v>8</v>
      </c>
      <c r="O29" s="109">
        <v>15</v>
      </c>
      <c r="P29" s="109">
        <v>8</v>
      </c>
      <c r="Q29" s="78">
        <f t="shared" si="5"/>
        <v>5.25</v>
      </c>
      <c r="R29" s="77">
        <f t="shared" si="6"/>
        <v>0.83416625041614667</v>
      </c>
      <c r="S29" s="72">
        <f t="shared" si="7"/>
        <v>5.25</v>
      </c>
      <c r="T29" s="71"/>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v>25</v>
      </c>
      <c r="L30" s="111">
        <v>31</v>
      </c>
      <c r="M30" s="111">
        <v>21</v>
      </c>
      <c r="N30" s="111">
        <v>30</v>
      </c>
      <c r="O30" s="111">
        <v>30</v>
      </c>
      <c r="P30" s="111">
        <v>35</v>
      </c>
      <c r="Q30" s="87">
        <f t="shared" si="5"/>
        <v>14.333333333333334</v>
      </c>
      <c r="R30" s="86">
        <f t="shared" si="6"/>
        <v>1.0055402085998892</v>
      </c>
      <c r="S30" s="72">
        <f t="shared" si="7"/>
        <v>7.166666666666667</v>
      </c>
      <c r="T30" s="71"/>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14</v>
      </c>
      <c r="L31" s="109">
        <v>12</v>
      </c>
      <c r="M31" s="109">
        <v>7</v>
      </c>
      <c r="N31" s="109">
        <v>8</v>
      </c>
      <c r="O31" s="109">
        <v>18</v>
      </c>
      <c r="P31" s="109">
        <v>17</v>
      </c>
      <c r="Q31" s="78">
        <f t="shared" si="5"/>
        <v>6.333333333333333</v>
      </c>
      <c r="R31" s="77">
        <f t="shared" si="6"/>
        <v>0.92796072713833722</v>
      </c>
      <c r="S31" s="72">
        <f t="shared" si="7"/>
        <v>6.333333333333333</v>
      </c>
      <c r="T31" s="71"/>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17</v>
      </c>
      <c r="L32" s="109">
        <v>15</v>
      </c>
      <c r="M32" s="109">
        <v>11</v>
      </c>
      <c r="N32" s="109">
        <v>24</v>
      </c>
      <c r="O32" s="109">
        <v>21</v>
      </c>
      <c r="P32" s="109">
        <v>16</v>
      </c>
      <c r="Q32" s="78">
        <f t="shared" si="5"/>
        <v>8.6666666666666661</v>
      </c>
      <c r="R32" s="77">
        <f t="shared" si="6"/>
        <v>0.93689795483701288</v>
      </c>
      <c r="S32" s="72">
        <f t="shared" si="7"/>
        <v>8.6666666666666661</v>
      </c>
      <c r="T32" s="71"/>
    </row>
    <row r="33" spans="2:24"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v>40</v>
      </c>
      <c r="L33" s="91">
        <v>41</v>
      </c>
      <c r="M33" s="91">
        <v>30</v>
      </c>
      <c r="N33" s="91">
        <v>32</v>
      </c>
      <c r="O33" s="91">
        <v>32</v>
      </c>
      <c r="P33" s="91">
        <v>17</v>
      </c>
      <c r="Q33" s="91">
        <f t="shared" si="5"/>
        <v>16</v>
      </c>
      <c r="R33" s="90">
        <f t="shared" si="6"/>
        <v>1.7654083569153816</v>
      </c>
      <c r="S33" s="72">
        <f t="shared" si="7"/>
        <v>8</v>
      </c>
      <c r="T33" s="108">
        <v>0.2951388888888889</v>
      </c>
    </row>
    <row r="34" spans="2:24" x14ac:dyDescent="0.2">
      <c r="B34" s="23">
        <v>401</v>
      </c>
      <c r="C34" s="23" t="s">
        <v>152</v>
      </c>
      <c r="D34" s="23">
        <v>7</v>
      </c>
      <c r="E34" s="81">
        <f t="shared" si="0"/>
        <v>2</v>
      </c>
      <c r="F34" s="81">
        <f t="shared" si="1"/>
        <v>1</v>
      </c>
      <c r="G34" s="81">
        <f t="shared" si="2"/>
        <v>2</v>
      </c>
      <c r="H34" s="23">
        <v>3</v>
      </c>
      <c r="I34" s="23">
        <f t="shared" si="3"/>
        <v>1</v>
      </c>
      <c r="J34" s="23" t="str">
        <f t="shared" si="4"/>
        <v>212.3</v>
      </c>
      <c r="K34" s="110">
        <v>4</v>
      </c>
      <c r="L34" s="110">
        <v>1</v>
      </c>
      <c r="M34" s="110">
        <v>7</v>
      </c>
      <c r="N34" s="110">
        <v>9</v>
      </c>
      <c r="O34" s="110">
        <v>1</v>
      </c>
      <c r="P34" s="110">
        <v>2</v>
      </c>
      <c r="Q34" s="78">
        <f t="shared" si="5"/>
        <v>2</v>
      </c>
      <c r="R34" s="78">
        <f t="shared" si="6"/>
        <v>0.68313005106397329</v>
      </c>
      <c r="S34" s="72">
        <f t="shared" si="7"/>
        <v>2</v>
      </c>
      <c r="T34" s="108">
        <v>0.3125</v>
      </c>
    </row>
    <row r="35" spans="2:24" x14ac:dyDescent="0.2">
      <c r="B35" s="5">
        <v>402</v>
      </c>
      <c r="C35" s="5" t="s">
        <v>115</v>
      </c>
      <c r="D35" s="5">
        <v>9</v>
      </c>
      <c r="E35" s="18">
        <f t="shared" si="0"/>
        <v>2</v>
      </c>
      <c r="F35" s="18">
        <f t="shared" si="1"/>
        <v>2</v>
      </c>
      <c r="G35" s="18">
        <f t="shared" si="2"/>
        <v>2</v>
      </c>
      <c r="H35" s="5">
        <v>3</v>
      </c>
      <c r="I35" s="5">
        <f t="shared" si="3"/>
        <v>2</v>
      </c>
      <c r="J35" s="5" t="str">
        <f t="shared" si="4"/>
        <v>222.3</v>
      </c>
      <c r="K35" s="109">
        <v>3</v>
      </c>
      <c r="L35" s="109">
        <v>4</v>
      </c>
      <c r="M35" s="109">
        <v>3</v>
      </c>
      <c r="N35" s="109">
        <v>2</v>
      </c>
      <c r="O35" s="109">
        <v>0</v>
      </c>
      <c r="P35" s="109">
        <v>6</v>
      </c>
      <c r="Q35" s="78">
        <f t="shared" si="5"/>
        <v>1.5</v>
      </c>
      <c r="R35" s="77">
        <f t="shared" si="6"/>
        <v>0.40824829046386307</v>
      </c>
      <c r="S35" s="72">
        <f t="shared" si="7"/>
        <v>1.5</v>
      </c>
      <c r="T35" s="71"/>
    </row>
    <row r="36" spans="2:24" x14ac:dyDescent="0.2">
      <c r="B36" s="88">
        <v>403</v>
      </c>
      <c r="C36" s="88" t="s">
        <v>155</v>
      </c>
      <c r="D36" s="88">
        <v>6</v>
      </c>
      <c r="E36" s="89">
        <f t="shared" si="0"/>
        <v>1</v>
      </c>
      <c r="F36" s="89">
        <f t="shared" si="1"/>
        <v>3</v>
      </c>
      <c r="G36" s="89">
        <f t="shared" si="2"/>
        <v>1</v>
      </c>
      <c r="H36" s="88">
        <v>3</v>
      </c>
      <c r="I36" s="88">
        <f t="shared" si="3"/>
        <v>3</v>
      </c>
      <c r="J36" s="88" t="str">
        <f t="shared" si="4"/>
        <v>131.3</v>
      </c>
      <c r="K36" s="111">
        <v>35</v>
      </c>
      <c r="L36" s="111">
        <v>27</v>
      </c>
      <c r="M36" s="111">
        <v>25</v>
      </c>
      <c r="N36" s="111">
        <v>16</v>
      </c>
      <c r="O36" s="111">
        <v>22</v>
      </c>
      <c r="P36" s="111">
        <v>21</v>
      </c>
      <c r="Q36" s="87">
        <f t="shared" si="5"/>
        <v>12.166666666666666</v>
      </c>
      <c r="R36" s="86">
        <f t="shared" si="6"/>
        <v>1.3144496102086909</v>
      </c>
      <c r="S36" s="72">
        <f t="shared" si="7"/>
        <v>6.083333333333333</v>
      </c>
      <c r="T36" s="71"/>
    </row>
    <row r="37" spans="2:24" x14ac:dyDescent="0.2">
      <c r="B37" s="5">
        <v>404</v>
      </c>
      <c r="C37" s="5" t="s">
        <v>111</v>
      </c>
      <c r="D37" s="5">
        <v>3</v>
      </c>
      <c r="E37" s="18">
        <f t="shared" si="0"/>
        <v>1</v>
      </c>
      <c r="F37" s="18">
        <f t="shared" si="1"/>
        <v>2</v>
      </c>
      <c r="G37" s="18">
        <f t="shared" si="2"/>
        <v>2</v>
      </c>
      <c r="H37" s="5">
        <v>3</v>
      </c>
      <c r="I37" s="5">
        <f t="shared" si="3"/>
        <v>4</v>
      </c>
      <c r="J37" s="5" t="str">
        <f t="shared" si="4"/>
        <v>122.3</v>
      </c>
      <c r="K37" s="109">
        <v>13</v>
      </c>
      <c r="L37" s="109">
        <v>16</v>
      </c>
      <c r="M37" s="109">
        <v>16</v>
      </c>
      <c r="N37" s="109">
        <v>11</v>
      </c>
      <c r="O37" s="109">
        <v>18</v>
      </c>
      <c r="P37" s="109">
        <v>12</v>
      </c>
      <c r="Q37" s="78">
        <f t="shared" si="5"/>
        <v>7.166666666666667</v>
      </c>
      <c r="R37" s="77">
        <f t="shared" si="6"/>
        <v>0.55777335102271652</v>
      </c>
      <c r="S37" s="72">
        <f t="shared" si="7"/>
        <v>7.166666666666667</v>
      </c>
      <c r="T37" s="71"/>
    </row>
    <row r="38" spans="2:24" x14ac:dyDescent="0.2">
      <c r="B38" s="88">
        <v>405</v>
      </c>
      <c r="C38" s="88" t="s">
        <v>155</v>
      </c>
      <c r="D38" s="88">
        <v>6</v>
      </c>
      <c r="E38" s="89">
        <f t="shared" si="0"/>
        <v>1</v>
      </c>
      <c r="F38" s="89">
        <f t="shared" si="1"/>
        <v>3</v>
      </c>
      <c r="G38" s="89">
        <f t="shared" si="2"/>
        <v>1</v>
      </c>
      <c r="H38" s="88">
        <v>4</v>
      </c>
      <c r="I38" s="88">
        <f t="shared" si="3"/>
        <v>5</v>
      </c>
      <c r="J38" s="88" t="str">
        <f t="shared" si="4"/>
        <v>131.4</v>
      </c>
      <c r="K38" s="111">
        <v>29</v>
      </c>
      <c r="L38" s="111">
        <v>25</v>
      </c>
      <c r="M38" s="111">
        <v>29</v>
      </c>
      <c r="N38" s="111">
        <v>18</v>
      </c>
      <c r="O38" s="111">
        <v>25</v>
      </c>
      <c r="P38" s="111">
        <v>39</v>
      </c>
      <c r="Q38" s="87">
        <f t="shared" si="5"/>
        <v>13.75</v>
      </c>
      <c r="R38" s="86">
        <f t="shared" si="6"/>
        <v>1.4127396551853897</v>
      </c>
      <c r="S38" s="72">
        <f t="shared" si="7"/>
        <v>6.875</v>
      </c>
      <c r="T38" s="71"/>
    </row>
    <row r="39" spans="2:24" x14ac:dyDescent="0.2">
      <c r="B39" s="5">
        <v>406</v>
      </c>
      <c r="C39" s="5" t="s">
        <v>111</v>
      </c>
      <c r="D39" s="5">
        <v>3</v>
      </c>
      <c r="E39" s="18">
        <f t="shared" si="0"/>
        <v>1</v>
      </c>
      <c r="F39" s="18">
        <f t="shared" si="1"/>
        <v>2</v>
      </c>
      <c r="G39" s="18">
        <f t="shared" si="2"/>
        <v>2</v>
      </c>
      <c r="H39" s="5">
        <v>4</v>
      </c>
      <c r="I39" s="5">
        <f t="shared" si="3"/>
        <v>6</v>
      </c>
      <c r="J39" s="5" t="str">
        <f t="shared" si="4"/>
        <v>122.4</v>
      </c>
      <c r="K39" s="109">
        <v>15</v>
      </c>
      <c r="L39" s="109">
        <v>20</v>
      </c>
      <c r="M39" s="109">
        <v>7</v>
      </c>
      <c r="N39" s="109">
        <v>5</v>
      </c>
      <c r="O39" s="109">
        <v>14</v>
      </c>
      <c r="P39" s="109">
        <v>15</v>
      </c>
      <c r="Q39" s="78">
        <f t="shared" si="5"/>
        <v>6.333333333333333</v>
      </c>
      <c r="R39" s="77">
        <f t="shared" si="6"/>
        <v>1.1450376024878448</v>
      </c>
      <c r="S39" s="72">
        <f t="shared" si="7"/>
        <v>6.333333333333333</v>
      </c>
      <c r="T39" s="71"/>
    </row>
    <row r="40" spans="2:24" x14ac:dyDescent="0.2">
      <c r="B40" s="5">
        <v>407</v>
      </c>
      <c r="C40" s="5" t="s">
        <v>152</v>
      </c>
      <c r="D40" s="5">
        <v>7</v>
      </c>
      <c r="E40" s="18">
        <f t="shared" si="0"/>
        <v>2</v>
      </c>
      <c r="F40" s="18">
        <f t="shared" si="1"/>
        <v>1</v>
      </c>
      <c r="G40" s="18">
        <f t="shared" si="2"/>
        <v>2</v>
      </c>
      <c r="H40" s="5">
        <v>4</v>
      </c>
      <c r="I40" s="5">
        <f t="shared" si="3"/>
        <v>7</v>
      </c>
      <c r="J40" s="5" t="str">
        <f t="shared" si="4"/>
        <v>212.4</v>
      </c>
      <c r="K40" s="109">
        <v>20</v>
      </c>
      <c r="L40" s="109">
        <v>19</v>
      </c>
      <c r="M40" s="109">
        <v>15</v>
      </c>
      <c r="N40" s="109">
        <v>17</v>
      </c>
      <c r="O40" s="109">
        <v>23</v>
      </c>
      <c r="P40" s="109">
        <v>15</v>
      </c>
      <c r="Q40" s="78">
        <f t="shared" si="5"/>
        <v>9.0833333333333339</v>
      </c>
      <c r="R40" s="77">
        <f t="shared" si="6"/>
        <v>0.63792197363348746</v>
      </c>
      <c r="S40" s="72">
        <f t="shared" si="7"/>
        <v>9.0833333333333339</v>
      </c>
      <c r="T40" s="71"/>
      <c r="V40" s="83" t="s">
        <v>410</v>
      </c>
      <c r="W40" s="66"/>
      <c r="X40" s="82"/>
    </row>
    <row r="41" spans="2:24"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21</v>
      </c>
      <c r="L41" s="74">
        <v>10</v>
      </c>
      <c r="M41" s="74">
        <v>10</v>
      </c>
      <c r="N41" s="74">
        <v>10</v>
      </c>
      <c r="O41" s="74">
        <v>19</v>
      </c>
      <c r="P41" s="74">
        <v>2</v>
      </c>
      <c r="Q41" s="74">
        <f t="shared" si="5"/>
        <v>6</v>
      </c>
      <c r="R41" s="73">
        <f t="shared" si="6"/>
        <v>1.4200938936093863</v>
      </c>
      <c r="S41" s="72">
        <f t="shared" si="7"/>
        <v>6</v>
      </c>
      <c r="T41" s="108">
        <v>0.32361111111111113</v>
      </c>
      <c r="V41" s="83" t="s">
        <v>409</v>
      </c>
      <c r="W41" s="83" t="s">
        <v>51</v>
      </c>
      <c r="X41" s="82" t="s">
        <v>406</v>
      </c>
    </row>
    <row r="42" spans="2:24" x14ac:dyDescent="0.2">
      <c r="B42" s="23">
        <v>901</v>
      </c>
      <c r="C42" s="23" t="s">
        <v>404</v>
      </c>
      <c r="D42" s="23">
        <v>32</v>
      </c>
      <c r="E42" s="81">
        <v>9</v>
      </c>
      <c r="F42" s="81">
        <v>0</v>
      </c>
      <c r="G42" s="81">
        <v>1</v>
      </c>
      <c r="H42" s="23">
        <v>1</v>
      </c>
      <c r="I42" s="23">
        <f t="shared" si="3"/>
        <v>1</v>
      </c>
      <c r="J42" s="23" t="str">
        <f t="shared" si="4"/>
        <v>901.1</v>
      </c>
      <c r="K42" s="110">
        <v>0</v>
      </c>
      <c r="L42" s="110"/>
      <c r="M42" s="110"/>
      <c r="N42" s="110"/>
      <c r="O42" s="110"/>
      <c r="P42" s="110"/>
      <c r="Q42" s="78">
        <f t="shared" si="5"/>
        <v>0</v>
      </c>
      <c r="R42" s="78" t="e">
        <f t="shared" si="6"/>
        <v>#DIV/0!</v>
      </c>
      <c r="S42" s="72">
        <f t="shared" si="7"/>
        <v>0</v>
      </c>
      <c r="V42" s="67">
        <v>1</v>
      </c>
      <c r="W42" s="67">
        <v>101</v>
      </c>
      <c r="X42" s="65">
        <v>2.1666666666666665</v>
      </c>
    </row>
    <row r="43" spans="2:24" x14ac:dyDescent="0.2">
      <c r="B43" s="5">
        <v>902</v>
      </c>
      <c r="C43" s="80" t="s">
        <v>403</v>
      </c>
      <c r="D43" s="5">
        <v>22</v>
      </c>
      <c r="E43" s="18">
        <v>4</v>
      </c>
      <c r="F43" s="18">
        <v>2</v>
      </c>
      <c r="G43" s="18">
        <v>2</v>
      </c>
      <c r="H43" s="5">
        <v>1</v>
      </c>
      <c r="I43" s="5">
        <f t="shared" si="3"/>
        <v>2</v>
      </c>
      <c r="J43" s="5" t="str">
        <f t="shared" si="4"/>
        <v>422.1</v>
      </c>
      <c r="K43" s="109">
        <v>7</v>
      </c>
      <c r="L43" s="109">
        <v>2</v>
      </c>
      <c r="M43" s="109">
        <v>3</v>
      </c>
      <c r="N43" s="109">
        <v>1</v>
      </c>
      <c r="O43" s="109">
        <v>0</v>
      </c>
      <c r="P43" s="109">
        <v>4</v>
      </c>
      <c r="Q43" s="78">
        <f t="shared" si="5"/>
        <v>1.4166666666666667</v>
      </c>
      <c r="R43" s="77">
        <f t="shared" si="6"/>
        <v>0.50689687752485169</v>
      </c>
      <c r="S43" s="72">
        <f t="shared" si="7"/>
        <v>1.4166666666666667</v>
      </c>
      <c r="T43" s="108">
        <v>0.32361111111111113</v>
      </c>
      <c r="V43" s="68"/>
      <c r="W43" s="70">
        <v>201</v>
      </c>
      <c r="X43" s="69">
        <v>4.541666666666667</v>
      </c>
    </row>
    <row r="44" spans="2:24" x14ac:dyDescent="0.2">
      <c r="B44" s="5">
        <v>903</v>
      </c>
      <c r="C44" s="5" t="s">
        <v>401</v>
      </c>
      <c r="D44" s="5">
        <v>31</v>
      </c>
      <c r="E44" s="18">
        <v>8</v>
      </c>
      <c r="F44" s="18">
        <v>0</v>
      </c>
      <c r="G44" s="18">
        <v>1</v>
      </c>
      <c r="H44" s="5">
        <v>1</v>
      </c>
      <c r="I44" s="5">
        <f t="shared" si="3"/>
        <v>3</v>
      </c>
      <c r="J44" s="5" t="str">
        <f t="shared" si="4"/>
        <v>801.1</v>
      </c>
      <c r="K44" s="109">
        <v>0</v>
      </c>
      <c r="L44" s="109"/>
      <c r="M44" s="109"/>
      <c r="N44" s="109"/>
      <c r="O44" s="109"/>
      <c r="P44" s="109"/>
      <c r="Q44" s="78">
        <f t="shared" si="5"/>
        <v>0</v>
      </c>
      <c r="R44" s="77" t="e">
        <f t="shared" si="6"/>
        <v>#DIV/0!</v>
      </c>
      <c r="S44" s="72">
        <f t="shared" si="7"/>
        <v>0</v>
      </c>
      <c r="T44" s="71"/>
      <c r="V44" s="68"/>
      <c r="W44" s="70">
        <v>301</v>
      </c>
      <c r="X44" s="69">
        <v>1</v>
      </c>
    </row>
    <row r="45" spans="2:24" x14ac:dyDescent="0.2">
      <c r="B45" s="5">
        <v>904</v>
      </c>
      <c r="C45" s="80" t="s">
        <v>400</v>
      </c>
      <c r="D45" s="5">
        <v>21</v>
      </c>
      <c r="E45" s="18">
        <v>3</v>
      </c>
      <c r="F45" s="18">
        <v>2</v>
      </c>
      <c r="G45" s="18">
        <v>2</v>
      </c>
      <c r="H45" s="5">
        <v>1</v>
      </c>
      <c r="I45" s="5">
        <f t="shared" si="3"/>
        <v>4</v>
      </c>
      <c r="J45" s="5" t="str">
        <f t="shared" si="4"/>
        <v>322.1</v>
      </c>
      <c r="K45" s="109">
        <v>0</v>
      </c>
      <c r="L45" s="109">
        <v>3</v>
      </c>
      <c r="M45" s="109">
        <v>0</v>
      </c>
      <c r="N45" s="109">
        <v>0</v>
      </c>
      <c r="O45" s="109">
        <v>4</v>
      </c>
      <c r="P45" s="109">
        <v>5</v>
      </c>
      <c r="Q45" s="78">
        <f t="shared" si="5"/>
        <v>1</v>
      </c>
      <c r="R45" s="77">
        <f t="shared" si="6"/>
        <v>0.46547466812563143</v>
      </c>
      <c r="S45" s="72">
        <f t="shared" si="7"/>
        <v>1</v>
      </c>
      <c r="T45" s="71"/>
      <c r="V45" s="68"/>
      <c r="W45" s="70">
        <v>401</v>
      </c>
      <c r="X45" s="69">
        <v>2</v>
      </c>
    </row>
    <row r="46" spans="2:24" x14ac:dyDescent="0.2">
      <c r="B46" s="5">
        <v>905</v>
      </c>
      <c r="C46" s="5" t="s">
        <v>404</v>
      </c>
      <c r="D46" s="5">
        <v>32</v>
      </c>
      <c r="E46" s="18">
        <v>9</v>
      </c>
      <c r="F46" s="18">
        <v>0</v>
      </c>
      <c r="G46" s="18">
        <v>1</v>
      </c>
      <c r="H46" s="5">
        <v>2</v>
      </c>
      <c r="I46" s="5">
        <f t="shared" si="3"/>
        <v>5</v>
      </c>
      <c r="J46" s="5" t="str">
        <f t="shared" si="4"/>
        <v>901.2</v>
      </c>
      <c r="K46" s="109">
        <v>0</v>
      </c>
      <c r="L46" s="109"/>
      <c r="M46" s="109"/>
      <c r="N46" s="109"/>
      <c r="O46" s="109"/>
      <c r="P46" s="109"/>
      <c r="Q46" s="78">
        <f t="shared" si="5"/>
        <v>0</v>
      </c>
      <c r="R46" s="77" t="e">
        <f t="shared" si="6"/>
        <v>#DIV/0!</v>
      </c>
      <c r="S46" s="72">
        <f t="shared" si="7"/>
        <v>0</v>
      </c>
      <c r="T46" s="71"/>
      <c r="V46" s="67" t="s">
        <v>436</v>
      </c>
      <c r="W46" s="66"/>
      <c r="X46" s="65">
        <v>2.4270833333333335</v>
      </c>
    </row>
    <row r="47" spans="2:24" x14ac:dyDescent="0.2">
      <c r="B47" s="5">
        <v>906</v>
      </c>
      <c r="C47" s="80" t="s">
        <v>403</v>
      </c>
      <c r="D47" s="5">
        <v>22</v>
      </c>
      <c r="E47" s="18">
        <v>4</v>
      </c>
      <c r="F47" s="18">
        <v>2</v>
      </c>
      <c r="G47" s="18">
        <v>2</v>
      </c>
      <c r="H47" s="5">
        <v>2</v>
      </c>
      <c r="I47" s="5">
        <f t="shared" si="3"/>
        <v>6</v>
      </c>
      <c r="J47" s="5" t="str">
        <f t="shared" si="4"/>
        <v>422.2</v>
      </c>
      <c r="K47" s="109">
        <v>7</v>
      </c>
      <c r="L47" s="109">
        <v>5</v>
      </c>
      <c r="M47" s="109">
        <v>4</v>
      </c>
      <c r="N47" s="109">
        <v>1</v>
      </c>
      <c r="O47" s="109">
        <v>0</v>
      </c>
      <c r="P47" s="109">
        <v>0</v>
      </c>
      <c r="Q47" s="78">
        <f t="shared" si="5"/>
        <v>1.4166666666666667</v>
      </c>
      <c r="R47" s="77">
        <f t="shared" si="6"/>
        <v>0.59744827763116404</v>
      </c>
      <c r="S47" s="72">
        <f t="shared" si="7"/>
        <v>1.4166666666666667</v>
      </c>
      <c r="T47" s="71"/>
      <c r="V47" s="67">
        <v>2</v>
      </c>
      <c r="W47" s="67">
        <v>102</v>
      </c>
      <c r="X47" s="65">
        <v>2.4166666666666665</v>
      </c>
    </row>
    <row r="48" spans="2:24" x14ac:dyDescent="0.2">
      <c r="B48" s="5">
        <v>907</v>
      </c>
      <c r="C48" s="5" t="s">
        <v>401</v>
      </c>
      <c r="D48" s="5">
        <v>31</v>
      </c>
      <c r="E48" s="18">
        <v>8</v>
      </c>
      <c r="F48" s="18">
        <v>0</v>
      </c>
      <c r="G48" s="18">
        <v>1</v>
      </c>
      <c r="H48" s="5">
        <v>2</v>
      </c>
      <c r="I48" s="5">
        <f t="shared" si="3"/>
        <v>7</v>
      </c>
      <c r="J48" s="5" t="str">
        <f t="shared" si="4"/>
        <v>801.2</v>
      </c>
      <c r="K48" s="109">
        <v>0</v>
      </c>
      <c r="L48" s="109"/>
      <c r="M48" s="109"/>
      <c r="N48" s="109"/>
      <c r="O48" s="109"/>
      <c r="P48" s="109"/>
      <c r="Q48" s="78">
        <f t="shared" si="5"/>
        <v>0</v>
      </c>
      <c r="R48" s="77" t="e">
        <f t="shared" si="6"/>
        <v>#DIV/0!</v>
      </c>
      <c r="S48" s="72">
        <f t="shared" si="7"/>
        <v>0</v>
      </c>
      <c r="T48" s="71"/>
      <c r="V48" s="68"/>
      <c r="W48" s="70">
        <v>202</v>
      </c>
      <c r="X48" s="69">
        <v>3.3333333333333335</v>
      </c>
    </row>
    <row r="49" spans="2:24" ht="13.5" thickBot="1" x14ac:dyDescent="0.25">
      <c r="B49" s="13">
        <v>908</v>
      </c>
      <c r="C49" s="76" t="s">
        <v>400</v>
      </c>
      <c r="D49" s="13">
        <v>21</v>
      </c>
      <c r="E49" s="75">
        <v>3</v>
      </c>
      <c r="F49" s="75">
        <v>2</v>
      </c>
      <c r="G49" s="75">
        <v>2</v>
      </c>
      <c r="H49" s="13">
        <v>2</v>
      </c>
      <c r="I49" s="13">
        <f t="shared" si="3"/>
        <v>8</v>
      </c>
      <c r="J49" s="13" t="str">
        <f t="shared" si="4"/>
        <v>322.2</v>
      </c>
      <c r="K49" s="74">
        <v>17</v>
      </c>
      <c r="L49" s="74">
        <v>8</v>
      </c>
      <c r="M49" s="74">
        <v>2</v>
      </c>
      <c r="N49" s="74">
        <v>3</v>
      </c>
      <c r="O49" s="74">
        <v>9</v>
      </c>
      <c r="P49" s="74">
        <v>0</v>
      </c>
      <c r="Q49" s="74">
        <f t="shared" si="5"/>
        <v>3.25</v>
      </c>
      <c r="R49" s="73">
        <f t="shared" si="6"/>
        <v>1.2698425099200294</v>
      </c>
      <c r="S49" s="72">
        <f t="shared" si="7"/>
        <v>3.25</v>
      </c>
      <c r="T49" s="108">
        <v>0.31944444444444448</v>
      </c>
      <c r="V49" s="68"/>
      <c r="W49" s="70">
        <v>302</v>
      </c>
      <c r="X49" s="69">
        <v>2.0833333333333335</v>
      </c>
    </row>
    <row r="50" spans="2:24" x14ac:dyDescent="0.2">
      <c r="V50" s="68"/>
      <c r="W50" s="70">
        <v>402</v>
      </c>
      <c r="X50" s="69">
        <v>1.5</v>
      </c>
    </row>
    <row r="51" spans="2:24" x14ac:dyDescent="0.2">
      <c r="V51" s="67" t="s">
        <v>435</v>
      </c>
      <c r="W51" s="66"/>
      <c r="X51" s="65">
        <v>2.3333333333333335</v>
      </c>
    </row>
    <row r="52" spans="2:24" x14ac:dyDescent="0.2">
      <c r="V52" s="67">
        <v>3</v>
      </c>
      <c r="W52" s="67">
        <v>103</v>
      </c>
      <c r="X52" s="65">
        <v>7.916666666666667</v>
      </c>
    </row>
    <row r="53" spans="2:24" x14ac:dyDescent="0.2">
      <c r="V53" s="68"/>
      <c r="W53" s="70">
        <v>203</v>
      </c>
      <c r="X53" s="69">
        <v>6.166666666666667</v>
      </c>
    </row>
    <row r="54" spans="2:24" x14ac:dyDescent="0.2">
      <c r="V54" s="68"/>
      <c r="W54" s="70">
        <v>303</v>
      </c>
      <c r="X54" s="69">
        <v>3.1666666666666665</v>
      </c>
    </row>
    <row r="55" spans="2:24" x14ac:dyDescent="0.2">
      <c r="V55" s="68"/>
      <c r="W55" s="70">
        <v>403</v>
      </c>
      <c r="X55" s="69">
        <v>6.083333333333333</v>
      </c>
    </row>
    <row r="56" spans="2:24" x14ac:dyDescent="0.2">
      <c r="V56" s="67" t="s">
        <v>434</v>
      </c>
      <c r="W56" s="66"/>
      <c r="X56" s="65">
        <v>5.833333333333333</v>
      </c>
    </row>
    <row r="57" spans="2:24" x14ac:dyDescent="0.2">
      <c r="V57" s="67">
        <v>4</v>
      </c>
      <c r="W57" s="67">
        <v>104</v>
      </c>
      <c r="X57" s="65">
        <v>4.166666666666667</v>
      </c>
    </row>
    <row r="58" spans="2:24" x14ac:dyDescent="0.2">
      <c r="V58" s="68"/>
      <c r="W58" s="70">
        <v>204</v>
      </c>
      <c r="X58" s="69">
        <v>8.7916666666666661</v>
      </c>
    </row>
    <row r="59" spans="2:24" x14ac:dyDescent="0.2">
      <c r="V59" s="68"/>
      <c r="W59" s="70">
        <v>304</v>
      </c>
      <c r="X59" s="69">
        <v>5.25</v>
      </c>
    </row>
    <row r="60" spans="2:24" x14ac:dyDescent="0.2">
      <c r="V60" s="68"/>
      <c r="W60" s="70">
        <v>404</v>
      </c>
      <c r="X60" s="69">
        <v>7.166666666666667</v>
      </c>
    </row>
    <row r="61" spans="2:24" x14ac:dyDescent="0.2">
      <c r="V61" s="67" t="s">
        <v>433</v>
      </c>
      <c r="W61" s="66"/>
      <c r="X61" s="65">
        <v>6.34375</v>
      </c>
    </row>
    <row r="62" spans="2:24" x14ac:dyDescent="0.2">
      <c r="V62" s="67">
        <v>5</v>
      </c>
      <c r="W62" s="67">
        <v>105</v>
      </c>
      <c r="X62" s="65">
        <v>6.083333333333333</v>
      </c>
    </row>
    <row r="63" spans="2:24" x14ac:dyDescent="0.2">
      <c r="V63" s="68"/>
      <c r="W63" s="70">
        <v>205</v>
      </c>
      <c r="X63" s="69">
        <v>4.5</v>
      </c>
    </row>
    <row r="64" spans="2:24" x14ac:dyDescent="0.2">
      <c r="V64" s="68"/>
      <c r="W64" s="70">
        <v>305</v>
      </c>
      <c r="X64" s="69">
        <v>7.166666666666667</v>
      </c>
    </row>
    <row r="65" spans="22:24" x14ac:dyDescent="0.2">
      <c r="V65" s="68"/>
      <c r="W65" s="70">
        <v>405</v>
      </c>
      <c r="X65" s="69">
        <v>6.875</v>
      </c>
    </row>
    <row r="66" spans="22:24" x14ac:dyDescent="0.2">
      <c r="V66" s="67" t="s">
        <v>432</v>
      </c>
      <c r="W66" s="66"/>
      <c r="X66" s="65">
        <v>6.15625</v>
      </c>
    </row>
    <row r="67" spans="22:24" x14ac:dyDescent="0.2">
      <c r="V67" s="67">
        <v>6</v>
      </c>
      <c r="W67" s="67">
        <v>106</v>
      </c>
      <c r="X67" s="65">
        <v>6.5</v>
      </c>
    </row>
    <row r="68" spans="22:24" x14ac:dyDescent="0.2">
      <c r="V68" s="68"/>
      <c r="W68" s="70">
        <v>206</v>
      </c>
      <c r="X68" s="69">
        <v>8.8333333333333339</v>
      </c>
    </row>
    <row r="69" spans="22:24" x14ac:dyDescent="0.2">
      <c r="V69" s="68"/>
      <c r="W69" s="70">
        <v>306</v>
      </c>
      <c r="X69" s="69">
        <v>6.333333333333333</v>
      </c>
    </row>
    <row r="70" spans="22:24" x14ac:dyDescent="0.2">
      <c r="V70" s="68"/>
      <c r="W70" s="70">
        <v>406</v>
      </c>
      <c r="X70" s="69">
        <v>6.333333333333333</v>
      </c>
    </row>
    <row r="71" spans="22:24" x14ac:dyDescent="0.2">
      <c r="V71" s="67" t="s">
        <v>431</v>
      </c>
      <c r="W71" s="66"/>
      <c r="X71" s="65">
        <v>7</v>
      </c>
    </row>
    <row r="72" spans="22:24" x14ac:dyDescent="0.2">
      <c r="V72" s="67">
        <v>7</v>
      </c>
      <c r="W72" s="67">
        <v>107</v>
      </c>
      <c r="X72" s="65">
        <v>7.416666666666667</v>
      </c>
    </row>
    <row r="73" spans="22:24" x14ac:dyDescent="0.2">
      <c r="V73" s="68"/>
      <c r="W73" s="70">
        <v>207</v>
      </c>
      <c r="X73" s="69">
        <v>7.416666666666667</v>
      </c>
    </row>
    <row r="74" spans="22:24" x14ac:dyDescent="0.2">
      <c r="V74" s="68"/>
      <c r="W74" s="70">
        <v>307</v>
      </c>
      <c r="X74" s="69">
        <v>8.6666666666666661</v>
      </c>
    </row>
    <row r="75" spans="22:24" x14ac:dyDescent="0.2">
      <c r="V75" s="68"/>
      <c r="W75" s="70">
        <v>407</v>
      </c>
      <c r="X75" s="69">
        <v>9.0833333333333339</v>
      </c>
    </row>
    <row r="76" spans="22:24" x14ac:dyDescent="0.2">
      <c r="V76" s="67" t="s">
        <v>430</v>
      </c>
      <c r="W76" s="66"/>
      <c r="X76" s="65">
        <v>8.1458333333333339</v>
      </c>
    </row>
    <row r="77" spans="22:24" x14ac:dyDescent="0.2">
      <c r="V77" s="67">
        <v>8</v>
      </c>
      <c r="W77" s="67">
        <v>108</v>
      </c>
      <c r="X77" s="65">
        <v>6.666666666666667</v>
      </c>
    </row>
    <row r="78" spans="22:24" x14ac:dyDescent="0.2">
      <c r="V78" s="68"/>
      <c r="W78" s="70">
        <v>208</v>
      </c>
      <c r="X78" s="69">
        <v>6.75</v>
      </c>
    </row>
    <row r="79" spans="22:24" x14ac:dyDescent="0.2">
      <c r="V79" s="68"/>
      <c r="W79" s="70">
        <v>308</v>
      </c>
      <c r="X79" s="69">
        <v>8</v>
      </c>
    </row>
    <row r="80" spans="22:24" x14ac:dyDescent="0.2">
      <c r="V80" s="68"/>
      <c r="W80" s="70">
        <v>408</v>
      </c>
      <c r="X80" s="69">
        <v>6</v>
      </c>
    </row>
    <row r="81" spans="22:24" x14ac:dyDescent="0.2">
      <c r="V81" s="64" t="s">
        <v>429</v>
      </c>
      <c r="W81" s="63"/>
      <c r="X81" s="62">
        <v>6.854166666666667</v>
      </c>
    </row>
  </sheetData>
  <pageMargins left="0.75" right="0.75" top="1" bottom="1" header="0.5" footer="0.5"/>
  <pageSetup orientation="portrait" r:id="rId3"/>
  <headerFooter alignWithMargins="0"/>
  <drawing r:id="rId4"/>
  <legacyDrawing r:id="rId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BDF9-1017-4835-8CF8-BA53B781FA33}">
  <dimension ref="A1:X81"/>
  <sheetViews>
    <sheetView workbookViewId="0">
      <selection activeCell="K10" sqref="K10:P49"/>
    </sheetView>
  </sheetViews>
  <sheetFormatPr defaultRowHeight="12.75" x14ac:dyDescent="0.2"/>
  <cols>
    <col min="1" max="19" width="9.140625" style="1"/>
    <col min="20" max="20" width="45.7109375" style="1" customWidth="1"/>
    <col min="21" max="21" width="9.140625" style="1"/>
    <col min="22" max="22" width="23.5703125" style="1" customWidth="1"/>
    <col min="23" max="23" width="6.5703125" style="1" customWidth="1"/>
    <col min="24" max="24" width="5.5703125" style="1" customWidth="1"/>
    <col min="25" max="26" width="4.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115</v>
      </c>
      <c r="E3" s="1" t="s">
        <v>425</v>
      </c>
      <c r="F3" s="105">
        <v>0.31666666666666665</v>
      </c>
    </row>
    <row r="4" spans="1:23" ht="13.5" thickBot="1" x14ac:dyDescent="0.25">
      <c r="E4" s="1" t="s">
        <v>424</v>
      </c>
      <c r="F4" s="105">
        <v>0.34861111111111115</v>
      </c>
      <c r="N4" s="58">
        <f>AVERAGE(Q10:Q11,Q13,Q15:Q17,Q19:Q20,Q22:Q29,Q31:Q32,Q34:Q35,Q37,Q39:Q41)</f>
        <v>7.2222222222222214</v>
      </c>
      <c r="O4" s="58">
        <f>AVERAGE(Q12,Q14,Q18,Q21,Q30,Q36,Q38,Q33)</f>
        <v>17.552083333333332</v>
      </c>
    </row>
    <row r="6" spans="1:23" x14ac:dyDescent="0.2">
      <c r="B6" s="1" t="s">
        <v>80</v>
      </c>
      <c r="D6" s="104" t="s">
        <v>442</v>
      </c>
      <c r="E6" s="104"/>
      <c r="F6" s="104"/>
      <c r="G6" s="104"/>
      <c r="H6" s="104"/>
      <c r="I6" s="104"/>
      <c r="J6" s="104"/>
      <c r="K6" s="104"/>
      <c r="L6" s="104"/>
      <c r="M6" s="104"/>
      <c r="N6" s="104"/>
      <c r="O6" s="104"/>
    </row>
    <row r="7" spans="1:23" x14ac:dyDescent="0.2">
      <c r="D7" s="104" t="s">
        <v>441</v>
      </c>
      <c r="E7" s="104"/>
      <c r="F7" s="104"/>
      <c r="G7" s="104"/>
      <c r="H7" s="104"/>
      <c r="I7" s="104"/>
      <c r="J7" s="104"/>
      <c r="K7" s="104"/>
      <c r="L7" s="104"/>
      <c r="M7" s="104"/>
      <c r="N7" s="104"/>
      <c r="O7" s="104"/>
    </row>
    <row r="8" spans="1:23" ht="13.5" thickBot="1" x14ac:dyDescent="0.25">
      <c r="D8" s="1" t="s">
        <v>440</v>
      </c>
    </row>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15</v>
      </c>
      <c r="L10" s="110">
        <v>13</v>
      </c>
      <c r="M10" s="110">
        <v>7</v>
      </c>
      <c r="N10" s="110">
        <v>4</v>
      </c>
      <c r="O10" s="110">
        <v>3</v>
      </c>
      <c r="P10" s="110">
        <v>15</v>
      </c>
      <c r="Q10" s="78">
        <f t="shared" ref="Q10:Q49" si="5">AVERAGE(K10:P10)/2</f>
        <v>4.75</v>
      </c>
      <c r="R10" s="78">
        <f t="shared" ref="R10:R49" si="6">STDEV(K10:P10)/2/SQRT(COUNT(K10:P10))</f>
        <v>1.1236102527122118</v>
      </c>
      <c r="S10" s="72">
        <f t="shared" ref="S10:S49" si="7">IF(F10=3,Q10/2,Q10)</f>
        <v>4.75</v>
      </c>
      <c r="T10" s="98"/>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109">
        <v>17</v>
      </c>
      <c r="L11" s="109">
        <v>2</v>
      </c>
      <c r="M11" s="109">
        <v>3</v>
      </c>
      <c r="N11" s="109">
        <v>3</v>
      </c>
      <c r="O11" s="109">
        <v>3</v>
      </c>
      <c r="P11" s="109">
        <v>22</v>
      </c>
      <c r="Q11" s="78">
        <f t="shared" si="5"/>
        <v>4.166666666666667</v>
      </c>
      <c r="R11" s="77">
        <f t="shared" si="6"/>
        <v>1.7966017304282489</v>
      </c>
      <c r="S11" s="72">
        <f t="shared" si="7"/>
        <v>4.166666666666667</v>
      </c>
      <c r="T11" s="71"/>
      <c r="V11" s="83" t="s">
        <v>409</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f>16+19</f>
        <v>35</v>
      </c>
      <c r="L12" s="111">
        <f>14+21</f>
        <v>35</v>
      </c>
      <c r="M12" s="111">
        <f>12+22</f>
        <v>34</v>
      </c>
      <c r="N12" s="111">
        <f>16+21</f>
        <v>37</v>
      </c>
      <c r="O12" s="111">
        <f>13+20</f>
        <v>33</v>
      </c>
      <c r="P12" s="111">
        <f>21+21</f>
        <v>42</v>
      </c>
      <c r="Q12" s="87">
        <f t="shared" si="5"/>
        <v>18</v>
      </c>
      <c r="R12" s="86">
        <f t="shared" si="6"/>
        <v>0.65828058860438343</v>
      </c>
      <c r="S12" s="72">
        <f t="shared" si="7"/>
        <v>9</v>
      </c>
      <c r="T12" s="71"/>
      <c r="V12" s="67">
        <v>1</v>
      </c>
      <c r="W12" s="65">
        <v>4.833333333333333</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12</v>
      </c>
      <c r="L13" s="109">
        <v>2</v>
      </c>
      <c r="M13" s="109">
        <v>12</v>
      </c>
      <c r="N13" s="109">
        <v>6</v>
      </c>
      <c r="O13" s="109">
        <v>14</v>
      </c>
      <c r="P13" s="109">
        <v>15</v>
      </c>
      <c r="Q13" s="78">
        <f t="shared" si="5"/>
        <v>5.083333333333333</v>
      </c>
      <c r="R13" s="77">
        <f t="shared" si="6"/>
        <v>1.0361520694913038</v>
      </c>
      <c r="S13" s="72">
        <f t="shared" si="7"/>
        <v>5.083333333333333</v>
      </c>
      <c r="T13" s="71"/>
      <c r="V13" s="70">
        <v>2</v>
      </c>
      <c r="W13" s="69">
        <v>4.604166666666667</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f>22+18</f>
        <v>40</v>
      </c>
      <c r="L14" s="111">
        <f>10+14</f>
        <v>24</v>
      </c>
      <c r="M14" s="111">
        <f>12+19</f>
        <v>31</v>
      </c>
      <c r="N14" s="111">
        <f>12+17</f>
        <v>29</v>
      </c>
      <c r="O14" s="111">
        <f>11+22</f>
        <v>33</v>
      </c>
      <c r="P14" s="111">
        <f>26+23</f>
        <v>49</v>
      </c>
      <c r="Q14" s="87">
        <f t="shared" si="5"/>
        <v>17.166666666666668</v>
      </c>
      <c r="R14" s="86">
        <f t="shared" si="6"/>
        <v>1.8150604520082636</v>
      </c>
      <c r="S14" s="72">
        <f t="shared" si="7"/>
        <v>8.5833333333333339</v>
      </c>
      <c r="T14" s="71"/>
      <c r="V14" s="70">
        <v>3</v>
      </c>
      <c r="W14" s="69">
        <v>7.729166666666667</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v>20</v>
      </c>
      <c r="L15" s="109">
        <v>20</v>
      </c>
      <c r="M15" s="109">
        <v>19</v>
      </c>
      <c r="N15" s="109">
        <v>22</v>
      </c>
      <c r="O15" s="109">
        <v>19</v>
      </c>
      <c r="P15" s="109">
        <v>17</v>
      </c>
      <c r="Q15" s="78">
        <f t="shared" si="5"/>
        <v>9.75</v>
      </c>
      <c r="R15" s="77">
        <f t="shared" si="6"/>
        <v>0.33541019662496852</v>
      </c>
      <c r="S15" s="72">
        <f t="shared" si="7"/>
        <v>9.75</v>
      </c>
      <c r="T15" s="71"/>
      <c r="V15" s="70">
        <v>4</v>
      </c>
      <c r="W15" s="69">
        <v>7.645833333333333</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09">
        <v>15</v>
      </c>
      <c r="L16" s="109">
        <v>21</v>
      </c>
      <c r="M16" s="109">
        <v>18</v>
      </c>
      <c r="N16" s="109">
        <v>17</v>
      </c>
      <c r="O16" s="109">
        <v>25</v>
      </c>
      <c r="P16" s="109">
        <v>20</v>
      </c>
      <c r="Q16" s="78">
        <f t="shared" si="5"/>
        <v>9.6666666666666661</v>
      </c>
      <c r="R16" s="77">
        <f t="shared" si="6"/>
        <v>0.7149203529842415</v>
      </c>
      <c r="S16" s="72">
        <f t="shared" si="7"/>
        <v>9.6666666666666661</v>
      </c>
      <c r="T16" s="71"/>
      <c r="V16" s="70">
        <v>5</v>
      </c>
      <c r="W16" s="69">
        <v>8.84375</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4">
        <v>19</v>
      </c>
      <c r="L17" s="74">
        <v>16</v>
      </c>
      <c r="M17" s="74">
        <v>15</v>
      </c>
      <c r="N17" s="74">
        <v>18</v>
      </c>
      <c r="O17" s="74">
        <v>20</v>
      </c>
      <c r="P17" s="74">
        <v>16</v>
      </c>
      <c r="Q17" s="74">
        <f t="shared" si="5"/>
        <v>8.6666666666666661</v>
      </c>
      <c r="R17" s="73">
        <f t="shared" si="6"/>
        <v>0.40138648595974241</v>
      </c>
      <c r="S17" s="72">
        <f t="shared" si="7"/>
        <v>8.6666666666666661</v>
      </c>
      <c r="T17" s="98"/>
      <c r="V17" s="70">
        <v>6</v>
      </c>
      <c r="W17" s="69">
        <v>9.0416666666666661</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f>16+12</f>
        <v>28</v>
      </c>
      <c r="L18" s="114">
        <f>20+13</f>
        <v>33</v>
      </c>
      <c r="M18" s="114">
        <f>18+19</f>
        <v>37</v>
      </c>
      <c r="N18" s="114">
        <f>15+17</f>
        <v>32</v>
      </c>
      <c r="O18" s="114">
        <f>10+13</f>
        <v>23</v>
      </c>
      <c r="P18" s="114">
        <f>4+19</f>
        <v>23</v>
      </c>
      <c r="Q18" s="87">
        <f t="shared" si="5"/>
        <v>14.666666666666666</v>
      </c>
      <c r="R18" s="87">
        <f t="shared" si="6"/>
        <v>1.1595018087284048</v>
      </c>
      <c r="S18" s="72">
        <f t="shared" si="7"/>
        <v>7.333333333333333</v>
      </c>
      <c r="T18" s="71"/>
      <c r="V18" s="70">
        <v>7</v>
      </c>
      <c r="W18" s="69">
        <v>9.6666666666666661</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7">
        <v>22</v>
      </c>
      <c r="L19" s="112">
        <v>3</v>
      </c>
      <c r="M19" s="112">
        <v>13</v>
      </c>
      <c r="N19" s="112">
        <v>2</v>
      </c>
      <c r="O19" s="109">
        <v>10</v>
      </c>
      <c r="P19" s="109">
        <v>25</v>
      </c>
      <c r="Q19" s="78">
        <f t="shared" si="5"/>
        <v>6.25</v>
      </c>
      <c r="R19" s="77">
        <f t="shared" si="6"/>
        <v>1.9440078875011455</v>
      </c>
      <c r="S19" s="72">
        <f t="shared" si="7"/>
        <v>6.25</v>
      </c>
      <c r="T19" s="71"/>
      <c r="V19" s="70">
        <v>8</v>
      </c>
      <c r="W19" s="69">
        <v>8.5208333333333321</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109">
        <v>17</v>
      </c>
      <c r="L20" s="109">
        <v>17</v>
      </c>
      <c r="M20" s="109">
        <v>29</v>
      </c>
      <c r="N20" s="109">
        <v>16</v>
      </c>
      <c r="O20" s="109">
        <v>9</v>
      </c>
      <c r="P20" s="109">
        <v>17</v>
      </c>
      <c r="Q20" s="78">
        <f t="shared" si="5"/>
        <v>8.75</v>
      </c>
      <c r="R20" s="77">
        <f t="shared" si="6"/>
        <v>1.3149778198382918</v>
      </c>
      <c r="S20" s="72">
        <f t="shared" si="7"/>
        <v>8.75</v>
      </c>
      <c r="T20" s="71"/>
      <c r="V20" s="64" t="s">
        <v>408</v>
      </c>
      <c r="W20" s="62">
        <v>7.6106770833333321</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f>23+18</f>
        <v>41</v>
      </c>
      <c r="L21" s="111">
        <f>23+20</f>
        <v>43</v>
      </c>
      <c r="M21" s="111">
        <f>19+18</f>
        <v>37</v>
      </c>
      <c r="N21" s="111">
        <f>19+16</f>
        <v>35</v>
      </c>
      <c r="O21" s="111">
        <f>18+24</f>
        <v>42</v>
      </c>
      <c r="P21" s="111">
        <f>18+22</f>
        <v>40</v>
      </c>
      <c r="Q21" s="87">
        <f t="shared" si="5"/>
        <v>19.833333333333332</v>
      </c>
      <c r="R21" s="86">
        <f t="shared" si="6"/>
        <v>0.62804812271389254</v>
      </c>
      <c r="S21" s="72">
        <f t="shared" si="7"/>
        <v>9.9166666666666661</v>
      </c>
      <c r="T21" s="71"/>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14</v>
      </c>
      <c r="L22" s="109">
        <v>20</v>
      </c>
      <c r="M22" s="109">
        <v>18</v>
      </c>
      <c r="N22" s="109">
        <v>13</v>
      </c>
      <c r="O22" s="109">
        <v>15</v>
      </c>
      <c r="P22" s="109">
        <v>19</v>
      </c>
      <c r="Q22" s="78">
        <f t="shared" si="5"/>
        <v>8.25</v>
      </c>
      <c r="R22" s="77">
        <f t="shared" si="6"/>
        <v>0.58807595881257835</v>
      </c>
      <c r="S22" s="72">
        <f t="shared" si="7"/>
        <v>8.25</v>
      </c>
      <c r="T22" s="71"/>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21</v>
      </c>
      <c r="L23" s="109">
        <v>16</v>
      </c>
      <c r="M23" s="109">
        <v>23</v>
      </c>
      <c r="N23" s="109">
        <v>24</v>
      </c>
      <c r="O23" s="109">
        <v>24</v>
      </c>
      <c r="P23" s="109">
        <v>23</v>
      </c>
      <c r="Q23" s="78">
        <f t="shared" si="5"/>
        <v>10.916666666666666</v>
      </c>
      <c r="R23" s="77">
        <f t="shared" si="6"/>
        <v>0.62472216046637807</v>
      </c>
      <c r="S23" s="72">
        <f t="shared" si="7"/>
        <v>10.916666666666666</v>
      </c>
      <c r="T23" s="71"/>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17</v>
      </c>
      <c r="L24" s="109">
        <v>17</v>
      </c>
      <c r="M24" s="109">
        <v>20</v>
      </c>
      <c r="N24" s="109">
        <v>20</v>
      </c>
      <c r="O24" s="109">
        <v>24</v>
      </c>
      <c r="P24" s="109">
        <v>19</v>
      </c>
      <c r="Q24" s="78">
        <f t="shared" si="5"/>
        <v>9.75</v>
      </c>
      <c r="R24" s="77">
        <f t="shared" si="6"/>
        <v>0.52836224947157862</v>
      </c>
      <c r="S24" s="72">
        <f t="shared" si="7"/>
        <v>9.75</v>
      </c>
      <c r="T24" s="71"/>
      <c r="V24" s="58">
        <f>AVERAGE(W15:W17,W19)</f>
        <v>8.5130208333333321</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20</v>
      </c>
      <c r="L25" s="74">
        <v>25</v>
      </c>
      <c r="M25" s="74">
        <v>10</v>
      </c>
      <c r="N25" s="74">
        <v>18</v>
      </c>
      <c r="O25" s="74">
        <v>13</v>
      </c>
      <c r="P25" s="74">
        <v>17</v>
      </c>
      <c r="Q25" s="74">
        <f t="shared" si="5"/>
        <v>8.5833333333333339</v>
      </c>
      <c r="R25" s="73">
        <f t="shared" si="6"/>
        <v>1.0756135200175032</v>
      </c>
      <c r="S25" s="72">
        <f t="shared" si="7"/>
        <v>8.5833333333333339</v>
      </c>
      <c r="T25" s="71"/>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1</v>
      </c>
      <c r="L26" s="110">
        <v>10</v>
      </c>
      <c r="M26" s="110">
        <v>11</v>
      </c>
      <c r="N26" s="110">
        <v>5</v>
      </c>
      <c r="O26" s="110">
        <v>7</v>
      </c>
      <c r="P26" s="110">
        <v>6</v>
      </c>
      <c r="Q26" s="78">
        <f t="shared" si="5"/>
        <v>3.3333333333333335</v>
      </c>
      <c r="R26" s="78">
        <f t="shared" si="6"/>
        <v>0.73786478737262173</v>
      </c>
      <c r="S26" s="72">
        <f t="shared" si="7"/>
        <v>3.3333333333333335</v>
      </c>
      <c r="T26" s="71"/>
      <c r="V26" s="58">
        <f>AVERAGE(W12:W14,W18)</f>
        <v>6.7083333333333339</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8</v>
      </c>
      <c r="L27" s="109">
        <v>1</v>
      </c>
      <c r="M27" s="109">
        <v>4</v>
      </c>
      <c r="N27" s="109">
        <v>3</v>
      </c>
      <c r="O27" s="109">
        <v>8</v>
      </c>
      <c r="P27" s="109">
        <v>21</v>
      </c>
      <c r="Q27" s="78">
        <f t="shared" si="5"/>
        <v>3.75</v>
      </c>
      <c r="R27" s="77">
        <f t="shared" si="6"/>
        <v>1.4648663192705789</v>
      </c>
      <c r="S27" s="72">
        <f t="shared" si="7"/>
        <v>3.75</v>
      </c>
      <c r="T27" s="71"/>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15</v>
      </c>
      <c r="L28" s="109">
        <v>11</v>
      </c>
      <c r="M28" s="109">
        <v>6</v>
      </c>
      <c r="N28" s="109">
        <v>8</v>
      </c>
      <c r="O28" s="109">
        <v>14</v>
      </c>
      <c r="P28" s="109">
        <v>15</v>
      </c>
      <c r="Q28" s="78">
        <f t="shared" si="5"/>
        <v>5.75</v>
      </c>
      <c r="R28" s="77">
        <f t="shared" si="6"/>
        <v>0.7826237921249265</v>
      </c>
      <c r="S28" s="72">
        <f t="shared" si="7"/>
        <v>5.75</v>
      </c>
      <c r="T28" s="71"/>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12</v>
      </c>
      <c r="L29" s="109">
        <v>20</v>
      </c>
      <c r="M29" s="109">
        <v>8</v>
      </c>
      <c r="N29" s="109">
        <v>17</v>
      </c>
      <c r="O29" s="109">
        <v>17</v>
      </c>
      <c r="P29" s="109">
        <v>14</v>
      </c>
      <c r="Q29" s="78">
        <f t="shared" si="5"/>
        <v>7.333333333333333</v>
      </c>
      <c r="R29" s="77">
        <f t="shared" si="6"/>
        <v>0.87241682188682645</v>
      </c>
      <c r="S29" s="72">
        <f t="shared" si="7"/>
        <v>7.333333333333333</v>
      </c>
      <c r="T29" s="71"/>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f>18+17</f>
        <v>35</v>
      </c>
      <c r="L30" s="111">
        <f>16+21</f>
        <v>37</v>
      </c>
      <c r="M30" s="111">
        <f>17+18</f>
        <v>35</v>
      </c>
      <c r="N30" s="111">
        <f>23+17</f>
        <v>40</v>
      </c>
      <c r="O30" s="111">
        <f>21+23</f>
        <v>44</v>
      </c>
      <c r="P30" s="111">
        <f>22+18</f>
        <v>40</v>
      </c>
      <c r="Q30" s="87">
        <f t="shared" si="5"/>
        <v>19.25</v>
      </c>
      <c r="R30" s="86">
        <f t="shared" si="6"/>
        <v>0.71589105316381774</v>
      </c>
      <c r="S30" s="72">
        <f t="shared" si="7"/>
        <v>9.625</v>
      </c>
      <c r="T30" s="71"/>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20</v>
      </c>
      <c r="L31" s="109">
        <v>14</v>
      </c>
      <c r="M31" s="109">
        <v>15</v>
      </c>
      <c r="N31" s="109">
        <v>14</v>
      </c>
      <c r="O31" s="109">
        <v>17</v>
      </c>
      <c r="P31" s="109">
        <v>16</v>
      </c>
      <c r="Q31" s="78">
        <f t="shared" si="5"/>
        <v>8</v>
      </c>
      <c r="R31" s="77">
        <f t="shared" si="6"/>
        <v>0.46547466812563143</v>
      </c>
      <c r="S31" s="72">
        <f t="shared" si="7"/>
        <v>8</v>
      </c>
      <c r="T31" s="71"/>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20</v>
      </c>
      <c r="L32" s="109">
        <v>17</v>
      </c>
      <c r="M32" s="109">
        <v>14</v>
      </c>
      <c r="N32" s="109">
        <v>24</v>
      </c>
      <c r="O32" s="109">
        <v>22</v>
      </c>
      <c r="P32" s="109">
        <v>19</v>
      </c>
      <c r="Q32" s="78">
        <f t="shared" si="5"/>
        <v>9.6666666666666661</v>
      </c>
      <c r="R32" s="77">
        <f t="shared" si="6"/>
        <v>0.72648315725677981</v>
      </c>
      <c r="S32" s="72">
        <f t="shared" si="7"/>
        <v>9.6666666666666661</v>
      </c>
      <c r="T32" s="71"/>
    </row>
    <row r="33" spans="2:24"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f>24+22</f>
        <v>46</v>
      </c>
      <c r="L33" s="91">
        <f>27+20</f>
        <v>47</v>
      </c>
      <c r="M33" s="91">
        <f>19+17</f>
        <v>36</v>
      </c>
      <c r="N33" s="91">
        <f>20+15</f>
        <v>35</v>
      </c>
      <c r="O33" s="91">
        <f>19+18</f>
        <v>37</v>
      </c>
      <c r="P33" s="91">
        <f>11+14</f>
        <v>25</v>
      </c>
      <c r="Q33" s="91">
        <f t="shared" si="5"/>
        <v>18.833333333333332</v>
      </c>
      <c r="R33" s="90">
        <f t="shared" si="6"/>
        <v>1.651598552245001</v>
      </c>
      <c r="S33" s="72">
        <f t="shared" si="7"/>
        <v>9.4166666666666661</v>
      </c>
      <c r="T33" s="71"/>
    </row>
    <row r="34" spans="2:24" x14ac:dyDescent="0.2">
      <c r="B34" s="23">
        <v>401</v>
      </c>
      <c r="C34" s="23" t="s">
        <v>152</v>
      </c>
      <c r="D34" s="23">
        <v>7</v>
      </c>
      <c r="E34" s="81">
        <f t="shared" si="0"/>
        <v>2</v>
      </c>
      <c r="F34" s="81">
        <f t="shared" si="1"/>
        <v>1</v>
      </c>
      <c r="G34" s="81">
        <f t="shared" si="2"/>
        <v>2</v>
      </c>
      <c r="H34" s="23">
        <v>3</v>
      </c>
      <c r="I34" s="23">
        <f t="shared" si="3"/>
        <v>1</v>
      </c>
      <c r="J34" s="23" t="str">
        <f t="shared" si="4"/>
        <v>212.3</v>
      </c>
      <c r="K34" s="110">
        <v>5</v>
      </c>
      <c r="L34" s="110">
        <v>5</v>
      </c>
      <c r="M34" s="110">
        <v>11</v>
      </c>
      <c r="N34" s="110">
        <v>11</v>
      </c>
      <c r="O34" s="110">
        <v>8</v>
      </c>
      <c r="P34" s="110">
        <v>7</v>
      </c>
      <c r="Q34" s="78">
        <f t="shared" si="5"/>
        <v>3.9166666666666665</v>
      </c>
      <c r="R34" s="78">
        <f t="shared" si="6"/>
        <v>0.55402567128648861</v>
      </c>
      <c r="S34" s="72">
        <f t="shared" si="7"/>
        <v>3.9166666666666665</v>
      </c>
      <c r="T34" s="71"/>
    </row>
    <row r="35" spans="2:24" x14ac:dyDescent="0.2">
      <c r="B35" s="5">
        <v>402</v>
      </c>
      <c r="C35" s="5" t="s">
        <v>115</v>
      </c>
      <c r="D35" s="5">
        <v>9</v>
      </c>
      <c r="E35" s="18">
        <f t="shared" si="0"/>
        <v>2</v>
      </c>
      <c r="F35" s="18">
        <f t="shared" si="1"/>
        <v>2</v>
      </c>
      <c r="G35" s="18">
        <f t="shared" si="2"/>
        <v>2</v>
      </c>
      <c r="H35" s="5">
        <v>3</v>
      </c>
      <c r="I35" s="5">
        <f t="shared" si="3"/>
        <v>2</v>
      </c>
      <c r="J35" s="5" t="str">
        <f t="shared" si="4"/>
        <v>222.3</v>
      </c>
      <c r="K35" s="109">
        <v>11</v>
      </c>
      <c r="L35" s="109">
        <v>12</v>
      </c>
      <c r="M35" s="109">
        <v>9</v>
      </c>
      <c r="N35" s="109">
        <v>8</v>
      </c>
      <c r="O35" s="109">
        <v>0</v>
      </c>
      <c r="P35" s="109">
        <v>11</v>
      </c>
      <c r="Q35" s="78">
        <f t="shared" si="5"/>
        <v>4.25</v>
      </c>
      <c r="R35" s="77">
        <f t="shared" si="6"/>
        <v>0.9013878188659975</v>
      </c>
      <c r="S35" s="72">
        <f t="shared" si="7"/>
        <v>4.25</v>
      </c>
      <c r="T35" s="71"/>
    </row>
    <row r="36" spans="2:24" x14ac:dyDescent="0.2">
      <c r="B36" s="88">
        <v>403</v>
      </c>
      <c r="C36" s="88" t="s">
        <v>155</v>
      </c>
      <c r="D36" s="88">
        <v>6</v>
      </c>
      <c r="E36" s="89">
        <f t="shared" si="0"/>
        <v>1</v>
      </c>
      <c r="F36" s="89">
        <f t="shared" si="1"/>
        <v>3</v>
      </c>
      <c r="G36" s="89">
        <f t="shared" si="2"/>
        <v>1</v>
      </c>
      <c r="H36" s="88">
        <v>3</v>
      </c>
      <c r="I36" s="88">
        <f t="shared" si="3"/>
        <v>3</v>
      </c>
      <c r="J36" s="88" t="str">
        <f t="shared" si="4"/>
        <v>131.3</v>
      </c>
      <c r="K36" s="111">
        <f>22+19</f>
        <v>41</v>
      </c>
      <c r="L36" s="111">
        <f>14+22</f>
        <v>36</v>
      </c>
      <c r="M36" s="111">
        <f>13+20</f>
        <v>33</v>
      </c>
      <c r="N36" s="111">
        <f>11+14</f>
        <v>25</v>
      </c>
      <c r="O36" s="111">
        <f>7+8</f>
        <v>15</v>
      </c>
      <c r="P36" s="111">
        <f>16+12</f>
        <v>28</v>
      </c>
      <c r="Q36" s="87">
        <f t="shared" si="5"/>
        <v>14.833333333333334</v>
      </c>
      <c r="R36" s="86">
        <f t="shared" si="6"/>
        <v>1.8693433190413264</v>
      </c>
      <c r="S36" s="72">
        <f t="shared" si="7"/>
        <v>7.416666666666667</v>
      </c>
      <c r="T36" s="71"/>
    </row>
    <row r="37" spans="2:24" x14ac:dyDescent="0.2">
      <c r="B37" s="5">
        <v>404</v>
      </c>
      <c r="C37" s="5" t="s">
        <v>111</v>
      </c>
      <c r="D37" s="5">
        <v>3</v>
      </c>
      <c r="E37" s="18">
        <f t="shared" si="0"/>
        <v>1</v>
      </c>
      <c r="F37" s="18">
        <f t="shared" si="1"/>
        <v>2</v>
      </c>
      <c r="G37" s="18">
        <f t="shared" si="2"/>
        <v>2</v>
      </c>
      <c r="H37" s="5">
        <v>3</v>
      </c>
      <c r="I37" s="5">
        <f t="shared" si="3"/>
        <v>4</v>
      </c>
      <c r="J37" s="5" t="str">
        <f t="shared" si="4"/>
        <v>122.3</v>
      </c>
      <c r="K37" s="109">
        <v>16</v>
      </c>
      <c r="L37" s="109">
        <v>21</v>
      </c>
      <c r="M37" s="109">
        <v>14</v>
      </c>
      <c r="N37" s="109">
        <v>17</v>
      </c>
      <c r="O37" s="109">
        <v>18</v>
      </c>
      <c r="P37" s="109">
        <v>13</v>
      </c>
      <c r="Q37" s="78">
        <f t="shared" si="5"/>
        <v>8.25</v>
      </c>
      <c r="R37" s="77">
        <f t="shared" si="6"/>
        <v>0.58807595881257835</v>
      </c>
      <c r="S37" s="72">
        <f t="shared" si="7"/>
        <v>8.25</v>
      </c>
      <c r="T37" s="71"/>
    </row>
    <row r="38" spans="2:24" x14ac:dyDescent="0.2">
      <c r="B38" s="88">
        <v>405</v>
      </c>
      <c r="C38" s="88" t="s">
        <v>155</v>
      </c>
      <c r="D38" s="88">
        <v>6</v>
      </c>
      <c r="E38" s="89">
        <f t="shared" si="0"/>
        <v>1</v>
      </c>
      <c r="F38" s="89">
        <f t="shared" si="1"/>
        <v>3</v>
      </c>
      <c r="G38" s="89">
        <f t="shared" si="2"/>
        <v>1</v>
      </c>
      <c r="H38" s="88">
        <v>4</v>
      </c>
      <c r="I38" s="88">
        <f t="shared" si="3"/>
        <v>5</v>
      </c>
      <c r="J38" s="88" t="str">
        <f t="shared" si="4"/>
        <v>131.4</v>
      </c>
      <c r="K38" s="111">
        <v>39</v>
      </c>
      <c r="L38" s="111">
        <v>35</v>
      </c>
      <c r="M38" s="111">
        <v>40</v>
      </c>
      <c r="N38" s="111">
        <v>28</v>
      </c>
      <c r="O38" s="111">
        <v>31</v>
      </c>
      <c r="P38" s="111">
        <v>41</v>
      </c>
      <c r="Q38" s="87">
        <f t="shared" si="5"/>
        <v>17.833333333333332</v>
      </c>
      <c r="R38" s="86">
        <f t="shared" si="6"/>
        <v>1.0775486583496399</v>
      </c>
      <c r="S38" s="72">
        <f t="shared" si="7"/>
        <v>8.9166666666666661</v>
      </c>
      <c r="T38" s="71"/>
    </row>
    <row r="39" spans="2:24" x14ac:dyDescent="0.2">
      <c r="B39" s="5">
        <v>406</v>
      </c>
      <c r="C39" s="5" t="s">
        <v>111</v>
      </c>
      <c r="D39" s="5">
        <v>3</v>
      </c>
      <c r="E39" s="18">
        <f t="shared" si="0"/>
        <v>1</v>
      </c>
      <c r="F39" s="18">
        <f t="shared" si="1"/>
        <v>2</v>
      </c>
      <c r="G39" s="18">
        <f t="shared" si="2"/>
        <v>2</v>
      </c>
      <c r="H39" s="5">
        <v>4</v>
      </c>
      <c r="I39" s="5">
        <f t="shared" si="3"/>
        <v>6</v>
      </c>
      <c r="J39" s="5" t="str">
        <f t="shared" si="4"/>
        <v>122.4</v>
      </c>
      <c r="K39" s="109">
        <v>17</v>
      </c>
      <c r="L39" s="109">
        <v>20</v>
      </c>
      <c r="M39" s="109">
        <v>14</v>
      </c>
      <c r="N39" s="109">
        <v>8</v>
      </c>
      <c r="O39" s="109">
        <v>17</v>
      </c>
      <c r="P39" s="109">
        <v>14</v>
      </c>
      <c r="Q39" s="78">
        <f t="shared" si="5"/>
        <v>7.5</v>
      </c>
      <c r="R39" s="77">
        <f t="shared" si="6"/>
        <v>0.83666002653407567</v>
      </c>
      <c r="S39" s="72">
        <f t="shared" si="7"/>
        <v>7.5</v>
      </c>
      <c r="T39" s="71"/>
    </row>
    <row r="40" spans="2:24" x14ac:dyDescent="0.2">
      <c r="B40" s="5">
        <v>407</v>
      </c>
      <c r="C40" s="5" t="s">
        <v>152</v>
      </c>
      <c r="D40" s="5">
        <v>7</v>
      </c>
      <c r="E40" s="18">
        <f t="shared" si="0"/>
        <v>2</v>
      </c>
      <c r="F40" s="18">
        <f t="shared" si="1"/>
        <v>1</v>
      </c>
      <c r="G40" s="18">
        <f t="shared" si="2"/>
        <v>2</v>
      </c>
      <c r="H40" s="5">
        <v>4</v>
      </c>
      <c r="I40" s="5">
        <f t="shared" si="3"/>
        <v>7</v>
      </c>
      <c r="J40" s="5" t="str">
        <f t="shared" si="4"/>
        <v>212.4</v>
      </c>
      <c r="K40" s="109">
        <v>19</v>
      </c>
      <c r="L40" s="109">
        <v>17</v>
      </c>
      <c r="M40" s="109">
        <v>17</v>
      </c>
      <c r="N40" s="109">
        <v>17</v>
      </c>
      <c r="O40" s="109">
        <v>25</v>
      </c>
      <c r="P40" s="109">
        <v>20</v>
      </c>
      <c r="Q40" s="78">
        <f t="shared" si="5"/>
        <v>9.5833333333333339</v>
      </c>
      <c r="R40" s="77">
        <f t="shared" si="6"/>
        <v>0.6379219736334889</v>
      </c>
      <c r="S40" s="72">
        <f t="shared" si="7"/>
        <v>9.5833333333333339</v>
      </c>
      <c r="T40" s="71"/>
      <c r="V40" s="83" t="s">
        <v>410</v>
      </c>
      <c r="W40" s="66"/>
      <c r="X40" s="82"/>
    </row>
    <row r="41" spans="2:24"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23</v>
      </c>
      <c r="L41" s="74">
        <v>15</v>
      </c>
      <c r="M41" s="74">
        <v>12</v>
      </c>
      <c r="N41" s="74">
        <v>13</v>
      </c>
      <c r="O41" s="74">
        <v>20</v>
      </c>
      <c r="P41" s="74">
        <v>6</v>
      </c>
      <c r="Q41" s="74">
        <f t="shared" si="5"/>
        <v>7.416666666666667</v>
      </c>
      <c r="R41" s="73">
        <f t="shared" si="6"/>
        <v>1.2343464307523682</v>
      </c>
      <c r="S41" s="72">
        <f t="shared" si="7"/>
        <v>7.416666666666667</v>
      </c>
      <c r="T41" s="71"/>
      <c r="V41" s="83" t="s">
        <v>409</v>
      </c>
      <c r="W41" s="83" t="s">
        <v>51</v>
      </c>
      <c r="X41" s="82" t="s">
        <v>406</v>
      </c>
    </row>
    <row r="42" spans="2:24" x14ac:dyDescent="0.2">
      <c r="B42" s="23">
        <v>901</v>
      </c>
      <c r="C42" s="23" t="s">
        <v>404</v>
      </c>
      <c r="D42" s="23">
        <v>32</v>
      </c>
      <c r="E42" s="81">
        <v>9</v>
      </c>
      <c r="F42" s="81">
        <v>0</v>
      </c>
      <c r="G42" s="81">
        <v>1</v>
      </c>
      <c r="H42" s="23">
        <v>1</v>
      </c>
      <c r="I42" s="23">
        <f t="shared" si="3"/>
        <v>1</v>
      </c>
      <c r="J42" s="23" t="str">
        <f t="shared" si="4"/>
        <v>901.1</v>
      </c>
      <c r="K42" s="110"/>
      <c r="L42" s="110"/>
      <c r="M42" s="110"/>
      <c r="N42" s="110"/>
      <c r="O42" s="110"/>
      <c r="P42" s="110"/>
      <c r="Q42" s="78" t="e">
        <f t="shared" si="5"/>
        <v>#DIV/0!</v>
      </c>
      <c r="R42" s="78" t="e">
        <f t="shared" si="6"/>
        <v>#DIV/0!</v>
      </c>
      <c r="S42" s="72" t="e">
        <f t="shared" si="7"/>
        <v>#DIV/0!</v>
      </c>
      <c r="V42" s="67">
        <v>1</v>
      </c>
      <c r="W42" s="67">
        <v>101</v>
      </c>
      <c r="X42" s="65">
        <v>4.75</v>
      </c>
    </row>
    <row r="43" spans="2:24" x14ac:dyDescent="0.2">
      <c r="B43" s="5">
        <v>902</v>
      </c>
      <c r="C43" s="80" t="s">
        <v>403</v>
      </c>
      <c r="D43" s="5">
        <v>22</v>
      </c>
      <c r="E43" s="18">
        <v>4</v>
      </c>
      <c r="F43" s="18">
        <v>2</v>
      </c>
      <c r="G43" s="18">
        <v>2</v>
      </c>
      <c r="H43" s="5">
        <v>1</v>
      </c>
      <c r="I43" s="5">
        <f t="shared" si="3"/>
        <v>2</v>
      </c>
      <c r="J43" s="5" t="str">
        <f t="shared" si="4"/>
        <v>422.1</v>
      </c>
      <c r="K43" s="109">
        <v>24</v>
      </c>
      <c r="L43" s="109">
        <v>16</v>
      </c>
      <c r="M43" s="109">
        <v>16</v>
      </c>
      <c r="N43" s="109">
        <v>13</v>
      </c>
      <c r="O43" s="109">
        <v>19</v>
      </c>
      <c r="P43" s="109">
        <v>9</v>
      </c>
      <c r="Q43" s="78">
        <f t="shared" si="5"/>
        <v>8.0833333333333339</v>
      </c>
      <c r="R43" s="77">
        <f t="shared" si="6"/>
        <v>1.0441636738451388</v>
      </c>
      <c r="S43" s="72">
        <f t="shared" si="7"/>
        <v>8.0833333333333339</v>
      </c>
      <c r="T43" s="71"/>
      <c r="V43" s="68"/>
      <c r="W43" s="70">
        <v>201</v>
      </c>
      <c r="X43" s="69">
        <v>7.333333333333333</v>
      </c>
    </row>
    <row r="44" spans="2:24" x14ac:dyDescent="0.2">
      <c r="B44" s="5">
        <v>903</v>
      </c>
      <c r="C44" s="5" t="s">
        <v>401</v>
      </c>
      <c r="D44" s="5">
        <v>31</v>
      </c>
      <c r="E44" s="18">
        <v>8</v>
      </c>
      <c r="F44" s="18">
        <v>0</v>
      </c>
      <c r="G44" s="18">
        <v>1</v>
      </c>
      <c r="H44" s="5">
        <v>1</v>
      </c>
      <c r="I44" s="5">
        <f t="shared" si="3"/>
        <v>3</v>
      </c>
      <c r="J44" s="5" t="str">
        <f t="shared" si="4"/>
        <v>801.1</v>
      </c>
      <c r="K44" s="109"/>
      <c r="L44" s="109"/>
      <c r="M44" s="109"/>
      <c r="N44" s="109"/>
      <c r="O44" s="109"/>
      <c r="P44" s="109"/>
      <c r="Q44" s="78" t="e">
        <f t="shared" si="5"/>
        <v>#DIV/0!</v>
      </c>
      <c r="R44" s="77" t="e">
        <f t="shared" si="6"/>
        <v>#DIV/0!</v>
      </c>
      <c r="S44" s="72" t="e">
        <f t="shared" si="7"/>
        <v>#DIV/0!</v>
      </c>
      <c r="T44" s="71"/>
      <c r="V44" s="68"/>
      <c r="W44" s="70">
        <v>301</v>
      </c>
      <c r="X44" s="69">
        <v>3.3333333333333335</v>
      </c>
    </row>
    <row r="45" spans="2:24" x14ac:dyDescent="0.2">
      <c r="B45" s="5">
        <v>904</v>
      </c>
      <c r="C45" s="80" t="s">
        <v>400</v>
      </c>
      <c r="D45" s="5">
        <v>21</v>
      </c>
      <c r="E45" s="18">
        <v>3</v>
      </c>
      <c r="F45" s="18">
        <v>2</v>
      </c>
      <c r="G45" s="18">
        <v>2</v>
      </c>
      <c r="H45" s="5">
        <v>1</v>
      </c>
      <c r="I45" s="5">
        <f t="shared" si="3"/>
        <v>4</v>
      </c>
      <c r="J45" s="5" t="str">
        <f t="shared" si="4"/>
        <v>322.1</v>
      </c>
      <c r="K45" s="109">
        <v>20</v>
      </c>
      <c r="L45" s="109">
        <v>16</v>
      </c>
      <c r="M45" s="109">
        <v>13</v>
      </c>
      <c r="N45" s="109">
        <v>6</v>
      </c>
      <c r="O45" s="109">
        <v>8</v>
      </c>
      <c r="P45" s="109">
        <v>5</v>
      </c>
      <c r="Q45" s="78">
        <f t="shared" si="5"/>
        <v>5.666666666666667</v>
      </c>
      <c r="R45" s="77">
        <f t="shared" si="6"/>
        <v>1.2224747213928169</v>
      </c>
      <c r="S45" s="72">
        <f t="shared" si="7"/>
        <v>5.666666666666667</v>
      </c>
      <c r="T45" s="71"/>
      <c r="V45" s="68"/>
      <c r="W45" s="70">
        <v>401</v>
      </c>
      <c r="X45" s="69">
        <v>3.9166666666666665</v>
      </c>
    </row>
    <row r="46" spans="2:24" x14ac:dyDescent="0.2">
      <c r="B46" s="5">
        <v>905</v>
      </c>
      <c r="C46" s="5" t="s">
        <v>404</v>
      </c>
      <c r="D46" s="5">
        <v>32</v>
      </c>
      <c r="E46" s="18">
        <v>9</v>
      </c>
      <c r="F46" s="18">
        <v>0</v>
      </c>
      <c r="G46" s="18">
        <v>1</v>
      </c>
      <c r="H46" s="5">
        <v>2</v>
      </c>
      <c r="I46" s="5">
        <f t="shared" si="3"/>
        <v>5</v>
      </c>
      <c r="J46" s="5" t="str">
        <f t="shared" si="4"/>
        <v>901.2</v>
      </c>
      <c r="K46" s="109"/>
      <c r="L46" s="109"/>
      <c r="M46" s="109"/>
      <c r="N46" s="109"/>
      <c r="O46" s="109"/>
      <c r="P46" s="109"/>
      <c r="Q46" s="78" t="e">
        <f t="shared" si="5"/>
        <v>#DIV/0!</v>
      </c>
      <c r="R46" s="77" t="e">
        <f t="shared" si="6"/>
        <v>#DIV/0!</v>
      </c>
      <c r="S46" s="72" t="e">
        <f t="shared" si="7"/>
        <v>#DIV/0!</v>
      </c>
      <c r="T46" s="71"/>
      <c r="V46" s="67" t="s">
        <v>436</v>
      </c>
      <c r="W46" s="66"/>
      <c r="X46" s="65">
        <v>4.833333333333333</v>
      </c>
    </row>
    <row r="47" spans="2:24" x14ac:dyDescent="0.2">
      <c r="B47" s="5">
        <v>906</v>
      </c>
      <c r="C47" s="80" t="s">
        <v>403</v>
      </c>
      <c r="D47" s="5">
        <v>22</v>
      </c>
      <c r="E47" s="18">
        <v>4</v>
      </c>
      <c r="F47" s="18">
        <v>2</v>
      </c>
      <c r="G47" s="18">
        <v>2</v>
      </c>
      <c r="H47" s="5">
        <v>2</v>
      </c>
      <c r="I47" s="5">
        <f t="shared" si="3"/>
        <v>6</v>
      </c>
      <c r="J47" s="5" t="str">
        <f t="shared" si="4"/>
        <v>422.2</v>
      </c>
      <c r="K47" s="109">
        <v>11</v>
      </c>
      <c r="L47" s="109">
        <v>17</v>
      </c>
      <c r="M47" s="109">
        <v>3</v>
      </c>
      <c r="N47" s="109">
        <v>0</v>
      </c>
      <c r="O47" s="109">
        <v>14</v>
      </c>
      <c r="P47" s="109">
        <v>10</v>
      </c>
      <c r="Q47" s="78">
        <f t="shared" si="5"/>
        <v>4.583333333333333</v>
      </c>
      <c r="R47" s="77">
        <f t="shared" si="6"/>
        <v>1.3254978100489054</v>
      </c>
      <c r="S47" s="72">
        <f t="shared" si="7"/>
        <v>4.583333333333333</v>
      </c>
      <c r="T47" s="71"/>
      <c r="V47" s="67">
        <v>2</v>
      </c>
      <c r="W47" s="67">
        <v>102</v>
      </c>
      <c r="X47" s="65">
        <v>4.166666666666667</v>
      </c>
    </row>
    <row r="48" spans="2:24" x14ac:dyDescent="0.2">
      <c r="B48" s="5">
        <v>907</v>
      </c>
      <c r="C48" s="5" t="s">
        <v>401</v>
      </c>
      <c r="D48" s="5">
        <v>31</v>
      </c>
      <c r="E48" s="18">
        <v>8</v>
      </c>
      <c r="F48" s="18">
        <v>0</v>
      </c>
      <c r="G48" s="18">
        <v>1</v>
      </c>
      <c r="H48" s="5">
        <v>2</v>
      </c>
      <c r="I48" s="5">
        <f t="shared" si="3"/>
        <v>7</v>
      </c>
      <c r="J48" s="5" t="str">
        <f t="shared" si="4"/>
        <v>801.2</v>
      </c>
      <c r="K48" s="109"/>
      <c r="L48" s="109"/>
      <c r="M48" s="109"/>
      <c r="N48" s="109"/>
      <c r="O48" s="109"/>
      <c r="P48" s="109"/>
      <c r="Q48" s="78" t="e">
        <f t="shared" si="5"/>
        <v>#DIV/0!</v>
      </c>
      <c r="R48" s="77" t="e">
        <f t="shared" si="6"/>
        <v>#DIV/0!</v>
      </c>
      <c r="S48" s="72" t="e">
        <f t="shared" si="7"/>
        <v>#DIV/0!</v>
      </c>
      <c r="T48" s="71"/>
      <c r="V48" s="68"/>
      <c r="W48" s="70">
        <v>202</v>
      </c>
      <c r="X48" s="69">
        <v>6.25</v>
      </c>
    </row>
    <row r="49" spans="2:24" ht="13.5" thickBot="1" x14ac:dyDescent="0.25">
      <c r="B49" s="13">
        <v>908</v>
      </c>
      <c r="C49" s="76" t="s">
        <v>400</v>
      </c>
      <c r="D49" s="13">
        <v>21</v>
      </c>
      <c r="E49" s="75">
        <v>3</v>
      </c>
      <c r="F49" s="75">
        <v>2</v>
      </c>
      <c r="G49" s="75">
        <v>2</v>
      </c>
      <c r="H49" s="13">
        <v>2</v>
      </c>
      <c r="I49" s="13">
        <f t="shared" si="3"/>
        <v>8</v>
      </c>
      <c r="J49" s="13" t="str">
        <f t="shared" si="4"/>
        <v>322.2</v>
      </c>
      <c r="K49" s="74">
        <v>14</v>
      </c>
      <c r="L49" s="74">
        <v>5</v>
      </c>
      <c r="M49" s="74">
        <v>10</v>
      </c>
      <c r="N49" s="74">
        <v>8</v>
      </c>
      <c r="O49" s="74">
        <v>0</v>
      </c>
      <c r="P49" s="74">
        <v>9</v>
      </c>
      <c r="Q49" s="74">
        <f t="shared" si="5"/>
        <v>3.8333333333333335</v>
      </c>
      <c r="R49" s="73">
        <f t="shared" si="6"/>
        <v>0.97182531580755016</v>
      </c>
      <c r="S49" s="72">
        <f t="shared" si="7"/>
        <v>3.8333333333333335</v>
      </c>
      <c r="T49" s="71"/>
      <c r="V49" s="68"/>
      <c r="W49" s="70">
        <v>302</v>
      </c>
      <c r="X49" s="69">
        <v>3.75</v>
      </c>
    </row>
    <row r="50" spans="2:24" x14ac:dyDescent="0.2">
      <c r="V50" s="68"/>
      <c r="W50" s="70">
        <v>402</v>
      </c>
      <c r="X50" s="69">
        <v>4.25</v>
      </c>
    </row>
    <row r="51" spans="2:24" x14ac:dyDescent="0.2">
      <c r="V51" s="67" t="s">
        <v>435</v>
      </c>
      <c r="W51" s="66"/>
      <c r="X51" s="65">
        <v>4.604166666666667</v>
      </c>
    </row>
    <row r="52" spans="2:24" x14ac:dyDescent="0.2">
      <c r="V52" s="67">
        <v>3</v>
      </c>
      <c r="W52" s="67">
        <v>103</v>
      </c>
      <c r="X52" s="65">
        <v>9</v>
      </c>
    </row>
    <row r="53" spans="2:24" x14ac:dyDescent="0.2">
      <c r="V53" s="68"/>
      <c r="W53" s="70">
        <v>203</v>
      </c>
      <c r="X53" s="69">
        <v>8.75</v>
      </c>
    </row>
    <row r="54" spans="2:24" x14ac:dyDescent="0.2">
      <c r="V54" s="68"/>
      <c r="W54" s="70">
        <v>303</v>
      </c>
      <c r="X54" s="69">
        <v>5.75</v>
      </c>
    </row>
    <row r="55" spans="2:24" x14ac:dyDescent="0.2">
      <c r="V55" s="68"/>
      <c r="W55" s="70">
        <v>403</v>
      </c>
      <c r="X55" s="69">
        <v>7.416666666666667</v>
      </c>
    </row>
    <row r="56" spans="2:24" x14ac:dyDescent="0.2">
      <c r="V56" s="67" t="s">
        <v>434</v>
      </c>
      <c r="W56" s="66"/>
      <c r="X56" s="65">
        <v>7.729166666666667</v>
      </c>
    </row>
    <row r="57" spans="2:24" x14ac:dyDescent="0.2">
      <c r="V57" s="67">
        <v>4</v>
      </c>
      <c r="W57" s="67">
        <v>104</v>
      </c>
      <c r="X57" s="65">
        <v>5.083333333333333</v>
      </c>
    </row>
    <row r="58" spans="2:24" x14ac:dyDescent="0.2">
      <c r="V58" s="68"/>
      <c r="W58" s="70">
        <v>204</v>
      </c>
      <c r="X58" s="69">
        <v>9.9166666666666661</v>
      </c>
    </row>
    <row r="59" spans="2:24" x14ac:dyDescent="0.2">
      <c r="V59" s="68"/>
      <c r="W59" s="70">
        <v>304</v>
      </c>
      <c r="X59" s="69">
        <v>7.333333333333333</v>
      </c>
    </row>
    <row r="60" spans="2:24" x14ac:dyDescent="0.2">
      <c r="V60" s="68"/>
      <c r="W60" s="70">
        <v>404</v>
      </c>
      <c r="X60" s="69">
        <v>8.25</v>
      </c>
    </row>
    <row r="61" spans="2:24" x14ac:dyDescent="0.2">
      <c r="V61" s="67" t="s">
        <v>433</v>
      </c>
      <c r="W61" s="66"/>
      <c r="X61" s="65">
        <v>7.645833333333333</v>
      </c>
    </row>
    <row r="62" spans="2:24" x14ac:dyDescent="0.2">
      <c r="V62" s="67">
        <v>5</v>
      </c>
      <c r="W62" s="67">
        <v>105</v>
      </c>
      <c r="X62" s="65">
        <v>8.5833333333333339</v>
      </c>
    </row>
    <row r="63" spans="2:24" x14ac:dyDescent="0.2">
      <c r="V63" s="68"/>
      <c r="W63" s="70">
        <v>205</v>
      </c>
      <c r="X63" s="69">
        <v>8.25</v>
      </c>
    </row>
    <row r="64" spans="2:24" x14ac:dyDescent="0.2">
      <c r="V64" s="68"/>
      <c r="W64" s="70">
        <v>305</v>
      </c>
      <c r="X64" s="69">
        <v>9.625</v>
      </c>
    </row>
    <row r="65" spans="22:24" x14ac:dyDescent="0.2">
      <c r="V65" s="68"/>
      <c r="W65" s="70">
        <v>405</v>
      </c>
      <c r="X65" s="69">
        <v>8.9166666666666661</v>
      </c>
    </row>
    <row r="66" spans="22:24" x14ac:dyDescent="0.2">
      <c r="V66" s="67" t="s">
        <v>432</v>
      </c>
      <c r="W66" s="66"/>
      <c r="X66" s="65">
        <v>8.84375</v>
      </c>
    </row>
    <row r="67" spans="22:24" x14ac:dyDescent="0.2">
      <c r="V67" s="67">
        <v>6</v>
      </c>
      <c r="W67" s="67">
        <v>106</v>
      </c>
      <c r="X67" s="65">
        <v>9.75</v>
      </c>
    </row>
    <row r="68" spans="22:24" x14ac:dyDescent="0.2">
      <c r="V68" s="68"/>
      <c r="W68" s="70">
        <v>206</v>
      </c>
      <c r="X68" s="69">
        <v>10.916666666666666</v>
      </c>
    </row>
    <row r="69" spans="22:24" x14ac:dyDescent="0.2">
      <c r="V69" s="68"/>
      <c r="W69" s="70">
        <v>306</v>
      </c>
      <c r="X69" s="69">
        <v>8</v>
      </c>
    </row>
    <row r="70" spans="22:24" x14ac:dyDescent="0.2">
      <c r="V70" s="68"/>
      <c r="W70" s="70">
        <v>406</v>
      </c>
      <c r="X70" s="69">
        <v>7.5</v>
      </c>
    </row>
    <row r="71" spans="22:24" x14ac:dyDescent="0.2">
      <c r="V71" s="67" t="s">
        <v>431</v>
      </c>
      <c r="W71" s="66"/>
      <c r="X71" s="65">
        <v>9.0416666666666661</v>
      </c>
    </row>
    <row r="72" spans="22:24" x14ac:dyDescent="0.2">
      <c r="V72" s="67">
        <v>7</v>
      </c>
      <c r="W72" s="67">
        <v>107</v>
      </c>
      <c r="X72" s="65">
        <v>9.6666666666666661</v>
      </c>
    </row>
    <row r="73" spans="22:24" x14ac:dyDescent="0.2">
      <c r="V73" s="68"/>
      <c r="W73" s="70">
        <v>207</v>
      </c>
      <c r="X73" s="69">
        <v>9.75</v>
      </c>
    </row>
    <row r="74" spans="22:24" x14ac:dyDescent="0.2">
      <c r="V74" s="68"/>
      <c r="W74" s="70">
        <v>307</v>
      </c>
      <c r="X74" s="69">
        <v>9.6666666666666661</v>
      </c>
    </row>
    <row r="75" spans="22:24" x14ac:dyDescent="0.2">
      <c r="V75" s="68"/>
      <c r="W75" s="70">
        <v>407</v>
      </c>
      <c r="X75" s="69">
        <v>9.5833333333333339</v>
      </c>
    </row>
    <row r="76" spans="22:24" x14ac:dyDescent="0.2">
      <c r="V76" s="67" t="s">
        <v>430</v>
      </c>
      <c r="W76" s="66"/>
      <c r="X76" s="65">
        <v>9.6666666666666661</v>
      </c>
    </row>
    <row r="77" spans="22:24" x14ac:dyDescent="0.2">
      <c r="V77" s="67">
        <v>8</v>
      </c>
      <c r="W77" s="67">
        <v>108</v>
      </c>
      <c r="X77" s="65">
        <v>8.6666666666666661</v>
      </c>
    </row>
    <row r="78" spans="22:24" x14ac:dyDescent="0.2">
      <c r="V78" s="68"/>
      <c r="W78" s="70">
        <v>208</v>
      </c>
      <c r="X78" s="69">
        <v>8.5833333333333339</v>
      </c>
    </row>
    <row r="79" spans="22:24" x14ac:dyDescent="0.2">
      <c r="V79" s="68"/>
      <c r="W79" s="70">
        <v>308</v>
      </c>
      <c r="X79" s="69">
        <v>9.4166666666666661</v>
      </c>
    </row>
    <row r="80" spans="22:24" x14ac:dyDescent="0.2">
      <c r="V80" s="68"/>
      <c r="W80" s="70">
        <v>408</v>
      </c>
      <c r="X80" s="69">
        <v>7.416666666666667</v>
      </c>
    </row>
    <row r="81" spans="22:24" x14ac:dyDescent="0.2">
      <c r="V81" s="64" t="s">
        <v>429</v>
      </c>
      <c r="W81" s="63"/>
      <c r="X81" s="62">
        <v>8.5208333333333321</v>
      </c>
    </row>
  </sheetData>
  <pageMargins left="0.75" right="0.75" top="1" bottom="1" header="0.5" footer="0.5"/>
  <pageSetup orientation="portrait" r:id="rId3"/>
  <headerFooter alignWithMargins="0"/>
  <drawing r:id="rId4"/>
  <legacyDrawing r:id="rId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49BA-976C-4E26-8783-D07967F7B859}">
  <dimension ref="A1:X116"/>
  <sheetViews>
    <sheetView workbookViewId="0">
      <selection activeCell="K10" sqref="K10:P49"/>
    </sheetView>
  </sheetViews>
  <sheetFormatPr defaultRowHeight="12.75" x14ac:dyDescent="0.2"/>
  <cols>
    <col min="1" max="19" width="9.140625" style="1"/>
    <col min="20" max="20" width="45.7109375" style="1" customWidth="1"/>
    <col min="21" max="21" width="9.140625" style="1"/>
    <col min="22" max="22" width="23.5703125" style="1" customWidth="1"/>
    <col min="23" max="23" width="11.7109375" style="1" customWidth="1"/>
    <col min="24" max="25" width="5.5703125" style="1" customWidth="1"/>
    <col min="26" max="26" width="4.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118</v>
      </c>
      <c r="E3" s="1" t="s">
        <v>425</v>
      </c>
      <c r="F3" s="105">
        <v>0.3444444444444445</v>
      </c>
    </row>
    <row r="4" spans="1:23" ht="13.5" thickBot="1" x14ac:dyDescent="0.25">
      <c r="E4" s="1" t="s">
        <v>424</v>
      </c>
      <c r="F4" s="105">
        <v>0.3833333333333333</v>
      </c>
      <c r="N4" s="58">
        <f>AVERAGE(Q10:Q11,Q13,Q15:Q17,Q19:Q20,Q22:Q29,Q31:Q32,Q34:Q35,Q37,Q39:Q41)</f>
        <v>10.763888888888888</v>
      </c>
      <c r="O4" s="58">
        <f>AVERAGE(Q12,Q14,Q18,Q21,Q30,Q36,Q38,Q33)</f>
        <v>21.875</v>
      </c>
    </row>
    <row r="6" spans="1:23" x14ac:dyDescent="0.2">
      <c r="B6" s="1" t="s">
        <v>80</v>
      </c>
      <c r="D6" s="104" t="s">
        <v>484</v>
      </c>
      <c r="E6" s="104"/>
      <c r="F6" s="104"/>
      <c r="G6" s="104"/>
      <c r="H6" s="104"/>
      <c r="I6" s="104"/>
      <c r="J6" s="104"/>
      <c r="K6" s="104"/>
      <c r="L6" s="104"/>
      <c r="M6" s="104"/>
      <c r="N6" s="104"/>
      <c r="O6" s="104"/>
    </row>
    <row r="7" spans="1:23" x14ac:dyDescent="0.2">
      <c r="D7" s="104" t="s">
        <v>483</v>
      </c>
      <c r="E7" s="104"/>
      <c r="F7" s="104"/>
      <c r="G7" s="104"/>
      <c r="H7" s="104"/>
      <c r="I7" s="104"/>
      <c r="J7" s="104"/>
      <c r="K7" s="104"/>
      <c r="L7" s="104"/>
      <c r="M7" s="104"/>
      <c r="N7" s="104"/>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16</v>
      </c>
      <c r="L10" s="110">
        <v>18</v>
      </c>
      <c r="M10" s="110">
        <v>18</v>
      </c>
      <c r="N10" s="110">
        <v>7</v>
      </c>
      <c r="O10" s="110">
        <v>9</v>
      </c>
      <c r="P10" s="110">
        <v>28</v>
      </c>
      <c r="Q10" s="78">
        <f t="shared" ref="Q10:Q49" si="5">AVERAGE(K10:P10)/2</f>
        <v>8</v>
      </c>
      <c r="R10" s="78">
        <f t="shared" ref="R10:R49" si="6">STDEV(K10:P10)/2/SQRT(COUNT(K10:P10))</f>
        <v>1.5329709716755893</v>
      </c>
      <c r="S10" s="72">
        <f t="shared" ref="S10:S49" si="7">IF(F10=3,Q10/2,Q10)</f>
        <v>8</v>
      </c>
      <c r="T10" s="115">
        <v>0.3444444444444445</v>
      </c>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109">
        <v>23</v>
      </c>
      <c r="L11" s="109">
        <v>11</v>
      </c>
      <c r="M11" s="109">
        <v>6</v>
      </c>
      <c r="N11" s="109">
        <v>5</v>
      </c>
      <c r="O11" s="109">
        <v>9</v>
      </c>
      <c r="P11" s="109">
        <v>25</v>
      </c>
      <c r="Q11" s="78">
        <f t="shared" si="5"/>
        <v>6.583333333333333</v>
      </c>
      <c r="R11" s="77">
        <f t="shared" si="6"/>
        <v>1.7720828924680068</v>
      </c>
      <c r="S11" s="72">
        <f t="shared" si="7"/>
        <v>6.583333333333333</v>
      </c>
      <c r="T11" s="71"/>
      <c r="V11" s="83" t="s">
        <v>409</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f>17+26</f>
        <v>43</v>
      </c>
      <c r="L12" s="111">
        <f>20+23</f>
        <v>43</v>
      </c>
      <c r="M12" s="111">
        <f>16+24</f>
        <v>40</v>
      </c>
      <c r="N12" s="111">
        <f>18+22</f>
        <v>40</v>
      </c>
      <c r="O12" s="111">
        <f>16+23</f>
        <v>39</v>
      </c>
      <c r="P12" s="111">
        <f>22+24</f>
        <v>46</v>
      </c>
      <c r="Q12" s="87">
        <f t="shared" si="5"/>
        <v>20.916666666666668</v>
      </c>
      <c r="R12" s="86">
        <f t="shared" si="6"/>
        <v>0.53877432917482049</v>
      </c>
      <c r="S12" s="72">
        <f t="shared" si="7"/>
        <v>10.458333333333334</v>
      </c>
      <c r="T12" s="71"/>
      <c r="V12" s="67">
        <v>1</v>
      </c>
      <c r="W12" s="65">
        <v>9.5520833333333339</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23</v>
      </c>
      <c r="L13" s="109">
        <v>26</v>
      </c>
      <c r="M13" s="109">
        <v>17</v>
      </c>
      <c r="N13" s="109">
        <v>18</v>
      </c>
      <c r="O13" s="109">
        <v>19</v>
      </c>
      <c r="P13" s="109">
        <v>20</v>
      </c>
      <c r="Q13" s="78">
        <f t="shared" si="5"/>
        <v>10.25</v>
      </c>
      <c r="R13" s="77">
        <f t="shared" si="6"/>
        <v>0.69221865524317294</v>
      </c>
      <c r="S13" s="72">
        <f t="shared" si="7"/>
        <v>10.25</v>
      </c>
      <c r="T13" s="71"/>
      <c r="V13" s="70">
        <v>2</v>
      </c>
      <c r="W13" s="69">
        <v>9.625</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f>23+22</f>
        <v>45</v>
      </c>
      <c r="L14" s="111">
        <f>13+16</f>
        <v>29</v>
      </c>
      <c r="M14" s="111">
        <f>17+21</f>
        <v>38</v>
      </c>
      <c r="N14" s="111">
        <f>20+21</f>
        <v>41</v>
      </c>
      <c r="O14" s="111">
        <f>15+25</f>
        <v>40</v>
      </c>
      <c r="P14" s="111">
        <f>25+25</f>
        <v>50</v>
      </c>
      <c r="Q14" s="87">
        <f t="shared" si="5"/>
        <v>20.25</v>
      </c>
      <c r="R14" s="86">
        <f t="shared" si="6"/>
        <v>1.4419315748906627</v>
      </c>
      <c r="S14" s="72">
        <f t="shared" si="7"/>
        <v>10.125</v>
      </c>
      <c r="T14" s="71"/>
      <c r="V14" s="70">
        <v>3</v>
      </c>
      <c r="W14" s="69">
        <v>10.583333333333334</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v>26</v>
      </c>
      <c r="L15" s="109">
        <v>27</v>
      </c>
      <c r="M15" s="109">
        <v>22</v>
      </c>
      <c r="N15" s="109">
        <v>25</v>
      </c>
      <c r="O15" s="109">
        <v>20</v>
      </c>
      <c r="P15" s="109">
        <v>21</v>
      </c>
      <c r="Q15" s="78">
        <f t="shared" si="5"/>
        <v>11.75</v>
      </c>
      <c r="R15" s="77">
        <f t="shared" si="6"/>
        <v>0.58807595881257835</v>
      </c>
      <c r="S15" s="72">
        <f t="shared" si="7"/>
        <v>11.75</v>
      </c>
      <c r="T15" s="71"/>
      <c r="V15" s="70">
        <v>4</v>
      </c>
      <c r="W15" s="69">
        <v>11.260416666666666</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09">
        <v>15</v>
      </c>
      <c r="L16" s="109">
        <v>23</v>
      </c>
      <c r="M16" s="109">
        <v>19</v>
      </c>
      <c r="N16" s="109">
        <v>21</v>
      </c>
      <c r="O16" s="109">
        <v>26</v>
      </c>
      <c r="P16" s="109">
        <v>25</v>
      </c>
      <c r="Q16" s="78">
        <f t="shared" si="5"/>
        <v>10.75</v>
      </c>
      <c r="R16" s="77">
        <f t="shared" si="6"/>
        <v>0.83416625041614667</v>
      </c>
      <c r="S16" s="72">
        <f t="shared" si="7"/>
        <v>10.75</v>
      </c>
      <c r="T16" s="71"/>
      <c r="V16" s="70">
        <v>5</v>
      </c>
      <c r="W16" s="69">
        <v>11.239583333333334</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4">
        <v>22</v>
      </c>
      <c r="L17" s="74">
        <v>20</v>
      </c>
      <c r="M17" s="74">
        <v>23</v>
      </c>
      <c r="N17" s="74">
        <v>25</v>
      </c>
      <c r="O17" s="74">
        <v>20</v>
      </c>
      <c r="P17" s="74">
        <v>23</v>
      </c>
      <c r="Q17" s="74">
        <f t="shared" si="5"/>
        <v>11.083333333333334</v>
      </c>
      <c r="R17" s="73">
        <f t="shared" si="6"/>
        <v>0.39616214413349049</v>
      </c>
      <c r="S17" s="72">
        <f t="shared" si="7"/>
        <v>11.083333333333334</v>
      </c>
      <c r="T17" s="115">
        <v>0.35694444444444445</v>
      </c>
      <c r="V17" s="70">
        <v>6</v>
      </c>
      <c r="W17" s="69">
        <v>11.625</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f>25+17</f>
        <v>42</v>
      </c>
      <c r="L18" s="114">
        <f>24+26</f>
        <v>50</v>
      </c>
      <c r="M18" s="114">
        <f>20+20</f>
        <v>40</v>
      </c>
      <c r="N18" s="114">
        <f>17+17</f>
        <v>34</v>
      </c>
      <c r="O18" s="114">
        <f>8+22</f>
        <v>30</v>
      </c>
      <c r="P18" s="114">
        <f>27+10</f>
        <v>37</v>
      </c>
      <c r="Q18" s="87">
        <f t="shared" si="5"/>
        <v>19.416666666666668</v>
      </c>
      <c r="R18" s="87">
        <f t="shared" si="6"/>
        <v>1.4166666666666685</v>
      </c>
      <c r="S18" s="72">
        <f t="shared" si="7"/>
        <v>9.7083333333333339</v>
      </c>
      <c r="T18" s="108">
        <v>0.37361111111111112</v>
      </c>
      <c r="V18" s="70">
        <v>7</v>
      </c>
      <c r="W18" s="69">
        <v>11.5</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3">
        <v>27</v>
      </c>
      <c r="L19" s="112">
        <v>18</v>
      </c>
      <c r="M19" s="112">
        <v>25</v>
      </c>
      <c r="N19" s="112">
        <v>10</v>
      </c>
      <c r="O19" s="109">
        <v>29</v>
      </c>
      <c r="P19" s="109">
        <v>27</v>
      </c>
      <c r="Q19" s="78">
        <f t="shared" si="5"/>
        <v>11.333333333333334</v>
      </c>
      <c r="R19" s="77">
        <f t="shared" si="6"/>
        <v>1.4869805348796981</v>
      </c>
      <c r="S19" s="72">
        <f t="shared" si="7"/>
        <v>11.333333333333334</v>
      </c>
      <c r="T19" s="71"/>
      <c r="V19" s="70">
        <v>8</v>
      </c>
      <c r="W19" s="69">
        <v>11.072916666666668</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109">
        <v>20</v>
      </c>
      <c r="L20" s="109">
        <v>27</v>
      </c>
      <c r="M20" s="109">
        <v>20</v>
      </c>
      <c r="N20" s="109">
        <v>14</v>
      </c>
      <c r="O20" s="109">
        <v>21</v>
      </c>
      <c r="P20" s="109">
        <v>18</v>
      </c>
      <c r="Q20" s="78">
        <f t="shared" si="5"/>
        <v>10</v>
      </c>
      <c r="R20" s="77">
        <f t="shared" si="6"/>
        <v>0.8660254037844386</v>
      </c>
      <c r="S20" s="72">
        <f t="shared" si="7"/>
        <v>10</v>
      </c>
      <c r="T20" s="71"/>
      <c r="V20" s="64" t="s">
        <v>408</v>
      </c>
      <c r="W20" s="62">
        <v>10.807291666666664</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f>26+22</f>
        <v>48</v>
      </c>
      <c r="L21" s="111">
        <f>23+24</f>
        <v>47</v>
      </c>
      <c r="M21" s="111">
        <f>21+24</f>
        <v>45</v>
      </c>
      <c r="N21" s="111">
        <f>23+24</f>
        <v>47</v>
      </c>
      <c r="O21" s="111">
        <f>20+26</f>
        <v>46</v>
      </c>
      <c r="P21" s="111">
        <f>24+26</f>
        <v>50</v>
      </c>
      <c r="Q21" s="87">
        <f t="shared" si="5"/>
        <v>23.583333333333332</v>
      </c>
      <c r="R21" s="86">
        <f t="shared" si="6"/>
        <v>0.35158371849548314</v>
      </c>
      <c r="S21" s="72">
        <f t="shared" si="7"/>
        <v>11.791666666666666</v>
      </c>
      <c r="T21" s="71"/>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13</v>
      </c>
      <c r="L22" s="109">
        <v>25</v>
      </c>
      <c r="M22" s="109">
        <v>26</v>
      </c>
      <c r="N22" s="109">
        <v>24</v>
      </c>
      <c r="O22" s="109">
        <f>18</f>
        <v>18</v>
      </c>
      <c r="P22" s="109">
        <v>24</v>
      </c>
      <c r="Q22" s="78">
        <f t="shared" si="5"/>
        <v>10.833333333333334</v>
      </c>
      <c r="R22" s="77">
        <f t="shared" si="6"/>
        <v>1.0381607668264965</v>
      </c>
      <c r="S22" s="72">
        <f t="shared" si="7"/>
        <v>10.833333333333334</v>
      </c>
      <c r="T22" s="71"/>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23</v>
      </c>
      <c r="L23" s="109">
        <v>19</v>
      </c>
      <c r="M23" s="109">
        <v>24</v>
      </c>
      <c r="N23" s="109">
        <v>28</v>
      </c>
      <c r="O23" s="109">
        <v>24</v>
      </c>
      <c r="P23" s="109">
        <v>24</v>
      </c>
      <c r="Q23" s="78">
        <f t="shared" si="5"/>
        <v>11.833333333333334</v>
      </c>
      <c r="R23" s="77">
        <f t="shared" si="6"/>
        <v>0.58689389538863479</v>
      </c>
      <c r="S23" s="72">
        <f t="shared" si="7"/>
        <v>11.833333333333334</v>
      </c>
      <c r="T23" s="71"/>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19</v>
      </c>
      <c r="L24" s="109">
        <v>20</v>
      </c>
      <c r="M24" s="109">
        <v>21</v>
      </c>
      <c r="N24" s="109">
        <v>26</v>
      </c>
      <c r="O24" s="109">
        <v>28</v>
      </c>
      <c r="P24" s="109">
        <v>25</v>
      </c>
      <c r="Q24" s="78">
        <f t="shared" si="5"/>
        <v>11.583333333333334</v>
      </c>
      <c r="R24" s="77">
        <f t="shared" si="6"/>
        <v>0.74628710590793801</v>
      </c>
      <c r="S24" s="72">
        <f t="shared" si="7"/>
        <v>11.583333333333334</v>
      </c>
      <c r="T24" s="71"/>
      <c r="V24" s="58">
        <f>AVERAGE(W15:W17,W19)</f>
        <v>11.299479166666668</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25</v>
      </c>
      <c r="L25" s="74">
        <v>27</v>
      </c>
      <c r="M25" s="74">
        <v>20</v>
      </c>
      <c r="N25" s="74">
        <v>23</v>
      </c>
      <c r="O25" s="74">
        <v>15</v>
      </c>
      <c r="P25" s="74">
        <v>23</v>
      </c>
      <c r="Q25" s="74">
        <f t="shared" si="5"/>
        <v>11.083333333333334</v>
      </c>
      <c r="R25" s="73">
        <f t="shared" si="6"/>
        <v>0.86039396660935452</v>
      </c>
      <c r="S25" s="72">
        <f t="shared" si="7"/>
        <v>11.083333333333334</v>
      </c>
      <c r="T25" s="108">
        <v>0.35902777777777778</v>
      </c>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14</v>
      </c>
      <c r="L26" s="110">
        <v>25</v>
      </c>
      <c r="M26" s="110">
        <v>18</v>
      </c>
      <c r="N26" s="110">
        <v>17</v>
      </c>
      <c r="O26" s="110">
        <v>24</v>
      </c>
      <c r="P26" s="110">
        <v>23</v>
      </c>
      <c r="Q26" s="78">
        <f t="shared" si="5"/>
        <v>10.083333333333334</v>
      </c>
      <c r="R26" s="78">
        <f t="shared" si="6"/>
        <v>0.90753022600413291</v>
      </c>
      <c r="S26" s="72">
        <f t="shared" si="7"/>
        <v>10.083333333333334</v>
      </c>
      <c r="T26" s="108">
        <v>0.3833333333333333</v>
      </c>
      <c r="V26" s="58">
        <f>AVERAGE(W12:W14,W18)</f>
        <v>10.315104166666668</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24</v>
      </c>
      <c r="L27" s="109">
        <v>18</v>
      </c>
      <c r="M27" s="109">
        <v>20</v>
      </c>
      <c r="N27" s="109">
        <v>17</v>
      </c>
      <c r="O27" s="109">
        <v>22</v>
      </c>
      <c r="P27" s="109">
        <v>25</v>
      </c>
      <c r="Q27" s="78">
        <f t="shared" si="5"/>
        <v>10.5</v>
      </c>
      <c r="R27" s="77">
        <f t="shared" si="6"/>
        <v>0.65828058860438343</v>
      </c>
      <c r="S27" s="72">
        <f t="shared" si="7"/>
        <v>10.5</v>
      </c>
      <c r="T27" s="71"/>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24</v>
      </c>
      <c r="L28" s="109">
        <v>18</v>
      </c>
      <c r="M28" s="109">
        <v>22</v>
      </c>
      <c r="N28" s="109">
        <v>26</v>
      </c>
      <c r="O28" s="109">
        <v>20</v>
      </c>
      <c r="P28" s="109">
        <v>26</v>
      </c>
      <c r="Q28" s="78">
        <f t="shared" si="5"/>
        <v>11.333333333333334</v>
      </c>
      <c r="R28" s="77">
        <f t="shared" si="6"/>
        <v>0.66666666666666763</v>
      </c>
      <c r="S28" s="72">
        <f t="shared" si="7"/>
        <v>11.333333333333334</v>
      </c>
      <c r="T28" s="71"/>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25</v>
      </c>
      <c r="L29" s="109">
        <v>26</v>
      </c>
      <c r="M29" s="109">
        <v>22</v>
      </c>
      <c r="N29" s="109">
        <v>23</v>
      </c>
      <c r="O29" s="109">
        <v>22</v>
      </c>
      <c r="P29" s="109">
        <v>22</v>
      </c>
      <c r="Q29" s="78">
        <f t="shared" si="5"/>
        <v>11.666666666666666</v>
      </c>
      <c r="R29" s="77">
        <f t="shared" si="6"/>
        <v>0.35746017649212036</v>
      </c>
      <c r="S29" s="72">
        <f t="shared" si="7"/>
        <v>11.666666666666666</v>
      </c>
      <c r="T29" s="71"/>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f>22+26</f>
        <v>48</v>
      </c>
      <c r="L30" s="111">
        <f>26+26</f>
        <v>52</v>
      </c>
      <c r="M30" s="111">
        <f>22+22</f>
        <v>44</v>
      </c>
      <c r="N30" s="111">
        <f>26+24</f>
        <v>50</v>
      </c>
      <c r="O30" s="111">
        <f>25+24</f>
        <v>49</v>
      </c>
      <c r="P30" s="111">
        <f>27+24</f>
        <v>51</v>
      </c>
      <c r="Q30" s="87">
        <f t="shared" si="5"/>
        <v>24.5</v>
      </c>
      <c r="R30" s="86">
        <f t="shared" si="6"/>
        <v>0.57735026918962584</v>
      </c>
      <c r="S30" s="72">
        <f t="shared" si="7"/>
        <v>12.25</v>
      </c>
      <c r="T30" s="71"/>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26</v>
      </c>
      <c r="L31" s="109">
        <v>22</v>
      </c>
      <c r="M31" s="109">
        <v>22</v>
      </c>
      <c r="N31" s="109">
        <v>22</v>
      </c>
      <c r="O31" s="109">
        <v>22</v>
      </c>
      <c r="P31" s="109">
        <v>21</v>
      </c>
      <c r="Q31" s="78">
        <f t="shared" si="5"/>
        <v>11.25</v>
      </c>
      <c r="R31" s="77">
        <f t="shared" si="6"/>
        <v>0.35939764421413045</v>
      </c>
      <c r="S31" s="72">
        <f t="shared" si="7"/>
        <v>11.25</v>
      </c>
      <c r="T31" s="71"/>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18</v>
      </c>
      <c r="L32" s="109">
        <v>22</v>
      </c>
      <c r="M32" s="109">
        <v>19</v>
      </c>
      <c r="N32" s="109">
        <v>27</v>
      </c>
      <c r="O32" s="109">
        <v>25</v>
      </c>
      <c r="P32" s="109">
        <v>26</v>
      </c>
      <c r="Q32" s="78">
        <f t="shared" si="5"/>
        <v>11.416666666666666</v>
      </c>
      <c r="R32" s="77">
        <f t="shared" si="6"/>
        <v>0.76829537144107474</v>
      </c>
      <c r="S32" s="72">
        <f t="shared" si="7"/>
        <v>11.416666666666666</v>
      </c>
      <c r="T32" s="71"/>
    </row>
    <row r="33" spans="2:24"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f>25+23</f>
        <v>48</v>
      </c>
      <c r="L33" s="91">
        <f>28+24</f>
        <v>52</v>
      </c>
      <c r="M33" s="91">
        <f>22+20</f>
        <v>42</v>
      </c>
      <c r="N33" s="91">
        <f>25+17</f>
        <v>42</v>
      </c>
      <c r="O33" s="91">
        <f>23+24</f>
        <v>47</v>
      </c>
      <c r="P33" s="91">
        <f>12+18</f>
        <v>30</v>
      </c>
      <c r="Q33" s="91">
        <f t="shared" si="5"/>
        <v>21.75</v>
      </c>
      <c r="R33" s="90">
        <f t="shared" si="6"/>
        <v>1.5585784121008051</v>
      </c>
      <c r="S33" s="72">
        <f t="shared" si="7"/>
        <v>10.875</v>
      </c>
      <c r="T33" s="108">
        <v>0.3659722222222222</v>
      </c>
    </row>
    <row r="34" spans="2:24" x14ac:dyDescent="0.2">
      <c r="B34" s="23">
        <v>401</v>
      </c>
      <c r="C34" s="23" t="s">
        <v>152</v>
      </c>
      <c r="D34" s="23">
        <v>7</v>
      </c>
      <c r="E34" s="81">
        <f t="shared" si="0"/>
        <v>2</v>
      </c>
      <c r="F34" s="81">
        <f t="shared" si="1"/>
        <v>1</v>
      </c>
      <c r="G34" s="81">
        <f t="shared" si="2"/>
        <v>2</v>
      </c>
      <c r="H34" s="23">
        <v>3</v>
      </c>
      <c r="I34" s="23">
        <f t="shared" si="3"/>
        <v>1</v>
      </c>
      <c r="J34" s="23" t="str">
        <f t="shared" si="4"/>
        <v>212.3</v>
      </c>
      <c r="K34" s="110">
        <v>22</v>
      </c>
      <c r="L34" s="110">
        <v>17</v>
      </c>
      <c r="M34" s="110">
        <f>21</f>
        <v>21</v>
      </c>
      <c r="N34" s="110">
        <v>20</v>
      </c>
      <c r="O34" s="110">
        <v>23</v>
      </c>
      <c r="P34" s="110">
        <v>22</v>
      </c>
      <c r="Q34" s="78">
        <f t="shared" si="5"/>
        <v>10.416666666666666</v>
      </c>
      <c r="R34" s="78">
        <f t="shared" si="6"/>
        <v>0.43620841094341339</v>
      </c>
      <c r="S34" s="72">
        <f t="shared" si="7"/>
        <v>10.416666666666666</v>
      </c>
      <c r="T34" s="108">
        <v>0.35138888888888892</v>
      </c>
    </row>
    <row r="35" spans="2:24" x14ac:dyDescent="0.2">
      <c r="B35" s="5">
        <v>402</v>
      </c>
      <c r="C35" s="5" t="s">
        <v>115</v>
      </c>
      <c r="D35" s="5">
        <v>9</v>
      </c>
      <c r="E35" s="18">
        <f t="shared" si="0"/>
        <v>2</v>
      </c>
      <c r="F35" s="18">
        <f t="shared" si="1"/>
        <v>2</v>
      </c>
      <c r="G35" s="18">
        <f t="shared" si="2"/>
        <v>2</v>
      </c>
      <c r="H35" s="5">
        <v>3</v>
      </c>
      <c r="I35" s="5">
        <f t="shared" si="3"/>
        <v>2</v>
      </c>
      <c r="J35" s="5" t="str">
        <f t="shared" si="4"/>
        <v>222.3</v>
      </c>
      <c r="K35" s="109">
        <v>21</v>
      </c>
      <c r="L35" s="109">
        <v>23</v>
      </c>
      <c r="M35" s="109">
        <v>20</v>
      </c>
      <c r="N35" s="109">
        <v>20</v>
      </c>
      <c r="O35" s="109">
        <v>12</v>
      </c>
      <c r="P35" s="109">
        <v>25</v>
      </c>
      <c r="Q35" s="78">
        <f t="shared" si="5"/>
        <v>10.083333333333334</v>
      </c>
      <c r="R35" s="77">
        <f t="shared" si="6"/>
        <v>0.90753022600413291</v>
      </c>
      <c r="S35" s="72">
        <f t="shared" si="7"/>
        <v>10.083333333333334</v>
      </c>
      <c r="T35" s="71"/>
    </row>
    <row r="36" spans="2:24" x14ac:dyDescent="0.2">
      <c r="B36" s="88">
        <v>403</v>
      </c>
      <c r="C36" s="88" t="s">
        <v>155</v>
      </c>
      <c r="D36" s="88">
        <v>6</v>
      </c>
      <c r="E36" s="89">
        <f t="shared" si="0"/>
        <v>1</v>
      </c>
      <c r="F36" s="89">
        <f t="shared" si="1"/>
        <v>3</v>
      </c>
      <c r="G36" s="89">
        <f t="shared" si="2"/>
        <v>1</v>
      </c>
      <c r="H36" s="88">
        <v>3</v>
      </c>
      <c r="I36" s="88">
        <f t="shared" si="3"/>
        <v>3</v>
      </c>
      <c r="J36" s="88" t="str">
        <f t="shared" si="4"/>
        <v>131.3</v>
      </c>
      <c r="K36" s="111">
        <f>26+26</f>
        <v>52</v>
      </c>
      <c r="L36" s="111">
        <f>21+25</f>
        <v>46</v>
      </c>
      <c r="M36" s="111">
        <f>19+26</f>
        <v>45</v>
      </c>
      <c r="N36" s="111">
        <f>18+22</f>
        <v>40</v>
      </c>
      <c r="O36" s="111">
        <f>10+20</f>
        <v>30</v>
      </c>
      <c r="P36" s="111">
        <f>20+20</f>
        <v>40</v>
      </c>
      <c r="Q36" s="87">
        <f t="shared" si="5"/>
        <v>21.083333333333332</v>
      </c>
      <c r="R36" s="86">
        <f t="shared" si="6"/>
        <v>1.5188628787499054</v>
      </c>
      <c r="S36" s="72">
        <f t="shared" si="7"/>
        <v>10.541666666666666</v>
      </c>
      <c r="T36" s="71"/>
    </row>
    <row r="37" spans="2:24" x14ac:dyDescent="0.2">
      <c r="B37" s="5">
        <v>404</v>
      </c>
      <c r="C37" s="5" t="s">
        <v>111</v>
      </c>
      <c r="D37" s="5">
        <v>3</v>
      </c>
      <c r="E37" s="18">
        <f t="shared" si="0"/>
        <v>1</v>
      </c>
      <c r="F37" s="18">
        <f t="shared" si="1"/>
        <v>2</v>
      </c>
      <c r="G37" s="18">
        <f t="shared" si="2"/>
        <v>2</v>
      </c>
      <c r="H37" s="5">
        <v>3</v>
      </c>
      <c r="I37" s="5">
        <f t="shared" si="3"/>
        <v>4</v>
      </c>
      <c r="J37" s="5" t="str">
        <f t="shared" si="4"/>
        <v>122.3</v>
      </c>
      <c r="K37" s="109">
        <v>24</v>
      </c>
      <c r="L37" s="109">
        <v>25</v>
      </c>
      <c r="M37" s="109">
        <v>22</v>
      </c>
      <c r="N37" s="109">
        <v>26</v>
      </c>
      <c r="O37" s="109">
        <v>21</v>
      </c>
      <c r="P37" s="109">
        <v>18</v>
      </c>
      <c r="Q37" s="78">
        <f t="shared" si="5"/>
        <v>11.333333333333334</v>
      </c>
      <c r="R37" s="77">
        <f t="shared" si="6"/>
        <v>0.60092521257733267</v>
      </c>
      <c r="S37" s="72">
        <f t="shared" si="7"/>
        <v>11.333333333333334</v>
      </c>
      <c r="T37" s="71"/>
    </row>
    <row r="38" spans="2:24" x14ac:dyDescent="0.2">
      <c r="B38" s="88">
        <v>405</v>
      </c>
      <c r="C38" s="88" t="s">
        <v>155</v>
      </c>
      <c r="D38" s="88">
        <v>6</v>
      </c>
      <c r="E38" s="89">
        <f t="shared" si="0"/>
        <v>1</v>
      </c>
      <c r="F38" s="89">
        <f t="shared" si="1"/>
        <v>3</v>
      </c>
      <c r="G38" s="89">
        <f t="shared" si="2"/>
        <v>1</v>
      </c>
      <c r="H38" s="88">
        <v>4</v>
      </c>
      <c r="I38" s="88">
        <f t="shared" si="3"/>
        <v>5</v>
      </c>
      <c r="J38" s="88" t="str">
        <f t="shared" si="4"/>
        <v>131.4</v>
      </c>
      <c r="K38" s="111">
        <f>23+27</f>
        <v>50</v>
      </c>
      <c r="L38" s="111">
        <f>29+24</f>
        <v>53</v>
      </c>
      <c r="M38" s="111">
        <f>21+25</f>
        <v>46</v>
      </c>
      <c r="N38" s="111">
        <f>21+22</f>
        <v>43</v>
      </c>
      <c r="O38" s="111">
        <f>18+23</f>
        <v>41</v>
      </c>
      <c r="P38" s="111">
        <f>24+25</f>
        <v>49</v>
      </c>
      <c r="Q38" s="87">
        <f t="shared" si="5"/>
        <v>23.5</v>
      </c>
      <c r="R38" s="86">
        <f t="shared" si="6"/>
        <v>0.92195444572928875</v>
      </c>
      <c r="S38" s="72">
        <f t="shared" si="7"/>
        <v>11.75</v>
      </c>
      <c r="T38" s="71"/>
    </row>
    <row r="39" spans="2:24" x14ac:dyDescent="0.2">
      <c r="B39" s="5">
        <v>406</v>
      </c>
      <c r="C39" s="5" t="s">
        <v>111</v>
      </c>
      <c r="D39" s="5">
        <v>3</v>
      </c>
      <c r="E39" s="18">
        <f t="shared" si="0"/>
        <v>1</v>
      </c>
      <c r="F39" s="18">
        <f t="shared" si="1"/>
        <v>2</v>
      </c>
      <c r="G39" s="18">
        <f t="shared" si="2"/>
        <v>2</v>
      </c>
      <c r="H39" s="5">
        <v>4</v>
      </c>
      <c r="I39" s="5">
        <f t="shared" si="3"/>
        <v>6</v>
      </c>
      <c r="J39" s="5" t="str">
        <f t="shared" si="4"/>
        <v>122.4</v>
      </c>
      <c r="K39" s="109">
        <v>22</v>
      </c>
      <c r="L39" s="109">
        <v>25</v>
      </c>
      <c r="M39" s="109">
        <v>26</v>
      </c>
      <c r="N39" s="109">
        <v>20</v>
      </c>
      <c r="O39" s="109">
        <v>23</v>
      </c>
      <c r="P39" s="109">
        <v>24</v>
      </c>
      <c r="Q39" s="78">
        <f t="shared" si="5"/>
        <v>11.666666666666666</v>
      </c>
      <c r="R39" s="77">
        <f t="shared" si="6"/>
        <v>0.44095855184409849</v>
      </c>
      <c r="S39" s="72">
        <f t="shared" si="7"/>
        <v>11.666666666666666</v>
      </c>
      <c r="T39" s="71"/>
    </row>
    <row r="40" spans="2:24" x14ac:dyDescent="0.2">
      <c r="B40" s="5">
        <v>407</v>
      </c>
      <c r="C40" s="5" t="s">
        <v>152</v>
      </c>
      <c r="D40" s="5">
        <v>7</v>
      </c>
      <c r="E40" s="18">
        <f t="shared" si="0"/>
        <v>2</v>
      </c>
      <c r="F40" s="18">
        <f t="shared" si="1"/>
        <v>1</v>
      </c>
      <c r="G40" s="18">
        <f t="shared" si="2"/>
        <v>2</v>
      </c>
      <c r="H40" s="5">
        <v>4</v>
      </c>
      <c r="I40" s="5">
        <f t="shared" si="3"/>
        <v>7</v>
      </c>
      <c r="J40" s="5" t="str">
        <f t="shared" si="4"/>
        <v>212.4</v>
      </c>
      <c r="K40" s="109">
        <v>23</v>
      </c>
      <c r="L40" s="109">
        <v>23</v>
      </c>
      <c r="M40" s="109">
        <v>22</v>
      </c>
      <c r="N40" s="109">
        <v>24</v>
      </c>
      <c r="O40" s="109">
        <v>29</v>
      </c>
      <c r="P40" s="109">
        <v>26</v>
      </c>
      <c r="Q40" s="78">
        <f t="shared" si="5"/>
        <v>12.25</v>
      </c>
      <c r="R40" s="77">
        <f t="shared" si="6"/>
        <v>0.52836224947157862</v>
      </c>
      <c r="S40" s="72">
        <f t="shared" si="7"/>
        <v>12.25</v>
      </c>
      <c r="T40" s="71"/>
      <c r="V40" s="83" t="s">
        <v>407</v>
      </c>
      <c r="W40" s="66"/>
      <c r="X40" s="82"/>
    </row>
    <row r="41" spans="2:24"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27</v>
      </c>
      <c r="L41" s="74">
        <v>22</v>
      </c>
      <c r="M41" s="74">
        <v>23</v>
      </c>
      <c r="N41" s="74">
        <v>26</v>
      </c>
      <c r="O41" s="74">
        <v>26</v>
      </c>
      <c r="P41" s="74">
        <v>11</v>
      </c>
      <c r="Q41" s="74">
        <f t="shared" si="5"/>
        <v>11.25</v>
      </c>
      <c r="R41" s="73">
        <f t="shared" si="6"/>
        <v>1.2162099599438687</v>
      </c>
      <c r="S41" s="72">
        <f t="shared" si="7"/>
        <v>11.25</v>
      </c>
      <c r="T41" s="108">
        <v>0.36458333333333331</v>
      </c>
      <c r="V41" s="83" t="s">
        <v>50</v>
      </c>
      <c r="W41" s="83" t="s">
        <v>414</v>
      </c>
      <c r="X41" s="82" t="s">
        <v>406</v>
      </c>
    </row>
    <row r="42" spans="2:24" x14ac:dyDescent="0.2">
      <c r="B42" s="23">
        <v>901</v>
      </c>
      <c r="C42" s="23" t="s">
        <v>404</v>
      </c>
      <c r="D42" s="23">
        <v>32</v>
      </c>
      <c r="E42" s="81">
        <v>9</v>
      </c>
      <c r="F42" s="81">
        <v>0</v>
      </c>
      <c r="G42" s="81">
        <v>1</v>
      </c>
      <c r="H42" s="23">
        <v>1</v>
      </c>
      <c r="I42" s="23">
        <f t="shared" si="3"/>
        <v>1</v>
      </c>
      <c r="J42" s="23" t="str">
        <f t="shared" si="4"/>
        <v>901.1</v>
      </c>
      <c r="K42" s="110">
        <v>0</v>
      </c>
      <c r="L42" s="110">
        <v>0</v>
      </c>
      <c r="M42" s="110">
        <v>0</v>
      </c>
      <c r="N42" s="110">
        <v>0</v>
      </c>
      <c r="O42" s="110">
        <v>0</v>
      </c>
      <c r="P42" s="110">
        <v>0</v>
      </c>
      <c r="Q42" s="78">
        <f t="shared" si="5"/>
        <v>0</v>
      </c>
      <c r="R42" s="78">
        <f t="shared" si="6"/>
        <v>0</v>
      </c>
      <c r="S42" s="72">
        <f t="shared" si="7"/>
        <v>0</v>
      </c>
      <c r="V42" s="67" t="s">
        <v>120</v>
      </c>
      <c r="W42" s="122">
        <v>0.53877432917482526</v>
      </c>
      <c r="X42" s="65">
        <v>20.916666666666668</v>
      </c>
    </row>
    <row r="43" spans="2:24" x14ac:dyDescent="0.2">
      <c r="B43" s="5">
        <v>902</v>
      </c>
      <c r="C43" s="80" t="s">
        <v>403</v>
      </c>
      <c r="D43" s="5">
        <v>22</v>
      </c>
      <c r="E43" s="18">
        <v>4</v>
      </c>
      <c r="F43" s="18">
        <v>2</v>
      </c>
      <c r="G43" s="18">
        <v>2</v>
      </c>
      <c r="H43" s="5">
        <v>1</v>
      </c>
      <c r="I43" s="5">
        <f t="shared" si="3"/>
        <v>2</v>
      </c>
      <c r="J43" s="5" t="str">
        <f t="shared" si="4"/>
        <v>422.1</v>
      </c>
      <c r="K43" s="109">
        <v>21</v>
      </c>
      <c r="L43" s="109">
        <v>20</v>
      </c>
      <c r="M43" s="109">
        <v>19</v>
      </c>
      <c r="N43" s="109">
        <v>17</v>
      </c>
      <c r="O43" s="109">
        <v>5</v>
      </c>
      <c r="P43" s="109">
        <v>19</v>
      </c>
      <c r="Q43" s="78">
        <f t="shared" si="5"/>
        <v>8.4166666666666661</v>
      </c>
      <c r="R43" s="77">
        <f t="shared" si="6"/>
        <v>1.2139238489753428</v>
      </c>
      <c r="S43" s="72">
        <f t="shared" si="7"/>
        <v>8.4166666666666661</v>
      </c>
      <c r="T43" s="108">
        <v>0.375</v>
      </c>
      <c r="V43" s="68"/>
      <c r="W43" s="121">
        <v>1.5585784121008051</v>
      </c>
      <c r="X43" s="69">
        <v>21.75</v>
      </c>
    </row>
    <row r="44" spans="2:24" x14ac:dyDescent="0.2">
      <c r="B44" s="5">
        <v>903</v>
      </c>
      <c r="C44" s="5" t="s">
        <v>401</v>
      </c>
      <c r="D44" s="5">
        <v>31</v>
      </c>
      <c r="E44" s="18">
        <v>8</v>
      </c>
      <c r="F44" s="18">
        <v>0</v>
      </c>
      <c r="G44" s="18">
        <v>1</v>
      </c>
      <c r="H44" s="5">
        <v>1</v>
      </c>
      <c r="I44" s="5">
        <f t="shared" si="3"/>
        <v>3</v>
      </c>
      <c r="J44" s="5" t="str">
        <f t="shared" si="4"/>
        <v>801.1</v>
      </c>
      <c r="K44" s="109">
        <v>0</v>
      </c>
      <c r="L44" s="109">
        <v>0</v>
      </c>
      <c r="M44" s="109">
        <v>0</v>
      </c>
      <c r="N44" s="109">
        <v>0</v>
      </c>
      <c r="O44" s="109">
        <v>0</v>
      </c>
      <c r="P44" s="109">
        <v>0</v>
      </c>
      <c r="Q44" s="78">
        <f t="shared" si="5"/>
        <v>0</v>
      </c>
      <c r="R44" s="77">
        <f t="shared" si="6"/>
        <v>0</v>
      </c>
      <c r="S44" s="72">
        <f t="shared" si="7"/>
        <v>0</v>
      </c>
      <c r="T44" s="71"/>
      <c r="V44" s="67" t="s">
        <v>482</v>
      </c>
      <c r="W44" s="66"/>
      <c r="X44" s="65">
        <v>21.333333333333336</v>
      </c>
    </row>
    <row r="45" spans="2:24" x14ac:dyDescent="0.2">
      <c r="B45" s="5">
        <v>904</v>
      </c>
      <c r="C45" s="80" t="s">
        <v>400</v>
      </c>
      <c r="D45" s="5">
        <v>21</v>
      </c>
      <c r="E45" s="18">
        <v>3</v>
      </c>
      <c r="F45" s="18">
        <v>2</v>
      </c>
      <c r="G45" s="18">
        <v>2</v>
      </c>
      <c r="H45" s="5">
        <v>1</v>
      </c>
      <c r="I45" s="5">
        <f t="shared" si="3"/>
        <v>4</v>
      </c>
      <c r="J45" s="5" t="str">
        <f t="shared" si="4"/>
        <v>322.1</v>
      </c>
      <c r="K45" s="109">
        <v>21</v>
      </c>
      <c r="L45" s="109">
        <v>26</v>
      </c>
      <c r="M45" s="109">
        <v>14</v>
      </c>
      <c r="N45" s="109">
        <v>7</v>
      </c>
      <c r="O45" s="109">
        <v>23</v>
      </c>
      <c r="P45" s="109">
        <v>16</v>
      </c>
      <c r="Q45" s="78">
        <f t="shared" si="5"/>
        <v>8.9166666666666661</v>
      </c>
      <c r="R45" s="77">
        <f t="shared" si="6"/>
        <v>1.4107720502539656</v>
      </c>
      <c r="S45" s="72">
        <f t="shared" si="7"/>
        <v>8.9166666666666661</v>
      </c>
      <c r="T45" s="71"/>
      <c r="V45" s="67" t="s">
        <v>155</v>
      </c>
      <c r="W45" s="122">
        <v>0.92195444572928875</v>
      </c>
      <c r="X45" s="65">
        <v>23.5</v>
      </c>
    </row>
    <row r="46" spans="2:24" x14ac:dyDescent="0.2">
      <c r="B46" s="5">
        <v>905</v>
      </c>
      <c r="C46" s="5" t="s">
        <v>404</v>
      </c>
      <c r="D46" s="5">
        <v>32</v>
      </c>
      <c r="E46" s="18">
        <v>9</v>
      </c>
      <c r="F46" s="18">
        <v>0</v>
      </c>
      <c r="G46" s="18">
        <v>1</v>
      </c>
      <c r="H46" s="5">
        <v>2</v>
      </c>
      <c r="I46" s="5">
        <f t="shared" si="3"/>
        <v>5</v>
      </c>
      <c r="J46" s="5" t="str">
        <f t="shared" si="4"/>
        <v>901.2</v>
      </c>
      <c r="K46" s="109">
        <v>0</v>
      </c>
      <c r="L46" s="109">
        <v>0</v>
      </c>
      <c r="M46" s="109">
        <v>0</v>
      </c>
      <c r="N46" s="109">
        <v>0</v>
      </c>
      <c r="O46" s="109">
        <v>0</v>
      </c>
      <c r="P46" s="109">
        <v>0</v>
      </c>
      <c r="Q46" s="78">
        <f t="shared" si="5"/>
        <v>0</v>
      </c>
      <c r="R46" s="77">
        <f t="shared" si="6"/>
        <v>0</v>
      </c>
      <c r="S46" s="72">
        <f t="shared" si="7"/>
        <v>0</v>
      </c>
      <c r="T46" s="71"/>
      <c r="V46" s="68"/>
      <c r="W46" s="121">
        <v>1.5188628787499054</v>
      </c>
      <c r="X46" s="69">
        <v>21.083333333333332</v>
      </c>
    </row>
    <row r="47" spans="2:24" x14ac:dyDescent="0.2">
      <c r="B47" s="5">
        <v>906</v>
      </c>
      <c r="C47" s="80" t="s">
        <v>403</v>
      </c>
      <c r="D47" s="5">
        <v>22</v>
      </c>
      <c r="E47" s="18">
        <v>4</v>
      </c>
      <c r="F47" s="18">
        <v>2</v>
      </c>
      <c r="G47" s="18">
        <v>2</v>
      </c>
      <c r="H47" s="5">
        <v>2</v>
      </c>
      <c r="I47" s="5">
        <f t="shared" si="3"/>
        <v>6</v>
      </c>
      <c r="J47" s="5" t="str">
        <f t="shared" si="4"/>
        <v>422.2</v>
      </c>
      <c r="K47" s="109">
        <v>22</v>
      </c>
      <c r="L47" s="109">
        <v>22</v>
      </c>
      <c r="M47" s="109">
        <v>23</v>
      </c>
      <c r="N47" s="109">
        <v>20</v>
      </c>
      <c r="O47" s="109">
        <v>13</v>
      </c>
      <c r="P47" s="109">
        <v>19</v>
      </c>
      <c r="Q47" s="78">
        <f t="shared" si="5"/>
        <v>9.9166666666666661</v>
      </c>
      <c r="R47" s="77">
        <f t="shared" si="6"/>
        <v>0.74628710590793801</v>
      </c>
      <c r="S47" s="72">
        <f t="shared" si="7"/>
        <v>9.9166666666666661</v>
      </c>
      <c r="T47" s="71"/>
      <c r="V47" s="67" t="s">
        <v>481</v>
      </c>
      <c r="W47" s="66"/>
      <c r="X47" s="65">
        <v>22.291666666666664</v>
      </c>
    </row>
    <row r="48" spans="2:24" x14ac:dyDescent="0.2">
      <c r="B48" s="5">
        <v>907</v>
      </c>
      <c r="C48" s="5" t="s">
        <v>401</v>
      </c>
      <c r="D48" s="5">
        <v>31</v>
      </c>
      <c r="E48" s="18">
        <v>8</v>
      </c>
      <c r="F48" s="18">
        <v>0</v>
      </c>
      <c r="G48" s="18">
        <v>1</v>
      </c>
      <c r="H48" s="5">
        <v>2</v>
      </c>
      <c r="I48" s="5">
        <f t="shared" si="3"/>
        <v>7</v>
      </c>
      <c r="J48" s="5" t="str">
        <f t="shared" si="4"/>
        <v>801.2</v>
      </c>
      <c r="K48" s="109">
        <v>0</v>
      </c>
      <c r="L48" s="109">
        <v>0</v>
      </c>
      <c r="M48" s="109">
        <v>0</v>
      </c>
      <c r="N48" s="109">
        <v>0</v>
      </c>
      <c r="O48" s="109">
        <v>0</v>
      </c>
      <c r="P48" s="109">
        <v>0</v>
      </c>
      <c r="Q48" s="78">
        <f t="shared" si="5"/>
        <v>0</v>
      </c>
      <c r="R48" s="77">
        <f t="shared" si="6"/>
        <v>0</v>
      </c>
      <c r="S48" s="72">
        <f t="shared" si="7"/>
        <v>0</v>
      </c>
      <c r="T48" s="71"/>
      <c r="V48" s="67" t="s">
        <v>124</v>
      </c>
      <c r="W48" s="122">
        <v>1.0381607668264965</v>
      </c>
      <c r="X48" s="65">
        <v>10.833333333333334</v>
      </c>
    </row>
    <row r="49" spans="2:24" ht="13.5" thickBot="1" x14ac:dyDescent="0.25">
      <c r="B49" s="13">
        <v>908</v>
      </c>
      <c r="C49" s="76" t="s">
        <v>400</v>
      </c>
      <c r="D49" s="13">
        <v>21</v>
      </c>
      <c r="E49" s="75">
        <v>3</v>
      </c>
      <c r="F49" s="75">
        <v>2</v>
      </c>
      <c r="G49" s="75">
        <v>2</v>
      </c>
      <c r="H49" s="13">
        <v>2</v>
      </c>
      <c r="I49" s="13">
        <f t="shared" si="3"/>
        <v>8</v>
      </c>
      <c r="J49" s="13" t="str">
        <f t="shared" si="4"/>
        <v>322.2</v>
      </c>
      <c r="K49" s="74">
        <v>29</v>
      </c>
      <c r="L49" s="74">
        <v>24</v>
      </c>
      <c r="M49" s="74">
        <v>23</v>
      </c>
      <c r="N49" s="74">
        <v>23</v>
      </c>
      <c r="O49" s="74">
        <v>24</v>
      </c>
      <c r="P49" s="74">
        <v>22</v>
      </c>
      <c r="Q49" s="74">
        <f t="shared" si="5"/>
        <v>12.083333333333334</v>
      </c>
      <c r="R49" s="73">
        <f t="shared" si="6"/>
        <v>0.50689687752485169</v>
      </c>
      <c r="S49" s="72">
        <f t="shared" si="7"/>
        <v>12.083333333333334</v>
      </c>
      <c r="T49" s="108">
        <v>0.38124999999999998</v>
      </c>
      <c r="V49" s="68"/>
      <c r="W49" s="121">
        <v>1.5329709716755893</v>
      </c>
      <c r="X49" s="69">
        <v>8</v>
      </c>
    </row>
    <row r="50" spans="2:24" x14ac:dyDescent="0.2">
      <c r="V50" s="67" t="s">
        <v>480</v>
      </c>
      <c r="W50" s="66"/>
      <c r="X50" s="65">
        <v>9.4166666666666679</v>
      </c>
    </row>
    <row r="51" spans="2:24" x14ac:dyDescent="0.2">
      <c r="V51" s="67" t="s">
        <v>135</v>
      </c>
      <c r="W51" s="122">
        <v>0.35746017649212208</v>
      </c>
      <c r="X51" s="65">
        <v>11.666666666666666</v>
      </c>
    </row>
    <row r="52" spans="2:24" x14ac:dyDescent="0.2">
      <c r="V52" s="68"/>
      <c r="W52" s="121">
        <v>0.86039396660935452</v>
      </c>
      <c r="X52" s="69">
        <v>11.083333333333334</v>
      </c>
    </row>
    <row r="53" spans="2:24" x14ac:dyDescent="0.2">
      <c r="V53" s="67" t="s">
        <v>479</v>
      </c>
      <c r="W53" s="66"/>
      <c r="X53" s="65">
        <v>11.375</v>
      </c>
    </row>
    <row r="54" spans="2:24" x14ac:dyDescent="0.2">
      <c r="V54" s="67" t="s">
        <v>111</v>
      </c>
      <c r="W54" s="122">
        <v>0.39616214413349204</v>
      </c>
      <c r="X54" s="65">
        <v>11.083333333333334</v>
      </c>
    </row>
    <row r="55" spans="2:24" x14ac:dyDescent="0.2">
      <c r="V55" s="68"/>
      <c r="W55" s="121">
        <v>0.44095855184409988</v>
      </c>
      <c r="X55" s="69">
        <v>11.666666666666666</v>
      </c>
    </row>
    <row r="56" spans="2:24" x14ac:dyDescent="0.2">
      <c r="V56" s="68"/>
      <c r="W56" s="121">
        <v>0.60092521257733267</v>
      </c>
      <c r="X56" s="69">
        <v>11.333333333333334</v>
      </c>
    </row>
    <row r="57" spans="2:24" x14ac:dyDescent="0.2">
      <c r="V57" s="68"/>
      <c r="W57" s="121">
        <v>0.8660254037844386</v>
      </c>
      <c r="X57" s="69">
        <v>10</v>
      </c>
    </row>
    <row r="58" spans="2:24" x14ac:dyDescent="0.2">
      <c r="V58" s="67" t="s">
        <v>478</v>
      </c>
      <c r="W58" s="66"/>
      <c r="X58" s="65">
        <v>11.020833333333334</v>
      </c>
    </row>
    <row r="59" spans="2:24" x14ac:dyDescent="0.2">
      <c r="V59" s="67" t="s">
        <v>122</v>
      </c>
      <c r="W59" s="122">
        <v>0.35939764421413045</v>
      </c>
      <c r="X59" s="65">
        <v>11.25</v>
      </c>
    </row>
    <row r="60" spans="2:24" x14ac:dyDescent="0.2">
      <c r="V60" s="68"/>
      <c r="W60" s="121">
        <v>0.65828058860438343</v>
      </c>
      <c r="X60" s="69">
        <v>10.5</v>
      </c>
    </row>
    <row r="61" spans="2:24" x14ac:dyDescent="0.2">
      <c r="V61" s="68"/>
      <c r="W61" s="121">
        <v>0.74628710590793801</v>
      </c>
      <c r="X61" s="69">
        <v>11.583333333333334</v>
      </c>
    </row>
    <row r="62" spans="2:24" x14ac:dyDescent="0.2">
      <c r="V62" s="68"/>
      <c r="W62" s="121">
        <v>1.7720828924680068</v>
      </c>
      <c r="X62" s="69">
        <v>6.583333333333333</v>
      </c>
    </row>
    <row r="63" spans="2:24" x14ac:dyDescent="0.2">
      <c r="V63" s="67" t="s">
        <v>477</v>
      </c>
      <c r="W63" s="66"/>
      <c r="X63" s="65">
        <v>9.9791666666666679</v>
      </c>
    </row>
    <row r="64" spans="2:24" x14ac:dyDescent="0.2">
      <c r="V64" s="67" t="s">
        <v>129</v>
      </c>
      <c r="W64" s="122">
        <v>0.35158371849549036</v>
      </c>
      <c r="X64" s="65">
        <v>23.583333333333332</v>
      </c>
    </row>
    <row r="65" spans="22:24" x14ac:dyDescent="0.2">
      <c r="V65" s="68"/>
      <c r="W65" s="121">
        <v>0.57735026918962584</v>
      </c>
      <c r="X65" s="69">
        <v>24.5</v>
      </c>
    </row>
    <row r="66" spans="22:24" x14ac:dyDescent="0.2">
      <c r="V66" s="67" t="s">
        <v>476</v>
      </c>
      <c r="W66" s="66"/>
      <c r="X66" s="65">
        <v>24.041666666666664</v>
      </c>
    </row>
    <row r="67" spans="22:24" x14ac:dyDescent="0.2">
      <c r="V67" s="67" t="s">
        <v>117</v>
      </c>
      <c r="W67" s="122">
        <v>1.4166666666666685</v>
      </c>
      <c r="X67" s="65">
        <v>19.416666666666668</v>
      </c>
    </row>
    <row r="68" spans="22:24" x14ac:dyDescent="0.2">
      <c r="V68" s="68"/>
      <c r="W68" s="121">
        <v>1.4419315748906627</v>
      </c>
      <c r="X68" s="69">
        <v>20.25</v>
      </c>
    </row>
    <row r="69" spans="22:24" x14ac:dyDescent="0.2">
      <c r="V69" s="67" t="s">
        <v>475</v>
      </c>
      <c r="W69" s="66"/>
      <c r="X69" s="65">
        <v>19.833333333333336</v>
      </c>
    </row>
    <row r="70" spans="22:24" x14ac:dyDescent="0.2">
      <c r="V70" s="67" t="s">
        <v>152</v>
      </c>
      <c r="W70" s="122">
        <v>0.43620841094341484</v>
      </c>
      <c r="X70" s="65">
        <v>10.416666666666666</v>
      </c>
    </row>
    <row r="71" spans="22:24" x14ac:dyDescent="0.2">
      <c r="V71" s="68"/>
      <c r="W71" s="121">
        <v>0.52836224947157862</v>
      </c>
      <c r="X71" s="69">
        <v>12.25</v>
      </c>
    </row>
    <row r="72" spans="22:24" x14ac:dyDescent="0.2">
      <c r="V72" s="67" t="s">
        <v>474</v>
      </c>
      <c r="W72" s="66"/>
      <c r="X72" s="65">
        <v>11.333333333333332</v>
      </c>
    </row>
    <row r="73" spans="22:24" x14ac:dyDescent="0.2">
      <c r="V73" s="67" t="s">
        <v>132</v>
      </c>
      <c r="W73" s="122">
        <v>0.58689389538863479</v>
      </c>
      <c r="X73" s="65">
        <v>11.833333333333334</v>
      </c>
    </row>
    <row r="74" spans="22:24" x14ac:dyDescent="0.2">
      <c r="V74" s="68"/>
      <c r="W74" s="121">
        <v>0.66666666666666763</v>
      </c>
      <c r="X74" s="69">
        <v>11.333333333333334</v>
      </c>
    </row>
    <row r="75" spans="22:24" x14ac:dyDescent="0.2">
      <c r="V75" s="67" t="s">
        <v>473</v>
      </c>
      <c r="W75" s="66"/>
      <c r="X75" s="65">
        <v>11.583333333333334</v>
      </c>
    </row>
    <row r="76" spans="22:24" x14ac:dyDescent="0.2">
      <c r="V76" s="67" t="s">
        <v>115</v>
      </c>
      <c r="W76" s="122">
        <v>0.58807595881257835</v>
      </c>
      <c r="X76" s="65">
        <v>11.75</v>
      </c>
    </row>
    <row r="77" spans="22:24" x14ac:dyDescent="0.2">
      <c r="V77" s="68"/>
      <c r="W77" s="121">
        <v>0.76829537144107474</v>
      </c>
      <c r="X77" s="69">
        <v>11.416666666666666</v>
      </c>
    </row>
    <row r="78" spans="22:24" x14ac:dyDescent="0.2">
      <c r="V78" s="68"/>
      <c r="W78" s="121">
        <v>0.90753022600413291</v>
      </c>
      <c r="X78" s="69">
        <v>10.083333333333334</v>
      </c>
    </row>
    <row r="79" spans="22:24" x14ac:dyDescent="0.2">
      <c r="V79" s="68"/>
      <c r="W79" s="121">
        <v>1.4869805348796981</v>
      </c>
      <c r="X79" s="69">
        <v>11.333333333333334</v>
      </c>
    </row>
    <row r="80" spans="22:24" x14ac:dyDescent="0.2">
      <c r="V80" s="67" t="s">
        <v>472</v>
      </c>
      <c r="W80" s="66"/>
      <c r="X80" s="65">
        <v>11.145833333333334</v>
      </c>
    </row>
    <row r="81" spans="22:24" x14ac:dyDescent="0.2">
      <c r="V81" s="67" t="s">
        <v>113</v>
      </c>
      <c r="W81" s="122">
        <v>0.69221865524317294</v>
      </c>
      <c r="X81" s="65">
        <v>10.25</v>
      </c>
    </row>
    <row r="82" spans="22:24" x14ac:dyDescent="0.2">
      <c r="V82" s="68"/>
      <c r="W82" s="121">
        <v>0.83416625041614667</v>
      </c>
      <c r="X82" s="69">
        <v>10.75</v>
      </c>
    </row>
    <row r="83" spans="22:24" x14ac:dyDescent="0.2">
      <c r="V83" s="68"/>
      <c r="W83" s="121">
        <v>0.90753022600413291</v>
      </c>
      <c r="X83" s="69">
        <v>10.083333333333334</v>
      </c>
    </row>
    <row r="84" spans="22:24" x14ac:dyDescent="0.2">
      <c r="V84" s="68"/>
      <c r="W84" s="121">
        <v>1.2162099599438687</v>
      </c>
      <c r="X84" s="69">
        <v>11.25</v>
      </c>
    </row>
    <row r="85" spans="22:24" x14ac:dyDescent="0.2">
      <c r="V85" s="67" t="s">
        <v>471</v>
      </c>
      <c r="W85" s="66"/>
      <c r="X85" s="65">
        <v>10.583333333333334</v>
      </c>
    </row>
    <row r="86" spans="22:24" x14ac:dyDescent="0.2">
      <c r="V86" s="67"/>
      <c r="W86" s="122" t="s">
        <v>470</v>
      </c>
      <c r="X86" s="65">
        <v>23.583333333333332</v>
      </c>
    </row>
    <row r="87" spans="22:24" x14ac:dyDescent="0.2">
      <c r="V87" s="68"/>
      <c r="W87" s="121" t="s">
        <v>469</v>
      </c>
      <c r="X87" s="69">
        <v>11.666666666666666</v>
      </c>
    </row>
    <row r="88" spans="22:24" x14ac:dyDescent="0.2">
      <c r="V88" s="68"/>
      <c r="W88" s="121" t="s">
        <v>469</v>
      </c>
      <c r="X88" s="69">
        <v>11.25</v>
      </c>
    </row>
    <row r="89" spans="22:24" x14ac:dyDescent="0.2">
      <c r="V89" s="68"/>
      <c r="W89" s="121" t="s">
        <v>468</v>
      </c>
      <c r="X89" s="69">
        <v>11.083333333333334</v>
      </c>
    </row>
    <row r="90" spans="22:24" x14ac:dyDescent="0.2">
      <c r="V90" s="68"/>
      <c r="W90" s="121" t="s">
        <v>467</v>
      </c>
      <c r="X90" s="69">
        <v>10.416666666666666</v>
      </c>
    </row>
    <row r="91" spans="22:24" x14ac:dyDescent="0.2">
      <c r="V91" s="68"/>
      <c r="W91" s="121" t="s">
        <v>467</v>
      </c>
      <c r="X91" s="69">
        <v>11.666666666666666</v>
      </c>
    </row>
    <row r="92" spans="22:24" x14ac:dyDescent="0.2">
      <c r="V92" s="68"/>
      <c r="W92" s="121" t="s">
        <v>466</v>
      </c>
      <c r="X92" s="69">
        <v>12.25</v>
      </c>
    </row>
    <row r="93" spans="22:24" x14ac:dyDescent="0.2">
      <c r="V93" s="68"/>
      <c r="W93" s="121" t="s">
        <v>465</v>
      </c>
      <c r="X93" s="69">
        <v>20.916666666666668</v>
      </c>
    </row>
    <row r="94" spans="22:24" x14ac:dyDescent="0.2">
      <c r="V94" s="68"/>
      <c r="W94" s="121" t="s">
        <v>464</v>
      </c>
      <c r="X94" s="69">
        <v>24.5</v>
      </c>
    </row>
    <row r="95" spans="22:24" x14ac:dyDescent="0.2">
      <c r="V95" s="68"/>
      <c r="W95" s="121" t="s">
        <v>463</v>
      </c>
      <c r="X95" s="69">
        <v>11.833333333333334</v>
      </c>
    </row>
    <row r="96" spans="22:24" x14ac:dyDescent="0.2">
      <c r="V96" s="68"/>
      <c r="W96" s="121" t="s">
        <v>463</v>
      </c>
      <c r="X96" s="69">
        <v>11.75</v>
      </c>
    </row>
    <row r="97" spans="22:24" x14ac:dyDescent="0.2">
      <c r="V97" s="68"/>
      <c r="W97" s="121" t="s">
        <v>462</v>
      </c>
      <c r="X97" s="69">
        <v>11.333333333333334</v>
      </c>
    </row>
    <row r="98" spans="22:24" x14ac:dyDescent="0.2">
      <c r="V98" s="68"/>
      <c r="W98" s="121" t="s">
        <v>461</v>
      </c>
      <c r="X98" s="69">
        <v>10.5</v>
      </c>
    </row>
    <row r="99" spans="22:24" x14ac:dyDescent="0.2">
      <c r="V99" s="68"/>
      <c r="W99" s="121" t="s">
        <v>460</v>
      </c>
      <c r="X99" s="69">
        <v>11.333333333333334</v>
      </c>
    </row>
    <row r="100" spans="22:24" x14ac:dyDescent="0.2">
      <c r="V100" s="68"/>
      <c r="W100" s="121" t="s">
        <v>459</v>
      </c>
      <c r="X100" s="69">
        <v>10.25</v>
      </c>
    </row>
    <row r="101" spans="22:24" x14ac:dyDescent="0.2">
      <c r="V101" s="68"/>
      <c r="W101" s="121" t="s">
        <v>458</v>
      </c>
      <c r="X101" s="69">
        <v>11.583333333333334</v>
      </c>
    </row>
    <row r="102" spans="22:24" x14ac:dyDescent="0.2">
      <c r="V102" s="68"/>
      <c r="W102" s="121" t="s">
        <v>457</v>
      </c>
      <c r="X102" s="69">
        <v>11.416666666666666</v>
      </c>
    </row>
    <row r="103" spans="22:24" x14ac:dyDescent="0.2">
      <c r="V103" s="68"/>
      <c r="W103" s="121" t="s">
        <v>456</v>
      </c>
      <c r="X103" s="69">
        <v>10.75</v>
      </c>
    </row>
    <row r="104" spans="22:24" x14ac:dyDescent="0.2">
      <c r="V104" s="68"/>
      <c r="W104" s="121" t="s">
        <v>455</v>
      </c>
      <c r="X104" s="69">
        <v>11.083333333333334</v>
      </c>
    </row>
    <row r="105" spans="22:24" x14ac:dyDescent="0.2">
      <c r="V105" s="68"/>
      <c r="W105" s="121" t="s">
        <v>454</v>
      </c>
      <c r="X105" s="69">
        <v>10</v>
      </c>
    </row>
    <row r="106" spans="22:24" x14ac:dyDescent="0.2">
      <c r="V106" s="68"/>
      <c r="W106" s="121" t="s">
        <v>453</v>
      </c>
      <c r="X106" s="69">
        <v>10.083333333333334</v>
      </c>
    </row>
    <row r="107" spans="22:24" x14ac:dyDescent="0.2">
      <c r="V107" s="68"/>
      <c r="W107" s="121" t="s">
        <v>452</v>
      </c>
      <c r="X107" s="69">
        <v>23.5</v>
      </c>
    </row>
    <row r="108" spans="22:24" x14ac:dyDescent="0.2">
      <c r="V108" s="68"/>
      <c r="W108" s="121" t="s">
        <v>451</v>
      </c>
      <c r="X108" s="69">
        <v>10.833333333333334</v>
      </c>
    </row>
    <row r="109" spans="22:24" x14ac:dyDescent="0.2">
      <c r="V109" s="68"/>
      <c r="W109" s="121" t="s">
        <v>450</v>
      </c>
      <c r="X109" s="69">
        <v>11.25</v>
      </c>
    </row>
    <row r="110" spans="22:24" x14ac:dyDescent="0.2">
      <c r="V110" s="68"/>
      <c r="W110" s="121" t="s">
        <v>449</v>
      </c>
      <c r="X110" s="69">
        <v>19.416666666666668</v>
      </c>
    </row>
    <row r="111" spans="22:24" x14ac:dyDescent="0.2">
      <c r="V111" s="68"/>
      <c r="W111" s="121" t="s">
        <v>448</v>
      </c>
      <c r="X111" s="69">
        <v>20.25</v>
      </c>
    </row>
    <row r="112" spans="22:24" x14ac:dyDescent="0.2">
      <c r="V112" s="68"/>
      <c r="W112" s="121" t="s">
        <v>447</v>
      </c>
      <c r="X112" s="69">
        <v>11.333333333333334</v>
      </c>
    </row>
    <row r="113" spans="22:24" x14ac:dyDescent="0.2">
      <c r="V113" s="68"/>
      <c r="W113" s="121" t="s">
        <v>446</v>
      </c>
      <c r="X113" s="69">
        <v>21.083333333333332</v>
      </c>
    </row>
    <row r="114" spans="22:24" x14ac:dyDescent="0.2">
      <c r="V114" s="68"/>
      <c r="W114" s="121" t="s">
        <v>445</v>
      </c>
      <c r="X114" s="69">
        <v>8</v>
      </c>
    </row>
    <row r="115" spans="22:24" x14ac:dyDescent="0.2">
      <c r="V115" s="68"/>
      <c r="W115" s="121" t="s">
        <v>444</v>
      </c>
      <c r="X115" s="69">
        <v>21.75</v>
      </c>
    </row>
    <row r="116" spans="22:24" x14ac:dyDescent="0.2">
      <c r="V116" s="120"/>
      <c r="W116" s="119" t="s">
        <v>443</v>
      </c>
      <c r="X116" s="118">
        <v>6.583333333333333</v>
      </c>
    </row>
  </sheetData>
  <pageMargins left="0.75" right="0.75" top="1" bottom="1" header="0.5" footer="0.5"/>
  <pageSetup orientation="portrait" r:id="rId3"/>
  <headerFooter alignWithMargins="0"/>
  <drawing r:id="rId4"/>
  <legacyDrawing r:id="rId5"/>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DF73-1777-4F84-9005-47332640804A}">
  <dimension ref="A1:Y59"/>
  <sheetViews>
    <sheetView workbookViewId="0">
      <selection activeCell="K10" sqref="K10:P49"/>
    </sheetView>
  </sheetViews>
  <sheetFormatPr defaultRowHeight="12.75" x14ac:dyDescent="0.2"/>
  <cols>
    <col min="1" max="19" width="9.140625" style="1"/>
    <col min="20" max="20" width="45.7109375" style="1" customWidth="1"/>
    <col min="21" max="21" width="9.140625" style="1"/>
    <col min="22" max="22" width="23.5703125" style="1" customWidth="1"/>
    <col min="23" max="24" width="7.140625" style="1" customWidth="1"/>
    <col min="25" max="25" width="5.5703125" style="1" customWidth="1"/>
    <col min="26" max="26" width="4.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119</v>
      </c>
      <c r="E3" s="1" t="s">
        <v>425</v>
      </c>
      <c r="F3" s="105">
        <v>0.31944444444444448</v>
      </c>
    </row>
    <row r="4" spans="1:23" ht="13.5" thickBot="1" x14ac:dyDescent="0.25">
      <c r="E4" s="1" t="s">
        <v>424</v>
      </c>
      <c r="F4" s="105">
        <v>0.36805555555555558</v>
      </c>
      <c r="N4" s="58">
        <f>AVERAGE(Q10:Q11,Q13,Q15:Q17,Q19:Q20,Q22:Q29,Q31:Q32,Q34:Q35,Q37,Q39:Q41)</f>
        <v>11.270833333333334</v>
      </c>
      <c r="O4" s="58">
        <f>AVERAGE(Q12,Q14,Q18,Q21,Q30,Q36,Q38,Q33)</f>
        <v>22.385416666666668</v>
      </c>
    </row>
    <row r="6" spans="1:23" x14ac:dyDescent="0.2">
      <c r="B6" s="1" t="s">
        <v>80</v>
      </c>
      <c r="D6" s="104" t="s">
        <v>495</v>
      </c>
      <c r="E6" s="104"/>
      <c r="F6" s="104"/>
      <c r="G6" s="104"/>
      <c r="H6" s="104"/>
      <c r="I6" s="104"/>
      <c r="J6" s="104"/>
      <c r="K6" s="104"/>
      <c r="L6" s="104"/>
      <c r="M6" s="104"/>
      <c r="N6" s="104"/>
      <c r="O6" s="104"/>
    </row>
    <row r="7" spans="1:23" x14ac:dyDescent="0.2">
      <c r="D7" s="104" t="s">
        <v>494</v>
      </c>
      <c r="E7" s="104"/>
      <c r="F7" s="104"/>
      <c r="G7" s="104"/>
      <c r="H7" s="104"/>
      <c r="I7" s="104"/>
      <c r="J7" s="104"/>
      <c r="K7" s="104"/>
      <c r="L7" s="104"/>
      <c r="M7" s="104"/>
      <c r="N7" s="104"/>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22</v>
      </c>
      <c r="L10" s="110">
        <v>16</v>
      </c>
      <c r="M10" s="110">
        <v>21</v>
      </c>
      <c r="N10" s="110">
        <v>25</v>
      </c>
      <c r="O10" s="110">
        <v>25</v>
      </c>
      <c r="P10" s="110">
        <v>27</v>
      </c>
      <c r="Q10" s="78">
        <f t="shared" ref="Q10:Q49" si="5">AVERAGE(K10:P10)/2</f>
        <v>11.333333333333334</v>
      </c>
      <c r="R10" s="78">
        <f t="shared" ref="R10:R49" si="6">STDEV(K10:P10)/2/SQRT(COUNT(K10:P10))</f>
        <v>0.80277297191948727</v>
      </c>
      <c r="S10" s="72">
        <f t="shared" ref="S10:S49" si="7">IF(F10=3,Q10/2,Q10)</f>
        <v>11.333333333333334</v>
      </c>
      <c r="T10" s="115">
        <v>0.34861111111111115</v>
      </c>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109">
        <v>23</v>
      </c>
      <c r="L11" s="109">
        <v>18</v>
      </c>
      <c r="M11" s="109">
        <v>18</v>
      </c>
      <c r="N11" s="109">
        <v>20</v>
      </c>
      <c r="O11" s="109">
        <v>22</v>
      </c>
      <c r="P11" s="109">
        <v>24</v>
      </c>
      <c r="Q11" s="78">
        <f t="shared" si="5"/>
        <v>10.416666666666666</v>
      </c>
      <c r="R11" s="77">
        <f t="shared" si="6"/>
        <v>0.52307849421584174</v>
      </c>
      <c r="S11" s="72">
        <f t="shared" si="7"/>
        <v>10.416666666666666</v>
      </c>
      <c r="T11" s="71"/>
      <c r="V11" s="83" t="s">
        <v>409</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f>21+25</f>
        <v>46</v>
      </c>
      <c r="L12" s="111">
        <f>25+24</f>
        <v>49</v>
      </c>
      <c r="M12" s="111">
        <f>20+23</f>
        <v>43</v>
      </c>
      <c r="N12" s="111">
        <f>19+23</f>
        <v>42</v>
      </c>
      <c r="O12" s="111">
        <f>17+23</f>
        <v>40</v>
      </c>
      <c r="P12" s="111">
        <f>23+25</f>
        <v>48</v>
      </c>
      <c r="Q12" s="87">
        <f t="shared" si="5"/>
        <v>22.333333333333332</v>
      </c>
      <c r="R12" s="86">
        <f t="shared" si="6"/>
        <v>0.72648315725677903</v>
      </c>
      <c r="S12" s="72">
        <f t="shared" si="7"/>
        <v>11.166666666666666</v>
      </c>
      <c r="T12" s="71"/>
      <c r="V12" s="67">
        <v>1</v>
      </c>
      <c r="W12" s="65">
        <v>10.614583333333334</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24</v>
      </c>
      <c r="L13" s="109">
        <v>27</v>
      </c>
      <c r="M13" s="109">
        <v>20</v>
      </c>
      <c r="N13" s="109">
        <v>22</v>
      </c>
      <c r="O13" s="109">
        <v>20</v>
      </c>
      <c r="P13" s="109">
        <v>24</v>
      </c>
      <c r="Q13" s="78">
        <f t="shared" si="5"/>
        <v>11.416666666666666</v>
      </c>
      <c r="R13" s="77">
        <f t="shared" si="6"/>
        <v>0.55402567128648994</v>
      </c>
      <c r="S13" s="72">
        <f t="shared" si="7"/>
        <v>11.416666666666666</v>
      </c>
      <c r="T13" s="71"/>
      <c r="V13" s="70">
        <v>2</v>
      </c>
      <c r="W13" s="69">
        <v>10.958333333333332</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f>25+25</f>
        <v>50</v>
      </c>
      <c r="L14" s="111">
        <f>29+25</f>
        <v>54</v>
      </c>
      <c r="M14" s="111">
        <f>18+21</f>
        <v>39</v>
      </c>
      <c r="N14" s="111">
        <f>22+23</f>
        <v>45</v>
      </c>
      <c r="O14" s="111">
        <f>18+26</f>
        <v>44</v>
      </c>
      <c r="P14" s="111">
        <f>27+27</f>
        <v>54</v>
      </c>
      <c r="Q14" s="87">
        <f t="shared" si="5"/>
        <v>23.833333333333332</v>
      </c>
      <c r="R14" s="86">
        <f t="shared" si="6"/>
        <v>1.2292725943057203</v>
      </c>
      <c r="S14" s="72">
        <f t="shared" si="7"/>
        <v>11.916666666666666</v>
      </c>
      <c r="T14" s="71"/>
      <c r="V14" s="70">
        <v>3</v>
      </c>
      <c r="W14" s="69">
        <v>10.71875</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v>26</v>
      </c>
      <c r="L15" s="109">
        <v>28</v>
      </c>
      <c r="M15" s="109">
        <v>21</v>
      </c>
      <c r="N15" s="109">
        <v>25</v>
      </c>
      <c r="O15" s="109">
        <v>19</v>
      </c>
      <c r="P15" s="109">
        <v>21</v>
      </c>
      <c r="Q15" s="78">
        <f t="shared" si="5"/>
        <v>11.666666666666666</v>
      </c>
      <c r="R15" s="77">
        <f t="shared" si="6"/>
        <v>0.7149203529842415</v>
      </c>
      <c r="S15" s="72">
        <f t="shared" si="7"/>
        <v>11.666666666666666</v>
      </c>
      <c r="T15" s="71"/>
      <c r="V15" s="70">
        <v>4</v>
      </c>
      <c r="W15" s="69">
        <v>11.447916666666666</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09">
        <f>16</f>
        <v>16</v>
      </c>
      <c r="L16" s="109">
        <v>25</v>
      </c>
      <c r="M16" s="109">
        <v>20</v>
      </c>
      <c r="N16" s="109">
        <v>21</v>
      </c>
      <c r="O16" s="109">
        <v>25</v>
      </c>
      <c r="P16" s="109">
        <v>26</v>
      </c>
      <c r="Q16" s="78">
        <f t="shared" si="5"/>
        <v>11.083333333333334</v>
      </c>
      <c r="R16" s="77">
        <f t="shared" si="6"/>
        <v>0.78969051603214313</v>
      </c>
      <c r="S16" s="72">
        <f t="shared" si="7"/>
        <v>11.083333333333334</v>
      </c>
      <c r="T16" s="71"/>
      <c r="V16" s="70">
        <v>5</v>
      </c>
      <c r="W16" s="69">
        <v>11.770833333333332</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4">
        <v>22</v>
      </c>
      <c r="L17" s="74">
        <v>23</v>
      </c>
      <c r="M17" s="74">
        <v>26</v>
      </c>
      <c r="N17" s="74">
        <v>26</v>
      </c>
      <c r="O17" s="74">
        <v>22</v>
      </c>
      <c r="P17" s="74">
        <v>23</v>
      </c>
      <c r="Q17" s="74">
        <f t="shared" si="5"/>
        <v>11.833333333333334</v>
      </c>
      <c r="R17" s="73">
        <f t="shared" si="6"/>
        <v>0.38005847503304607</v>
      </c>
      <c r="S17" s="72">
        <f t="shared" si="7"/>
        <v>11.833333333333334</v>
      </c>
      <c r="T17" s="115">
        <v>0.36805555555555558</v>
      </c>
      <c r="V17" s="70">
        <v>6</v>
      </c>
      <c r="W17" s="69">
        <v>11.854166666666666</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f>26+18</f>
        <v>44</v>
      </c>
      <c r="L18" s="114">
        <f>24+27</f>
        <v>51</v>
      </c>
      <c r="M18" s="114">
        <f>22+22</f>
        <v>44</v>
      </c>
      <c r="N18" s="114">
        <f>18+18</f>
        <v>36</v>
      </c>
      <c r="O18" s="114">
        <f>14+23</f>
        <v>37</v>
      </c>
      <c r="P18" s="114">
        <f>28+11</f>
        <v>39</v>
      </c>
      <c r="Q18" s="87">
        <f t="shared" si="5"/>
        <v>20.916666666666668</v>
      </c>
      <c r="R18" s="87">
        <f t="shared" si="6"/>
        <v>1.1504829903614899</v>
      </c>
      <c r="S18" s="72">
        <f t="shared" si="7"/>
        <v>10.458333333333334</v>
      </c>
      <c r="T18" s="71" t="s">
        <v>493</v>
      </c>
      <c r="V18" s="70">
        <v>7</v>
      </c>
      <c r="W18" s="69">
        <v>11.541666666666666</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3">
        <f>26</f>
        <v>26</v>
      </c>
      <c r="L19" s="112">
        <v>22</v>
      </c>
      <c r="M19" s="112">
        <v>27</v>
      </c>
      <c r="N19" s="112">
        <v>23</v>
      </c>
      <c r="O19" s="109">
        <v>27</v>
      </c>
      <c r="P19" s="109">
        <v>27</v>
      </c>
      <c r="Q19" s="78">
        <f t="shared" si="5"/>
        <v>12.666666666666666</v>
      </c>
      <c r="R19" s="77">
        <f t="shared" si="6"/>
        <v>0.45946829173634079</v>
      </c>
      <c r="S19" s="72">
        <f t="shared" si="7"/>
        <v>12.666666666666666</v>
      </c>
      <c r="T19" s="71"/>
      <c r="V19" s="70">
        <v>8</v>
      </c>
      <c r="W19" s="69">
        <v>11.104166666666666</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109">
        <v>21</v>
      </c>
      <c r="L20" s="109">
        <v>28</v>
      </c>
      <c r="M20" s="109">
        <v>21</v>
      </c>
      <c r="N20" s="109">
        <v>17</v>
      </c>
      <c r="O20" s="109">
        <v>21</v>
      </c>
      <c r="P20" s="109">
        <v>18</v>
      </c>
      <c r="Q20" s="78">
        <f t="shared" si="5"/>
        <v>10.5</v>
      </c>
      <c r="R20" s="77">
        <f t="shared" si="6"/>
        <v>0.78528126595931658</v>
      </c>
      <c r="S20" s="72">
        <f t="shared" si="7"/>
        <v>10.5</v>
      </c>
      <c r="T20" s="71"/>
      <c r="V20" s="64" t="s">
        <v>408</v>
      </c>
      <c r="W20" s="62">
        <v>11.251302083333334</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f>26+21</f>
        <v>47</v>
      </c>
      <c r="L21" s="111">
        <f>24+24</f>
        <v>48</v>
      </c>
      <c r="M21" s="111">
        <f>25+25</f>
        <v>50</v>
      </c>
      <c r="N21" s="111">
        <f>27+26</f>
        <v>53</v>
      </c>
      <c r="O21" s="111">
        <f>20+26</f>
        <v>46</v>
      </c>
      <c r="P21" s="111">
        <f>24+27</f>
        <v>51</v>
      </c>
      <c r="Q21" s="87">
        <f t="shared" si="5"/>
        <v>24.583333333333332</v>
      </c>
      <c r="R21" s="86">
        <f t="shared" si="6"/>
        <v>0.53877432917482049</v>
      </c>
      <c r="S21" s="72">
        <f t="shared" si="7"/>
        <v>12.291666666666666</v>
      </c>
      <c r="T21" s="71"/>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18</v>
      </c>
      <c r="L22" s="109">
        <v>27</v>
      </c>
      <c r="M22" s="109">
        <v>26</v>
      </c>
      <c r="N22" s="109">
        <v>26</v>
      </c>
      <c r="O22" s="109">
        <v>19</v>
      </c>
      <c r="P22" s="109">
        <v>25</v>
      </c>
      <c r="Q22" s="78">
        <f t="shared" si="5"/>
        <v>11.75</v>
      </c>
      <c r="R22" s="77">
        <f t="shared" si="6"/>
        <v>0.80363756341607961</v>
      </c>
      <c r="S22" s="72">
        <f t="shared" si="7"/>
        <v>11.75</v>
      </c>
      <c r="T22" s="71"/>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28</v>
      </c>
      <c r="L23" s="109">
        <v>21</v>
      </c>
      <c r="M23" s="109">
        <v>25</v>
      </c>
      <c r="N23" s="109">
        <v>28</v>
      </c>
      <c r="O23" s="109">
        <v>24</v>
      </c>
      <c r="P23" s="109">
        <v>25</v>
      </c>
      <c r="Q23" s="78">
        <f t="shared" si="5"/>
        <v>12.583333333333334</v>
      </c>
      <c r="R23" s="77">
        <f t="shared" si="6"/>
        <v>0.53877432917482049</v>
      </c>
      <c r="S23" s="72">
        <f t="shared" si="7"/>
        <v>12.583333333333334</v>
      </c>
      <c r="T23" s="71"/>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22</v>
      </c>
      <c r="L24" s="109">
        <v>21</v>
      </c>
      <c r="M24" s="109">
        <v>22</v>
      </c>
      <c r="N24" s="109">
        <v>25</v>
      </c>
      <c r="O24" s="109">
        <v>27</v>
      </c>
      <c r="P24" s="109">
        <v>24</v>
      </c>
      <c r="Q24" s="78">
        <f t="shared" si="5"/>
        <v>11.75</v>
      </c>
      <c r="R24" s="77">
        <f t="shared" si="6"/>
        <v>0.46097722286464438</v>
      </c>
      <c r="S24" s="72">
        <f t="shared" si="7"/>
        <v>11.75</v>
      </c>
      <c r="T24" s="71"/>
      <c r="V24" s="58">
        <f>AVERAGE(W15:W17,W19)</f>
        <v>11.544270833333332</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26</v>
      </c>
      <c r="L25" s="74">
        <v>26</v>
      </c>
      <c r="M25" s="74">
        <v>20</v>
      </c>
      <c r="N25" s="74">
        <v>25</v>
      </c>
      <c r="O25" s="74">
        <v>15</v>
      </c>
      <c r="P25" s="74">
        <v>22</v>
      </c>
      <c r="Q25" s="74">
        <f t="shared" si="5"/>
        <v>11.166666666666666</v>
      </c>
      <c r="R25" s="73">
        <f t="shared" si="6"/>
        <v>0.88191710368819753</v>
      </c>
      <c r="S25" s="72">
        <f t="shared" si="7"/>
        <v>11.166666666666666</v>
      </c>
      <c r="T25" s="108">
        <v>0.31944444444444448</v>
      </c>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18</v>
      </c>
      <c r="L26" s="110">
        <v>23</v>
      </c>
      <c r="M26" s="110">
        <v>17</v>
      </c>
      <c r="N26" s="110">
        <v>18</v>
      </c>
      <c r="O26" s="110">
        <v>25</v>
      </c>
      <c r="P26" s="110">
        <v>22</v>
      </c>
      <c r="Q26" s="78">
        <f t="shared" si="5"/>
        <v>10.25</v>
      </c>
      <c r="R26" s="78">
        <f t="shared" si="6"/>
        <v>0.66770752080033768</v>
      </c>
      <c r="S26" s="72">
        <f t="shared" si="7"/>
        <v>10.25</v>
      </c>
      <c r="T26" s="108">
        <v>0.34097222222222223</v>
      </c>
      <c r="V26" s="58">
        <f>AVERAGE(W12:W14,W18)</f>
        <v>10.958333333333332</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25</v>
      </c>
      <c r="L27" s="109">
        <v>17</v>
      </c>
      <c r="M27" s="109">
        <v>21</v>
      </c>
      <c r="N27" s="109">
        <v>18</v>
      </c>
      <c r="O27" s="109">
        <v>21</v>
      </c>
      <c r="P27" s="109">
        <v>25</v>
      </c>
      <c r="Q27" s="78">
        <f t="shared" si="5"/>
        <v>10.583333333333334</v>
      </c>
      <c r="R27" s="77">
        <f t="shared" si="6"/>
        <v>0.68819409406875365</v>
      </c>
      <c r="S27" s="72">
        <f t="shared" si="7"/>
        <v>10.583333333333334</v>
      </c>
      <c r="T27" s="71"/>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23</v>
      </c>
      <c r="L28" s="109">
        <v>18</v>
      </c>
      <c r="M28" s="109">
        <v>24</v>
      </c>
      <c r="N28" s="109">
        <v>24</v>
      </c>
      <c r="O28" s="109">
        <v>18</v>
      </c>
      <c r="P28" s="109">
        <v>26</v>
      </c>
      <c r="Q28" s="78">
        <f t="shared" si="5"/>
        <v>11.083333333333334</v>
      </c>
      <c r="R28" s="77">
        <f t="shared" si="6"/>
        <v>0.68819409406875365</v>
      </c>
      <c r="S28" s="72">
        <f t="shared" si="7"/>
        <v>11.083333333333334</v>
      </c>
      <c r="T28" s="71"/>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23</v>
      </c>
      <c r="L29" s="109">
        <v>26</v>
      </c>
      <c r="M29" s="109">
        <v>22</v>
      </c>
      <c r="N29" s="109">
        <v>23</v>
      </c>
      <c r="O29" s="109">
        <v>23</v>
      </c>
      <c r="P29" s="109">
        <v>22</v>
      </c>
      <c r="Q29" s="78">
        <f t="shared" si="5"/>
        <v>11.583333333333334</v>
      </c>
      <c r="R29" s="77">
        <f t="shared" si="6"/>
        <v>0.30046260628866583</v>
      </c>
      <c r="S29" s="72">
        <f t="shared" si="7"/>
        <v>11.583333333333334</v>
      </c>
      <c r="T29" s="71"/>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f>22+23</f>
        <v>45</v>
      </c>
      <c r="L30" s="111">
        <f>26+26</f>
        <v>52</v>
      </c>
      <c r="M30" s="111">
        <f>20+21</f>
        <v>41</v>
      </c>
      <c r="N30" s="111">
        <f>27+22</f>
        <v>49</v>
      </c>
      <c r="O30" s="111">
        <f>23+25</f>
        <v>48</v>
      </c>
      <c r="P30" s="111">
        <f>28+25</f>
        <v>53</v>
      </c>
      <c r="Q30" s="87">
        <f t="shared" si="5"/>
        <v>24</v>
      </c>
      <c r="R30" s="86">
        <f t="shared" si="6"/>
        <v>0.91287092917527701</v>
      </c>
      <c r="S30" s="72">
        <f t="shared" si="7"/>
        <v>12</v>
      </c>
      <c r="T30" s="71"/>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26</v>
      </c>
      <c r="L31" s="109">
        <v>24</v>
      </c>
      <c r="M31" s="109">
        <v>22</v>
      </c>
      <c r="N31" s="109">
        <v>23</v>
      </c>
      <c r="O31" s="109">
        <v>24</v>
      </c>
      <c r="P31" s="109">
        <v>22</v>
      </c>
      <c r="Q31" s="78">
        <f t="shared" si="5"/>
        <v>11.75</v>
      </c>
      <c r="R31" s="77">
        <f t="shared" si="6"/>
        <v>0.30956959368344517</v>
      </c>
      <c r="S31" s="72">
        <f t="shared" si="7"/>
        <v>11.75</v>
      </c>
      <c r="T31" s="71"/>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22</v>
      </c>
      <c r="L32" s="109">
        <v>21</v>
      </c>
      <c r="M32" s="109">
        <v>18</v>
      </c>
      <c r="N32" s="109">
        <v>26</v>
      </c>
      <c r="O32" s="109">
        <v>23</v>
      </c>
      <c r="P32" s="109">
        <v>27</v>
      </c>
      <c r="Q32" s="78">
        <f t="shared" si="5"/>
        <v>11.416666666666666</v>
      </c>
      <c r="R32" s="77">
        <f t="shared" si="6"/>
        <v>0.67597665968910925</v>
      </c>
      <c r="S32" s="72">
        <f t="shared" si="7"/>
        <v>11.416666666666666</v>
      </c>
      <c r="T32" s="71"/>
    </row>
    <row r="33" spans="2:25"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f>22+25</f>
        <v>47</v>
      </c>
      <c r="L33" s="91">
        <f>28+25</f>
        <v>53</v>
      </c>
      <c r="M33" s="91">
        <f>22+23</f>
        <v>45</v>
      </c>
      <c r="N33" s="91">
        <f>23+18</f>
        <v>41</v>
      </c>
      <c r="O33" s="91">
        <f>4+26</f>
        <v>30</v>
      </c>
      <c r="P33" s="91">
        <f>11+17</f>
        <v>28</v>
      </c>
      <c r="Q33" s="91">
        <f t="shared" si="5"/>
        <v>20.333333333333332</v>
      </c>
      <c r="R33" s="90">
        <f t="shared" si="6"/>
        <v>2.011080417199782</v>
      </c>
      <c r="S33" s="72">
        <f t="shared" si="7"/>
        <v>10.166666666666666</v>
      </c>
      <c r="T33" s="108">
        <v>0.32430555555555557</v>
      </c>
    </row>
    <row r="34" spans="2:25" x14ac:dyDescent="0.2">
      <c r="B34" s="23">
        <v>401</v>
      </c>
      <c r="C34" s="23" t="s">
        <v>152</v>
      </c>
      <c r="D34" s="23">
        <v>7</v>
      </c>
      <c r="E34" s="81">
        <f t="shared" si="0"/>
        <v>2</v>
      </c>
      <c r="F34" s="81">
        <f t="shared" si="1"/>
        <v>1</v>
      </c>
      <c r="G34" s="81">
        <f t="shared" si="2"/>
        <v>2</v>
      </c>
      <c r="H34" s="23">
        <v>3</v>
      </c>
      <c r="I34" s="23">
        <f t="shared" si="3"/>
        <v>1</v>
      </c>
      <c r="J34" s="23" t="str">
        <f t="shared" si="4"/>
        <v>212.3</v>
      </c>
      <c r="K34" s="110">
        <v>18</v>
      </c>
      <c r="L34" s="110">
        <v>18</v>
      </c>
      <c r="M34" s="110">
        <v>21</v>
      </c>
      <c r="N34" s="110">
        <v>21</v>
      </c>
      <c r="O34" s="110">
        <v>24</v>
      </c>
      <c r="P34" s="110">
        <v>23</v>
      </c>
      <c r="Q34" s="78">
        <f t="shared" si="5"/>
        <v>10.416666666666666</v>
      </c>
      <c r="R34" s="78">
        <f t="shared" si="6"/>
        <v>0.50689687752485291</v>
      </c>
      <c r="S34" s="72">
        <f t="shared" si="7"/>
        <v>10.416666666666666</v>
      </c>
      <c r="T34" s="108">
        <v>0.34236111111111112</v>
      </c>
    </row>
    <row r="35" spans="2:25" x14ac:dyDescent="0.2">
      <c r="B35" s="5">
        <v>402</v>
      </c>
      <c r="C35" s="5" t="s">
        <v>115</v>
      </c>
      <c r="D35" s="5">
        <v>9</v>
      </c>
      <c r="E35" s="18">
        <f t="shared" si="0"/>
        <v>2</v>
      </c>
      <c r="F35" s="18">
        <f t="shared" si="1"/>
        <v>2</v>
      </c>
      <c r="G35" s="18">
        <f t="shared" si="2"/>
        <v>2</v>
      </c>
      <c r="H35" s="5">
        <v>3</v>
      </c>
      <c r="I35" s="5">
        <f t="shared" si="3"/>
        <v>2</v>
      </c>
      <c r="J35" s="5" t="str">
        <f t="shared" si="4"/>
        <v>222.3</v>
      </c>
      <c r="K35" s="109">
        <v>22</v>
      </c>
      <c r="L35" s="109">
        <v>24</v>
      </c>
      <c r="M35" s="109">
        <v>19</v>
      </c>
      <c r="N35" s="109">
        <v>19</v>
      </c>
      <c r="O35" s="109">
        <v>15</v>
      </c>
      <c r="P35" s="109">
        <v>23</v>
      </c>
      <c r="Q35" s="78">
        <f t="shared" si="5"/>
        <v>10.166666666666666</v>
      </c>
      <c r="R35" s="77">
        <f t="shared" si="6"/>
        <v>0.67905162624877979</v>
      </c>
      <c r="S35" s="72">
        <f t="shared" si="7"/>
        <v>10.166666666666666</v>
      </c>
      <c r="T35" s="71" t="s">
        <v>492</v>
      </c>
    </row>
    <row r="36" spans="2:25" x14ac:dyDescent="0.2">
      <c r="B36" s="88">
        <v>403</v>
      </c>
      <c r="C36" s="88" t="s">
        <v>155</v>
      </c>
      <c r="D36" s="88">
        <v>6</v>
      </c>
      <c r="E36" s="89">
        <f t="shared" si="0"/>
        <v>1</v>
      </c>
      <c r="F36" s="89">
        <f t="shared" si="1"/>
        <v>3</v>
      </c>
      <c r="G36" s="89">
        <f t="shared" si="2"/>
        <v>1</v>
      </c>
      <c r="H36" s="88">
        <v>3</v>
      </c>
      <c r="I36" s="88">
        <f t="shared" si="3"/>
        <v>3</v>
      </c>
      <c r="J36" s="88" t="str">
        <f t="shared" si="4"/>
        <v>131.3</v>
      </c>
      <c r="K36" s="111">
        <f>26+24</f>
        <v>50</v>
      </c>
      <c r="L36" s="111">
        <f>17+25</f>
        <v>42</v>
      </c>
      <c r="M36" s="111">
        <f>18+24</f>
        <v>42</v>
      </c>
      <c r="N36" s="111">
        <f>15+24</f>
        <v>39</v>
      </c>
      <c r="O36" s="111">
        <f>12+20</f>
        <v>32</v>
      </c>
      <c r="P36" s="111">
        <f>20+18</f>
        <v>38</v>
      </c>
      <c r="Q36" s="87">
        <f t="shared" si="5"/>
        <v>20.25</v>
      </c>
      <c r="R36" s="86">
        <f t="shared" si="6"/>
        <v>1.2093386622447826</v>
      </c>
      <c r="S36" s="72">
        <f t="shared" si="7"/>
        <v>10.125</v>
      </c>
      <c r="T36" s="71"/>
    </row>
    <row r="37" spans="2:25" x14ac:dyDescent="0.2">
      <c r="B37" s="5">
        <v>404</v>
      </c>
      <c r="C37" s="5" t="s">
        <v>111</v>
      </c>
      <c r="D37" s="5">
        <v>3</v>
      </c>
      <c r="E37" s="18">
        <f t="shared" si="0"/>
        <v>1</v>
      </c>
      <c r="F37" s="18">
        <f t="shared" si="1"/>
        <v>2</v>
      </c>
      <c r="G37" s="18">
        <f t="shared" si="2"/>
        <v>2</v>
      </c>
      <c r="H37" s="5">
        <v>3</v>
      </c>
      <c r="I37" s="5">
        <f t="shared" si="3"/>
        <v>4</v>
      </c>
      <c r="J37" s="5" t="str">
        <f t="shared" si="4"/>
        <v>122.3</v>
      </c>
      <c r="K37" s="109">
        <v>22</v>
      </c>
      <c r="L37" s="109">
        <v>23</v>
      </c>
      <c r="M37" s="109">
        <v>19</v>
      </c>
      <c r="N37" s="109">
        <v>25</v>
      </c>
      <c r="O37" s="109">
        <v>20</v>
      </c>
      <c r="P37" s="109">
        <v>17</v>
      </c>
      <c r="Q37" s="78">
        <f t="shared" si="5"/>
        <v>10.5</v>
      </c>
      <c r="R37" s="77">
        <f t="shared" si="6"/>
        <v>0.5916079783099617</v>
      </c>
      <c r="S37" s="72">
        <f t="shared" si="7"/>
        <v>10.5</v>
      </c>
      <c r="T37" s="71"/>
    </row>
    <row r="38" spans="2:25" x14ac:dyDescent="0.2">
      <c r="B38" s="88">
        <v>405</v>
      </c>
      <c r="C38" s="88" t="s">
        <v>155</v>
      </c>
      <c r="D38" s="88">
        <v>6</v>
      </c>
      <c r="E38" s="89">
        <f t="shared" si="0"/>
        <v>1</v>
      </c>
      <c r="F38" s="89">
        <f t="shared" si="1"/>
        <v>3</v>
      </c>
      <c r="G38" s="89">
        <f t="shared" si="2"/>
        <v>1</v>
      </c>
      <c r="H38" s="88">
        <v>4</v>
      </c>
      <c r="I38" s="88">
        <f t="shared" si="3"/>
        <v>5</v>
      </c>
      <c r="J38" s="88" t="str">
        <f t="shared" si="4"/>
        <v>131.4</v>
      </c>
      <c r="K38" s="111">
        <f>24+26</f>
        <v>50</v>
      </c>
      <c r="L38" s="111">
        <f>29+22</f>
        <v>51</v>
      </c>
      <c r="M38" s="111">
        <f>20+26</f>
        <v>46</v>
      </c>
      <c r="N38" s="111">
        <f>20+21</f>
        <v>41</v>
      </c>
      <c r="O38" s="111">
        <f>17+22</f>
        <v>39</v>
      </c>
      <c r="P38" s="111">
        <f>23+24</f>
        <v>47</v>
      </c>
      <c r="Q38" s="87">
        <f t="shared" si="5"/>
        <v>22.833333333333332</v>
      </c>
      <c r="R38" s="86">
        <f t="shared" si="6"/>
        <v>0.98036274465684958</v>
      </c>
      <c r="S38" s="72">
        <f t="shared" si="7"/>
        <v>11.416666666666666</v>
      </c>
      <c r="T38" s="71"/>
    </row>
    <row r="39" spans="2:25" x14ac:dyDescent="0.2">
      <c r="B39" s="5">
        <v>406</v>
      </c>
      <c r="C39" s="5" t="s">
        <v>111</v>
      </c>
      <c r="D39" s="5">
        <v>3</v>
      </c>
      <c r="E39" s="18">
        <f t="shared" si="0"/>
        <v>1</v>
      </c>
      <c r="F39" s="18">
        <f t="shared" si="1"/>
        <v>2</v>
      </c>
      <c r="G39" s="18">
        <f t="shared" si="2"/>
        <v>2</v>
      </c>
      <c r="H39" s="5">
        <v>4</v>
      </c>
      <c r="I39" s="5">
        <f t="shared" si="3"/>
        <v>6</v>
      </c>
      <c r="J39" s="5" t="str">
        <f t="shared" si="4"/>
        <v>122.4</v>
      </c>
      <c r="K39" s="109">
        <f>21</f>
        <v>21</v>
      </c>
      <c r="L39" s="109">
        <v>24</v>
      </c>
      <c r="M39" s="109">
        <v>26</v>
      </c>
      <c r="N39" s="109">
        <v>20</v>
      </c>
      <c r="O39" s="109">
        <v>22</v>
      </c>
      <c r="P39" s="109">
        <v>24</v>
      </c>
      <c r="Q39" s="78">
        <f t="shared" si="5"/>
        <v>11.416666666666666</v>
      </c>
      <c r="R39" s="77">
        <f t="shared" si="6"/>
        <v>0.45491146879853944</v>
      </c>
      <c r="S39" s="72">
        <f t="shared" si="7"/>
        <v>11.416666666666666</v>
      </c>
      <c r="T39" s="71"/>
      <c r="V39" s="1" t="s">
        <v>491</v>
      </c>
    </row>
    <row r="40" spans="2:25" x14ac:dyDescent="0.2">
      <c r="B40" s="5">
        <v>407</v>
      </c>
      <c r="C40" s="5" t="s">
        <v>152</v>
      </c>
      <c r="D40" s="5">
        <v>7</v>
      </c>
      <c r="E40" s="18">
        <f t="shared" si="0"/>
        <v>2</v>
      </c>
      <c r="F40" s="18">
        <f t="shared" si="1"/>
        <v>1</v>
      </c>
      <c r="G40" s="18">
        <f t="shared" si="2"/>
        <v>2</v>
      </c>
      <c r="H40" s="5">
        <v>4</v>
      </c>
      <c r="I40" s="5">
        <f t="shared" si="3"/>
        <v>7</v>
      </c>
      <c r="J40" s="5" t="str">
        <f t="shared" si="4"/>
        <v>212.4</v>
      </c>
      <c r="K40" s="109">
        <v>22</v>
      </c>
      <c r="L40" s="109">
        <v>24</v>
      </c>
      <c r="M40" s="109">
        <v>21</v>
      </c>
      <c r="N40" s="109">
        <v>22</v>
      </c>
      <c r="O40" s="109">
        <v>28</v>
      </c>
      <c r="P40" s="109">
        <v>26</v>
      </c>
      <c r="Q40" s="78">
        <f t="shared" si="5"/>
        <v>11.916666666666666</v>
      </c>
      <c r="R40" s="77">
        <f t="shared" si="6"/>
        <v>0.55402567128648994</v>
      </c>
      <c r="S40" s="72">
        <f t="shared" si="7"/>
        <v>11.916666666666666</v>
      </c>
      <c r="T40" s="71"/>
      <c r="V40" s="83" t="s">
        <v>407</v>
      </c>
      <c r="W40" s="66"/>
      <c r="X40" s="66"/>
      <c r="Y40" s="82"/>
    </row>
    <row r="41" spans="2:25"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26</v>
      </c>
      <c r="L41" s="74">
        <v>22</v>
      </c>
      <c r="M41" s="74">
        <v>23</v>
      </c>
      <c r="N41" s="74">
        <v>27</v>
      </c>
      <c r="O41" s="74">
        <v>26</v>
      </c>
      <c r="P41" s="74">
        <v>11</v>
      </c>
      <c r="Q41" s="74">
        <f t="shared" si="5"/>
        <v>11.25</v>
      </c>
      <c r="R41" s="73">
        <f t="shared" si="6"/>
        <v>1.2162099599438687</v>
      </c>
      <c r="S41" s="72">
        <f t="shared" si="7"/>
        <v>11.25</v>
      </c>
      <c r="T41" s="108">
        <v>0.35833333333333334</v>
      </c>
      <c r="V41" s="83" t="s">
        <v>74</v>
      </c>
      <c r="W41" s="83" t="s">
        <v>72</v>
      </c>
      <c r="X41" s="83" t="s">
        <v>73</v>
      </c>
      <c r="Y41" s="82" t="s">
        <v>406</v>
      </c>
    </row>
    <row r="42" spans="2:25" x14ac:dyDescent="0.2">
      <c r="B42" s="23">
        <v>901</v>
      </c>
      <c r="C42" s="23" t="s">
        <v>404</v>
      </c>
      <c r="D42" s="23">
        <v>32</v>
      </c>
      <c r="E42" s="81">
        <v>9</v>
      </c>
      <c r="F42" s="81">
        <v>0</v>
      </c>
      <c r="G42" s="81">
        <v>1</v>
      </c>
      <c r="H42" s="23">
        <v>1</v>
      </c>
      <c r="I42" s="23">
        <f t="shared" si="3"/>
        <v>1</v>
      </c>
      <c r="J42" s="23" t="str">
        <f t="shared" si="4"/>
        <v>901.1</v>
      </c>
      <c r="K42" s="110">
        <v>0</v>
      </c>
      <c r="L42" s="110">
        <v>0</v>
      </c>
      <c r="M42" s="110">
        <v>0</v>
      </c>
      <c r="N42" s="110">
        <v>0</v>
      </c>
      <c r="O42" s="110">
        <v>0</v>
      </c>
      <c r="P42" s="110">
        <v>0</v>
      </c>
      <c r="Q42" s="78">
        <f t="shared" si="5"/>
        <v>0</v>
      </c>
      <c r="R42" s="78">
        <f t="shared" si="6"/>
        <v>0</v>
      </c>
      <c r="S42" s="72">
        <f t="shared" si="7"/>
        <v>0</v>
      </c>
      <c r="V42" s="67" t="s">
        <v>23</v>
      </c>
      <c r="W42" s="67" t="s">
        <v>489</v>
      </c>
      <c r="X42" s="67" t="s">
        <v>167</v>
      </c>
      <c r="Y42" s="65">
        <v>11.375</v>
      </c>
    </row>
    <row r="43" spans="2:25" x14ac:dyDescent="0.2">
      <c r="B43" s="5">
        <v>902</v>
      </c>
      <c r="C43" s="80" t="s">
        <v>403</v>
      </c>
      <c r="D43" s="5">
        <v>22</v>
      </c>
      <c r="E43" s="18">
        <v>4</v>
      </c>
      <c r="F43" s="18">
        <v>2</v>
      </c>
      <c r="G43" s="18">
        <v>2</v>
      </c>
      <c r="H43" s="5">
        <v>1</v>
      </c>
      <c r="I43" s="5">
        <f t="shared" si="3"/>
        <v>2</v>
      </c>
      <c r="J43" s="5" t="str">
        <f t="shared" si="4"/>
        <v>422.1</v>
      </c>
      <c r="K43" s="109">
        <v>21</v>
      </c>
      <c r="L43" s="109">
        <v>23</v>
      </c>
      <c r="M43" s="109">
        <v>18</v>
      </c>
      <c r="N43" s="109">
        <v>19</v>
      </c>
      <c r="O43" s="109">
        <v>13</v>
      </c>
      <c r="P43" s="109">
        <v>20</v>
      </c>
      <c r="Q43" s="78">
        <f t="shared" si="5"/>
        <v>9.5</v>
      </c>
      <c r="R43" s="77">
        <f t="shared" si="6"/>
        <v>0.695221787153807</v>
      </c>
      <c r="S43" s="72">
        <f t="shared" si="7"/>
        <v>9.5</v>
      </c>
      <c r="T43" s="108">
        <v>0.36527777777777781</v>
      </c>
      <c r="V43" s="68"/>
      <c r="W43" s="68"/>
      <c r="X43" s="70" t="s">
        <v>166</v>
      </c>
      <c r="Y43" s="69">
        <v>11.125</v>
      </c>
    </row>
    <row r="44" spans="2:25" x14ac:dyDescent="0.2">
      <c r="B44" s="5">
        <v>903</v>
      </c>
      <c r="C44" s="5" t="s">
        <v>401</v>
      </c>
      <c r="D44" s="5">
        <v>31</v>
      </c>
      <c r="E44" s="18">
        <v>8</v>
      </c>
      <c r="F44" s="18">
        <v>0</v>
      </c>
      <c r="G44" s="18">
        <v>1</v>
      </c>
      <c r="H44" s="5">
        <v>1</v>
      </c>
      <c r="I44" s="5">
        <f t="shared" si="3"/>
        <v>3</v>
      </c>
      <c r="J44" s="5" t="str">
        <f t="shared" si="4"/>
        <v>801.1</v>
      </c>
      <c r="K44" s="109">
        <v>0</v>
      </c>
      <c r="L44" s="109">
        <v>0</v>
      </c>
      <c r="M44" s="109">
        <v>0</v>
      </c>
      <c r="N44" s="109">
        <v>0</v>
      </c>
      <c r="O44" s="109">
        <v>0</v>
      </c>
      <c r="P44" s="109">
        <v>0</v>
      </c>
      <c r="Q44" s="78">
        <f t="shared" si="5"/>
        <v>0</v>
      </c>
      <c r="R44" s="77">
        <f t="shared" si="6"/>
        <v>0</v>
      </c>
      <c r="S44" s="72">
        <f t="shared" si="7"/>
        <v>0</v>
      </c>
      <c r="T44" s="71"/>
      <c r="V44" s="68"/>
      <c r="W44" s="68"/>
      <c r="X44" s="70" t="s">
        <v>165</v>
      </c>
      <c r="Y44" s="69">
        <v>21.541666666666664</v>
      </c>
    </row>
    <row r="45" spans="2:25" x14ac:dyDescent="0.2">
      <c r="B45" s="5">
        <v>904</v>
      </c>
      <c r="C45" s="80" t="s">
        <v>400</v>
      </c>
      <c r="D45" s="5">
        <v>21</v>
      </c>
      <c r="E45" s="18">
        <v>3</v>
      </c>
      <c r="F45" s="18">
        <v>2</v>
      </c>
      <c r="G45" s="18">
        <v>2</v>
      </c>
      <c r="H45" s="5">
        <v>1</v>
      </c>
      <c r="I45" s="5">
        <f t="shared" si="3"/>
        <v>4</v>
      </c>
      <c r="J45" s="5" t="str">
        <f t="shared" si="4"/>
        <v>322.1</v>
      </c>
      <c r="K45" s="109">
        <v>24</v>
      </c>
      <c r="L45" s="109">
        <v>27</v>
      </c>
      <c r="M45" s="109">
        <v>17</v>
      </c>
      <c r="N45" s="109">
        <v>14</v>
      </c>
      <c r="O45" s="109">
        <v>23</v>
      </c>
      <c r="P45" s="109">
        <v>17</v>
      </c>
      <c r="Q45" s="78">
        <f t="shared" si="5"/>
        <v>10.166666666666666</v>
      </c>
      <c r="R45" s="77">
        <f t="shared" si="6"/>
        <v>1.0301024760241637</v>
      </c>
      <c r="S45" s="72">
        <f t="shared" si="7"/>
        <v>10.166666666666666</v>
      </c>
      <c r="T45" s="71"/>
      <c r="V45" s="68"/>
      <c r="W45" s="67" t="s">
        <v>488</v>
      </c>
      <c r="X45" s="66"/>
      <c r="Y45" s="65">
        <v>13.791666666666666</v>
      </c>
    </row>
    <row r="46" spans="2:25" x14ac:dyDescent="0.2">
      <c r="B46" s="5">
        <v>905</v>
      </c>
      <c r="C46" s="5" t="s">
        <v>404</v>
      </c>
      <c r="D46" s="5">
        <v>32</v>
      </c>
      <c r="E46" s="18">
        <v>9</v>
      </c>
      <c r="F46" s="18">
        <v>0</v>
      </c>
      <c r="G46" s="18">
        <v>1</v>
      </c>
      <c r="H46" s="5">
        <v>2</v>
      </c>
      <c r="I46" s="5">
        <f t="shared" si="3"/>
        <v>5</v>
      </c>
      <c r="J46" s="5" t="str">
        <f t="shared" si="4"/>
        <v>901.2</v>
      </c>
      <c r="K46" s="109">
        <v>0</v>
      </c>
      <c r="L46" s="109">
        <v>0</v>
      </c>
      <c r="M46" s="109">
        <v>0</v>
      </c>
      <c r="N46" s="109">
        <v>0</v>
      </c>
      <c r="O46" s="109">
        <v>0</v>
      </c>
      <c r="P46" s="109">
        <v>0</v>
      </c>
      <c r="Q46" s="78">
        <f t="shared" si="5"/>
        <v>0</v>
      </c>
      <c r="R46" s="77">
        <f t="shared" si="6"/>
        <v>0</v>
      </c>
      <c r="S46" s="72">
        <f t="shared" si="7"/>
        <v>0</v>
      </c>
      <c r="T46" s="71"/>
      <c r="V46" s="68"/>
      <c r="W46" s="67" t="s">
        <v>487</v>
      </c>
      <c r="X46" s="67" t="s">
        <v>167</v>
      </c>
      <c r="Y46" s="65">
        <v>11.541666666666668</v>
      </c>
    </row>
    <row r="47" spans="2:25" x14ac:dyDescent="0.2">
      <c r="B47" s="5">
        <v>906</v>
      </c>
      <c r="C47" s="80" t="s">
        <v>403</v>
      </c>
      <c r="D47" s="5">
        <v>22</v>
      </c>
      <c r="E47" s="18">
        <v>4</v>
      </c>
      <c r="F47" s="18">
        <v>2</v>
      </c>
      <c r="G47" s="18">
        <v>2</v>
      </c>
      <c r="H47" s="5">
        <v>2</v>
      </c>
      <c r="I47" s="5">
        <f t="shared" si="3"/>
        <v>6</v>
      </c>
      <c r="J47" s="5" t="str">
        <f t="shared" si="4"/>
        <v>422.2</v>
      </c>
      <c r="K47" s="109">
        <v>24</v>
      </c>
      <c r="L47" s="109">
        <v>25</v>
      </c>
      <c r="M47" s="109">
        <v>23</v>
      </c>
      <c r="N47" s="109">
        <v>20</v>
      </c>
      <c r="O47" s="109">
        <v>15</v>
      </c>
      <c r="P47" s="109">
        <v>20</v>
      </c>
      <c r="Q47" s="78">
        <f t="shared" si="5"/>
        <v>10.583333333333334</v>
      </c>
      <c r="R47" s="77">
        <f t="shared" si="6"/>
        <v>0.74628710590793801</v>
      </c>
      <c r="S47" s="72">
        <f t="shared" si="7"/>
        <v>10.583333333333334</v>
      </c>
      <c r="T47" s="71"/>
      <c r="V47" s="68"/>
      <c r="W47" s="68"/>
      <c r="X47" s="70" t="s">
        <v>166</v>
      </c>
      <c r="Y47" s="69">
        <v>11.0625</v>
      </c>
    </row>
    <row r="48" spans="2:25" x14ac:dyDescent="0.2">
      <c r="B48" s="5">
        <v>907</v>
      </c>
      <c r="C48" s="5" t="s">
        <v>401</v>
      </c>
      <c r="D48" s="5">
        <v>31</v>
      </c>
      <c r="E48" s="18">
        <v>8</v>
      </c>
      <c r="F48" s="18">
        <v>0</v>
      </c>
      <c r="G48" s="18">
        <v>1</v>
      </c>
      <c r="H48" s="5">
        <v>2</v>
      </c>
      <c r="I48" s="5">
        <f t="shared" si="3"/>
        <v>7</v>
      </c>
      <c r="J48" s="5" t="str">
        <f t="shared" si="4"/>
        <v>801.2</v>
      </c>
      <c r="K48" s="109">
        <v>0</v>
      </c>
      <c r="L48" s="109">
        <v>0</v>
      </c>
      <c r="M48" s="109">
        <v>0</v>
      </c>
      <c r="N48" s="109">
        <v>0</v>
      </c>
      <c r="O48" s="109">
        <v>0</v>
      </c>
      <c r="P48" s="109">
        <v>0</v>
      </c>
      <c r="Q48" s="78">
        <f t="shared" si="5"/>
        <v>0</v>
      </c>
      <c r="R48" s="77">
        <f t="shared" si="6"/>
        <v>0</v>
      </c>
      <c r="S48" s="72">
        <f t="shared" si="7"/>
        <v>0</v>
      </c>
      <c r="T48" s="71"/>
      <c r="V48" s="68"/>
      <c r="W48" s="68"/>
      <c r="X48" s="70" t="s">
        <v>165</v>
      </c>
      <c r="Y48" s="69">
        <v>21.333333333333332</v>
      </c>
    </row>
    <row r="49" spans="2:25" ht="13.5" thickBot="1" x14ac:dyDescent="0.25">
      <c r="B49" s="13">
        <v>908</v>
      </c>
      <c r="C49" s="76" t="s">
        <v>400</v>
      </c>
      <c r="D49" s="13">
        <v>21</v>
      </c>
      <c r="E49" s="75">
        <v>3</v>
      </c>
      <c r="F49" s="75">
        <v>2</v>
      </c>
      <c r="G49" s="75">
        <v>2</v>
      </c>
      <c r="H49" s="13">
        <v>2</v>
      </c>
      <c r="I49" s="13">
        <f t="shared" si="3"/>
        <v>8</v>
      </c>
      <c r="J49" s="13" t="str">
        <f t="shared" si="4"/>
        <v>322.2</v>
      </c>
      <c r="K49" s="74">
        <v>30</v>
      </c>
      <c r="L49" s="74">
        <v>25</v>
      </c>
      <c r="M49" s="74">
        <v>24</v>
      </c>
      <c r="N49" s="74">
        <v>23</v>
      </c>
      <c r="O49" s="74">
        <v>25</v>
      </c>
      <c r="P49" s="74">
        <v>23</v>
      </c>
      <c r="Q49" s="74">
        <f t="shared" si="5"/>
        <v>12.5</v>
      </c>
      <c r="R49" s="73">
        <f t="shared" si="6"/>
        <v>0.53229064742237708</v>
      </c>
      <c r="S49" s="72">
        <f t="shared" si="7"/>
        <v>12.5</v>
      </c>
      <c r="T49" s="108">
        <v>0.35972222222222222</v>
      </c>
      <c r="V49" s="68"/>
      <c r="W49" s="67" t="s">
        <v>486</v>
      </c>
      <c r="X49" s="66"/>
      <c r="Y49" s="65">
        <v>13.75</v>
      </c>
    </row>
    <row r="50" spans="2:25" x14ac:dyDescent="0.2">
      <c r="V50" s="67" t="s">
        <v>490</v>
      </c>
      <c r="W50" s="66"/>
      <c r="X50" s="66"/>
      <c r="Y50" s="65">
        <v>13.770833333333334</v>
      </c>
    </row>
    <row r="51" spans="2:25" x14ac:dyDescent="0.2">
      <c r="V51" s="67" t="s">
        <v>22</v>
      </c>
      <c r="W51" s="67" t="s">
        <v>489</v>
      </c>
      <c r="X51" s="67" t="s">
        <v>167</v>
      </c>
      <c r="Y51" s="65">
        <v>11.833333333333334</v>
      </c>
    </row>
    <row r="52" spans="2:25" x14ac:dyDescent="0.2">
      <c r="V52" s="68"/>
      <c r="W52" s="68"/>
      <c r="X52" s="70" t="s">
        <v>166</v>
      </c>
      <c r="Y52" s="69">
        <v>11</v>
      </c>
    </row>
    <row r="53" spans="2:25" x14ac:dyDescent="0.2">
      <c r="V53" s="68"/>
      <c r="W53" s="68"/>
      <c r="X53" s="70" t="s">
        <v>165</v>
      </c>
      <c r="Y53" s="69">
        <v>22.375</v>
      </c>
    </row>
    <row r="54" spans="2:25" x14ac:dyDescent="0.2">
      <c r="V54" s="68"/>
      <c r="W54" s="67" t="s">
        <v>488</v>
      </c>
      <c r="X54" s="66"/>
      <c r="Y54" s="65">
        <v>14.052083333333334</v>
      </c>
    </row>
    <row r="55" spans="2:25" x14ac:dyDescent="0.2">
      <c r="V55" s="68"/>
      <c r="W55" s="67" t="s">
        <v>487</v>
      </c>
      <c r="X55" s="67" t="s">
        <v>167</v>
      </c>
      <c r="Y55" s="65">
        <v>11.166666666666666</v>
      </c>
    </row>
    <row r="56" spans="2:25" x14ac:dyDescent="0.2">
      <c r="V56" s="68"/>
      <c r="W56" s="68"/>
      <c r="X56" s="70" t="s">
        <v>166</v>
      </c>
      <c r="Y56" s="69">
        <v>11.479166666666666</v>
      </c>
    </row>
    <row r="57" spans="2:25" x14ac:dyDescent="0.2">
      <c r="V57" s="68"/>
      <c r="W57" s="68"/>
      <c r="X57" s="70" t="s">
        <v>165</v>
      </c>
      <c r="Y57" s="69">
        <v>24.291666666666664</v>
      </c>
    </row>
    <row r="58" spans="2:25" x14ac:dyDescent="0.2">
      <c r="V58" s="68"/>
      <c r="W58" s="67" t="s">
        <v>486</v>
      </c>
      <c r="X58" s="66"/>
      <c r="Y58" s="65">
        <v>14.604166666666666</v>
      </c>
    </row>
    <row r="59" spans="2:25" x14ac:dyDescent="0.2">
      <c r="V59" s="64" t="s">
        <v>485</v>
      </c>
      <c r="W59" s="63"/>
      <c r="X59" s="63"/>
      <c r="Y59" s="62">
        <v>14.328125</v>
      </c>
    </row>
  </sheetData>
  <pageMargins left="0.75" right="0.75" top="1" bottom="1" header="0.5" footer="0.5"/>
  <pageSetup orientation="portrait" r:id="rId3"/>
  <headerFooter alignWithMargins="0"/>
  <drawing r:id="rId4"/>
  <legacyDrawing r:id="rId5"/>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97D3-47A0-47C0-B3D3-375FFB36F726}">
  <dimension ref="A1:Y59"/>
  <sheetViews>
    <sheetView workbookViewId="0">
      <selection activeCell="K10" sqref="K10:P49"/>
    </sheetView>
  </sheetViews>
  <sheetFormatPr defaultRowHeight="12.75" x14ac:dyDescent="0.2"/>
  <cols>
    <col min="1" max="19" width="9.140625" style="1"/>
    <col min="20" max="20" width="45.7109375" style="1" customWidth="1"/>
    <col min="21" max="21" width="9.140625" style="1"/>
    <col min="22" max="22" width="23.5703125" style="1" customWidth="1"/>
    <col min="23" max="23" width="5.5703125" style="1" customWidth="1"/>
    <col min="24" max="24" width="7.140625" style="1" customWidth="1"/>
    <col min="25" max="25" width="5.5703125" style="1" customWidth="1"/>
    <col min="26" max="26" width="4.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120</v>
      </c>
      <c r="E3" s="1" t="s">
        <v>425</v>
      </c>
      <c r="F3" s="105">
        <v>0.32777777777777778</v>
      </c>
    </row>
    <row r="4" spans="1:23" ht="13.5" thickBot="1" x14ac:dyDescent="0.25">
      <c r="E4" s="1" t="s">
        <v>424</v>
      </c>
      <c r="F4" s="105">
        <v>0.3659722222222222</v>
      </c>
      <c r="N4" s="58">
        <f>AVERAGE(Q10:Q11,Q13,Q15:Q17,Q19:Q20,Q22:Q29,Q31:Q32,Q34:Q35,Q37,Q39:Q41)</f>
        <v>11.309027777777779</v>
      </c>
      <c r="O4" s="58">
        <f>AVERAGE(Q12,Q14,Q18,Q21,Q30,Q36,Q38,Q33)</f>
        <v>22.322916666666668</v>
      </c>
    </row>
    <row r="6" spans="1:23" x14ac:dyDescent="0.2">
      <c r="B6" s="1" t="s">
        <v>80</v>
      </c>
      <c r="D6" s="104" t="s">
        <v>498</v>
      </c>
      <c r="E6" s="104"/>
      <c r="F6" s="104"/>
      <c r="G6" s="104"/>
      <c r="H6" s="104"/>
      <c r="I6" s="104"/>
      <c r="J6" s="104"/>
      <c r="K6" s="104"/>
      <c r="L6" s="104"/>
      <c r="M6" s="104"/>
      <c r="N6" s="104"/>
      <c r="O6" s="104"/>
    </row>
    <row r="7" spans="1:23" ht="51" customHeight="1" x14ac:dyDescent="0.2">
      <c r="D7" s="146" t="s">
        <v>497</v>
      </c>
      <c r="E7" s="146"/>
      <c r="F7" s="146"/>
      <c r="G7" s="146"/>
      <c r="H7" s="146"/>
      <c r="I7" s="146"/>
      <c r="J7" s="146"/>
      <c r="K7" s="146"/>
      <c r="L7" s="146"/>
      <c r="M7" s="146"/>
      <c r="N7" s="146"/>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22</v>
      </c>
      <c r="L10" s="110">
        <v>16</v>
      </c>
      <c r="M10" s="110">
        <v>21</v>
      </c>
      <c r="N10" s="110">
        <v>23</v>
      </c>
      <c r="O10" s="110">
        <v>26</v>
      </c>
      <c r="P10" s="110">
        <v>27</v>
      </c>
      <c r="Q10" s="78">
        <f t="shared" ref="Q10:Q49" si="5">AVERAGE(K10:P10)/2</f>
        <v>11.25</v>
      </c>
      <c r="R10" s="78">
        <f t="shared" ref="R10:R49" si="6">STDEV(K10:P10)/2/SQRT(COUNT(K10:P10))</f>
        <v>0.80363756341607961</v>
      </c>
      <c r="S10" s="72">
        <f t="shared" ref="S10:S49" si="7">IF(F10=3,Q10/2,Q10)</f>
        <v>11.25</v>
      </c>
      <c r="T10" s="98"/>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109">
        <v>22</v>
      </c>
      <c r="L11" s="109">
        <v>14</v>
      </c>
      <c r="M11" s="109">
        <v>10</v>
      </c>
      <c r="N11" s="109">
        <v>14</v>
      </c>
      <c r="O11" s="109">
        <v>17</v>
      </c>
      <c r="P11" s="109">
        <v>22</v>
      </c>
      <c r="Q11" s="78">
        <f t="shared" si="5"/>
        <v>8.25</v>
      </c>
      <c r="R11" s="77">
        <f t="shared" si="6"/>
        <v>0.98107084351742935</v>
      </c>
      <c r="S11" s="72">
        <f t="shared" si="7"/>
        <v>8.25</v>
      </c>
      <c r="T11" s="71"/>
      <c r="V11" s="83" t="s">
        <v>409</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f>19+25</f>
        <v>44</v>
      </c>
      <c r="L12" s="111">
        <f>25+23</f>
        <v>48</v>
      </c>
      <c r="M12" s="111">
        <f>18+24</f>
        <v>42</v>
      </c>
      <c r="N12" s="111">
        <f>20+22</f>
        <v>42</v>
      </c>
      <c r="O12" s="111">
        <f>16+21</f>
        <v>37</v>
      </c>
      <c r="P12" s="111">
        <f>23+24</f>
        <v>47</v>
      </c>
      <c r="Q12" s="87">
        <f t="shared" si="5"/>
        <v>21.666666666666668</v>
      </c>
      <c r="R12" s="86">
        <f t="shared" si="6"/>
        <v>0.81308739451003131</v>
      </c>
      <c r="S12" s="72">
        <f t="shared" si="7"/>
        <v>10.833333333333334</v>
      </c>
      <c r="T12" s="71"/>
      <c r="V12" s="67">
        <v>1</v>
      </c>
      <c r="W12" s="65">
        <v>10.583333333333334</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22</v>
      </c>
      <c r="L13" s="109">
        <v>27</v>
      </c>
      <c r="M13" s="109">
        <v>19</v>
      </c>
      <c r="N13" s="109">
        <v>21</v>
      </c>
      <c r="O13" s="109">
        <v>20</v>
      </c>
      <c r="P13" s="109">
        <v>26</v>
      </c>
      <c r="Q13" s="78">
        <f t="shared" si="5"/>
        <v>11.25</v>
      </c>
      <c r="R13" s="77">
        <f t="shared" si="6"/>
        <v>0.66770752080033768</v>
      </c>
      <c r="S13" s="72">
        <f t="shared" si="7"/>
        <v>11.25</v>
      </c>
      <c r="T13" s="71"/>
      <c r="V13" s="70">
        <v>2</v>
      </c>
      <c r="W13" s="69">
        <v>10.625</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f>24+25</f>
        <v>49</v>
      </c>
      <c r="L14" s="111">
        <f>21+19</f>
        <v>40</v>
      </c>
      <c r="M14" s="111">
        <f>18+21</f>
        <v>39</v>
      </c>
      <c r="N14" s="111">
        <f>19+21</f>
        <v>40</v>
      </c>
      <c r="O14" s="111">
        <f>16+25</f>
        <v>41</v>
      </c>
      <c r="P14" s="111">
        <f>26+26</f>
        <v>52</v>
      </c>
      <c r="Q14" s="87">
        <f t="shared" si="5"/>
        <v>21.75</v>
      </c>
      <c r="R14" s="86">
        <f t="shared" si="6"/>
        <v>1.1310025051549033</v>
      </c>
      <c r="S14" s="72">
        <f t="shared" si="7"/>
        <v>10.875</v>
      </c>
      <c r="T14" s="71"/>
      <c r="V14" s="70">
        <v>3</v>
      </c>
      <c r="W14" s="69">
        <v>11.145833333333334</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f>26</f>
        <v>26</v>
      </c>
      <c r="L15" s="109">
        <v>29</v>
      </c>
      <c r="M15" s="109">
        <v>22</v>
      </c>
      <c r="N15" s="109">
        <v>24</v>
      </c>
      <c r="O15" s="109">
        <v>21</v>
      </c>
      <c r="P15" s="109">
        <v>19</v>
      </c>
      <c r="Q15" s="78">
        <f t="shared" si="5"/>
        <v>11.75</v>
      </c>
      <c r="R15" s="77">
        <f t="shared" si="6"/>
        <v>0.73880534197671677</v>
      </c>
      <c r="S15" s="72">
        <f t="shared" si="7"/>
        <v>11.75</v>
      </c>
      <c r="T15" s="71"/>
      <c r="V15" s="70">
        <v>4</v>
      </c>
      <c r="W15" s="69">
        <v>11.625</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09">
        <v>15</v>
      </c>
      <c r="L16" s="109">
        <v>21</v>
      </c>
      <c r="M16" s="109">
        <v>19</v>
      </c>
      <c r="N16" s="109">
        <v>22</v>
      </c>
      <c r="O16" s="109">
        <v>25</v>
      </c>
      <c r="P16" s="109">
        <v>26</v>
      </c>
      <c r="Q16" s="78">
        <f t="shared" si="5"/>
        <v>10.666666666666666</v>
      </c>
      <c r="R16" s="77">
        <f t="shared" si="6"/>
        <v>0.82327260234856536</v>
      </c>
      <c r="S16" s="72">
        <f t="shared" si="7"/>
        <v>10.666666666666666</v>
      </c>
      <c r="T16" s="71"/>
      <c r="V16" s="70">
        <v>5</v>
      </c>
      <c r="W16" s="69">
        <v>11.541666666666666</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4">
        <v>23</v>
      </c>
      <c r="L17" s="74">
        <v>23</v>
      </c>
      <c r="M17" s="74">
        <v>23</v>
      </c>
      <c r="N17" s="74">
        <v>24</v>
      </c>
      <c r="O17" s="74">
        <v>20</v>
      </c>
      <c r="P17" s="74">
        <v>24</v>
      </c>
      <c r="Q17" s="74">
        <f t="shared" si="5"/>
        <v>11.416666666666666</v>
      </c>
      <c r="R17" s="73">
        <f t="shared" si="6"/>
        <v>0.30046260628866583</v>
      </c>
      <c r="S17" s="72">
        <f t="shared" si="7"/>
        <v>11.416666666666666</v>
      </c>
      <c r="T17" s="98"/>
      <c r="V17" s="70">
        <v>6</v>
      </c>
      <c r="W17" s="69">
        <v>11.9375</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f>26+18</f>
        <v>44</v>
      </c>
      <c r="L18" s="114">
        <f>22+25</f>
        <v>47</v>
      </c>
      <c r="M18" s="114">
        <f>23+20</f>
        <v>43</v>
      </c>
      <c r="N18" s="114">
        <f>18+17</f>
        <v>35</v>
      </c>
      <c r="O18" s="114">
        <f>11+23</f>
        <v>34</v>
      </c>
      <c r="P18" s="114">
        <f>18+15</f>
        <v>33</v>
      </c>
      <c r="Q18" s="87">
        <f t="shared" si="5"/>
        <v>19.666666666666668</v>
      </c>
      <c r="R18" s="87">
        <f t="shared" si="6"/>
        <v>1.2292725943057203</v>
      </c>
      <c r="S18" s="72">
        <f t="shared" si="7"/>
        <v>9.8333333333333339</v>
      </c>
      <c r="T18" s="71"/>
      <c r="V18" s="70">
        <v>7</v>
      </c>
      <c r="W18" s="69">
        <v>11.4375</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3">
        <v>27</v>
      </c>
      <c r="L19" s="112">
        <v>18</v>
      </c>
      <c r="M19" s="112">
        <v>28</v>
      </c>
      <c r="N19" s="112">
        <v>13</v>
      </c>
      <c r="O19" s="109">
        <v>27</v>
      </c>
      <c r="P19" s="109">
        <v>26</v>
      </c>
      <c r="Q19" s="78">
        <f t="shared" si="5"/>
        <v>11.583333333333334</v>
      </c>
      <c r="R19" s="77">
        <f t="shared" si="6"/>
        <v>1.2610621625351304</v>
      </c>
      <c r="S19" s="72">
        <f t="shared" si="7"/>
        <v>11.583333333333334</v>
      </c>
      <c r="T19" s="71"/>
      <c r="V19" s="70">
        <v>8</v>
      </c>
      <c r="W19" s="69">
        <v>11.28125</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109">
        <v>21</v>
      </c>
      <c r="L20" s="109">
        <v>27</v>
      </c>
      <c r="M20" s="109">
        <v>20</v>
      </c>
      <c r="N20" s="109">
        <v>17</v>
      </c>
      <c r="O20" s="109">
        <v>27</v>
      </c>
      <c r="P20" s="109">
        <v>18</v>
      </c>
      <c r="Q20" s="78">
        <f t="shared" si="5"/>
        <v>10.833333333333334</v>
      </c>
      <c r="R20" s="77">
        <f t="shared" si="6"/>
        <v>0.89131613047472991</v>
      </c>
      <c r="S20" s="72">
        <f t="shared" si="7"/>
        <v>10.833333333333334</v>
      </c>
      <c r="T20" s="71"/>
      <c r="V20" s="64" t="s">
        <v>408</v>
      </c>
      <c r="W20" s="62">
        <v>11.27213541666667</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f>21+21</f>
        <v>42</v>
      </c>
      <c r="L21" s="111">
        <f>22+25</f>
        <v>47</v>
      </c>
      <c r="M21" s="111">
        <f>24+24</f>
        <v>48</v>
      </c>
      <c r="N21" s="111">
        <f>25+25</f>
        <v>50</v>
      </c>
      <c r="O21" s="111">
        <f>20+24</f>
        <v>44</v>
      </c>
      <c r="P21" s="111">
        <f>21+26</f>
        <v>47</v>
      </c>
      <c r="Q21" s="87">
        <f t="shared" si="5"/>
        <v>23.166666666666668</v>
      </c>
      <c r="R21" s="86">
        <f t="shared" si="6"/>
        <v>0.58689389538863379</v>
      </c>
      <c r="S21" s="72">
        <f t="shared" si="7"/>
        <v>11.583333333333334</v>
      </c>
      <c r="T21" s="71"/>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14</v>
      </c>
      <c r="L22" s="109">
        <v>25</v>
      </c>
      <c r="M22" s="109">
        <v>26</v>
      </c>
      <c r="N22" s="109">
        <v>24</v>
      </c>
      <c r="O22" s="109">
        <v>19</v>
      </c>
      <c r="P22" s="109">
        <v>24</v>
      </c>
      <c r="Q22" s="78">
        <f t="shared" si="5"/>
        <v>11</v>
      </c>
      <c r="R22" s="77">
        <f t="shared" si="6"/>
        <v>0.93985814532477896</v>
      </c>
      <c r="S22" s="72">
        <f t="shared" si="7"/>
        <v>11</v>
      </c>
      <c r="T22" s="71"/>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26</v>
      </c>
      <c r="L23" s="109">
        <v>21</v>
      </c>
      <c r="M23" s="109">
        <v>22</v>
      </c>
      <c r="N23" s="109">
        <v>26</v>
      </c>
      <c r="O23" s="109">
        <v>23</v>
      </c>
      <c r="P23" s="109">
        <v>24</v>
      </c>
      <c r="Q23" s="78">
        <f t="shared" si="5"/>
        <v>11.833333333333334</v>
      </c>
      <c r="R23" s="77">
        <f t="shared" si="6"/>
        <v>0.42163702135578401</v>
      </c>
      <c r="S23" s="72">
        <f t="shared" si="7"/>
        <v>11.833333333333334</v>
      </c>
      <c r="T23" s="71"/>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18</v>
      </c>
      <c r="L24" s="109">
        <v>20</v>
      </c>
      <c r="M24" s="109">
        <v>22</v>
      </c>
      <c r="N24" s="109">
        <v>24</v>
      </c>
      <c r="O24" s="109">
        <v>27</v>
      </c>
      <c r="P24" s="109">
        <v>23</v>
      </c>
      <c r="Q24" s="78">
        <f t="shared" si="5"/>
        <v>11.166666666666666</v>
      </c>
      <c r="R24" s="77">
        <f t="shared" si="6"/>
        <v>0.64117946872237919</v>
      </c>
      <c r="S24" s="72">
        <f t="shared" si="7"/>
        <v>11.166666666666666</v>
      </c>
      <c r="T24" s="71"/>
      <c r="V24" s="58">
        <f>AVERAGE(W15:W17,W19)</f>
        <v>11.596354166666666</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26</v>
      </c>
      <c r="L25" s="74">
        <v>26</v>
      </c>
      <c r="M25" s="74">
        <v>20</v>
      </c>
      <c r="N25" s="74">
        <v>22</v>
      </c>
      <c r="O25" s="74">
        <v>14</v>
      </c>
      <c r="P25" s="74">
        <v>23</v>
      </c>
      <c r="Q25" s="74">
        <f t="shared" si="5"/>
        <v>10.916666666666666</v>
      </c>
      <c r="R25" s="73">
        <f t="shared" si="6"/>
        <v>0.91666666666666741</v>
      </c>
      <c r="S25" s="72">
        <f t="shared" si="7"/>
        <v>10.916666666666666</v>
      </c>
      <c r="T25" s="71"/>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19</v>
      </c>
      <c r="L26" s="110">
        <v>27</v>
      </c>
      <c r="M26" s="110">
        <v>17</v>
      </c>
      <c r="N26" s="110">
        <v>19</v>
      </c>
      <c r="O26" s="110">
        <v>24</v>
      </c>
      <c r="P26" s="110">
        <v>22</v>
      </c>
      <c r="Q26" s="78">
        <f t="shared" si="5"/>
        <v>10.666666666666666</v>
      </c>
      <c r="R26" s="78">
        <f t="shared" si="6"/>
        <v>0.76011695006609292</v>
      </c>
      <c r="S26" s="72">
        <f t="shared" si="7"/>
        <v>10.666666666666666</v>
      </c>
      <c r="T26" s="71"/>
      <c r="V26" s="58">
        <f>AVERAGE(W12:W14,W18)</f>
        <v>10.947916666666668</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28</v>
      </c>
      <c r="L27" s="109">
        <v>21</v>
      </c>
      <c r="M27" s="109">
        <v>24</v>
      </c>
      <c r="N27" s="109">
        <v>19</v>
      </c>
      <c r="O27" s="109">
        <v>23</v>
      </c>
      <c r="P27" s="109">
        <v>24</v>
      </c>
      <c r="Q27" s="78">
        <f t="shared" si="5"/>
        <v>11.583333333333334</v>
      </c>
      <c r="R27" s="77">
        <f t="shared" si="6"/>
        <v>0.62472216046637807</v>
      </c>
      <c r="S27" s="72">
        <f t="shared" si="7"/>
        <v>11.583333333333334</v>
      </c>
      <c r="T27" s="71"/>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25</v>
      </c>
      <c r="L28" s="109">
        <v>19</v>
      </c>
      <c r="M28" s="109">
        <v>25</v>
      </c>
      <c r="N28" s="109">
        <v>27</v>
      </c>
      <c r="O28" s="109">
        <v>20</v>
      </c>
      <c r="P28" s="109">
        <v>27</v>
      </c>
      <c r="Q28" s="78">
        <f t="shared" si="5"/>
        <v>11.916666666666666</v>
      </c>
      <c r="R28" s="77">
        <f t="shared" si="6"/>
        <v>0.7120003121097952</v>
      </c>
      <c r="S28" s="72">
        <f t="shared" si="7"/>
        <v>11.916666666666666</v>
      </c>
      <c r="T28" s="71"/>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26</v>
      </c>
      <c r="L29" s="109">
        <v>27</v>
      </c>
      <c r="M29" s="109">
        <v>23</v>
      </c>
      <c r="N29" s="109">
        <v>25</v>
      </c>
      <c r="O29" s="109">
        <v>23</v>
      </c>
      <c r="P29" s="109">
        <v>24</v>
      </c>
      <c r="Q29" s="78">
        <f t="shared" si="5"/>
        <v>12.333333333333334</v>
      </c>
      <c r="R29" s="77">
        <f t="shared" si="6"/>
        <v>0.33333333333333337</v>
      </c>
      <c r="S29" s="72">
        <f t="shared" si="7"/>
        <v>12.333333333333334</v>
      </c>
      <c r="T29" s="71"/>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f>22+26</f>
        <v>48</v>
      </c>
      <c r="L30" s="111">
        <f>26+27</f>
        <v>53</v>
      </c>
      <c r="M30" s="111">
        <f>21+22</f>
        <v>43</v>
      </c>
      <c r="N30" s="111">
        <f>26+24</f>
        <v>50</v>
      </c>
      <c r="O30" s="111">
        <f>26+25</f>
        <v>51</v>
      </c>
      <c r="P30" s="111">
        <f>28+27</f>
        <v>55</v>
      </c>
      <c r="Q30" s="87">
        <f t="shared" si="5"/>
        <v>25</v>
      </c>
      <c r="R30" s="86">
        <f t="shared" si="6"/>
        <v>0.85634883857767541</v>
      </c>
      <c r="S30" s="72">
        <f t="shared" si="7"/>
        <v>12.5</v>
      </c>
      <c r="T30" s="71"/>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27</v>
      </c>
      <c r="L31" s="109">
        <v>25</v>
      </c>
      <c r="M31" s="109">
        <v>22</v>
      </c>
      <c r="N31" s="109">
        <v>24</v>
      </c>
      <c r="O31" s="109">
        <v>25</v>
      </c>
      <c r="P31" s="109">
        <v>26</v>
      </c>
      <c r="Q31" s="78">
        <f t="shared" si="5"/>
        <v>12.416666666666666</v>
      </c>
      <c r="R31" s="77">
        <f t="shared" si="6"/>
        <v>0.3515837184954832</v>
      </c>
      <c r="S31" s="72">
        <f t="shared" si="7"/>
        <v>12.416666666666666</v>
      </c>
      <c r="T31" s="71"/>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20</v>
      </c>
      <c r="L32" s="109">
        <v>21</v>
      </c>
      <c r="M32" s="109">
        <v>19</v>
      </c>
      <c r="N32" s="109">
        <v>27</v>
      </c>
      <c r="O32" s="109">
        <v>25</v>
      </c>
      <c r="P32" s="109">
        <v>27</v>
      </c>
      <c r="Q32" s="78">
        <f t="shared" si="5"/>
        <v>11.583333333333334</v>
      </c>
      <c r="R32" s="77">
        <f t="shared" si="6"/>
        <v>0.73503590237333249</v>
      </c>
      <c r="S32" s="72">
        <f t="shared" si="7"/>
        <v>11.583333333333334</v>
      </c>
      <c r="T32" s="71"/>
    </row>
    <row r="33" spans="2:25"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f>24+23</f>
        <v>47</v>
      </c>
      <c r="L33" s="91">
        <f>28+24</f>
        <v>52</v>
      </c>
      <c r="M33" s="91">
        <f>21+24</f>
        <v>45</v>
      </c>
      <c r="N33" s="91">
        <f>24+15</f>
        <v>39</v>
      </c>
      <c r="O33" s="91">
        <f>22+25</f>
        <v>47</v>
      </c>
      <c r="P33" s="91">
        <f>12+19</f>
        <v>31</v>
      </c>
      <c r="Q33" s="91">
        <f t="shared" si="5"/>
        <v>21.75</v>
      </c>
      <c r="R33" s="90">
        <f t="shared" si="6"/>
        <v>1.5152007567755943</v>
      </c>
      <c r="S33" s="72">
        <f t="shared" si="7"/>
        <v>10.875</v>
      </c>
      <c r="T33" s="71"/>
    </row>
    <row r="34" spans="2:25" x14ac:dyDescent="0.2">
      <c r="B34" s="23">
        <v>401</v>
      </c>
      <c r="C34" s="23" t="s">
        <v>152</v>
      </c>
      <c r="D34" s="23">
        <v>7</v>
      </c>
      <c r="E34" s="81">
        <f t="shared" si="0"/>
        <v>2</v>
      </c>
      <c r="F34" s="81">
        <f t="shared" si="1"/>
        <v>1</v>
      </c>
      <c r="G34" s="81">
        <f t="shared" si="2"/>
        <v>2</v>
      </c>
      <c r="H34" s="23">
        <v>3</v>
      </c>
      <c r="I34" s="23">
        <f t="shared" si="3"/>
        <v>1</v>
      </c>
      <c r="J34" s="23" t="str">
        <f t="shared" si="4"/>
        <v>212.3</v>
      </c>
      <c r="K34" s="110">
        <v>21</v>
      </c>
      <c r="L34" s="110">
        <v>17</v>
      </c>
      <c r="M34" s="110">
        <v>22</v>
      </c>
      <c r="N34" s="110">
        <v>21</v>
      </c>
      <c r="O34" s="110">
        <v>23</v>
      </c>
      <c r="P34" s="110">
        <v>23</v>
      </c>
      <c r="Q34" s="78">
        <f t="shared" si="5"/>
        <v>10.583333333333334</v>
      </c>
      <c r="R34" s="78">
        <f t="shared" si="6"/>
        <v>0.45491146879853944</v>
      </c>
      <c r="S34" s="72">
        <f t="shared" si="7"/>
        <v>10.583333333333334</v>
      </c>
      <c r="T34" s="71"/>
    </row>
    <row r="35" spans="2:25" x14ac:dyDescent="0.2">
      <c r="B35" s="5">
        <v>402</v>
      </c>
      <c r="C35" s="5" t="s">
        <v>115</v>
      </c>
      <c r="D35" s="5">
        <v>9</v>
      </c>
      <c r="E35" s="18">
        <f t="shared" si="0"/>
        <v>2</v>
      </c>
      <c r="F35" s="18">
        <f t="shared" si="1"/>
        <v>2</v>
      </c>
      <c r="G35" s="18">
        <f t="shared" si="2"/>
        <v>2</v>
      </c>
      <c r="H35" s="5">
        <v>3</v>
      </c>
      <c r="I35" s="5">
        <f t="shared" si="3"/>
        <v>2</v>
      </c>
      <c r="J35" s="5" t="str">
        <f t="shared" si="4"/>
        <v>222.3</v>
      </c>
      <c r="K35" s="109">
        <v>24</v>
      </c>
      <c r="L35" s="109">
        <v>25</v>
      </c>
      <c r="M35" s="109">
        <v>20</v>
      </c>
      <c r="N35" s="109">
        <v>21</v>
      </c>
      <c r="O35" s="109">
        <v>18</v>
      </c>
      <c r="P35" s="109">
        <v>25</v>
      </c>
      <c r="Q35" s="78">
        <f t="shared" si="5"/>
        <v>11.083333333333334</v>
      </c>
      <c r="R35" s="77">
        <f t="shared" si="6"/>
        <v>0.59744827763116515</v>
      </c>
      <c r="S35" s="72">
        <f t="shared" si="7"/>
        <v>11.083333333333334</v>
      </c>
      <c r="T35" s="71"/>
    </row>
    <row r="36" spans="2:25" x14ac:dyDescent="0.2">
      <c r="B36" s="88">
        <v>403</v>
      </c>
      <c r="C36" s="88" t="s">
        <v>155</v>
      </c>
      <c r="D36" s="88">
        <v>6</v>
      </c>
      <c r="E36" s="89">
        <f t="shared" si="0"/>
        <v>1</v>
      </c>
      <c r="F36" s="89">
        <f t="shared" si="1"/>
        <v>3</v>
      </c>
      <c r="G36" s="89">
        <f t="shared" si="2"/>
        <v>1</v>
      </c>
      <c r="H36" s="88">
        <v>3</v>
      </c>
      <c r="I36" s="88">
        <f t="shared" si="3"/>
        <v>3</v>
      </c>
      <c r="J36" s="88" t="str">
        <f t="shared" si="4"/>
        <v>131.3</v>
      </c>
      <c r="K36" s="111">
        <f>25+27</f>
        <v>52</v>
      </c>
      <c r="L36" s="111">
        <f>20+25</f>
        <v>45</v>
      </c>
      <c r="M36" s="111">
        <f>18+28</f>
        <v>46</v>
      </c>
      <c r="N36" s="111">
        <f>19+24</f>
        <v>43</v>
      </c>
      <c r="O36" s="111">
        <f>16+20</f>
        <v>36</v>
      </c>
      <c r="P36" s="111">
        <f>21+21</f>
        <v>42</v>
      </c>
      <c r="Q36" s="87">
        <f t="shared" si="5"/>
        <v>22</v>
      </c>
      <c r="R36" s="86">
        <f t="shared" si="6"/>
        <v>1.0723805294763609</v>
      </c>
      <c r="S36" s="72">
        <f t="shared" si="7"/>
        <v>11</v>
      </c>
      <c r="T36" s="71"/>
    </row>
    <row r="37" spans="2:25" x14ac:dyDescent="0.2">
      <c r="B37" s="5">
        <v>404</v>
      </c>
      <c r="C37" s="5" t="s">
        <v>111</v>
      </c>
      <c r="D37" s="5">
        <v>3</v>
      </c>
      <c r="E37" s="18">
        <f t="shared" si="0"/>
        <v>1</v>
      </c>
      <c r="F37" s="18">
        <f t="shared" si="1"/>
        <v>2</v>
      </c>
      <c r="G37" s="18">
        <f t="shared" si="2"/>
        <v>2</v>
      </c>
      <c r="H37" s="5">
        <v>3</v>
      </c>
      <c r="I37" s="5">
        <f t="shared" si="3"/>
        <v>4</v>
      </c>
      <c r="J37" s="5" t="str">
        <f t="shared" si="4"/>
        <v>122.3</v>
      </c>
      <c r="K37" s="109">
        <v>24</v>
      </c>
      <c r="L37" s="109">
        <v>24</v>
      </c>
      <c r="M37" s="109">
        <v>22</v>
      </c>
      <c r="N37" s="109">
        <v>26</v>
      </c>
      <c r="O37" s="109">
        <v>21</v>
      </c>
      <c r="P37" s="109">
        <v>19</v>
      </c>
      <c r="Q37" s="78">
        <f t="shared" si="5"/>
        <v>11.333333333333334</v>
      </c>
      <c r="R37" s="77">
        <f t="shared" si="6"/>
        <v>0.51099032389186438</v>
      </c>
      <c r="S37" s="72">
        <f t="shared" si="7"/>
        <v>11.333333333333334</v>
      </c>
      <c r="T37" s="71"/>
    </row>
    <row r="38" spans="2:25" x14ac:dyDescent="0.2">
      <c r="B38" s="88">
        <v>405</v>
      </c>
      <c r="C38" s="88" t="s">
        <v>155</v>
      </c>
      <c r="D38" s="88">
        <v>6</v>
      </c>
      <c r="E38" s="89">
        <f t="shared" si="0"/>
        <v>1</v>
      </c>
      <c r="F38" s="89">
        <f t="shared" si="1"/>
        <v>3</v>
      </c>
      <c r="G38" s="89">
        <f t="shared" si="2"/>
        <v>1</v>
      </c>
      <c r="H38" s="88">
        <v>4</v>
      </c>
      <c r="I38" s="88">
        <f t="shared" si="3"/>
        <v>5</v>
      </c>
      <c r="J38" s="88" t="str">
        <f t="shared" si="4"/>
        <v>131.4</v>
      </c>
      <c r="K38" s="111">
        <f>23+26</f>
        <v>49</v>
      </c>
      <c r="L38" s="111">
        <f>30+25</f>
        <v>55</v>
      </c>
      <c r="M38" s="111">
        <f>21+24</f>
        <v>45</v>
      </c>
      <c r="N38" s="111">
        <f>21+22</f>
        <v>43</v>
      </c>
      <c r="O38" s="111">
        <f>18+23</f>
        <v>41</v>
      </c>
      <c r="P38" s="111">
        <f>24+26</f>
        <v>50</v>
      </c>
      <c r="Q38" s="87">
        <f t="shared" si="5"/>
        <v>23.583333333333332</v>
      </c>
      <c r="R38" s="86">
        <f t="shared" si="6"/>
        <v>1.0521142734724422</v>
      </c>
      <c r="S38" s="72">
        <f t="shared" si="7"/>
        <v>11.791666666666666</v>
      </c>
      <c r="T38" s="71"/>
    </row>
    <row r="39" spans="2:25" x14ac:dyDescent="0.2">
      <c r="B39" s="5">
        <v>406</v>
      </c>
      <c r="C39" s="5" t="s">
        <v>111</v>
      </c>
      <c r="D39" s="5">
        <v>3</v>
      </c>
      <c r="E39" s="18">
        <f t="shared" si="0"/>
        <v>1</v>
      </c>
      <c r="F39" s="18">
        <f t="shared" si="1"/>
        <v>2</v>
      </c>
      <c r="G39" s="18">
        <f t="shared" si="2"/>
        <v>2</v>
      </c>
      <c r="H39" s="5">
        <v>4</v>
      </c>
      <c r="I39" s="5">
        <f t="shared" si="3"/>
        <v>6</v>
      </c>
      <c r="J39" s="5" t="str">
        <f t="shared" si="4"/>
        <v>122.4</v>
      </c>
      <c r="K39" s="109">
        <v>23</v>
      </c>
      <c r="L39" s="109">
        <v>25</v>
      </c>
      <c r="M39" s="109">
        <v>26</v>
      </c>
      <c r="N39" s="109">
        <v>21</v>
      </c>
      <c r="O39" s="109">
        <v>23</v>
      </c>
      <c r="P39" s="109">
        <v>23</v>
      </c>
      <c r="Q39" s="78">
        <f t="shared" si="5"/>
        <v>11.75</v>
      </c>
      <c r="R39" s="77">
        <f t="shared" si="6"/>
        <v>0.35939764421413045</v>
      </c>
      <c r="S39" s="72">
        <f t="shared" si="7"/>
        <v>11.75</v>
      </c>
      <c r="T39" s="71"/>
      <c r="V39" s="1" t="s">
        <v>496</v>
      </c>
    </row>
    <row r="40" spans="2:25" x14ac:dyDescent="0.2">
      <c r="B40" s="5">
        <v>407</v>
      </c>
      <c r="C40" s="5" t="s">
        <v>152</v>
      </c>
      <c r="D40" s="5">
        <v>7</v>
      </c>
      <c r="E40" s="18">
        <f t="shared" si="0"/>
        <v>2</v>
      </c>
      <c r="F40" s="18">
        <f t="shared" si="1"/>
        <v>1</v>
      </c>
      <c r="G40" s="18">
        <f t="shared" si="2"/>
        <v>2</v>
      </c>
      <c r="H40" s="5">
        <v>4</v>
      </c>
      <c r="I40" s="5">
        <f t="shared" si="3"/>
        <v>7</v>
      </c>
      <c r="J40" s="5" t="str">
        <f t="shared" si="4"/>
        <v>212.4</v>
      </c>
      <c r="K40" s="109">
        <v>21</v>
      </c>
      <c r="L40" s="109">
        <v>24</v>
      </c>
      <c r="M40" s="109">
        <v>23</v>
      </c>
      <c r="N40" s="109">
        <v>25</v>
      </c>
      <c r="O40" s="109">
        <v>28</v>
      </c>
      <c r="P40" s="109">
        <v>27</v>
      </c>
      <c r="Q40" s="78">
        <f t="shared" si="5"/>
        <v>12.333333333333334</v>
      </c>
      <c r="R40" s="77">
        <f t="shared" si="6"/>
        <v>0.52704627669472992</v>
      </c>
      <c r="S40" s="72">
        <f t="shared" si="7"/>
        <v>12.333333333333334</v>
      </c>
      <c r="T40" s="71"/>
      <c r="V40" s="83" t="s">
        <v>407</v>
      </c>
      <c r="W40" s="66"/>
      <c r="X40" s="66"/>
      <c r="Y40" s="82"/>
    </row>
    <row r="41" spans="2:25"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27</v>
      </c>
      <c r="L41" s="74">
        <v>23</v>
      </c>
      <c r="M41" s="74">
        <v>22</v>
      </c>
      <c r="N41" s="74">
        <v>28</v>
      </c>
      <c r="O41" s="74">
        <v>25</v>
      </c>
      <c r="P41" s="74">
        <v>18</v>
      </c>
      <c r="Q41" s="74">
        <f t="shared" si="5"/>
        <v>11.916666666666666</v>
      </c>
      <c r="R41" s="73">
        <f t="shared" si="6"/>
        <v>0.74628710590793801</v>
      </c>
      <c r="S41" s="72">
        <f t="shared" si="7"/>
        <v>11.916666666666666</v>
      </c>
      <c r="T41" s="71"/>
      <c r="V41" s="83" t="s">
        <v>74</v>
      </c>
      <c r="W41" s="83" t="s">
        <v>72</v>
      </c>
      <c r="X41" s="83" t="s">
        <v>73</v>
      </c>
      <c r="Y41" s="82" t="s">
        <v>406</v>
      </c>
    </row>
    <row r="42" spans="2:25" x14ac:dyDescent="0.2">
      <c r="B42" s="23">
        <v>901</v>
      </c>
      <c r="C42" s="23" t="s">
        <v>404</v>
      </c>
      <c r="D42" s="23">
        <v>32</v>
      </c>
      <c r="E42" s="81">
        <v>9</v>
      </c>
      <c r="F42" s="81">
        <v>0</v>
      </c>
      <c r="G42" s="81">
        <v>1</v>
      </c>
      <c r="H42" s="23">
        <v>1</v>
      </c>
      <c r="I42" s="23">
        <f t="shared" si="3"/>
        <v>1</v>
      </c>
      <c r="J42" s="23" t="str">
        <f t="shared" si="4"/>
        <v>901.1</v>
      </c>
      <c r="K42" s="110">
        <v>0</v>
      </c>
      <c r="L42" s="110">
        <v>0</v>
      </c>
      <c r="M42" s="110">
        <v>0</v>
      </c>
      <c r="N42" s="110">
        <v>0</v>
      </c>
      <c r="O42" s="110">
        <v>0</v>
      </c>
      <c r="P42" s="110">
        <v>0</v>
      </c>
      <c r="Q42" s="78">
        <f t="shared" si="5"/>
        <v>0</v>
      </c>
      <c r="R42" s="78">
        <f t="shared" si="6"/>
        <v>0</v>
      </c>
      <c r="S42" s="72">
        <f t="shared" si="7"/>
        <v>0</v>
      </c>
      <c r="V42" s="67" t="s">
        <v>23</v>
      </c>
      <c r="W42" s="67" t="s">
        <v>489</v>
      </c>
      <c r="X42" s="67" t="s">
        <v>167</v>
      </c>
      <c r="Y42" s="65">
        <v>11.625</v>
      </c>
    </row>
    <row r="43" spans="2:25" x14ac:dyDescent="0.2">
      <c r="B43" s="5">
        <v>902</v>
      </c>
      <c r="C43" s="80" t="s">
        <v>403</v>
      </c>
      <c r="D43" s="5">
        <v>22</v>
      </c>
      <c r="E43" s="18">
        <v>4</v>
      </c>
      <c r="F43" s="18">
        <v>2</v>
      </c>
      <c r="G43" s="18">
        <v>2</v>
      </c>
      <c r="H43" s="5">
        <v>1</v>
      </c>
      <c r="I43" s="5">
        <f t="shared" si="3"/>
        <v>2</v>
      </c>
      <c r="J43" s="5" t="str">
        <f t="shared" si="4"/>
        <v>422.1</v>
      </c>
      <c r="K43" s="109">
        <v>21</v>
      </c>
      <c r="L43" s="109">
        <v>24</v>
      </c>
      <c r="M43" s="109">
        <v>18</v>
      </c>
      <c r="N43" s="109">
        <v>19</v>
      </c>
      <c r="O43" s="109">
        <v>12</v>
      </c>
      <c r="P43" s="109">
        <v>20</v>
      </c>
      <c r="Q43" s="78">
        <f t="shared" si="5"/>
        <v>9.5</v>
      </c>
      <c r="R43" s="77">
        <f t="shared" si="6"/>
        <v>0.81649658092772615</v>
      </c>
      <c r="S43" s="72">
        <f t="shared" si="7"/>
        <v>9.5</v>
      </c>
      <c r="T43" s="71"/>
      <c r="V43" s="68"/>
      <c r="W43" s="68"/>
      <c r="X43" s="70" t="s">
        <v>166</v>
      </c>
      <c r="Y43" s="69">
        <v>10.854166666666666</v>
      </c>
    </row>
    <row r="44" spans="2:25" x14ac:dyDescent="0.2">
      <c r="B44" s="5">
        <v>903</v>
      </c>
      <c r="C44" s="5" t="s">
        <v>401</v>
      </c>
      <c r="D44" s="5">
        <v>31</v>
      </c>
      <c r="E44" s="18">
        <v>8</v>
      </c>
      <c r="F44" s="18">
        <v>0</v>
      </c>
      <c r="G44" s="18">
        <v>1</v>
      </c>
      <c r="H44" s="5">
        <v>1</v>
      </c>
      <c r="I44" s="5">
        <f t="shared" si="3"/>
        <v>3</v>
      </c>
      <c r="J44" s="5" t="str">
        <f t="shared" si="4"/>
        <v>801.1</v>
      </c>
      <c r="K44" s="109">
        <v>0</v>
      </c>
      <c r="L44" s="109">
        <v>0</v>
      </c>
      <c r="M44" s="109">
        <v>0</v>
      </c>
      <c r="N44" s="109">
        <v>0</v>
      </c>
      <c r="O44" s="109">
        <v>0</v>
      </c>
      <c r="P44" s="109">
        <v>0</v>
      </c>
      <c r="Q44" s="78">
        <f t="shared" si="5"/>
        <v>0</v>
      </c>
      <c r="R44" s="77">
        <f t="shared" si="6"/>
        <v>0</v>
      </c>
      <c r="S44" s="72">
        <f t="shared" si="7"/>
        <v>0</v>
      </c>
      <c r="T44" s="71"/>
      <c r="V44" s="68"/>
      <c r="W44" s="68"/>
      <c r="X44" s="70" t="s">
        <v>165</v>
      </c>
      <c r="Y44" s="69">
        <v>22.791666666666664</v>
      </c>
    </row>
    <row r="45" spans="2:25" x14ac:dyDescent="0.2">
      <c r="B45" s="5">
        <v>904</v>
      </c>
      <c r="C45" s="80" t="s">
        <v>400</v>
      </c>
      <c r="D45" s="5">
        <v>21</v>
      </c>
      <c r="E45" s="18">
        <v>3</v>
      </c>
      <c r="F45" s="18">
        <v>2</v>
      </c>
      <c r="G45" s="18">
        <v>2</v>
      </c>
      <c r="H45" s="5">
        <v>1</v>
      </c>
      <c r="I45" s="5">
        <f t="shared" si="3"/>
        <v>4</v>
      </c>
      <c r="J45" s="5" t="str">
        <f t="shared" si="4"/>
        <v>322.1</v>
      </c>
      <c r="K45" s="109">
        <v>24</v>
      </c>
      <c r="L45" s="109">
        <v>26</v>
      </c>
      <c r="M45" s="109">
        <v>18</v>
      </c>
      <c r="N45" s="109">
        <v>14</v>
      </c>
      <c r="O45" s="109">
        <v>23</v>
      </c>
      <c r="P45" s="109">
        <v>15</v>
      </c>
      <c r="Q45" s="78">
        <f t="shared" si="5"/>
        <v>10</v>
      </c>
      <c r="R45" s="77">
        <f t="shared" si="6"/>
        <v>1.0246950765959599</v>
      </c>
      <c r="S45" s="72">
        <f t="shared" si="7"/>
        <v>10</v>
      </c>
      <c r="T45" s="71"/>
      <c r="V45" s="68"/>
      <c r="W45" s="67" t="s">
        <v>488</v>
      </c>
      <c r="X45" s="66"/>
      <c r="Y45" s="65">
        <v>14.03125</v>
      </c>
    </row>
    <row r="46" spans="2:25" x14ac:dyDescent="0.2">
      <c r="B46" s="5">
        <v>905</v>
      </c>
      <c r="C46" s="5" t="s">
        <v>404</v>
      </c>
      <c r="D46" s="5">
        <v>32</v>
      </c>
      <c r="E46" s="18">
        <v>9</v>
      </c>
      <c r="F46" s="18">
        <v>0</v>
      </c>
      <c r="G46" s="18">
        <v>1</v>
      </c>
      <c r="H46" s="5">
        <v>2</v>
      </c>
      <c r="I46" s="5">
        <f t="shared" si="3"/>
        <v>5</v>
      </c>
      <c r="J46" s="5" t="str">
        <f t="shared" si="4"/>
        <v>901.2</v>
      </c>
      <c r="K46" s="109">
        <v>0</v>
      </c>
      <c r="L46" s="109">
        <v>0</v>
      </c>
      <c r="M46" s="109">
        <v>0</v>
      </c>
      <c r="N46" s="109">
        <v>0</v>
      </c>
      <c r="O46" s="109"/>
      <c r="P46" s="109">
        <v>0</v>
      </c>
      <c r="Q46" s="78">
        <f t="shared" si="5"/>
        <v>0</v>
      </c>
      <c r="R46" s="77">
        <f t="shared" si="6"/>
        <v>0</v>
      </c>
      <c r="S46" s="72">
        <f t="shared" si="7"/>
        <v>0</v>
      </c>
      <c r="T46" s="71"/>
      <c r="V46" s="68"/>
      <c r="W46" s="67" t="s">
        <v>487</v>
      </c>
      <c r="X46" s="67" t="s">
        <v>167</v>
      </c>
      <c r="Y46" s="65">
        <v>11.125</v>
      </c>
    </row>
    <row r="47" spans="2:25" x14ac:dyDescent="0.2">
      <c r="B47" s="5">
        <v>906</v>
      </c>
      <c r="C47" s="80" t="s">
        <v>403</v>
      </c>
      <c r="D47" s="5">
        <v>22</v>
      </c>
      <c r="E47" s="18">
        <v>4</v>
      </c>
      <c r="F47" s="18">
        <v>2</v>
      </c>
      <c r="G47" s="18">
        <v>2</v>
      </c>
      <c r="H47" s="5">
        <v>2</v>
      </c>
      <c r="I47" s="5">
        <f t="shared" si="3"/>
        <v>6</v>
      </c>
      <c r="J47" s="5" t="str">
        <f t="shared" si="4"/>
        <v>422.2</v>
      </c>
      <c r="K47" s="109">
        <v>23</v>
      </c>
      <c r="L47" s="109">
        <v>25</v>
      </c>
      <c r="M47" s="109">
        <v>23</v>
      </c>
      <c r="N47" s="109">
        <v>20</v>
      </c>
      <c r="O47" s="109">
        <v>15</v>
      </c>
      <c r="P47" s="109">
        <v>21</v>
      </c>
      <c r="Q47" s="78">
        <f t="shared" si="5"/>
        <v>10.583333333333334</v>
      </c>
      <c r="R47" s="77">
        <f t="shared" si="6"/>
        <v>0.7120003121097952</v>
      </c>
      <c r="S47" s="72">
        <f t="shared" si="7"/>
        <v>10.583333333333334</v>
      </c>
      <c r="T47" s="71"/>
      <c r="V47" s="68"/>
      <c r="W47" s="68"/>
      <c r="X47" s="70" t="s">
        <v>166</v>
      </c>
      <c r="Y47" s="69">
        <v>11.333333333333334</v>
      </c>
    </row>
    <row r="48" spans="2:25" x14ac:dyDescent="0.2">
      <c r="B48" s="5">
        <v>907</v>
      </c>
      <c r="C48" s="5" t="s">
        <v>401</v>
      </c>
      <c r="D48" s="5">
        <v>31</v>
      </c>
      <c r="E48" s="18">
        <v>8</v>
      </c>
      <c r="F48" s="18">
        <v>0</v>
      </c>
      <c r="G48" s="18">
        <v>1</v>
      </c>
      <c r="H48" s="5">
        <v>2</v>
      </c>
      <c r="I48" s="5">
        <f t="shared" si="3"/>
        <v>7</v>
      </c>
      <c r="J48" s="5" t="str">
        <f t="shared" si="4"/>
        <v>801.2</v>
      </c>
      <c r="K48" s="109">
        <v>0</v>
      </c>
      <c r="L48" s="109">
        <v>0</v>
      </c>
      <c r="M48" s="109">
        <v>0</v>
      </c>
      <c r="N48" s="109">
        <v>0</v>
      </c>
      <c r="O48" s="109">
        <v>0</v>
      </c>
      <c r="P48" s="109">
        <v>0</v>
      </c>
      <c r="Q48" s="78">
        <f t="shared" si="5"/>
        <v>0</v>
      </c>
      <c r="R48" s="77">
        <f t="shared" si="6"/>
        <v>0</v>
      </c>
      <c r="S48" s="72">
        <f t="shared" si="7"/>
        <v>0</v>
      </c>
      <c r="T48" s="71"/>
      <c r="V48" s="68"/>
      <c r="W48" s="68"/>
      <c r="X48" s="70" t="s">
        <v>165</v>
      </c>
      <c r="Y48" s="69">
        <v>21.708333333333336</v>
      </c>
    </row>
    <row r="49" spans="2:25" ht="13.5" thickBot="1" x14ac:dyDescent="0.25">
      <c r="B49" s="13">
        <v>908</v>
      </c>
      <c r="C49" s="76" t="s">
        <v>400</v>
      </c>
      <c r="D49" s="13">
        <v>21</v>
      </c>
      <c r="E49" s="75">
        <v>3</v>
      </c>
      <c r="F49" s="75">
        <v>2</v>
      </c>
      <c r="G49" s="75">
        <v>2</v>
      </c>
      <c r="H49" s="13">
        <v>2</v>
      </c>
      <c r="I49" s="13">
        <f t="shared" si="3"/>
        <v>8</v>
      </c>
      <c r="J49" s="13" t="str">
        <f t="shared" si="4"/>
        <v>322.2</v>
      </c>
      <c r="K49" s="74">
        <v>30</v>
      </c>
      <c r="L49" s="74">
        <v>24</v>
      </c>
      <c r="M49" s="74">
        <v>21</v>
      </c>
      <c r="N49" s="74">
        <v>23</v>
      </c>
      <c r="O49" s="74">
        <v>25</v>
      </c>
      <c r="P49" s="74">
        <v>24</v>
      </c>
      <c r="Q49" s="74">
        <f t="shared" si="5"/>
        <v>12.25</v>
      </c>
      <c r="R49" s="73">
        <f t="shared" si="6"/>
        <v>0.61576510673037221</v>
      </c>
      <c r="S49" s="72">
        <f t="shared" si="7"/>
        <v>12.25</v>
      </c>
      <c r="T49" s="71"/>
      <c r="V49" s="68"/>
      <c r="W49" s="67" t="s">
        <v>486</v>
      </c>
      <c r="X49" s="66"/>
      <c r="Y49" s="65">
        <v>13.875</v>
      </c>
    </row>
    <row r="50" spans="2:25" x14ac:dyDescent="0.2">
      <c r="V50" s="67" t="s">
        <v>490</v>
      </c>
      <c r="W50" s="66"/>
      <c r="X50" s="66"/>
      <c r="Y50" s="65">
        <v>13.953125</v>
      </c>
    </row>
    <row r="51" spans="2:25" x14ac:dyDescent="0.2">
      <c r="V51" s="67" t="s">
        <v>22</v>
      </c>
      <c r="W51" s="67" t="s">
        <v>489</v>
      </c>
      <c r="X51" s="67" t="s">
        <v>167</v>
      </c>
      <c r="Y51" s="65">
        <v>11.875</v>
      </c>
    </row>
    <row r="52" spans="2:25" x14ac:dyDescent="0.2">
      <c r="V52" s="68"/>
      <c r="W52" s="68"/>
      <c r="X52" s="70" t="s">
        <v>166</v>
      </c>
      <c r="Y52" s="69">
        <v>11.125</v>
      </c>
    </row>
    <row r="53" spans="2:25" x14ac:dyDescent="0.2">
      <c r="V53" s="68"/>
      <c r="W53" s="68"/>
      <c r="X53" s="70" t="s">
        <v>165</v>
      </c>
      <c r="Y53" s="69">
        <v>20.708333333333336</v>
      </c>
    </row>
    <row r="54" spans="2:25" x14ac:dyDescent="0.2">
      <c r="V54" s="68"/>
      <c r="W54" s="67" t="s">
        <v>488</v>
      </c>
      <c r="X54" s="66"/>
      <c r="Y54" s="65">
        <v>13.708333333333334</v>
      </c>
    </row>
    <row r="55" spans="2:25" x14ac:dyDescent="0.2">
      <c r="V55" s="68"/>
      <c r="W55" s="67" t="s">
        <v>487</v>
      </c>
      <c r="X55" s="67" t="s">
        <v>167</v>
      </c>
      <c r="Y55" s="65">
        <v>11.458333333333334</v>
      </c>
    </row>
    <row r="56" spans="2:25" x14ac:dyDescent="0.2">
      <c r="V56" s="68"/>
      <c r="W56" s="68"/>
      <c r="X56" s="70" t="s">
        <v>166</v>
      </c>
      <c r="Y56" s="69">
        <v>11.5</v>
      </c>
    </row>
    <row r="57" spans="2:25" x14ac:dyDescent="0.2">
      <c r="V57" s="68"/>
      <c r="W57" s="68"/>
      <c r="X57" s="70" t="s">
        <v>165</v>
      </c>
      <c r="Y57" s="69">
        <v>24.083333333333336</v>
      </c>
    </row>
    <row r="58" spans="2:25" x14ac:dyDescent="0.2">
      <c r="V58" s="68"/>
      <c r="W58" s="67" t="s">
        <v>486</v>
      </c>
      <c r="X58" s="66"/>
      <c r="Y58" s="65">
        <v>14.635416666666668</v>
      </c>
    </row>
    <row r="59" spans="2:25" x14ac:dyDescent="0.2">
      <c r="V59" s="64" t="s">
        <v>485</v>
      </c>
      <c r="W59" s="63"/>
      <c r="X59" s="63"/>
      <c r="Y59" s="62">
        <v>14.171875</v>
      </c>
    </row>
  </sheetData>
  <mergeCells count="1">
    <mergeCell ref="D7:N7"/>
  </mergeCells>
  <pageMargins left="0.75" right="0.75" top="1" bottom="1" header="0.5" footer="0.5"/>
  <pageSetup orientation="portrait" r:id="rId3"/>
  <headerFooter alignWithMargins="0"/>
  <drawing r:id="rId4"/>
  <legacyDrawing r:id="rId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B48B-266E-44D5-BA4B-B343BE300A32}">
  <dimension ref="A1:X53"/>
  <sheetViews>
    <sheetView topLeftCell="C1" workbookViewId="0">
      <selection activeCell="K10" sqref="K10:P49"/>
    </sheetView>
  </sheetViews>
  <sheetFormatPr defaultRowHeight="12.75" x14ac:dyDescent="0.2"/>
  <cols>
    <col min="1" max="19" width="9.140625" style="1"/>
    <col min="20" max="20" width="45.7109375" style="1" customWidth="1"/>
    <col min="21" max="21" width="9.140625" style="1"/>
    <col min="22" max="22" width="23.5703125" style="1" customWidth="1"/>
    <col min="23" max="23" width="5.5703125" style="1" customWidth="1"/>
    <col min="24" max="26" width="4.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122</v>
      </c>
      <c r="E3" s="1" t="s">
        <v>425</v>
      </c>
      <c r="F3" s="105">
        <v>0.375</v>
      </c>
    </row>
    <row r="4" spans="1:23" ht="13.5" thickBot="1" x14ac:dyDescent="0.25">
      <c r="E4" s="1" t="s">
        <v>424</v>
      </c>
      <c r="F4" s="105">
        <v>0.42083333333333334</v>
      </c>
      <c r="N4" s="58">
        <f>AVERAGE(Q10:Q11,Q13,Q15:Q17,Q19:Q20,Q22:Q29,Q31:Q32,Q34:Q35,Q37,Q39:Q41)</f>
        <v>11.309027777777779</v>
      </c>
      <c r="O4" s="58">
        <f>AVERAGE(Q12,Q14,Q18,Q21,Q30,Q36,Q38,Q33)</f>
        <v>22.927083333333336</v>
      </c>
    </row>
    <row r="6" spans="1:23" x14ac:dyDescent="0.2">
      <c r="B6" s="1" t="s">
        <v>80</v>
      </c>
      <c r="D6" s="104"/>
      <c r="E6" s="104"/>
      <c r="F6" s="104"/>
      <c r="G6" s="104"/>
      <c r="H6" s="104"/>
      <c r="I6" s="104"/>
      <c r="J6" s="104"/>
      <c r="K6" s="104"/>
      <c r="L6" s="104"/>
      <c r="M6" s="104"/>
      <c r="N6" s="104"/>
      <c r="O6" s="104"/>
    </row>
    <row r="7" spans="1:23" x14ac:dyDescent="0.2">
      <c r="D7" s="104"/>
      <c r="E7" s="104"/>
      <c r="F7" s="104"/>
      <c r="G7" s="104"/>
      <c r="H7" s="104"/>
      <c r="I7" s="104"/>
      <c r="J7" s="104"/>
      <c r="K7" s="104"/>
      <c r="L7" s="104"/>
      <c r="M7" s="104"/>
      <c r="N7" s="104"/>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21</v>
      </c>
      <c r="L10" s="110">
        <v>18</v>
      </c>
      <c r="M10" s="110">
        <v>23</v>
      </c>
      <c r="N10" s="110">
        <v>15</v>
      </c>
      <c r="O10" s="110">
        <v>20</v>
      </c>
      <c r="P10" s="110">
        <v>27</v>
      </c>
      <c r="Q10" s="78">
        <f t="shared" ref="Q10:Q41" si="5">AVERAGE(K10:P10)/2</f>
        <v>10.333333333333334</v>
      </c>
      <c r="R10" s="78">
        <f t="shared" ref="R10:R41" si="6">STDEV(K10:P10)/2/SQRT(COUNT(K10:P10))</f>
        <v>0.84327404271156869</v>
      </c>
      <c r="S10" s="72">
        <f t="shared" ref="S10:S41" si="7">IF(F10=3,Q10/2,Q10)</f>
        <v>10.333333333333334</v>
      </c>
      <c r="T10" s="71" t="s">
        <v>509</v>
      </c>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109">
        <v>25</v>
      </c>
      <c r="L11" s="109">
        <v>15</v>
      </c>
      <c r="M11" s="109">
        <v>13</v>
      </c>
      <c r="N11" s="109">
        <v>14</v>
      </c>
      <c r="O11" s="109">
        <v>22</v>
      </c>
      <c r="P11" s="109">
        <v>25</v>
      </c>
      <c r="Q11" s="78">
        <f t="shared" si="5"/>
        <v>9.5</v>
      </c>
      <c r="R11" s="77">
        <f t="shared" si="6"/>
        <v>1.1474609652039005</v>
      </c>
      <c r="S11" s="72">
        <f t="shared" si="7"/>
        <v>9.5</v>
      </c>
      <c r="T11" s="71" t="s">
        <v>508</v>
      </c>
      <c r="V11" s="83" t="s">
        <v>409</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f>21+25</f>
        <v>46</v>
      </c>
      <c r="L12" s="111">
        <f>26+25</f>
        <v>51</v>
      </c>
      <c r="M12" s="111">
        <f>18+24</f>
        <v>42</v>
      </c>
      <c r="N12" s="111">
        <f>21+23</f>
        <v>44</v>
      </c>
      <c r="O12" s="111">
        <f>16+23</f>
        <v>39</v>
      </c>
      <c r="P12" s="111">
        <f>25+24</f>
        <v>49</v>
      </c>
      <c r="Q12" s="87">
        <f t="shared" si="5"/>
        <v>22.583333333333332</v>
      </c>
      <c r="R12" s="86">
        <f t="shared" si="6"/>
        <v>0.90753022600413225</v>
      </c>
      <c r="S12" s="72">
        <f t="shared" si="7"/>
        <v>11.291666666666666</v>
      </c>
      <c r="T12" s="71" t="s">
        <v>507</v>
      </c>
      <c r="V12" s="67">
        <v>1</v>
      </c>
      <c r="W12" s="65">
        <v>10.5</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25</v>
      </c>
      <c r="L13" s="109">
        <v>28</v>
      </c>
      <c r="M13" s="109">
        <v>21</v>
      </c>
      <c r="N13" s="109">
        <v>23</v>
      </c>
      <c r="O13" s="109">
        <v>21</v>
      </c>
      <c r="P13" s="109">
        <v>25</v>
      </c>
      <c r="Q13" s="78">
        <f t="shared" si="5"/>
        <v>11.916666666666666</v>
      </c>
      <c r="R13" s="77">
        <f t="shared" si="6"/>
        <v>0.55402567128648994</v>
      </c>
      <c r="S13" s="72">
        <f t="shared" si="7"/>
        <v>11.916666666666666</v>
      </c>
      <c r="T13" s="71" t="s">
        <v>507</v>
      </c>
      <c r="V13" s="70">
        <v>2</v>
      </c>
      <c r="W13" s="69">
        <v>11.0625</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f>26+25</f>
        <v>51</v>
      </c>
      <c r="L14" s="111">
        <f>24+26</f>
        <v>50</v>
      </c>
      <c r="M14" s="111">
        <f>23+23</f>
        <v>46</v>
      </c>
      <c r="N14" s="111">
        <f>21+23</f>
        <v>44</v>
      </c>
      <c r="O14" s="111">
        <f>18+26</f>
        <v>44</v>
      </c>
      <c r="P14" s="111">
        <f>27+27</f>
        <v>54</v>
      </c>
      <c r="Q14" s="87">
        <f t="shared" si="5"/>
        <v>24.083333333333332</v>
      </c>
      <c r="R14" s="86">
        <f t="shared" si="6"/>
        <v>0.84079988370862946</v>
      </c>
      <c r="S14" s="72">
        <f t="shared" si="7"/>
        <v>12.041666666666666</v>
      </c>
      <c r="T14" s="71" t="s">
        <v>507</v>
      </c>
      <c r="V14" s="70">
        <v>3</v>
      </c>
      <c r="W14" s="69">
        <v>10.802083333333332</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v>26</v>
      </c>
      <c r="L15" s="109">
        <v>30</v>
      </c>
      <c r="M15" s="109">
        <v>24</v>
      </c>
      <c r="N15" s="109">
        <v>25</v>
      </c>
      <c r="O15" s="109">
        <v>21</v>
      </c>
      <c r="P15" s="109">
        <v>22</v>
      </c>
      <c r="Q15" s="78">
        <f t="shared" si="5"/>
        <v>12.333333333333334</v>
      </c>
      <c r="R15" s="77">
        <f t="shared" si="6"/>
        <v>0.65404722901162049</v>
      </c>
      <c r="S15" s="72">
        <f t="shared" si="7"/>
        <v>12.333333333333334</v>
      </c>
      <c r="T15" s="71" t="s">
        <v>507</v>
      </c>
      <c r="V15" s="70">
        <v>4</v>
      </c>
      <c r="W15" s="69">
        <v>11.3125</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24">
        <v>17</v>
      </c>
      <c r="L16" s="124">
        <v>23</v>
      </c>
      <c r="M16" s="124">
        <v>20</v>
      </c>
      <c r="N16" s="124">
        <v>22</v>
      </c>
      <c r="O16" s="124">
        <v>26</v>
      </c>
      <c r="P16" s="124">
        <v>26</v>
      </c>
      <c r="Q16" s="78">
        <f t="shared" si="5"/>
        <v>11.166666666666666</v>
      </c>
      <c r="R16" s="77">
        <f t="shared" si="6"/>
        <v>0.7149203529842415</v>
      </c>
      <c r="S16" s="72">
        <f t="shared" si="7"/>
        <v>11.166666666666666</v>
      </c>
      <c r="T16" s="71" t="s">
        <v>507</v>
      </c>
      <c r="V16" s="70">
        <v>5</v>
      </c>
      <c r="W16" s="69">
        <v>11.822916666666666</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109">
        <v>25</v>
      </c>
      <c r="L17" s="109">
        <v>25</v>
      </c>
      <c r="M17" s="109">
        <v>26</v>
      </c>
      <c r="N17" s="109">
        <v>25</v>
      </c>
      <c r="O17" s="109">
        <v>21</v>
      </c>
      <c r="P17" s="109">
        <v>23</v>
      </c>
      <c r="Q17" s="78">
        <f t="shared" si="5"/>
        <v>12.083333333333334</v>
      </c>
      <c r="R17" s="77">
        <f t="shared" si="6"/>
        <v>0.37453675090407057</v>
      </c>
      <c r="S17" s="72">
        <f t="shared" si="7"/>
        <v>12.083333333333334</v>
      </c>
      <c r="T17" s="71" t="s">
        <v>506</v>
      </c>
      <c r="V17" s="70">
        <v>6</v>
      </c>
      <c r="W17" s="69">
        <v>11.979166666666668</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f>26+20</f>
        <v>46</v>
      </c>
      <c r="L18" s="114">
        <f>24+25</f>
        <v>49</v>
      </c>
      <c r="M18" s="114">
        <f>22+23</f>
        <v>45</v>
      </c>
      <c r="N18" s="114">
        <f>18+20</f>
        <v>38</v>
      </c>
      <c r="O18" s="114">
        <f>16+23</f>
        <v>39</v>
      </c>
      <c r="P18" s="114">
        <f>28+21</f>
        <v>49</v>
      </c>
      <c r="Q18" s="87">
        <f t="shared" si="5"/>
        <v>22.166666666666668</v>
      </c>
      <c r="R18" s="87">
        <f t="shared" si="6"/>
        <v>0.98036274465684958</v>
      </c>
      <c r="S18" s="72">
        <f t="shared" si="7"/>
        <v>11.083333333333334</v>
      </c>
      <c r="T18" s="71" t="s">
        <v>505</v>
      </c>
      <c r="V18" s="70">
        <v>7</v>
      </c>
      <c r="W18" s="69">
        <v>11.666666666666666</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3">
        <v>27</v>
      </c>
      <c r="L19" s="112">
        <v>23</v>
      </c>
      <c r="M19" s="112">
        <v>28</v>
      </c>
      <c r="N19" s="112">
        <v>15</v>
      </c>
      <c r="O19" s="109">
        <v>29</v>
      </c>
      <c r="P19" s="109">
        <v>28</v>
      </c>
      <c r="Q19" s="78">
        <f t="shared" si="5"/>
        <v>12.5</v>
      </c>
      <c r="R19" s="77">
        <f t="shared" si="6"/>
        <v>1.0878112581387147</v>
      </c>
      <c r="S19" s="72">
        <f t="shared" si="7"/>
        <v>12.5</v>
      </c>
      <c r="T19" s="71" t="s">
        <v>504</v>
      </c>
      <c r="V19" s="70">
        <v>8</v>
      </c>
      <c r="W19" s="69">
        <v>11.635416666666666</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109">
        <v>18</v>
      </c>
      <c r="L20" s="109">
        <v>25</v>
      </c>
      <c r="M20" s="109">
        <v>20</v>
      </c>
      <c r="N20" s="109">
        <v>15</v>
      </c>
      <c r="O20" s="109">
        <v>21</v>
      </c>
      <c r="P20" s="109">
        <v>17</v>
      </c>
      <c r="Q20" s="78">
        <f t="shared" si="5"/>
        <v>9.6666666666666661</v>
      </c>
      <c r="R20" s="77">
        <f t="shared" si="6"/>
        <v>0.7149203529842415</v>
      </c>
      <c r="S20" s="72">
        <f t="shared" si="7"/>
        <v>9.6666666666666661</v>
      </c>
      <c r="T20" s="71" t="s">
        <v>503</v>
      </c>
      <c r="V20" s="64" t="s">
        <v>408</v>
      </c>
      <c r="W20" s="62">
        <v>11.34765625</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f>24+20</f>
        <v>44</v>
      </c>
      <c r="L21" s="111">
        <f>23+24</f>
        <v>47</v>
      </c>
      <c r="M21" s="111">
        <f>22+24</f>
        <v>46</v>
      </c>
      <c r="N21" s="111">
        <f>22+23</f>
        <v>45</v>
      </c>
      <c r="O21" s="111">
        <f>19+26</f>
        <v>45</v>
      </c>
      <c r="P21" s="111">
        <f>20+25</f>
        <v>45</v>
      </c>
      <c r="Q21" s="87">
        <f t="shared" si="5"/>
        <v>22.666666666666668</v>
      </c>
      <c r="R21" s="86">
        <f t="shared" si="6"/>
        <v>0.21081851067789195</v>
      </c>
      <c r="S21" s="72">
        <f t="shared" si="7"/>
        <v>11.333333333333334</v>
      </c>
      <c r="T21" s="71" t="s">
        <v>499</v>
      </c>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14</v>
      </c>
      <c r="L22" s="109">
        <v>26</v>
      </c>
      <c r="M22" s="109">
        <v>24</v>
      </c>
      <c r="N22" s="109">
        <v>25</v>
      </c>
      <c r="O22" s="109">
        <v>19</v>
      </c>
      <c r="P22" s="109">
        <v>25</v>
      </c>
      <c r="Q22" s="78">
        <f t="shared" si="5"/>
        <v>11.083333333333334</v>
      </c>
      <c r="R22" s="77">
        <f t="shared" si="6"/>
        <v>0.96104688288923368</v>
      </c>
      <c r="S22" s="72">
        <f t="shared" si="7"/>
        <v>11.083333333333334</v>
      </c>
      <c r="T22" s="71" t="s">
        <v>503</v>
      </c>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25</v>
      </c>
      <c r="L23" s="109">
        <v>20</v>
      </c>
      <c r="M23" s="109">
        <v>22</v>
      </c>
      <c r="N23" s="109">
        <v>26</v>
      </c>
      <c r="O23" s="109">
        <v>23</v>
      </c>
      <c r="P23" s="109">
        <v>23</v>
      </c>
      <c r="Q23" s="78">
        <f t="shared" si="5"/>
        <v>11.583333333333334</v>
      </c>
      <c r="R23" s="77">
        <f t="shared" si="6"/>
        <v>0.43620841094341339</v>
      </c>
      <c r="S23" s="72">
        <f t="shared" si="7"/>
        <v>11.583333333333334</v>
      </c>
      <c r="T23" s="71" t="s">
        <v>499</v>
      </c>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18</v>
      </c>
      <c r="L24" s="109">
        <v>20</v>
      </c>
      <c r="M24" s="109">
        <v>22</v>
      </c>
      <c r="N24" s="109">
        <v>25</v>
      </c>
      <c r="O24" s="109">
        <v>27</v>
      </c>
      <c r="P24" s="109">
        <v>23</v>
      </c>
      <c r="Q24" s="78">
        <f t="shared" si="5"/>
        <v>11.25</v>
      </c>
      <c r="R24" s="77">
        <f t="shared" si="6"/>
        <v>0.66770752080033768</v>
      </c>
      <c r="S24" s="72">
        <f t="shared" si="7"/>
        <v>11.25</v>
      </c>
      <c r="T24" s="71" t="s">
        <v>503</v>
      </c>
      <c r="V24" s="58">
        <f>AVERAGE(W15:W17,W19)</f>
        <v>11.687499999999998</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28</v>
      </c>
      <c r="L25" s="74">
        <v>26</v>
      </c>
      <c r="M25" s="74">
        <v>22</v>
      </c>
      <c r="N25" s="74">
        <v>25</v>
      </c>
      <c r="O25" s="74">
        <v>15</v>
      </c>
      <c r="P25" s="74">
        <v>21</v>
      </c>
      <c r="Q25" s="74">
        <f t="shared" si="5"/>
        <v>11.416666666666666</v>
      </c>
      <c r="R25" s="73">
        <f t="shared" si="6"/>
        <v>0.94354532364787813</v>
      </c>
      <c r="S25" s="72">
        <f t="shared" si="7"/>
        <v>11.416666666666666</v>
      </c>
      <c r="T25" s="71" t="s">
        <v>503</v>
      </c>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17</v>
      </c>
      <c r="L26" s="110">
        <v>24</v>
      </c>
      <c r="M26" s="110">
        <v>18</v>
      </c>
      <c r="N26" s="110">
        <v>20</v>
      </c>
      <c r="O26" s="110">
        <v>24</v>
      </c>
      <c r="P26" s="110">
        <v>23</v>
      </c>
      <c r="Q26" s="78">
        <f t="shared" si="5"/>
        <v>10.5</v>
      </c>
      <c r="R26" s="78">
        <f t="shared" si="6"/>
        <v>0.63245553203367599</v>
      </c>
      <c r="S26" s="72">
        <f t="shared" si="7"/>
        <v>10.5</v>
      </c>
      <c r="T26" s="71" t="s">
        <v>503</v>
      </c>
      <c r="V26" s="58">
        <f>AVERAGE(W12:W14,W18)</f>
        <v>11.007812499999998</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27</v>
      </c>
      <c r="L27" s="109">
        <v>20</v>
      </c>
      <c r="M27" s="109">
        <v>23</v>
      </c>
      <c r="N27" s="109">
        <v>19</v>
      </c>
      <c r="O27" s="109">
        <v>23</v>
      </c>
      <c r="P27" s="109">
        <v>24</v>
      </c>
      <c r="Q27" s="78">
        <f t="shared" si="5"/>
        <v>11.333333333333334</v>
      </c>
      <c r="R27" s="77">
        <f t="shared" si="6"/>
        <v>0.58689389538863479</v>
      </c>
      <c r="S27" s="72">
        <f t="shared" si="7"/>
        <v>11.333333333333334</v>
      </c>
      <c r="T27" s="71" t="s">
        <v>503</v>
      </c>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25</v>
      </c>
      <c r="L28" s="109">
        <v>20</v>
      </c>
      <c r="M28" s="109">
        <v>24</v>
      </c>
      <c r="N28" s="109">
        <v>26</v>
      </c>
      <c r="O28" s="109">
        <v>17</v>
      </c>
      <c r="P28" s="109">
        <v>27</v>
      </c>
      <c r="Q28" s="78">
        <f t="shared" si="5"/>
        <v>11.583333333333334</v>
      </c>
      <c r="R28" s="77">
        <f t="shared" si="6"/>
        <v>0.78969051603214313</v>
      </c>
      <c r="S28" s="72">
        <f t="shared" si="7"/>
        <v>11.583333333333334</v>
      </c>
      <c r="T28" s="71" t="s">
        <v>503</v>
      </c>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25</v>
      </c>
      <c r="L29" s="109">
        <v>27</v>
      </c>
      <c r="M29" s="109">
        <v>23</v>
      </c>
      <c r="N29" s="109">
        <v>25</v>
      </c>
      <c r="O29" s="109">
        <v>23</v>
      </c>
      <c r="P29" s="109">
        <v>21</v>
      </c>
      <c r="Q29" s="78">
        <f t="shared" si="5"/>
        <v>12</v>
      </c>
      <c r="R29" s="77">
        <f t="shared" si="6"/>
        <v>0.4281744192888377</v>
      </c>
      <c r="S29" s="72">
        <f t="shared" si="7"/>
        <v>12</v>
      </c>
      <c r="T29" s="71" t="s">
        <v>503</v>
      </c>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f>23+29</f>
        <v>52</v>
      </c>
      <c r="L30" s="111">
        <f>27+25</f>
        <v>52</v>
      </c>
      <c r="M30" s="111">
        <f>21+23</f>
        <v>44</v>
      </c>
      <c r="N30" s="111">
        <f>26+23</f>
        <v>49</v>
      </c>
      <c r="O30" s="111">
        <f>24+25</f>
        <v>49</v>
      </c>
      <c r="P30" s="111">
        <f>28+26</f>
        <v>54</v>
      </c>
      <c r="Q30" s="87">
        <f t="shared" si="5"/>
        <v>25</v>
      </c>
      <c r="R30" s="86">
        <f t="shared" si="6"/>
        <v>0.7187952884282609</v>
      </c>
      <c r="S30" s="72">
        <f t="shared" si="7"/>
        <v>12.5</v>
      </c>
      <c r="T30" s="71" t="s">
        <v>503</v>
      </c>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27</v>
      </c>
      <c r="L31" s="109">
        <v>25</v>
      </c>
      <c r="M31" s="109">
        <v>22</v>
      </c>
      <c r="N31" s="109">
        <v>24</v>
      </c>
      <c r="O31" s="109">
        <v>26</v>
      </c>
      <c r="P31" s="109">
        <v>25</v>
      </c>
      <c r="Q31" s="78">
        <f t="shared" si="5"/>
        <v>12.416666666666666</v>
      </c>
      <c r="R31" s="77">
        <f t="shared" si="6"/>
        <v>0.3515837184954832</v>
      </c>
      <c r="S31" s="72">
        <f t="shared" si="7"/>
        <v>12.416666666666666</v>
      </c>
      <c r="T31" s="71" t="s">
        <v>503</v>
      </c>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20</v>
      </c>
      <c r="L32" s="109">
        <v>22</v>
      </c>
      <c r="M32" s="109">
        <v>19</v>
      </c>
      <c r="N32" s="109">
        <v>26</v>
      </c>
      <c r="O32" s="109">
        <v>23</v>
      </c>
      <c r="P32" s="109">
        <v>27</v>
      </c>
      <c r="Q32" s="78">
        <f t="shared" si="5"/>
        <v>11.416666666666666</v>
      </c>
      <c r="R32" s="77">
        <f t="shared" si="6"/>
        <v>0.65085413965888894</v>
      </c>
      <c r="S32" s="72">
        <f t="shared" si="7"/>
        <v>11.416666666666666</v>
      </c>
      <c r="T32" s="71" t="s">
        <v>503</v>
      </c>
    </row>
    <row r="33" spans="2:23"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f>26+24</f>
        <v>50</v>
      </c>
      <c r="L33" s="91">
        <f>28+23</f>
        <v>51</v>
      </c>
      <c r="M33" s="91">
        <f>21+23</f>
        <v>44</v>
      </c>
      <c r="N33" s="91">
        <f>23+19</f>
        <v>42</v>
      </c>
      <c r="O33" s="91">
        <f>23+25</f>
        <v>48</v>
      </c>
      <c r="P33" s="91">
        <f>12+20</f>
        <v>32</v>
      </c>
      <c r="Q33" s="91">
        <f t="shared" si="5"/>
        <v>22.25</v>
      </c>
      <c r="R33" s="90">
        <f t="shared" si="6"/>
        <v>1.4361406616345072</v>
      </c>
      <c r="S33" s="72">
        <f t="shared" si="7"/>
        <v>11.125</v>
      </c>
      <c r="T33" s="71" t="s">
        <v>503</v>
      </c>
    </row>
    <row r="34" spans="2:23" x14ac:dyDescent="0.2">
      <c r="B34" s="23">
        <v>401</v>
      </c>
      <c r="C34" s="23" t="s">
        <v>152</v>
      </c>
      <c r="D34" s="23">
        <v>7</v>
      </c>
      <c r="E34" s="81">
        <f t="shared" si="0"/>
        <v>2</v>
      </c>
      <c r="F34" s="81">
        <f t="shared" si="1"/>
        <v>1</v>
      </c>
      <c r="G34" s="81">
        <f t="shared" si="2"/>
        <v>2</v>
      </c>
      <c r="H34" s="23">
        <v>3</v>
      </c>
      <c r="I34" s="23">
        <f t="shared" si="3"/>
        <v>1</v>
      </c>
      <c r="J34" s="23" t="str">
        <f t="shared" si="4"/>
        <v>212.3</v>
      </c>
      <c r="K34" s="110">
        <v>16</v>
      </c>
      <c r="L34" s="110">
        <v>16</v>
      </c>
      <c r="M34" s="110">
        <v>21</v>
      </c>
      <c r="N34" s="110">
        <v>21</v>
      </c>
      <c r="O34" s="110">
        <v>25</v>
      </c>
      <c r="P34" s="110">
        <v>22</v>
      </c>
      <c r="Q34" s="78">
        <f t="shared" si="5"/>
        <v>10.083333333333334</v>
      </c>
      <c r="R34" s="78">
        <f t="shared" si="6"/>
        <v>0.72360977820308126</v>
      </c>
      <c r="S34" s="72">
        <f t="shared" si="7"/>
        <v>10.083333333333334</v>
      </c>
      <c r="T34" s="71" t="s">
        <v>499</v>
      </c>
    </row>
    <row r="35" spans="2:23" x14ac:dyDescent="0.2">
      <c r="B35" s="5">
        <v>402</v>
      </c>
      <c r="C35" s="5" t="s">
        <v>115</v>
      </c>
      <c r="D35" s="5">
        <v>9</v>
      </c>
      <c r="E35" s="18">
        <f t="shared" si="0"/>
        <v>2</v>
      </c>
      <c r="F35" s="18">
        <f t="shared" si="1"/>
        <v>2</v>
      </c>
      <c r="G35" s="18">
        <f t="shared" si="2"/>
        <v>2</v>
      </c>
      <c r="H35" s="5">
        <v>3</v>
      </c>
      <c r="I35" s="5">
        <f t="shared" si="3"/>
        <v>2</v>
      </c>
      <c r="J35" s="5" t="str">
        <f t="shared" si="4"/>
        <v>222.3</v>
      </c>
      <c r="K35" s="109">
        <v>23</v>
      </c>
      <c r="L35" s="109">
        <v>24</v>
      </c>
      <c r="M35" s="109">
        <v>22</v>
      </c>
      <c r="N35" s="109">
        <v>21</v>
      </c>
      <c r="O35" s="109">
        <v>16</v>
      </c>
      <c r="P35" s="109">
        <v>25</v>
      </c>
      <c r="Q35" s="78">
        <f t="shared" si="5"/>
        <v>10.916666666666666</v>
      </c>
      <c r="R35" s="77">
        <f t="shared" si="6"/>
        <v>0.65085413965888894</v>
      </c>
      <c r="S35" s="72">
        <f t="shared" si="7"/>
        <v>10.916666666666666</v>
      </c>
      <c r="T35" s="71" t="s">
        <v>499</v>
      </c>
    </row>
    <row r="36" spans="2:23" x14ac:dyDescent="0.2">
      <c r="B36" s="88">
        <v>403</v>
      </c>
      <c r="C36" s="88" t="s">
        <v>155</v>
      </c>
      <c r="D36" s="88">
        <v>6</v>
      </c>
      <c r="E36" s="89">
        <f t="shared" si="0"/>
        <v>1</v>
      </c>
      <c r="F36" s="89">
        <f t="shared" si="1"/>
        <v>3</v>
      </c>
      <c r="G36" s="89">
        <f t="shared" si="2"/>
        <v>1</v>
      </c>
      <c r="H36" s="88">
        <v>3</v>
      </c>
      <c r="I36" s="88">
        <f t="shared" si="3"/>
        <v>3</v>
      </c>
      <c r="J36" s="88" t="str">
        <f t="shared" si="4"/>
        <v>131.3</v>
      </c>
      <c r="K36" s="111">
        <f>26+27</f>
        <v>53</v>
      </c>
      <c r="L36" s="111">
        <f>17+26</f>
        <v>43</v>
      </c>
      <c r="M36" s="111">
        <f>17+26</f>
        <v>43</v>
      </c>
      <c r="N36" s="111">
        <f>18+24</f>
        <v>42</v>
      </c>
      <c r="O36" s="111">
        <f>12+22</f>
        <v>34</v>
      </c>
      <c r="P36" s="111">
        <f>21+20</f>
        <v>41</v>
      </c>
      <c r="Q36" s="87">
        <f t="shared" si="5"/>
        <v>21.333333333333332</v>
      </c>
      <c r="R36" s="86">
        <f t="shared" si="6"/>
        <v>1.2427567921538187</v>
      </c>
      <c r="S36" s="72">
        <f t="shared" si="7"/>
        <v>10.666666666666666</v>
      </c>
      <c r="T36" s="71" t="s">
        <v>499</v>
      </c>
    </row>
    <row r="37" spans="2:23" x14ac:dyDescent="0.2">
      <c r="B37" s="5">
        <v>404</v>
      </c>
      <c r="C37" s="5" t="s">
        <v>111</v>
      </c>
      <c r="D37" s="5">
        <v>3</v>
      </c>
      <c r="E37" s="18">
        <f t="shared" si="0"/>
        <v>1</v>
      </c>
      <c r="F37" s="18">
        <f t="shared" si="1"/>
        <v>2</v>
      </c>
      <c r="G37" s="18">
        <f t="shared" si="2"/>
        <v>2</v>
      </c>
      <c r="H37" s="5">
        <v>3</v>
      </c>
      <c r="I37" s="5">
        <f t="shared" si="3"/>
        <v>4</v>
      </c>
      <c r="J37" s="5" t="str">
        <f t="shared" si="4"/>
        <v>122.3</v>
      </c>
      <c r="K37" s="109">
        <v>22</v>
      </c>
      <c r="L37" s="109">
        <v>22</v>
      </c>
      <c r="M37" s="109">
        <v>18</v>
      </c>
      <c r="N37" s="109">
        <v>24</v>
      </c>
      <c r="O37" s="109">
        <v>16</v>
      </c>
      <c r="P37" s="109">
        <v>18</v>
      </c>
      <c r="Q37" s="78">
        <f t="shared" si="5"/>
        <v>10</v>
      </c>
      <c r="R37" s="77">
        <f t="shared" si="6"/>
        <v>0.63245553203367599</v>
      </c>
      <c r="S37" s="72">
        <f t="shared" si="7"/>
        <v>10</v>
      </c>
      <c r="T37" s="71" t="s">
        <v>499</v>
      </c>
    </row>
    <row r="38" spans="2:23" x14ac:dyDescent="0.2">
      <c r="B38" s="88">
        <v>405</v>
      </c>
      <c r="C38" s="88" t="s">
        <v>155</v>
      </c>
      <c r="D38" s="88">
        <v>6</v>
      </c>
      <c r="E38" s="89">
        <f t="shared" si="0"/>
        <v>1</v>
      </c>
      <c r="F38" s="89">
        <f t="shared" si="1"/>
        <v>3</v>
      </c>
      <c r="G38" s="89">
        <f t="shared" si="2"/>
        <v>1</v>
      </c>
      <c r="H38" s="88">
        <v>4</v>
      </c>
      <c r="I38" s="88">
        <f t="shared" si="3"/>
        <v>5</v>
      </c>
      <c r="J38" s="88" t="str">
        <f t="shared" si="4"/>
        <v>131.4</v>
      </c>
      <c r="K38" s="111">
        <f>23+27</f>
        <v>50</v>
      </c>
      <c r="L38" s="111">
        <f>29+24</f>
        <v>53</v>
      </c>
      <c r="M38" s="111">
        <f>21+24</f>
        <v>45</v>
      </c>
      <c r="N38" s="111">
        <f>21+22</f>
        <v>43</v>
      </c>
      <c r="O38" s="111">
        <f>17+23</f>
        <v>40</v>
      </c>
      <c r="P38" s="111">
        <f>23+26</f>
        <v>49</v>
      </c>
      <c r="Q38" s="87">
        <f t="shared" si="5"/>
        <v>23.333333333333332</v>
      </c>
      <c r="R38" s="86">
        <f t="shared" si="6"/>
        <v>0.98882646494608861</v>
      </c>
      <c r="S38" s="72">
        <f t="shared" si="7"/>
        <v>11.666666666666666</v>
      </c>
      <c r="T38" s="71" t="s">
        <v>502</v>
      </c>
    </row>
    <row r="39" spans="2:23" x14ac:dyDescent="0.2">
      <c r="B39" s="5">
        <v>406</v>
      </c>
      <c r="C39" s="5" t="s">
        <v>111</v>
      </c>
      <c r="D39" s="5">
        <v>3</v>
      </c>
      <c r="E39" s="18">
        <f t="shared" si="0"/>
        <v>1</v>
      </c>
      <c r="F39" s="18">
        <f t="shared" si="1"/>
        <v>2</v>
      </c>
      <c r="G39" s="18">
        <f t="shared" si="2"/>
        <v>2</v>
      </c>
      <c r="H39" s="5">
        <v>4</v>
      </c>
      <c r="I39" s="5">
        <f t="shared" si="3"/>
        <v>6</v>
      </c>
      <c r="J39" s="5" t="str">
        <f t="shared" si="4"/>
        <v>122.4</v>
      </c>
      <c r="K39" s="109">
        <v>24</v>
      </c>
      <c r="L39" s="109">
        <v>25</v>
      </c>
      <c r="M39" s="109">
        <v>26</v>
      </c>
      <c r="N39" s="109">
        <v>17</v>
      </c>
      <c r="O39" s="109">
        <v>23</v>
      </c>
      <c r="P39" s="109">
        <v>24</v>
      </c>
      <c r="Q39" s="78">
        <f t="shared" si="5"/>
        <v>11.583333333333334</v>
      </c>
      <c r="R39" s="77">
        <f t="shared" si="6"/>
        <v>0.65085413965888894</v>
      </c>
      <c r="S39" s="72">
        <f t="shared" si="7"/>
        <v>11.583333333333334</v>
      </c>
      <c r="T39" s="71" t="s">
        <v>499</v>
      </c>
    </row>
    <row r="40" spans="2:23" x14ac:dyDescent="0.2">
      <c r="B40" s="5">
        <v>407</v>
      </c>
      <c r="C40" s="5" t="s">
        <v>152</v>
      </c>
      <c r="D40" s="5">
        <v>7</v>
      </c>
      <c r="E40" s="18">
        <f t="shared" si="0"/>
        <v>2</v>
      </c>
      <c r="F40" s="18">
        <f t="shared" si="1"/>
        <v>1</v>
      </c>
      <c r="G40" s="18">
        <f t="shared" si="2"/>
        <v>2</v>
      </c>
      <c r="H40" s="5">
        <v>4</v>
      </c>
      <c r="I40" s="5">
        <f t="shared" si="3"/>
        <v>7</v>
      </c>
      <c r="J40" s="5" t="str">
        <f t="shared" si="4"/>
        <v>212.4</v>
      </c>
      <c r="K40" s="109">
        <v>26</v>
      </c>
      <c r="L40" s="109">
        <v>23</v>
      </c>
      <c r="M40" s="109">
        <v>23</v>
      </c>
      <c r="N40" s="109">
        <v>26</v>
      </c>
      <c r="O40" s="109">
        <v>29</v>
      </c>
      <c r="P40" s="109">
        <v>27</v>
      </c>
      <c r="Q40" s="78">
        <f t="shared" si="5"/>
        <v>12.833333333333334</v>
      </c>
      <c r="R40" s="77">
        <f t="shared" si="6"/>
        <v>0.47726070210921184</v>
      </c>
      <c r="S40" s="72">
        <f t="shared" si="7"/>
        <v>12.833333333333334</v>
      </c>
      <c r="T40" s="71" t="s">
        <v>501</v>
      </c>
      <c r="V40" s="83" t="s">
        <v>407</v>
      </c>
      <c r="W40" s="82"/>
    </row>
    <row r="41" spans="2:23"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26</v>
      </c>
      <c r="L41" s="74">
        <v>23</v>
      </c>
      <c r="M41" s="74">
        <v>24</v>
      </c>
      <c r="N41" s="74">
        <v>28</v>
      </c>
      <c r="O41" s="74">
        <v>26</v>
      </c>
      <c r="P41" s="74">
        <v>16</v>
      </c>
      <c r="Q41" s="74">
        <f t="shared" si="5"/>
        <v>11.916666666666666</v>
      </c>
      <c r="R41" s="73">
        <f t="shared" si="6"/>
        <v>0.86039396660935452</v>
      </c>
      <c r="S41" s="72">
        <f t="shared" si="7"/>
        <v>11.916666666666666</v>
      </c>
      <c r="T41" s="71" t="s">
        <v>500</v>
      </c>
      <c r="V41" s="83" t="s">
        <v>50</v>
      </c>
      <c r="W41" s="82" t="s">
        <v>406</v>
      </c>
    </row>
    <row r="42" spans="2:23" x14ac:dyDescent="0.2">
      <c r="B42" s="23">
        <v>901</v>
      </c>
      <c r="C42" s="23" t="s">
        <v>404</v>
      </c>
      <c r="D42" s="23">
        <v>32</v>
      </c>
      <c r="E42" s="81">
        <v>9</v>
      </c>
      <c r="F42" s="81">
        <v>0</v>
      </c>
      <c r="G42" s="81">
        <v>1</v>
      </c>
      <c r="H42" s="23">
        <v>1</v>
      </c>
      <c r="I42" s="23">
        <f t="shared" si="3"/>
        <v>1</v>
      </c>
      <c r="J42" s="23" t="str">
        <f t="shared" si="4"/>
        <v>901.1</v>
      </c>
      <c r="K42" s="110"/>
      <c r="L42" s="110"/>
      <c r="M42" s="110"/>
      <c r="N42" s="110"/>
      <c r="O42" s="110"/>
      <c r="P42" s="110"/>
      <c r="Q42" s="78"/>
      <c r="R42" s="78"/>
      <c r="S42" s="72"/>
      <c r="T42" s="71"/>
      <c r="V42" s="67" t="s">
        <v>120</v>
      </c>
      <c r="W42" s="65">
        <v>22.416666666666664</v>
      </c>
    </row>
    <row r="43" spans="2:23" x14ac:dyDescent="0.2">
      <c r="B43" s="5">
        <v>902</v>
      </c>
      <c r="C43" s="80" t="s">
        <v>403</v>
      </c>
      <c r="D43" s="5">
        <v>22</v>
      </c>
      <c r="E43" s="18">
        <v>4</v>
      </c>
      <c r="F43" s="18">
        <v>2</v>
      </c>
      <c r="G43" s="18">
        <v>2</v>
      </c>
      <c r="H43" s="5">
        <v>1</v>
      </c>
      <c r="I43" s="5">
        <f t="shared" si="3"/>
        <v>2</v>
      </c>
      <c r="J43" s="5" t="str">
        <f t="shared" si="4"/>
        <v>422.1</v>
      </c>
      <c r="K43" s="109">
        <v>22</v>
      </c>
      <c r="L43" s="109">
        <v>24</v>
      </c>
      <c r="M43" s="109">
        <v>18</v>
      </c>
      <c r="N43" s="109">
        <v>19</v>
      </c>
      <c r="O43" s="109">
        <v>13</v>
      </c>
      <c r="P43" s="109">
        <v>20</v>
      </c>
      <c r="Q43" s="78">
        <f>AVERAGE(K43:P43)/2</f>
        <v>9.6666666666666661</v>
      </c>
      <c r="R43" s="77">
        <f>STDEV(K43:P43)/2/SQRT(COUNT(K43:P43))</f>
        <v>0.77100223374802601</v>
      </c>
      <c r="S43" s="72">
        <f>IF(F43=3,Q43/2,Q43)</f>
        <v>9.6666666666666661</v>
      </c>
      <c r="T43" s="71" t="s">
        <v>499</v>
      </c>
      <c r="V43" s="70" t="s">
        <v>155</v>
      </c>
      <c r="W43" s="69">
        <v>22.333333333333332</v>
      </c>
    </row>
    <row r="44" spans="2:23" x14ac:dyDescent="0.2">
      <c r="B44" s="5">
        <v>903</v>
      </c>
      <c r="C44" s="5" t="s">
        <v>401</v>
      </c>
      <c r="D44" s="5">
        <v>31</v>
      </c>
      <c r="E44" s="18">
        <v>8</v>
      </c>
      <c r="F44" s="18">
        <v>0</v>
      </c>
      <c r="G44" s="18">
        <v>1</v>
      </c>
      <c r="H44" s="5">
        <v>1</v>
      </c>
      <c r="I44" s="5">
        <f t="shared" si="3"/>
        <v>3</v>
      </c>
      <c r="J44" s="5" t="str">
        <f t="shared" si="4"/>
        <v>801.1</v>
      </c>
      <c r="K44" s="109"/>
      <c r="L44" s="109"/>
      <c r="M44" s="109"/>
      <c r="N44" s="109"/>
      <c r="O44" s="109"/>
      <c r="P44" s="109"/>
      <c r="Q44" s="78"/>
      <c r="R44" s="77"/>
      <c r="S44" s="72"/>
      <c r="T44" s="71"/>
      <c r="V44" s="70" t="s">
        <v>124</v>
      </c>
      <c r="W44" s="69">
        <v>10.708333333333334</v>
      </c>
    </row>
    <row r="45" spans="2:23" x14ac:dyDescent="0.2">
      <c r="B45" s="5">
        <v>904</v>
      </c>
      <c r="C45" s="80" t="s">
        <v>400</v>
      </c>
      <c r="D45" s="5">
        <v>21</v>
      </c>
      <c r="E45" s="18">
        <v>3</v>
      </c>
      <c r="F45" s="18">
        <v>2</v>
      </c>
      <c r="G45" s="18">
        <v>2</v>
      </c>
      <c r="H45" s="5">
        <v>1</v>
      </c>
      <c r="I45" s="5">
        <f t="shared" si="3"/>
        <v>4</v>
      </c>
      <c r="J45" s="5" t="str">
        <f t="shared" si="4"/>
        <v>322.1</v>
      </c>
      <c r="K45" s="109">
        <v>21</v>
      </c>
      <c r="L45" s="109">
        <v>26</v>
      </c>
      <c r="M45" s="109">
        <v>14</v>
      </c>
      <c r="N45" s="109">
        <v>16</v>
      </c>
      <c r="O45" s="109">
        <v>22</v>
      </c>
      <c r="P45" s="109">
        <v>16</v>
      </c>
      <c r="Q45" s="78">
        <f>AVERAGE(K45:P45)/2</f>
        <v>9.5833333333333339</v>
      </c>
      <c r="R45" s="77">
        <f>STDEV(K45:P45)/2/SQRT(COUNT(K45:P45))</f>
        <v>0.93467165952066433</v>
      </c>
      <c r="S45" s="72">
        <f>IF(F45=3,Q45/2,Q45)</f>
        <v>9.5833333333333339</v>
      </c>
      <c r="T45" s="71" t="s">
        <v>499</v>
      </c>
      <c r="V45" s="70" t="s">
        <v>135</v>
      </c>
      <c r="W45" s="69">
        <v>11.708333333333332</v>
      </c>
    </row>
    <row r="46" spans="2:23" x14ac:dyDescent="0.2">
      <c r="B46" s="5">
        <v>905</v>
      </c>
      <c r="C46" s="5" t="s">
        <v>404</v>
      </c>
      <c r="D46" s="5">
        <v>32</v>
      </c>
      <c r="E46" s="18">
        <v>9</v>
      </c>
      <c r="F46" s="18">
        <v>0</v>
      </c>
      <c r="G46" s="18">
        <v>1</v>
      </c>
      <c r="H46" s="5">
        <v>2</v>
      </c>
      <c r="I46" s="5">
        <f t="shared" si="3"/>
        <v>5</v>
      </c>
      <c r="J46" s="5" t="str">
        <f t="shared" si="4"/>
        <v>901.2</v>
      </c>
      <c r="K46" s="109"/>
      <c r="L46" s="109"/>
      <c r="M46" s="109"/>
      <c r="N46" s="109"/>
      <c r="O46" s="109"/>
      <c r="P46" s="109"/>
      <c r="Q46" s="78"/>
      <c r="R46" s="77"/>
      <c r="S46" s="72"/>
      <c r="T46" s="71"/>
      <c r="V46" s="70" t="s">
        <v>111</v>
      </c>
      <c r="W46" s="69">
        <v>10.833333333333334</v>
      </c>
    </row>
    <row r="47" spans="2:23" x14ac:dyDescent="0.2">
      <c r="B47" s="5">
        <v>906</v>
      </c>
      <c r="C47" s="80" t="s">
        <v>403</v>
      </c>
      <c r="D47" s="5">
        <v>22</v>
      </c>
      <c r="E47" s="18">
        <v>4</v>
      </c>
      <c r="F47" s="18">
        <v>2</v>
      </c>
      <c r="G47" s="18">
        <v>2</v>
      </c>
      <c r="H47" s="5">
        <v>2</v>
      </c>
      <c r="I47" s="5">
        <f t="shared" si="3"/>
        <v>6</v>
      </c>
      <c r="J47" s="5" t="str">
        <f t="shared" si="4"/>
        <v>422.2</v>
      </c>
      <c r="K47" s="109">
        <v>21</v>
      </c>
      <c r="L47" s="109">
        <v>25</v>
      </c>
      <c r="M47" s="109">
        <v>24</v>
      </c>
      <c r="N47" s="109">
        <v>20</v>
      </c>
      <c r="O47" s="109">
        <v>17</v>
      </c>
      <c r="P47" s="109">
        <v>17</v>
      </c>
      <c r="Q47" s="78">
        <f>AVERAGE(K47:P47)/2</f>
        <v>10.333333333333334</v>
      </c>
      <c r="R47" s="77">
        <f>STDEV(K47:P47)/2/SQRT(COUNT(K47:P47))</f>
        <v>0.69121471177759164</v>
      </c>
      <c r="S47" s="72">
        <f>IF(F47=3,Q47/2,Q47)</f>
        <v>10.333333333333334</v>
      </c>
      <c r="T47" s="71" t="s">
        <v>499</v>
      </c>
      <c r="V47" s="70" t="s">
        <v>122</v>
      </c>
      <c r="W47" s="69">
        <v>11.125</v>
      </c>
    </row>
    <row r="48" spans="2:23" x14ac:dyDescent="0.2">
      <c r="B48" s="5">
        <v>907</v>
      </c>
      <c r="C48" s="5" t="s">
        <v>401</v>
      </c>
      <c r="D48" s="5">
        <v>31</v>
      </c>
      <c r="E48" s="18">
        <v>8</v>
      </c>
      <c r="F48" s="18">
        <v>0</v>
      </c>
      <c r="G48" s="18">
        <v>1</v>
      </c>
      <c r="H48" s="5">
        <v>2</v>
      </c>
      <c r="I48" s="5">
        <f t="shared" si="3"/>
        <v>7</v>
      </c>
      <c r="J48" s="5" t="str">
        <f t="shared" si="4"/>
        <v>801.2</v>
      </c>
      <c r="K48" s="109"/>
      <c r="L48" s="109"/>
      <c r="M48" s="109"/>
      <c r="N48" s="109"/>
      <c r="O48" s="109"/>
      <c r="P48" s="109"/>
      <c r="Q48" s="78"/>
      <c r="R48" s="77"/>
      <c r="S48" s="72"/>
      <c r="T48" s="71"/>
      <c r="V48" s="70" t="s">
        <v>129</v>
      </c>
      <c r="W48" s="69">
        <v>23.833333333333336</v>
      </c>
    </row>
    <row r="49" spans="2:23" ht="13.5" thickBot="1" x14ac:dyDescent="0.25">
      <c r="B49" s="13">
        <v>908</v>
      </c>
      <c r="C49" s="76" t="s">
        <v>400</v>
      </c>
      <c r="D49" s="13">
        <v>21</v>
      </c>
      <c r="E49" s="75">
        <v>3</v>
      </c>
      <c r="F49" s="75">
        <v>2</v>
      </c>
      <c r="G49" s="75">
        <v>2</v>
      </c>
      <c r="H49" s="13">
        <v>2</v>
      </c>
      <c r="I49" s="13">
        <f t="shared" si="3"/>
        <v>8</v>
      </c>
      <c r="J49" s="13" t="str">
        <f t="shared" si="4"/>
        <v>322.2</v>
      </c>
      <c r="K49" s="74">
        <v>27</v>
      </c>
      <c r="L49" s="74">
        <v>24</v>
      </c>
      <c r="M49" s="74">
        <v>22</v>
      </c>
      <c r="N49" s="74">
        <v>23</v>
      </c>
      <c r="O49" s="74">
        <v>23</v>
      </c>
      <c r="P49" s="74">
        <v>18</v>
      </c>
      <c r="Q49" s="74">
        <f>AVERAGE(K49:P49)/2</f>
        <v>11.416666666666666</v>
      </c>
      <c r="R49" s="73">
        <f>STDEV(K49:P49)/2/SQRT(COUNT(K49:P49))</f>
        <v>0.59744827763116515</v>
      </c>
      <c r="S49" s="72">
        <f>IF(F49=3,Q49/2,Q49)</f>
        <v>11.416666666666666</v>
      </c>
      <c r="T49" s="71" t="s">
        <v>499</v>
      </c>
      <c r="V49" s="70" t="s">
        <v>117</v>
      </c>
      <c r="W49" s="69">
        <v>23.125</v>
      </c>
    </row>
    <row r="50" spans="2:23" x14ac:dyDescent="0.2">
      <c r="V50" s="70" t="s">
        <v>152</v>
      </c>
      <c r="W50" s="69">
        <v>11.458333333333334</v>
      </c>
    </row>
    <row r="51" spans="2:23" x14ac:dyDescent="0.2">
      <c r="V51" s="70" t="s">
        <v>132</v>
      </c>
      <c r="W51" s="69">
        <v>11.583333333333334</v>
      </c>
    </row>
    <row r="52" spans="2:23" x14ac:dyDescent="0.2">
      <c r="V52" s="70" t="s">
        <v>115</v>
      </c>
      <c r="W52" s="69">
        <v>11.791666666666666</v>
      </c>
    </row>
    <row r="53" spans="2:23" x14ac:dyDescent="0.2">
      <c r="V53" s="123" t="s">
        <v>113</v>
      </c>
      <c r="W53" s="118">
        <v>11.375</v>
      </c>
    </row>
  </sheetData>
  <pageMargins left="0.75" right="0.75" top="1" bottom="1" header="0.5" footer="0.5"/>
  <pageSetup orientation="portrait" r:id="rId3"/>
  <headerFooter alignWithMargins="0"/>
  <drawing r:id="rId4"/>
  <legacyDrawing r:id="rId5"/>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C0DB-3A73-4FD9-9DFC-AF8DAC5A3204}">
  <dimension ref="A1:AE82"/>
  <sheetViews>
    <sheetView workbookViewId="0">
      <selection activeCell="K10" sqref="K10:P49"/>
    </sheetView>
  </sheetViews>
  <sheetFormatPr defaultRowHeight="12.75" x14ac:dyDescent="0.2"/>
  <cols>
    <col min="1" max="19" width="9.140625" style="1"/>
    <col min="20" max="20" width="45.7109375" style="1" customWidth="1"/>
    <col min="21" max="21" width="9.140625" style="1"/>
    <col min="22" max="22" width="28.7109375" style="1" customWidth="1"/>
    <col min="23" max="23" width="5.5703125" style="1" customWidth="1"/>
    <col min="24" max="24" width="6.5703125" style="1" customWidth="1"/>
    <col min="25" max="26" width="5.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126</v>
      </c>
      <c r="E3" s="1" t="s">
        <v>425</v>
      </c>
      <c r="F3" s="105">
        <v>0.34722222222222227</v>
      </c>
    </row>
    <row r="4" spans="1:23" ht="13.5" thickBot="1" x14ac:dyDescent="0.25">
      <c r="E4" s="1" t="s">
        <v>424</v>
      </c>
      <c r="F4" s="105">
        <v>0.39583333333333331</v>
      </c>
      <c r="N4" s="58">
        <f>AVERAGE(Q10:Q11,Q13,Q15:Q17,Q19:Q20,Q22:Q29,Q31:Q32,Q34:Q35,Q37,Q39:Q41)</f>
        <v>11.576388888888886</v>
      </c>
      <c r="O4" s="58">
        <f>AVERAGE(Q12,Q14,Q18,Q21,Q30,Q36,Q38,Q33)</f>
        <v>23.135416666666668</v>
      </c>
    </row>
    <row r="6" spans="1:23" x14ac:dyDescent="0.2">
      <c r="B6" s="1" t="s">
        <v>80</v>
      </c>
      <c r="D6" s="104" t="s">
        <v>510</v>
      </c>
      <c r="E6" s="104"/>
      <c r="F6" s="104"/>
      <c r="G6" s="104"/>
      <c r="H6" s="104"/>
      <c r="I6" s="104"/>
      <c r="J6" s="104"/>
      <c r="K6" s="104"/>
      <c r="L6" s="104"/>
      <c r="M6" s="104"/>
      <c r="N6" s="104"/>
      <c r="O6" s="104"/>
    </row>
    <row r="7" spans="1:23" x14ac:dyDescent="0.2">
      <c r="D7" s="104"/>
      <c r="E7" s="104"/>
      <c r="F7" s="104"/>
      <c r="G7" s="104"/>
      <c r="H7" s="104"/>
      <c r="I7" s="104"/>
      <c r="J7" s="104"/>
      <c r="K7" s="104"/>
      <c r="L7" s="104"/>
      <c r="M7" s="104"/>
      <c r="N7" s="104"/>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c r="U9" s="99" t="s">
        <v>411</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15</v>
      </c>
      <c r="L10" s="110">
        <v>20</v>
      </c>
      <c r="M10" s="110">
        <v>22</v>
      </c>
      <c r="N10" s="110">
        <v>11</v>
      </c>
      <c r="O10" s="110">
        <v>11</v>
      </c>
      <c r="P10" s="110">
        <v>25</v>
      </c>
      <c r="Q10" s="78">
        <f t="shared" ref="Q10:Q49" si="5">AVERAGE(K10:P10)/2</f>
        <v>8.6666666666666661</v>
      </c>
      <c r="R10" s="78">
        <f t="shared" ref="R10:R49" si="6">STDEV(K10:P10)/2/SQRT(COUNT(K10:P10))</f>
        <v>1.2018504251546629</v>
      </c>
      <c r="S10" s="72">
        <f t="shared" ref="S10:S49" si="7">IF(F10=3,Q10/2,Q10)</f>
        <v>8.6666666666666661</v>
      </c>
      <c r="T10" s="98"/>
      <c r="U10" s="1">
        <f t="shared" ref="U10:U49" si="8">INT(B10/100)</f>
        <v>1</v>
      </c>
      <c r="V10" s="83" t="s">
        <v>410</v>
      </c>
      <c r="W10" s="82"/>
    </row>
    <row r="11" spans="1:23" x14ac:dyDescent="0.2">
      <c r="B11" s="129">
        <v>102</v>
      </c>
      <c r="C11" s="129" t="s">
        <v>122</v>
      </c>
      <c r="D11" s="129">
        <v>4</v>
      </c>
      <c r="E11" s="130">
        <f t="shared" si="0"/>
        <v>1</v>
      </c>
      <c r="F11" s="130">
        <f t="shared" si="1"/>
        <v>2</v>
      </c>
      <c r="G11" s="130">
        <f t="shared" si="2"/>
        <v>1</v>
      </c>
      <c r="H11" s="129">
        <v>1</v>
      </c>
      <c r="I11" s="129">
        <f t="shared" si="3"/>
        <v>2</v>
      </c>
      <c r="J11" s="129" t="str">
        <f t="shared" si="4"/>
        <v>121.1</v>
      </c>
      <c r="K11" s="128">
        <v>25</v>
      </c>
      <c r="L11" s="128">
        <v>14</v>
      </c>
      <c r="M11" s="128">
        <v>9</v>
      </c>
      <c r="N11" s="128">
        <v>15</v>
      </c>
      <c r="O11" s="128">
        <v>17</v>
      </c>
      <c r="P11" s="128">
        <v>22</v>
      </c>
      <c r="Q11" s="127">
        <f t="shared" si="5"/>
        <v>8.5</v>
      </c>
      <c r="R11" s="126">
        <f t="shared" si="6"/>
        <v>1.1761519176251567</v>
      </c>
      <c r="S11" s="125">
        <f t="shared" si="7"/>
        <v>8.5</v>
      </c>
      <c r="T11" s="71"/>
      <c r="U11" s="1">
        <f t="shared" si="8"/>
        <v>1</v>
      </c>
      <c r="V11" s="83" t="s">
        <v>411</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f>19+23</f>
        <v>42</v>
      </c>
      <c r="L12" s="111">
        <f>20+23</f>
        <v>43</v>
      </c>
      <c r="M12" s="111">
        <f>18+24</f>
        <v>42</v>
      </c>
      <c r="N12" s="111">
        <f>18+23</f>
        <v>41</v>
      </c>
      <c r="O12" s="111">
        <f>15+21</f>
        <v>36</v>
      </c>
      <c r="P12" s="111">
        <f>23+24</f>
        <v>47</v>
      </c>
      <c r="Q12" s="87">
        <f t="shared" si="5"/>
        <v>20.916666666666668</v>
      </c>
      <c r="R12" s="86">
        <f t="shared" si="6"/>
        <v>0.72360977820308048</v>
      </c>
      <c r="S12" s="72">
        <f t="shared" si="7"/>
        <v>10.458333333333334</v>
      </c>
      <c r="T12" s="71"/>
      <c r="U12" s="1">
        <f t="shared" si="8"/>
        <v>1</v>
      </c>
      <c r="V12" s="67">
        <v>1</v>
      </c>
      <c r="W12" s="65">
        <v>10.390625</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22</v>
      </c>
      <c r="L13" s="109">
        <v>27</v>
      </c>
      <c r="M13" s="109">
        <v>20</v>
      </c>
      <c r="N13" s="109">
        <v>21</v>
      </c>
      <c r="O13" s="109">
        <v>20</v>
      </c>
      <c r="P13" s="109">
        <v>24</v>
      </c>
      <c r="Q13" s="78">
        <f t="shared" si="5"/>
        <v>11.166666666666666</v>
      </c>
      <c r="R13" s="77">
        <f t="shared" si="6"/>
        <v>0.55777335102271819</v>
      </c>
      <c r="S13" s="72">
        <f t="shared" si="7"/>
        <v>11.166666666666666</v>
      </c>
      <c r="T13" s="71"/>
      <c r="U13" s="1">
        <f t="shared" si="8"/>
        <v>1</v>
      </c>
      <c r="V13" s="70">
        <v>2</v>
      </c>
      <c r="W13" s="69">
        <v>10.869791666666666</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f>24+24</f>
        <v>48</v>
      </c>
      <c r="L14" s="111">
        <f>19+21</f>
        <v>40</v>
      </c>
      <c r="M14" s="111">
        <f>18+22</f>
        <v>40</v>
      </c>
      <c r="N14" s="111">
        <f>21+22</f>
        <v>43</v>
      </c>
      <c r="O14" s="111">
        <f>14+26</f>
        <v>40</v>
      </c>
      <c r="P14" s="111">
        <f>25+22</f>
        <v>47</v>
      </c>
      <c r="Q14" s="87">
        <f t="shared" si="5"/>
        <v>21.5</v>
      </c>
      <c r="R14" s="86">
        <f t="shared" si="6"/>
        <v>0.75277265270908111</v>
      </c>
      <c r="S14" s="72">
        <f t="shared" si="7"/>
        <v>10.75</v>
      </c>
      <c r="T14" s="71"/>
      <c r="U14" s="1">
        <f t="shared" si="8"/>
        <v>1</v>
      </c>
      <c r="V14" s="70">
        <v>3</v>
      </c>
      <c r="W14" s="69">
        <v>12.645833333333334</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v>24</v>
      </c>
      <c r="L15" s="109">
        <v>28</v>
      </c>
      <c r="M15" s="109">
        <v>23</v>
      </c>
      <c r="N15" s="109">
        <v>24</v>
      </c>
      <c r="O15" s="109">
        <v>17</v>
      </c>
      <c r="P15" s="109">
        <v>21</v>
      </c>
      <c r="Q15" s="78">
        <f t="shared" si="5"/>
        <v>11.416666666666666</v>
      </c>
      <c r="R15" s="77">
        <f t="shared" si="6"/>
        <v>0.74628710590793801</v>
      </c>
      <c r="S15" s="72">
        <f t="shared" si="7"/>
        <v>11.416666666666666</v>
      </c>
      <c r="T15" s="71"/>
      <c r="U15" s="1">
        <f t="shared" si="8"/>
        <v>1</v>
      </c>
      <c r="V15" s="70">
        <v>4</v>
      </c>
      <c r="W15" s="69">
        <v>12.390625</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09">
        <v>18</v>
      </c>
      <c r="L16" s="109">
        <v>22</v>
      </c>
      <c r="M16" s="109">
        <v>20</v>
      </c>
      <c r="N16" s="109">
        <v>23</v>
      </c>
      <c r="O16" s="109">
        <v>21</v>
      </c>
      <c r="P16" s="109">
        <v>27</v>
      </c>
      <c r="Q16" s="78">
        <f t="shared" si="5"/>
        <v>10.916666666666666</v>
      </c>
      <c r="R16" s="77">
        <f t="shared" si="6"/>
        <v>0.62472216046637807</v>
      </c>
      <c r="S16" s="72">
        <f t="shared" si="7"/>
        <v>10.916666666666666</v>
      </c>
      <c r="T16" s="71"/>
      <c r="U16" s="1">
        <f t="shared" si="8"/>
        <v>1</v>
      </c>
      <c r="V16" s="64" t="s">
        <v>408</v>
      </c>
      <c r="W16" s="62">
        <v>11.57421875</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4">
        <v>23</v>
      </c>
      <c r="L17" s="74">
        <v>23</v>
      </c>
      <c r="M17" s="74">
        <v>23</v>
      </c>
      <c r="N17" s="74">
        <v>23</v>
      </c>
      <c r="O17" s="74">
        <v>20</v>
      </c>
      <c r="P17" s="74">
        <v>23</v>
      </c>
      <c r="Q17" s="74">
        <f t="shared" si="5"/>
        <v>11.25</v>
      </c>
      <c r="R17" s="73">
        <f t="shared" si="6"/>
        <v>0.25</v>
      </c>
      <c r="S17" s="72">
        <f t="shared" si="7"/>
        <v>11.25</v>
      </c>
      <c r="T17" s="98"/>
      <c r="U17" s="1">
        <f t="shared" si="8"/>
        <v>1</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f>22+19</f>
        <v>41</v>
      </c>
      <c r="L18" s="114">
        <f>24+22</f>
        <v>46</v>
      </c>
      <c r="M18" s="114">
        <f>23+21</f>
        <v>44</v>
      </c>
      <c r="N18" s="114">
        <f>18+20</f>
        <v>38</v>
      </c>
      <c r="O18" s="114">
        <f>9+22</f>
        <v>31</v>
      </c>
      <c r="P18" s="114">
        <f>25+15</f>
        <v>40</v>
      </c>
      <c r="Q18" s="87">
        <f t="shared" si="5"/>
        <v>20</v>
      </c>
      <c r="R18" s="87">
        <f t="shared" si="6"/>
        <v>1.0723805294763609</v>
      </c>
      <c r="S18" s="72">
        <f t="shared" si="7"/>
        <v>10</v>
      </c>
      <c r="T18" s="71"/>
      <c r="U18" s="1">
        <f t="shared" si="8"/>
        <v>2</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3">
        <v>27</v>
      </c>
      <c r="L19" s="112">
        <v>22</v>
      </c>
      <c r="M19" s="112">
        <v>28</v>
      </c>
      <c r="N19" s="112">
        <v>13</v>
      </c>
      <c r="O19" s="109">
        <v>27</v>
      </c>
      <c r="P19" s="109">
        <v>26</v>
      </c>
      <c r="Q19" s="78">
        <f t="shared" si="5"/>
        <v>11.916666666666666</v>
      </c>
      <c r="R19" s="77">
        <f t="shared" si="6"/>
        <v>1.1648795836671042</v>
      </c>
      <c r="S19" s="72">
        <f t="shared" si="7"/>
        <v>11.916666666666666</v>
      </c>
      <c r="T19" s="71"/>
      <c r="U19" s="1">
        <f t="shared" si="8"/>
        <v>2</v>
      </c>
    </row>
    <row r="20" spans="2:24" x14ac:dyDescent="0.2">
      <c r="B20" s="129">
        <v>203</v>
      </c>
      <c r="C20" s="129" t="s">
        <v>111</v>
      </c>
      <c r="D20" s="129">
        <v>3</v>
      </c>
      <c r="E20" s="130">
        <f t="shared" si="0"/>
        <v>1</v>
      </c>
      <c r="F20" s="130">
        <f t="shared" si="1"/>
        <v>2</v>
      </c>
      <c r="G20" s="130">
        <f t="shared" si="2"/>
        <v>2</v>
      </c>
      <c r="H20" s="129">
        <v>1</v>
      </c>
      <c r="I20" s="129">
        <f t="shared" si="3"/>
        <v>3</v>
      </c>
      <c r="J20" s="129" t="str">
        <f t="shared" si="4"/>
        <v>122.1</v>
      </c>
      <c r="K20" s="128">
        <v>19</v>
      </c>
      <c r="L20" s="128">
        <v>27</v>
      </c>
      <c r="M20" s="128">
        <v>20</v>
      </c>
      <c r="N20" s="128">
        <v>15</v>
      </c>
      <c r="O20" s="128">
        <v>18</v>
      </c>
      <c r="P20" s="128">
        <v>17</v>
      </c>
      <c r="Q20" s="127">
        <f t="shared" si="5"/>
        <v>9.6666666666666661</v>
      </c>
      <c r="R20" s="126">
        <f t="shared" si="6"/>
        <v>0.84327404271156869</v>
      </c>
      <c r="S20" s="125">
        <f t="shared" si="7"/>
        <v>9.6666666666666661</v>
      </c>
      <c r="T20" s="71"/>
      <c r="U20" s="1">
        <f t="shared" si="8"/>
        <v>2</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f>24+20</f>
        <v>44</v>
      </c>
      <c r="L21" s="111">
        <f>22+23</f>
        <v>45</v>
      </c>
      <c r="M21" s="111">
        <f>24+25</f>
        <v>49</v>
      </c>
      <c r="N21" s="111">
        <f>22+23</f>
        <v>45</v>
      </c>
      <c r="O21" s="111">
        <f>17+25</f>
        <v>42</v>
      </c>
      <c r="P21" s="111">
        <f>20+24</f>
        <v>44</v>
      </c>
      <c r="Q21" s="87">
        <f t="shared" si="5"/>
        <v>22.416666666666668</v>
      </c>
      <c r="R21" s="86">
        <f t="shared" si="6"/>
        <v>0.47287536530370367</v>
      </c>
      <c r="S21" s="72">
        <f t="shared" si="7"/>
        <v>11.208333333333334</v>
      </c>
      <c r="T21" s="71"/>
      <c r="U21" s="1">
        <f t="shared" si="8"/>
        <v>2</v>
      </c>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14</v>
      </c>
      <c r="L22" s="109">
        <v>26</v>
      </c>
      <c r="M22" s="109">
        <v>26</v>
      </c>
      <c r="N22" s="109">
        <v>22</v>
      </c>
      <c r="O22" s="109">
        <v>17</v>
      </c>
      <c r="P22" s="109">
        <v>25</v>
      </c>
      <c r="Q22" s="78">
        <f t="shared" si="5"/>
        <v>10.833333333333334</v>
      </c>
      <c r="R22" s="77">
        <f t="shared" si="6"/>
        <v>1.0381607668264965</v>
      </c>
      <c r="S22" s="72">
        <f t="shared" si="7"/>
        <v>10.833333333333334</v>
      </c>
      <c r="T22" s="71"/>
      <c r="U22" s="1">
        <f t="shared" si="8"/>
        <v>2</v>
      </c>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27</v>
      </c>
      <c r="L23" s="109">
        <v>20</v>
      </c>
      <c r="M23" s="109">
        <v>22</v>
      </c>
      <c r="N23" s="109">
        <v>27</v>
      </c>
      <c r="O23" s="109">
        <v>23</v>
      </c>
      <c r="P23" s="109">
        <v>22</v>
      </c>
      <c r="Q23" s="78">
        <f t="shared" si="5"/>
        <v>11.75</v>
      </c>
      <c r="R23" s="77">
        <f t="shared" si="6"/>
        <v>0.58807595881257835</v>
      </c>
      <c r="S23" s="72">
        <f t="shared" si="7"/>
        <v>11.75</v>
      </c>
      <c r="T23" s="71"/>
      <c r="U23" s="1">
        <f t="shared" si="8"/>
        <v>2</v>
      </c>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19</v>
      </c>
      <c r="L24" s="109">
        <v>22</v>
      </c>
      <c r="M24" s="109">
        <v>21</v>
      </c>
      <c r="N24" s="109">
        <v>25</v>
      </c>
      <c r="O24" s="109">
        <v>24</v>
      </c>
      <c r="P24" s="109">
        <v>21</v>
      </c>
      <c r="Q24" s="78">
        <f t="shared" si="5"/>
        <v>11</v>
      </c>
      <c r="R24" s="77">
        <f t="shared" si="6"/>
        <v>0.44721359549995793</v>
      </c>
      <c r="S24" s="72">
        <f t="shared" si="7"/>
        <v>11</v>
      </c>
      <c r="T24" s="71"/>
      <c r="U24" s="1">
        <f t="shared" si="8"/>
        <v>2</v>
      </c>
      <c r="V24" s="58">
        <f>AVERAGE(W15:W17,W19)</f>
        <v>11.982421875</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25</v>
      </c>
      <c r="L25" s="74">
        <v>23</v>
      </c>
      <c r="M25" s="74">
        <v>21</v>
      </c>
      <c r="N25" s="74">
        <v>23</v>
      </c>
      <c r="O25" s="74">
        <v>15</v>
      </c>
      <c r="P25" s="74">
        <v>20</v>
      </c>
      <c r="Q25" s="74">
        <f t="shared" si="5"/>
        <v>10.583333333333334</v>
      </c>
      <c r="R25" s="73">
        <f t="shared" si="6"/>
        <v>0.7120003121097952</v>
      </c>
      <c r="S25" s="72">
        <f t="shared" si="7"/>
        <v>10.583333333333334</v>
      </c>
      <c r="T25" s="71"/>
      <c r="U25" s="1">
        <f t="shared" si="8"/>
        <v>2</v>
      </c>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21</v>
      </c>
      <c r="L26" s="110">
        <v>28</v>
      </c>
      <c r="M26" s="110">
        <v>19</v>
      </c>
      <c r="N26" s="110">
        <v>22</v>
      </c>
      <c r="O26" s="110">
        <v>27</v>
      </c>
      <c r="P26" s="110">
        <v>24</v>
      </c>
      <c r="Q26" s="78">
        <f t="shared" si="5"/>
        <v>11.75</v>
      </c>
      <c r="R26" s="78">
        <f t="shared" si="6"/>
        <v>0.71589105316381774</v>
      </c>
      <c r="S26" s="72">
        <f t="shared" si="7"/>
        <v>11.75</v>
      </c>
      <c r="T26" s="71"/>
      <c r="U26" s="1">
        <f t="shared" si="8"/>
        <v>3</v>
      </c>
      <c r="V26" s="58">
        <f>AVERAGE(W12:W14,W18)</f>
        <v>11.302083333333334</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29</v>
      </c>
      <c r="L27" s="109">
        <v>22</v>
      </c>
      <c r="M27" s="109">
        <v>27</v>
      </c>
      <c r="N27" s="109">
        <v>22</v>
      </c>
      <c r="O27" s="109">
        <v>24</v>
      </c>
      <c r="P27" s="109">
        <v>26</v>
      </c>
      <c r="Q27" s="78">
        <f t="shared" si="5"/>
        <v>12.5</v>
      </c>
      <c r="R27" s="77">
        <f t="shared" si="6"/>
        <v>0.57735026918962584</v>
      </c>
      <c r="S27" s="72">
        <f t="shared" si="7"/>
        <v>12.5</v>
      </c>
      <c r="T27" s="71"/>
      <c r="U27" s="1">
        <f t="shared" si="8"/>
        <v>3</v>
      </c>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25</v>
      </c>
      <c r="L28" s="109">
        <v>22</v>
      </c>
      <c r="M28" s="109">
        <v>26</v>
      </c>
      <c r="N28" s="109">
        <v>29</v>
      </c>
      <c r="O28" s="109">
        <v>23</v>
      </c>
      <c r="P28" s="109">
        <v>30</v>
      </c>
      <c r="Q28" s="78">
        <f t="shared" si="5"/>
        <v>12.916666666666666</v>
      </c>
      <c r="R28" s="77">
        <f t="shared" si="6"/>
        <v>0.65085413965888894</v>
      </c>
      <c r="S28" s="72">
        <f t="shared" si="7"/>
        <v>12.916666666666666</v>
      </c>
      <c r="T28" s="71"/>
      <c r="U28" s="1">
        <f t="shared" si="8"/>
        <v>3</v>
      </c>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27</v>
      </c>
      <c r="L29" s="109">
        <v>29</v>
      </c>
      <c r="M29" s="109">
        <v>25</v>
      </c>
      <c r="N29" s="109">
        <v>25</v>
      </c>
      <c r="O29" s="109">
        <v>26</v>
      </c>
      <c r="P29" s="109">
        <v>23</v>
      </c>
      <c r="Q29" s="78">
        <f t="shared" si="5"/>
        <v>12.916666666666666</v>
      </c>
      <c r="R29" s="77">
        <f t="shared" si="6"/>
        <v>0.41666666666666674</v>
      </c>
      <c r="S29" s="72">
        <f t="shared" si="7"/>
        <v>12.916666666666666</v>
      </c>
      <c r="T29" s="71"/>
      <c r="U29" s="1">
        <f t="shared" si="8"/>
        <v>3</v>
      </c>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f>25+28</f>
        <v>53</v>
      </c>
      <c r="L30" s="111">
        <f>28+29</f>
        <v>57</v>
      </c>
      <c r="M30" s="111">
        <f>23+25</f>
        <v>48</v>
      </c>
      <c r="N30" s="111">
        <f>28+25</f>
        <v>53</v>
      </c>
      <c r="O30" s="111">
        <f>27+26</f>
        <v>53</v>
      </c>
      <c r="P30" s="111">
        <f>30+28</f>
        <v>58</v>
      </c>
      <c r="Q30" s="87">
        <f t="shared" si="5"/>
        <v>26.833333333333332</v>
      </c>
      <c r="R30" s="86">
        <f t="shared" si="6"/>
        <v>0.72648315725677903</v>
      </c>
      <c r="S30" s="72">
        <f t="shared" si="7"/>
        <v>13.416666666666666</v>
      </c>
      <c r="T30" s="71"/>
      <c r="U30" s="1">
        <f t="shared" si="8"/>
        <v>3</v>
      </c>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28</v>
      </c>
      <c r="L31" s="109">
        <v>27</v>
      </c>
      <c r="M31" s="109">
        <v>23</v>
      </c>
      <c r="N31" s="109">
        <v>26</v>
      </c>
      <c r="O31" s="109">
        <v>28</v>
      </c>
      <c r="P31" s="109">
        <v>27</v>
      </c>
      <c r="Q31" s="78">
        <f t="shared" si="5"/>
        <v>13.25</v>
      </c>
      <c r="R31" s="77">
        <f t="shared" si="6"/>
        <v>0.38188130791298669</v>
      </c>
      <c r="S31" s="72">
        <f t="shared" si="7"/>
        <v>13.25</v>
      </c>
      <c r="T31" s="71"/>
      <c r="U31" s="1">
        <f t="shared" si="8"/>
        <v>3</v>
      </c>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23</v>
      </c>
      <c r="L32" s="109">
        <v>23</v>
      </c>
      <c r="M32" s="109">
        <v>21</v>
      </c>
      <c r="N32" s="109">
        <v>28</v>
      </c>
      <c r="O32" s="109">
        <v>25</v>
      </c>
      <c r="P32" s="109">
        <v>29</v>
      </c>
      <c r="Q32" s="78">
        <f t="shared" si="5"/>
        <v>12.416666666666666</v>
      </c>
      <c r="R32" s="77">
        <f t="shared" si="6"/>
        <v>0.6379219736334889</v>
      </c>
      <c r="S32" s="72">
        <f t="shared" si="7"/>
        <v>12.416666666666666</v>
      </c>
      <c r="T32" s="71"/>
      <c r="U32" s="1">
        <f t="shared" si="8"/>
        <v>3</v>
      </c>
    </row>
    <row r="33" spans="2:31"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f>27+26</f>
        <v>53</v>
      </c>
      <c r="L33" s="91">
        <f>30+25</f>
        <v>55</v>
      </c>
      <c r="M33" s="91">
        <f>24+25</f>
        <v>49</v>
      </c>
      <c r="N33" s="91">
        <f>25+21</f>
        <v>46</v>
      </c>
      <c r="O33" s="91">
        <f>22+28</f>
        <v>50</v>
      </c>
      <c r="P33" s="91">
        <f>15+20</f>
        <v>35</v>
      </c>
      <c r="Q33" s="91">
        <f t="shared" si="5"/>
        <v>24</v>
      </c>
      <c r="R33" s="90">
        <f t="shared" si="6"/>
        <v>1.4491376746189439</v>
      </c>
      <c r="S33" s="72">
        <f t="shared" si="7"/>
        <v>12</v>
      </c>
      <c r="T33" s="71"/>
      <c r="U33" s="1">
        <f t="shared" si="8"/>
        <v>3</v>
      </c>
    </row>
    <row r="34" spans="2:31" x14ac:dyDescent="0.2">
      <c r="B34" s="23">
        <v>401</v>
      </c>
      <c r="C34" s="23" t="s">
        <v>152</v>
      </c>
      <c r="D34" s="23">
        <v>7</v>
      </c>
      <c r="E34" s="81">
        <f t="shared" si="0"/>
        <v>2</v>
      </c>
      <c r="F34" s="81">
        <f t="shared" si="1"/>
        <v>1</v>
      </c>
      <c r="G34" s="81">
        <f t="shared" si="2"/>
        <v>2</v>
      </c>
      <c r="H34" s="23">
        <v>3</v>
      </c>
      <c r="I34" s="23">
        <f t="shared" si="3"/>
        <v>1</v>
      </c>
      <c r="J34" s="23" t="str">
        <f t="shared" si="4"/>
        <v>212.3</v>
      </c>
      <c r="K34" s="110">
        <v>22</v>
      </c>
      <c r="L34" s="110">
        <v>24</v>
      </c>
      <c r="M34" s="110">
        <v>24</v>
      </c>
      <c r="N34" s="110">
        <v>23</v>
      </c>
      <c r="O34" s="110">
        <v>27</v>
      </c>
      <c r="P34" s="110">
        <v>26</v>
      </c>
      <c r="Q34" s="78">
        <f t="shared" si="5"/>
        <v>12.166666666666666</v>
      </c>
      <c r="R34" s="78">
        <f t="shared" si="6"/>
        <v>0.38005847503304607</v>
      </c>
      <c r="S34" s="72">
        <f t="shared" si="7"/>
        <v>12.166666666666666</v>
      </c>
      <c r="T34" s="71"/>
      <c r="U34" s="1">
        <f t="shared" si="8"/>
        <v>4</v>
      </c>
    </row>
    <row r="35" spans="2:31" x14ac:dyDescent="0.2">
      <c r="B35" s="5">
        <v>402</v>
      </c>
      <c r="C35" s="5" t="s">
        <v>115</v>
      </c>
      <c r="D35" s="5">
        <v>9</v>
      </c>
      <c r="E35" s="18">
        <f t="shared" si="0"/>
        <v>2</v>
      </c>
      <c r="F35" s="18">
        <f t="shared" si="1"/>
        <v>2</v>
      </c>
      <c r="G35" s="18">
        <f t="shared" si="2"/>
        <v>2</v>
      </c>
      <c r="H35" s="5">
        <v>3</v>
      </c>
      <c r="I35" s="5">
        <f t="shared" si="3"/>
        <v>2</v>
      </c>
      <c r="J35" s="5" t="str">
        <f t="shared" si="4"/>
        <v>222.3</v>
      </c>
      <c r="K35" s="109">
        <v>26</v>
      </c>
      <c r="L35" s="109">
        <v>28</v>
      </c>
      <c r="M35" s="109">
        <v>24</v>
      </c>
      <c r="N35" s="109">
        <v>21</v>
      </c>
      <c r="O35" s="109">
        <v>18</v>
      </c>
      <c r="P35" s="109">
        <v>26</v>
      </c>
      <c r="Q35" s="78">
        <f t="shared" si="5"/>
        <v>11.916666666666666</v>
      </c>
      <c r="R35" s="77">
        <f t="shared" si="6"/>
        <v>0.75737118450011853</v>
      </c>
      <c r="S35" s="72">
        <f t="shared" si="7"/>
        <v>11.916666666666666</v>
      </c>
      <c r="T35" s="71"/>
      <c r="U35" s="1">
        <f t="shared" si="8"/>
        <v>4</v>
      </c>
    </row>
    <row r="36" spans="2:31" x14ac:dyDescent="0.2">
      <c r="B36" s="88">
        <v>403</v>
      </c>
      <c r="C36" s="88" t="s">
        <v>155</v>
      </c>
      <c r="D36" s="88">
        <v>6</v>
      </c>
      <c r="E36" s="89">
        <f t="shared" si="0"/>
        <v>1</v>
      </c>
      <c r="F36" s="89">
        <f t="shared" si="1"/>
        <v>3</v>
      </c>
      <c r="G36" s="89">
        <f t="shared" si="2"/>
        <v>1</v>
      </c>
      <c r="H36" s="88">
        <v>3</v>
      </c>
      <c r="I36" s="88">
        <f t="shared" si="3"/>
        <v>3</v>
      </c>
      <c r="J36" s="88" t="str">
        <f t="shared" si="4"/>
        <v>131.3</v>
      </c>
      <c r="K36" s="111">
        <f>26+29</f>
        <v>55</v>
      </c>
      <c r="L36" s="111">
        <f>22+28</f>
        <v>50</v>
      </c>
      <c r="M36" s="111">
        <f>20+30</f>
        <v>50</v>
      </c>
      <c r="N36" s="111">
        <f>19+25</f>
        <v>44</v>
      </c>
      <c r="O36" s="111">
        <f>17+25</f>
        <v>42</v>
      </c>
      <c r="P36" s="111">
        <f>23+22</f>
        <v>45</v>
      </c>
      <c r="Q36" s="87">
        <f t="shared" si="5"/>
        <v>23.833333333333332</v>
      </c>
      <c r="R36" s="86">
        <f t="shared" si="6"/>
        <v>0.98882646494608861</v>
      </c>
      <c r="S36" s="72">
        <f t="shared" si="7"/>
        <v>11.916666666666666</v>
      </c>
      <c r="T36" s="71"/>
      <c r="U36" s="1">
        <f t="shared" si="8"/>
        <v>4</v>
      </c>
    </row>
    <row r="37" spans="2:31" x14ac:dyDescent="0.2">
      <c r="B37" s="5">
        <v>404</v>
      </c>
      <c r="C37" s="5" t="s">
        <v>111</v>
      </c>
      <c r="D37" s="5">
        <v>3</v>
      </c>
      <c r="E37" s="18">
        <f t="shared" si="0"/>
        <v>1</v>
      </c>
      <c r="F37" s="18">
        <f t="shared" si="1"/>
        <v>2</v>
      </c>
      <c r="G37" s="18">
        <f t="shared" si="2"/>
        <v>2</v>
      </c>
      <c r="H37" s="5">
        <v>3</v>
      </c>
      <c r="I37" s="5">
        <f t="shared" si="3"/>
        <v>4</v>
      </c>
      <c r="J37" s="5" t="str">
        <f t="shared" si="4"/>
        <v>122.3</v>
      </c>
      <c r="K37" s="109">
        <v>26</v>
      </c>
      <c r="L37" s="109">
        <v>23</v>
      </c>
      <c r="M37" s="109">
        <v>22</v>
      </c>
      <c r="N37" s="109">
        <v>27</v>
      </c>
      <c r="O37" s="109">
        <v>21</v>
      </c>
      <c r="P37" s="109">
        <v>19</v>
      </c>
      <c r="Q37" s="78">
        <f t="shared" si="5"/>
        <v>11.5</v>
      </c>
      <c r="R37" s="77">
        <f t="shared" si="6"/>
        <v>0.61913918736689033</v>
      </c>
      <c r="S37" s="72">
        <f t="shared" si="7"/>
        <v>11.5</v>
      </c>
      <c r="T37" s="71"/>
      <c r="U37" s="1">
        <f t="shared" si="8"/>
        <v>4</v>
      </c>
    </row>
    <row r="38" spans="2:31" x14ac:dyDescent="0.2">
      <c r="B38" s="88">
        <v>405</v>
      </c>
      <c r="C38" s="88" t="s">
        <v>155</v>
      </c>
      <c r="D38" s="88">
        <v>6</v>
      </c>
      <c r="E38" s="89">
        <f t="shared" si="0"/>
        <v>1</v>
      </c>
      <c r="F38" s="89">
        <f t="shared" si="1"/>
        <v>3</v>
      </c>
      <c r="G38" s="89">
        <f t="shared" si="2"/>
        <v>1</v>
      </c>
      <c r="H38" s="88">
        <v>4</v>
      </c>
      <c r="I38" s="88">
        <f t="shared" si="3"/>
        <v>5</v>
      </c>
      <c r="J38" s="88" t="str">
        <f t="shared" si="4"/>
        <v>131.4</v>
      </c>
      <c r="K38" s="111">
        <f>27+24</f>
        <v>51</v>
      </c>
      <c r="L38" s="111">
        <f>32+25</f>
        <v>57</v>
      </c>
      <c r="M38" s="111">
        <f>23+27</f>
        <v>50</v>
      </c>
      <c r="N38" s="111">
        <f>25+30</f>
        <v>55</v>
      </c>
      <c r="O38" s="111">
        <f>18+25</f>
        <v>43</v>
      </c>
      <c r="P38" s="111">
        <f>25+26</f>
        <v>51</v>
      </c>
      <c r="Q38" s="87">
        <f t="shared" si="5"/>
        <v>25.583333333333332</v>
      </c>
      <c r="R38" s="86">
        <f t="shared" si="6"/>
        <v>0.9867173410410458</v>
      </c>
      <c r="S38" s="72">
        <f t="shared" si="7"/>
        <v>12.791666666666666</v>
      </c>
      <c r="T38" s="71"/>
      <c r="U38" s="1">
        <f t="shared" si="8"/>
        <v>4</v>
      </c>
    </row>
    <row r="39" spans="2:31" x14ac:dyDescent="0.2">
      <c r="B39" s="5">
        <v>406</v>
      </c>
      <c r="C39" s="5" t="s">
        <v>111</v>
      </c>
      <c r="D39" s="5">
        <v>3</v>
      </c>
      <c r="E39" s="18">
        <f t="shared" si="0"/>
        <v>1</v>
      </c>
      <c r="F39" s="18">
        <f t="shared" si="1"/>
        <v>2</v>
      </c>
      <c r="G39" s="18">
        <f t="shared" si="2"/>
        <v>2</v>
      </c>
      <c r="H39" s="5">
        <v>4</v>
      </c>
      <c r="I39" s="5">
        <f t="shared" si="3"/>
        <v>6</v>
      </c>
      <c r="J39" s="5" t="str">
        <f t="shared" si="4"/>
        <v>122.4</v>
      </c>
      <c r="K39" s="109">
        <v>23</v>
      </c>
      <c r="L39" s="109">
        <v>27</v>
      </c>
      <c r="M39" s="109">
        <v>30</v>
      </c>
      <c r="N39" s="109">
        <v>20</v>
      </c>
      <c r="O39" s="109">
        <v>24</v>
      </c>
      <c r="P39" s="109">
        <v>26</v>
      </c>
      <c r="Q39" s="78">
        <f t="shared" si="5"/>
        <v>12.5</v>
      </c>
      <c r="R39" s="77">
        <f t="shared" si="6"/>
        <v>0.70710678118654757</v>
      </c>
      <c r="S39" s="72">
        <f t="shared" si="7"/>
        <v>12.5</v>
      </c>
      <c r="T39" s="71"/>
      <c r="U39" s="1">
        <f t="shared" si="8"/>
        <v>4</v>
      </c>
    </row>
    <row r="40" spans="2:31" x14ac:dyDescent="0.2">
      <c r="B40" s="5">
        <v>407</v>
      </c>
      <c r="C40" s="5" t="s">
        <v>152</v>
      </c>
      <c r="D40" s="5">
        <v>7</v>
      </c>
      <c r="E40" s="18">
        <f t="shared" si="0"/>
        <v>2</v>
      </c>
      <c r="F40" s="18">
        <f t="shared" si="1"/>
        <v>1</v>
      </c>
      <c r="G40" s="18">
        <f t="shared" si="2"/>
        <v>2</v>
      </c>
      <c r="H40" s="5">
        <v>4</v>
      </c>
      <c r="I40" s="5">
        <f t="shared" si="3"/>
        <v>7</v>
      </c>
      <c r="J40" s="5" t="str">
        <f t="shared" si="4"/>
        <v>212.4</v>
      </c>
      <c r="K40" s="109">
        <v>24</v>
      </c>
      <c r="L40" s="109">
        <v>27</v>
      </c>
      <c r="M40" s="109">
        <v>25</v>
      </c>
      <c r="N40" s="109">
        <v>26</v>
      </c>
      <c r="O40" s="109">
        <v>32</v>
      </c>
      <c r="P40" s="109">
        <v>31</v>
      </c>
      <c r="Q40" s="78">
        <f t="shared" si="5"/>
        <v>13.75</v>
      </c>
      <c r="R40" s="77">
        <f t="shared" si="6"/>
        <v>0.66770752080033768</v>
      </c>
      <c r="S40" s="72">
        <f t="shared" si="7"/>
        <v>13.75</v>
      </c>
      <c r="T40" s="71"/>
      <c r="U40" s="1">
        <f t="shared" si="8"/>
        <v>4</v>
      </c>
      <c r="V40" s="83" t="s">
        <v>407</v>
      </c>
      <c r="W40" s="66"/>
      <c r="X40" s="66"/>
      <c r="Y40" s="82"/>
    </row>
    <row r="41" spans="2:31"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29</v>
      </c>
      <c r="L41" s="74">
        <v>24</v>
      </c>
      <c r="M41" s="74">
        <v>25</v>
      </c>
      <c r="N41" s="74">
        <v>28</v>
      </c>
      <c r="O41" s="74">
        <v>28</v>
      </c>
      <c r="P41" s="74">
        <v>17</v>
      </c>
      <c r="Q41" s="74">
        <f t="shared" si="5"/>
        <v>12.583333333333334</v>
      </c>
      <c r="R41" s="73">
        <f t="shared" si="6"/>
        <v>0.90753022600413291</v>
      </c>
      <c r="S41" s="72">
        <f t="shared" si="7"/>
        <v>12.583333333333334</v>
      </c>
      <c r="T41" s="71"/>
      <c r="U41" s="1">
        <f t="shared" si="8"/>
        <v>4</v>
      </c>
      <c r="V41" s="83" t="s">
        <v>73</v>
      </c>
      <c r="W41" s="83" t="s">
        <v>74</v>
      </c>
      <c r="X41" s="83" t="s">
        <v>51</v>
      </c>
      <c r="Y41" s="82" t="s">
        <v>406</v>
      </c>
      <c r="AD41" s="1">
        <v>2002</v>
      </c>
      <c r="AE41" s="1">
        <v>2003</v>
      </c>
    </row>
    <row r="42" spans="2:31" x14ac:dyDescent="0.2">
      <c r="B42" s="23">
        <v>901</v>
      </c>
      <c r="C42" s="23" t="s">
        <v>404</v>
      </c>
      <c r="D42" s="23">
        <v>32</v>
      </c>
      <c r="E42" s="81">
        <v>9</v>
      </c>
      <c r="F42" s="81">
        <v>0</v>
      </c>
      <c r="G42" s="81">
        <v>1</v>
      </c>
      <c r="H42" s="23">
        <v>1</v>
      </c>
      <c r="I42" s="23">
        <f t="shared" si="3"/>
        <v>1</v>
      </c>
      <c r="J42" s="23" t="str">
        <f t="shared" si="4"/>
        <v>901.1</v>
      </c>
      <c r="K42" s="110">
        <v>0</v>
      </c>
      <c r="L42" s="110">
        <v>0</v>
      </c>
      <c r="M42" s="110">
        <v>0</v>
      </c>
      <c r="N42" s="110">
        <v>0</v>
      </c>
      <c r="O42" s="110">
        <v>0</v>
      </c>
      <c r="P42" s="110">
        <v>0</v>
      </c>
      <c r="Q42" s="78">
        <f t="shared" si="5"/>
        <v>0</v>
      </c>
      <c r="R42" s="78">
        <f t="shared" si="6"/>
        <v>0</v>
      </c>
      <c r="S42" s="72">
        <f t="shared" si="7"/>
        <v>0</v>
      </c>
      <c r="U42" s="1">
        <f t="shared" si="8"/>
        <v>9</v>
      </c>
      <c r="V42" s="67">
        <v>1</v>
      </c>
      <c r="W42" s="67">
        <v>1</v>
      </c>
      <c r="X42" s="67">
        <v>101</v>
      </c>
      <c r="Y42" s="65">
        <v>8.6666666666666661</v>
      </c>
      <c r="Z42" s="65"/>
      <c r="AC42" s="1" t="s">
        <v>167</v>
      </c>
      <c r="AD42" s="1">
        <v>5.3</v>
      </c>
      <c r="AE42" s="58">
        <f>GETPIVOTDATA("Mean per meter",$V$40,"Pop.",1)</f>
        <v>11.697916666666668</v>
      </c>
    </row>
    <row r="43" spans="2:31" x14ac:dyDescent="0.2">
      <c r="B43" s="5">
        <v>902</v>
      </c>
      <c r="C43" s="80" t="s">
        <v>403</v>
      </c>
      <c r="D43" s="5">
        <v>22</v>
      </c>
      <c r="E43" s="18">
        <v>4</v>
      </c>
      <c r="F43" s="18">
        <v>2</v>
      </c>
      <c r="G43" s="18">
        <v>2</v>
      </c>
      <c r="H43" s="5">
        <v>1</v>
      </c>
      <c r="I43" s="5">
        <f t="shared" si="3"/>
        <v>2</v>
      </c>
      <c r="J43" s="5" t="str">
        <f t="shared" si="4"/>
        <v>422.1</v>
      </c>
      <c r="K43" s="109">
        <v>24</v>
      </c>
      <c r="L43" s="109">
        <v>28</v>
      </c>
      <c r="M43" s="109">
        <v>22</v>
      </c>
      <c r="N43" s="109">
        <v>21</v>
      </c>
      <c r="O43" s="109">
        <v>18</v>
      </c>
      <c r="P43" s="109">
        <v>21</v>
      </c>
      <c r="Q43" s="78">
        <f t="shared" si="5"/>
        <v>11.166666666666666</v>
      </c>
      <c r="R43" s="77">
        <f t="shared" si="6"/>
        <v>0.69121471177759164</v>
      </c>
      <c r="S43" s="72">
        <f t="shared" si="7"/>
        <v>11.166666666666666</v>
      </c>
      <c r="T43" s="71"/>
      <c r="U43" s="1">
        <f t="shared" si="8"/>
        <v>9</v>
      </c>
      <c r="V43" s="68"/>
      <c r="W43" s="68"/>
      <c r="X43" s="70">
        <v>205</v>
      </c>
      <c r="Y43" s="69">
        <v>10.833333333333334</v>
      </c>
      <c r="Z43" s="69"/>
      <c r="AC43" s="1" t="s">
        <v>166</v>
      </c>
      <c r="AD43" s="1">
        <v>11.6</v>
      </c>
      <c r="AE43" s="58">
        <f>GETPIVOTDATA("Mean per meter",$V$40,"Pop.",2)</f>
        <v>11.515625</v>
      </c>
    </row>
    <row r="44" spans="2:31" x14ac:dyDescent="0.2">
      <c r="B44" s="5">
        <v>903</v>
      </c>
      <c r="C44" s="5" t="s">
        <v>401</v>
      </c>
      <c r="D44" s="5">
        <v>31</v>
      </c>
      <c r="E44" s="18">
        <v>8</v>
      </c>
      <c r="F44" s="18">
        <v>0</v>
      </c>
      <c r="G44" s="18">
        <v>1</v>
      </c>
      <c r="H44" s="5">
        <v>1</v>
      </c>
      <c r="I44" s="5">
        <f t="shared" si="3"/>
        <v>3</v>
      </c>
      <c r="J44" s="5" t="str">
        <f t="shared" si="4"/>
        <v>801.1</v>
      </c>
      <c r="K44" s="109">
        <v>0</v>
      </c>
      <c r="L44" s="109">
        <v>0</v>
      </c>
      <c r="M44" s="109">
        <v>0</v>
      </c>
      <c r="N44" s="109">
        <v>0</v>
      </c>
      <c r="O44" s="109">
        <v>0</v>
      </c>
      <c r="P44" s="109">
        <v>0</v>
      </c>
      <c r="Q44" s="78">
        <f t="shared" si="5"/>
        <v>0</v>
      </c>
      <c r="R44" s="77">
        <f t="shared" si="6"/>
        <v>0</v>
      </c>
      <c r="S44" s="72">
        <f t="shared" si="7"/>
        <v>0</v>
      </c>
      <c r="T44" s="71"/>
      <c r="U44" s="1">
        <f t="shared" si="8"/>
        <v>9</v>
      </c>
      <c r="V44" s="68"/>
      <c r="W44" s="68"/>
      <c r="X44" s="70">
        <v>208</v>
      </c>
      <c r="Y44" s="69">
        <v>10.583333333333334</v>
      </c>
      <c r="Z44" s="69"/>
      <c r="AC44" s="1" t="s">
        <v>165</v>
      </c>
      <c r="AD44" s="1">
        <v>21.1</v>
      </c>
      <c r="AE44" s="58">
        <f>GETPIVOTDATA("Mean per meter",$V$40,"Pop.",3)</f>
        <v>23.135416666666664</v>
      </c>
    </row>
    <row r="45" spans="2:31" x14ac:dyDescent="0.2">
      <c r="B45" s="5">
        <v>904</v>
      </c>
      <c r="C45" s="80" t="s">
        <v>400</v>
      </c>
      <c r="D45" s="5">
        <v>21</v>
      </c>
      <c r="E45" s="18">
        <v>3</v>
      </c>
      <c r="F45" s="18">
        <v>2</v>
      </c>
      <c r="G45" s="18">
        <v>2</v>
      </c>
      <c r="H45" s="5">
        <v>1</v>
      </c>
      <c r="I45" s="5">
        <f t="shared" si="3"/>
        <v>4</v>
      </c>
      <c r="J45" s="5" t="str">
        <f t="shared" si="4"/>
        <v>322.1</v>
      </c>
      <c r="K45" s="109">
        <v>25</v>
      </c>
      <c r="L45" s="109">
        <v>28</v>
      </c>
      <c r="M45" s="109">
        <v>20</v>
      </c>
      <c r="N45" s="109">
        <v>21</v>
      </c>
      <c r="O45" s="109">
        <v>27</v>
      </c>
      <c r="P45" s="109">
        <v>18</v>
      </c>
      <c r="Q45" s="78">
        <f t="shared" si="5"/>
        <v>11.583333333333334</v>
      </c>
      <c r="R45" s="77">
        <f t="shared" si="6"/>
        <v>0.83082957204096863</v>
      </c>
      <c r="S45" s="72">
        <f t="shared" si="7"/>
        <v>11.583333333333334</v>
      </c>
      <c r="T45" s="71"/>
      <c r="U45" s="1">
        <f t="shared" si="8"/>
        <v>9</v>
      </c>
      <c r="V45" s="68"/>
      <c r="W45" s="68"/>
      <c r="X45" s="70">
        <v>304</v>
      </c>
      <c r="Y45" s="69">
        <v>12.916666666666666</v>
      </c>
      <c r="Z45" s="69"/>
    </row>
    <row r="46" spans="2:31" x14ac:dyDescent="0.2">
      <c r="B46" s="5">
        <v>905</v>
      </c>
      <c r="C46" s="5" t="s">
        <v>404</v>
      </c>
      <c r="D46" s="5">
        <v>32</v>
      </c>
      <c r="E46" s="18">
        <v>9</v>
      </c>
      <c r="F46" s="18">
        <v>0</v>
      </c>
      <c r="G46" s="18">
        <v>1</v>
      </c>
      <c r="H46" s="5">
        <v>2</v>
      </c>
      <c r="I46" s="5">
        <f t="shared" si="3"/>
        <v>5</v>
      </c>
      <c r="J46" s="5" t="str">
        <f t="shared" si="4"/>
        <v>901.2</v>
      </c>
      <c r="K46" s="109">
        <v>0</v>
      </c>
      <c r="L46" s="109">
        <v>0</v>
      </c>
      <c r="M46" s="109">
        <v>0</v>
      </c>
      <c r="N46" s="109">
        <v>0</v>
      </c>
      <c r="O46" s="109">
        <v>0</v>
      </c>
      <c r="P46" s="109">
        <v>0</v>
      </c>
      <c r="Q46" s="78">
        <f t="shared" si="5"/>
        <v>0</v>
      </c>
      <c r="R46" s="77">
        <f t="shared" si="6"/>
        <v>0</v>
      </c>
      <c r="S46" s="72">
        <f t="shared" si="7"/>
        <v>0</v>
      </c>
      <c r="T46" s="71"/>
      <c r="U46" s="1">
        <f t="shared" si="8"/>
        <v>9</v>
      </c>
      <c r="V46" s="68"/>
      <c r="W46" s="67" t="s">
        <v>436</v>
      </c>
      <c r="X46" s="66"/>
      <c r="Y46" s="65">
        <v>10.75</v>
      </c>
      <c r="Z46" s="65"/>
    </row>
    <row r="47" spans="2:31" x14ac:dyDescent="0.2">
      <c r="B47" s="5">
        <v>906</v>
      </c>
      <c r="C47" s="80" t="s">
        <v>403</v>
      </c>
      <c r="D47" s="5">
        <v>22</v>
      </c>
      <c r="E47" s="18">
        <v>4</v>
      </c>
      <c r="F47" s="18">
        <v>2</v>
      </c>
      <c r="G47" s="18">
        <v>2</v>
      </c>
      <c r="H47" s="5">
        <v>2</v>
      </c>
      <c r="I47" s="5">
        <f t="shared" si="3"/>
        <v>6</v>
      </c>
      <c r="J47" s="5" t="str">
        <f t="shared" si="4"/>
        <v>422.2</v>
      </c>
      <c r="K47" s="109">
        <v>24</v>
      </c>
      <c r="L47" s="109">
        <v>26</v>
      </c>
      <c r="M47" s="109">
        <v>26</v>
      </c>
      <c r="N47" s="109">
        <v>22</v>
      </c>
      <c r="O47" s="109">
        <v>20</v>
      </c>
      <c r="P47" s="109">
        <v>22</v>
      </c>
      <c r="Q47" s="78">
        <f t="shared" si="5"/>
        <v>11.666666666666666</v>
      </c>
      <c r="R47" s="77">
        <f t="shared" si="6"/>
        <v>0.49441323247304431</v>
      </c>
      <c r="S47" s="72">
        <f t="shared" si="7"/>
        <v>11.666666666666666</v>
      </c>
      <c r="T47" s="71"/>
      <c r="U47" s="1">
        <f t="shared" si="8"/>
        <v>9</v>
      </c>
      <c r="V47" s="68"/>
      <c r="W47" s="67">
        <v>2</v>
      </c>
      <c r="X47" s="67">
        <v>206</v>
      </c>
      <c r="Y47" s="65">
        <v>11.75</v>
      </c>
      <c r="Z47" s="65"/>
    </row>
    <row r="48" spans="2:31" x14ac:dyDescent="0.2">
      <c r="B48" s="5">
        <v>907</v>
      </c>
      <c r="C48" s="5" t="s">
        <v>401</v>
      </c>
      <c r="D48" s="5">
        <v>31</v>
      </c>
      <c r="E48" s="18">
        <v>8</v>
      </c>
      <c r="F48" s="18">
        <v>0</v>
      </c>
      <c r="G48" s="18">
        <v>1</v>
      </c>
      <c r="H48" s="5">
        <v>2</v>
      </c>
      <c r="I48" s="5">
        <f t="shared" si="3"/>
        <v>7</v>
      </c>
      <c r="J48" s="5" t="str">
        <f t="shared" si="4"/>
        <v>801.2</v>
      </c>
      <c r="K48" s="109">
        <v>0</v>
      </c>
      <c r="L48" s="109">
        <v>0</v>
      </c>
      <c r="M48" s="109">
        <v>0</v>
      </c>
      <c r="N48" s="109">
        <v>0</v>
      </c>
      <c r="O48" s="109">
        <v>0</v>
      </c>
      <c r="P48" s="109">
        <v>0</v>
      </c>
      <c r="Q48" s="78">
        <f t="shared" si="5"/>
        <v>0</v>
      </c>
      <c r="R48" s="77">
        <f t="shared" si="6"/>
        <v>0</v>
      </c>
      <c r="S48" s="72">
        <f t="shared" si="7"/>
        <v>0</v>
      </c>
      <c r="T48" s="71"/>
      <c r="U48" s="1">
        <f t="shared" si="8"/>
        <v>9</v>
      </c>
      <c r="V48" s="68"/>
      <c r="W48" s="68"/>
      <c r="X48" s="70">
        <v>303</v>
      </c>
      <c r="Y48" s="69">
        <v>12.916666666666666</v>
      </c>
      <c r="Z48" s="69"/>
    </row>
    <row r="49" spans="2:26" ht="13.5" thickBot="1" x14ac:dyDescent="0.25">
      <c r="B49" s="13">
        <v>908</v>
      </c>
      <c r="C49" s="76" t="s">
        <v>400</v>
      </c>
      <c r="D49" s="13">
        <v>21</v>
      </c>
      <c r="E49" s="75">
        <v>3</v>
      </c>
      <c r="F49" s="75">
        <v>2</v>
      </c>
      <c r="G49" s="75">
        <v>2</v>
      </c>
      <c r="H49" s="13">
        <v>2</v>
      </c>
      <c r="I49" s="13">
        <f t="shared" si="3"/>
        <v>8</v>
      </c>
      <c r="J49" s="13" t="str">
        <f t="shared" si="4"/>
        <v>322.2</v>
      </c>
      <c r="K49" s="74">
        <v>31</v>
      </c>
      <c r="L49" s="74">
        <v>29</v>
      </c>
      <c r="M49" s="74">
        <v>26</v>
      </c>
      <c r="N49" s="74">
        <v>24</v>
      </c>
      <c r="O49" s="74">
        <v>26</v>
      </c>
      <c r="P49" s="74">
        <v>26</v>
      </c>
      <c r="Q49" s="74">
        <f t="shared" si="5"/>
        <v>13.5</v>
      </c>
      <c r="R49" s="73">
        <f t="shared" si="6"/>
        <v>0.51639777949432231</v>
      </c>
      <c r="S49" s="72">
        <f t="shared" si="7"/>
        <v>13.5</v>
      </c>
      <c r="T49" s="71"/>
      <c r="U49" s="1">
        <f t="shared" si="8"/>
        <v>9</v>
      </c>
      <c r="V49" s="68"/>
      <c r="W49" s="68"/>
      <c r="X49" s="70">
        <v>401</v>
      </c>
      <c r="Y49" s="69">
        <v>12.166666666666666</v>
      </c>
      <c r="Z49" s="69"/>
    </row>
    <row r="50" spans="2:26" x14ac:dyDescent="0.2">
      <c r="V50" s="68"/>
      <c r="W50" s="68"/>
      <c r="X50" s="70">
        <v>407</v>
      </c>
      <c r="Y50" s="69">
        <v>13.75</v>
      </c>
      <c r="Z50" s="69"/>
    </row>
    <row r="51" spans="2:26" x14ac:dyDescent="0.2">
      <c r="V51" s="68"/>
      <c r="W51" s="67" t="s">
        <v>435</v>
      </c>
      <c r="X51" s="66"/>
      <c r="Y51" s="65">
        <v>12.645833333333332</v>
      </c>
      <c r="Z51" s="65"/>
    </row>
    <row r="52" spans="2:26" x14ac:dyDescent="0.2">
      <c r="V52" s="67" t="s">
        <v>436</v>
      </c>
      <c r="W52" s="66"/>
      <c r="X52" s="66"/>
      <c r="Y52" s="65">
        <v>11.697916666666668</v>
      </c>
      <c r="Z52" s="65"/>
    </row>
    <row r="53" spans="2:26" x14ac:dyDescent="0.2">
      <c r="V53" s="67">
        <v>2</v>
      </c>
      <c r="W53" s="67">
        <v>1</v>
      </c>
      <c r="X53" s="67">
        <v>102</v>
      </c>
      <c r="Y53" s="65">
        <v>8.5</v>
      </c>
      <c r="Z53" s="65"/>
    </row>
    <row r="54" spans="2:26" x14ac:dyDescent="0.2">
      <c r="V54" s="68"/>
      <c r="W54" s="68"/>
      <c r="X54" s="70">
        <v>108</v>
      </c>
      <c r="Y54" s="69">
        <v>11.25</v>
      </c>
      <c r="Z54" s="69"/>
    </row>
    <row r="55" spans="2:26" x14ac:dyDescent="0.2">
      <c r="V55" s="68"/>
      <c r="W55" s="68"/>
      <c r="X55" s="70">
        <v>203</v>
      </c>
      <c r="Y55" s="69">
        <v>9.6666666666666661</v>
      </c>
      <c r="Z55" s="69"/>
    </row>
    <row r="56" spans="2:26" x14ac:dyDescent="0.2">
      <c r="V56" s="68"/>
      <c r="W56" s="68"/>
      <c r="X56" s="70">
        <v>207</v>
      </c>
      <c r="Y56" s="69">
        <v>11</v>
      </c>
      <c r="Z56" s="69"/>
    </row>
    <row r="57" spans="2:26" x14ac:dyDescent="0.2">
      <c r="V57" s="68"/>
      <c r="W57" s="68"/>
      <c r="X57" s="70">
        <v>302</v>
      </c>
      <c r="Y57" s="69">
        <v>12.5</v>
      </c>
      <c r="Z57" s="69"/>
    </row>
    <row r="58" spans="2:26" x14ac:dyDescent="0.2">
      <c r="V58" s="68"/>
      <c r="W58" s="68"/>
      <c r="X58" s="70">
        <v>306</v>
      </c>
      <c r="Y58" s="69">
        <v>13.25</v>
      </c>
      <c r="Z58" s="69"/>
    </row>
    <row r="59" spans="2:26" x14ac:dyDescent="0.2">
      <c r="V59" s="68"/>
      <c r="W59" s="68"/>
      <c r="X59" s="70">
        <v>404</v>
      </c>
      <c r="Y59" s="69">
        <v>11.5</v>
      </c>
      <c r="Z59" s="69"/>
    </row>
    <row r="60" spans="2:26" x14ac:dyDescent="0.2">
      <c r="V60" s="68"/>
      <c r="W60" s="68"/>
      <c r="X60" s="70">
        <v>406</v>
      </c>
      <c r="Y60" s="69">
        <v>12.5</v>
      </c>
      <c r="Z60" s="69"/>
    </row>
    <row r="61" spans="2:26" x14ac:dyDescent="0.2">
      <c r="V61" s="68"/>
      <c r="W61" s="67" t="s">
        <v>436</v>
      </c>
      <c r="X61" s="66"/>
      <c r="Y61" s="65">
        <v>11.270833333333332</v>
      </c>
      <c r="Z61" s="65"/>
    </row>
    <row r="62" spans="2:26" x14ac:dyDescent="0.2">
      <c r="V62" s="68"/>
      <c r="W62" s="67">
        <v>2</v>
      </c>
      <c r="X62" s="67">
        <v>104</v>
      </c>
      <c r="Y62" s="65">
        <v>11.166666666666666</v>
      </c>
      <c r="Z62" s="65"/>
    </row>
    <row r="63" spans="2:26" x14ac:dyDescent="0.2">
      <c r="V63" s="68"/>
      <c r="W63" s="68"/>
      <c r="X63" s="70">
        <v>106</v>
      </c>
      <c r="Y63" s="69">
        <v>11.416666666666666</v>
      </c>
      <c r="Z63" s="69"/>
    </row>
    <row r="64" spans="2:26" x14ac:dyDescent="0.2">
      <c r="V64" s="68"/>
      <c r="W64" s="68"/>
      <c r="X64" s="70">
        <v>107</v>
      </c>
      <c r="Y64" s="69">
        <v>10.916666666666666</v>
      </c>
      <c r="Z64" s="69"/>
    </row>
    <row r="65" spans="22:26" x14ac:dyDescent="0.2">
      <c r="V65" s="68"/>
      <c r="W65" s="68"/>
      <c r="X65" s="70">
        <v>202</v>
      </c>
      <c r="Y65" s="69">
        <v>11.916666666666666</v>
      </c>
      <c r="Z65" s="69"/>
    </row>
    <row r="66" spans="22:26" x14ac:dyDescent="0.2">
      <c r="V66" s="68"/>
      <c r="W66" s="68"/>
      <c r="X66" s="70">
        <v>301</v>
      </c>
      <c r="Y66" s="69">
        <v>11.75</v>
      </c>
      <c r="Z66" s="69"/>
    </row>
    <row r="67" spans="22:26" x14ac:dyDescent="0.2">
      <c r="V67" s="68"/>
      <c r="W67" s="68"/>
      <c r="X67" s="70">
        <v>307</v>
      </c>
      <c r="Y67" s="69">
        <v>12.416666666666666</v>
      </c>
      <c r="Z67" s="69"/>
    </row>
    <row r="68" spans="22:26" x14ac:dyDescent="0.2">
      <c r="V68" s="68"/>
      <c r="W68" s="68"/>
      <c r="X68" s="70">
        <v>402</v>
      </c>
      <c r="Y68" s="69">
        <v>11.916666666666666</v>
      </c>
      <c r="Z68" s="69"/>
    </row>
    <row r="69" spans="22:26" x14ac:dyDescent="0.2">
      <c r="V69" s="68"/>
      <c r="W69" s="68"/>
      <c r="X69" s="70">
        <v>408</v>
      </c>
      <c r="Y69" s="69">
        <v>12.583333333333334</v>
      </c>
      <c r="Z69" s="69"/>
    </row>
    <row r="70" spans="22:26" x14ac:dyDescent="0.2">
      <c r="V70" s="68"/>
      <c r="W70" s="67" t="s">
        <v>435</v>
      </c>
      <c r="X70" s="66"/>
      <c r="Y70" s="65">
        <v>11.760416666666666</v>
      </c>
      <c r="Z70" s="65"/>
    </row>
    <row r="71" spans="22:26" x14ac:dyDescent="0.2">
      <c r="V71" s="67" t="s">
        <v>435</v>
      </c>
      <c r="W71" s="66"/>
      <c r="X71" s="66"/>
      <c r="Y71" s="65">
        <v>11.515625</v>
      </c>
      <c r="Z71" s="65"/>
    </row>
    <row r="72" spans="22:26" x14ac:dyDescent="0.2">
      <c r="V72" s="67">
        <v>3</v>
      </c>
      <c r="W72" s="67">
        <v>1</v>
      </c>
      <c r="X72" s="67">
        <v>103</v>
      </c>
      <c r="Y72" s="65">
        <v>20.916666666666668</v>
      </c>
      <c r="Z72" s="65"/>
    </row>
    <row r="73" spans="22:26" x14ac:dyDescent="0.2">
      <c r="V73" s="68"/>
      <c r="W73" s="68"/>
      <c r="X73" s="70">
        <v>308</v>
      </c>
      <c r="Y73" s="69">
        <v>24</v>
      </c>
      <c r="Z73" s="69"/>
    </row>
    <row r="74" spans="22:26" x14ac:dyDescent="0.2">
      <c r="V74" s="68"/>
      <c r="W74" s="68"/>
      <c r="X74" s="70">
        <v>403</v>
      </c>
      <c r="Y74" s="69">
        <v>23.833333333333332</v>
      </c>
      <c r="Z74" s="69"/>
    </row>
    <row r="75" spans="22:26" x14ac:dyDescent="0.2">
      <c r="V75" s="68"/>
      <c r="W75" s="68"/>
      <c r="X75" s="70">
        <v>405</v>
      </c>
      <c r="Y75" s="69">
        <v>25.583333333333332</v>
      </c>
      <c r="Z75" s="69"/>
    </row>
    <row r="76" spans="22:26" x14ac:dyDescent="0.2">
      <c r="V76" s="68"/>
      <c r="W76" s="67" t="s">
        <v>436</v>
      </c>
      <c r="X76" s="66"/>
      <c r="Y76" s="65">
        <v>23.583333333333332</v>
      </c>
      <c r="Z76" s="65"/>
    </row>
    <row r="77" spans="22:26" x14ac:dyDescent="0.2">
      <c r="V77" s="68"/>
      <c r="W77" s="67">
        <v>2</v>
      </c>
      <c r="X77" s="67">
        <v>105</v>
      </c>
      <c r="Y77" s="65">
        <v>21.5</v>
      </c>
      <c r="Z77" s="65"/>
    </row>
    <row r="78" spans="22:26" x14ac:dyDescent="0.2">
      <c r="V78" s="68"/>
      <c r="W78" s="68"/>
      <c r="X78" s="70">
        <v>201</v>
      </c>
      <c r="Y78" s="69">
        <v>20</v>
      </c>
      <c r="Z78" s="69"/>
    </row>
    <row r="79" spans="22:26" x14ac:dyDescent="0.2">
      <c r="V79" s="68"/>
      <c r="W79" s="68"/>
      <c r="X79" s="70">
        <v>204</v>
      </c>
      <c r="Y79" s="69">
        <v>22.416666666666668</v>
      </c>
      <c r="Z79" s="69"/>
    </row>
    <row r="80" spans="22:26" x14ac:dyDescent="0.2">
      <c r="V80" s="68"/>
      <c r="W80" s="68"/>
      <c r="X80" s="70">
        <v>305</v>
      </c>
      <c r="Y80" s="69">
        <v>26.833333333333332</v>
      </c>
      <c r="Z80" s="69"/>
    </row>
    <row r="81" spans="22:26" x14ac:dyDescent="0.2">
      <c r="V81" s="68"/>
      <c r="W81" s="67" t="s">
        <v>435</v>
      </c>
      <c r="X81" s="66"/>
      <c r="Y81" s="65">
        <v>22.6875</v>
      </c>
      <c r="Z81" s="65"/>
    </row>
    <row r="82" spans="22:26" x14ac:dyDescent="0.2">
      <c r="V82" s="64" t="s">
        <v>434</v>
      </c>
      <c r="W82" s="63"/>
      <c r="X82" s="63"/>
      <c r="Y82" s="62">
        <v>23.135416666666664</v>
      </c>
      <c r="Z82" s="62"/>
    </row>
  </sheetData>
  <pageMargins left="0.75" right="0.75" top="1" bottom="1" header="0.5" footer="0.5"/>
  <pageSetup orientation="portrait" r:id="rId3"/>
  <headerFooter alignWithMargins="0"/>
  <drawing r:id="rId4"/>
  <legacyDrawing r:id="rId5"/>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52929-F987-48B0-9F84-C45178BBC4C2}">
  <dimension ref="A1:AE58"/>
  <sheetViews>
    <sheetView workbookViewId="0">
      <selection activeCell="K10" sqref="K10:P49"/>
    </sheetView>
  </sheetViews>
  <sheetFormatPr defaultRowHeight="12.75" x14ac:dyDescent="0.2"/>
  <cols>
    <col min="1" max="19" width="9.140625" style="1"/>
    <col min="20" max="20" width="45.7109375" style="1" customWidth="1"/>
    <col min="21" max="21" width="9.140625" style="1"/>
    <col min="22" max="22" width="28.7109375" style="1" customWidth="1"/>
    <col min="23" max="25" width="5.5703125" style="1" customWidth="1"/>
    <col min="26" max="26" width="4.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132</v>
      </c>
      <c r="E3" s="1" t="s">
        <v>425</v>
      </c>
      <c r="F3" s="105">
        <v>0.34722222222222227</v>
      </c>
    </row>
    <row r="4" spans="1:23" ht="13.5" thickBot="1" x14ac:dyDescent="0.25">
      <c r="E4" s="1" t="s">
        <v>424</v>
      </c>
      <c r="F4" s="105">
        <v>0.38194444444444442</v>
      </c>
      <c r="N4" s="58">
        <f>AVERAGE(Q10:Q11,Q13,Q15:Q17,Q19:Q20,Q22:Q29,Q31:Q32,Q34:Q35,Q37,Q39:Q41)</f>
        <v>11.84375</v>
      </c>
      <c r="O4" s="58">
        <f>AVERAGE(Q12,Q14,Q18,Q21,Q30,Q36,Q38,Q33)</f>
        <v>23.895833333333336</v>
      </c>
    </row>
    <row r="6" spans="1:23" x14ac:dyDescent="0.2">
      <c r="B6" s="1" t="s">
        <v>80</v>
      </c>
      <c r="D6" s="104" t="s">
        <v>513</v>
      </c>
      <c r="E6" s="104"/>
      <c r="F6" s="104"/>
      <c r="G6" s="104"/>
      <c r="H6" s="104"/>
      <c r="I6" s="104"/>
      <c r="J6" s="104"/>
      <c r="K6" s="104"/>
      <c r="L6" s="104"/>
      <c r="M6" s="104"/>
      <c r="N6" s="104"/>
      <c r="O6" s="104"/>
    </row>
    <row r="7" spans="1:23" x14ac:dyDescent="0.2">
      <c r="D7" s="104" t="s">
        <v>512</v>
      </c>
      <c r="E7" s="104"/>
      <c r="F7" s="104"/>
      <c r="G7" s="104"/>
      <c r="H7" s="104"/>
      <c r="I7" s="104"/>
      <c r="J7" s="104"/>
      <c r="K7" s="104"/>
      <c r="L7" s="104"/>
      <c r="M7" s="104"/>
      <c r="N7" s="104"/>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c r="U9" s="99" t="s">
        <v>411</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22</v>
      </c>
      <c r="L10" s="110">
        <v>20</v>
      </c>
      <c r="M10" s="110">
        <v>25</v>
      </c>
      <c r="N10" s="110">
        <v>14</v>
      </c>
      <c r="O10" s="110">
        <v>19</v>
      </c>
      <c r="P10" s="110">
        <v>29</v>
      </c>
      <c r="Q10" s="78">
        <f t="shared" ref="Q10:Q49" si="5">AVERAGE(K10:P10)/2</f>
        <v>10.75</v>
      </c>
      <c r="R10" s="78">
        <f t="shared" ref="R10:R49" si="6">STDEV(K10:P10)/2/SQRT(COUNT(K10:P10))</f>
        <v>1.0547511554864495</v>
      </c>
      <c r="S10" s="72">
        <f t="shared" ref="S10:S49" si="7">IF(F10=3,Q10/2,Q10)</f>
        <v>10.75</v>
      </c>
      <c r="T10" s="71" t="s">
        <v>511</v>
      </c>
      <c r="U10" s="1">
        <f t="shared" ref="U10:U49" si="8">INT(B10/100)</f>
        <v>1</v>
      </c>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109">
        <v>26</v>
      </c>
      <c r="L11" s="109">
        <v>18</v>
      </c>
      <c r="M11" s="109">
        <v>15</v>
      </c>
      <c r="N11" s="109">
        <v>18</v>
      </c>
      <c r="O11" s="109">
        <v>22</v>
      </c>
      <c r="P11" s="109">
        <v>25</v>
      </c>
      <c r="Q11" s="78">
        <f t="shared" si="5"/>
        <v>10.333333333333334</v>
      </c>
      <c r="R11" s="77">
        <f t="shared" si="6"/>
        <v>0.89131613047472991</v>
      </c>
      <c r="S11" s="72">
        <f t="shared" si="7"/>
        <v>10.333333333333334</v>
      </c>
      <c r="T11" s="71"/>
      <c r="U11" s="1">
        <f t="shared" si="8"/>
        <v>1</v>
      </c>
      <c r="V11" s="83" t="s">
        <v>411</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f>22+26</f>
        <v>48</v>
      </c>
      <c r="L12" s="111">
        <f>26+27</f>
        <v>53</v>
      </c>
      <c r="M12" s="111">
        <f>23+26</f>
        <v>49</v>
      </c>
      <c r="N12" s="111">
        <f>24+24</f>
        <v>48</v>
      </c>
      <c r="O12" s="111">
        <f>17+24</f>
        <v>41</v>
      </c>
      <c r="P12" s="111">
        <f>27+26</f>
        <v>53</v>
      </c>
      <c r="Q12" s="87">
        <f t="shared" si="5"/>
        <v>24.333333333333332</v>
      </c>
      <c r="R12" s="86">
        <f t="shared" si="6"/>
        <v>0.90061707240708655</v>
      </c>
      <c r="S12" s="72">
        <f t="shared" si="7"/>
        <v>12.166666666666666</v>
      </c>
      <c r="T12" s="71"/>
      <c r="U12" s="1">
        <f t="shared" si="8"/>
        <v>1</v>
      </c>
      <c r="V12" s="67">
        <v>1</v>
      </c>
      <c r="W12" s="65">
        <v>12.109375</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27</v>
      </c>
      <c r="L13" s="109">
        <v>31</v>
      </c>
      <c r="M13" s="109">
        <v>24</v>
      </c>
      <c r="N13" s="109">
        <v>24</v>
      </c>
      <c r="O13" s="109">
        <v>23</v>
      </c>
      <c r="P13" s="109">
        <v>28</v>
      </c>
      <c r="Q13" s="78">
        <f t="shared" si="5"/>
        <v>13.083333333333334</v>
      </c>
      <c r="R13" s="77">
        <f t="shared" si="6"/>
        <v>0.62472216046637508</v>
      </c>
      <c r="S13" s="72">
        <f t="shared" si="7"/>
        <v>13.083333333333334</v>
      </c>
      <c r="T13" s="71"/>
      <c r="U13" s="1">
        <f t="shared" si="8"/>
        <v>1</v>
      </c>
      <c r="V13" s="70">
        <v>2</v>
      </c>
      <c r="W13" s="69">
        <v>12.598958333333332</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f>26+26</f>
        <v>52</v>
      </c>
      <c r="L14" s="111">
        <f>25+27</f>
        <v>52</v>
      </c>
      <c r="M14" s="111">
        <f>24+25</f>
        <v>49</v>
      </c>
      <c r="N14" s="111">
        <f>24+23</f>
        <v>47</v>
      </c>
      <c r="O14" s="111">
        <f>17+28</f>
        <v>45</v>
      </c>
      <c r="P14" s="111">
        <f>27+29</f>
        <v>56</v>
      </c>
      <c r="Q14" s="87">
        <f t="shared" si="5"/>
        <v>25.083333333333332</v>
      </c>
      <c r="R14" s="86">
        <f t="shared" si="6"/>
        <v>0.8105210943858554</v>
      </c>
      <c r="S14" s="72">
        <f t="shared" si="7"/>
        <v>12.541666666666666</v>
      </c>
      <c r="T14" s="71"/>
      <c r="U14" s="1">
        <f t="shared" si="8"/>
        <v>1</v>
      </c>
      <c r="V14" s="70">
        <v>3</v>
      </c>
      <c r="W14" s="69">
        <v>11.583333333333332</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v>29</v>
      </c>
      <c r="L15" s="109">
        <v>31</v>
      </c>
      <c r="M15" s="109">
        <v>25</v>
      </c>
      <c r="N15" s="109">
        <v>27</v>
      </c>
      <c r="O15" s="109">
        <v>23</v>
      </c>
      <c r="P15" s="109">
        <v>22</v>
      </c>
      <c r="Q15" s="78">
        <f t="shared" si="5"/>
        <v>13.083333333333334</v>
      </c>
      <c r="R15" s="77">
        <f t="shared" si="6"/>
        <v>0.71200031210979253</v>
      </c>
      <c r="S15" s="72">
        <f t="shared" si="7"/>
        <v>13.083333333333334</v>
      </c>
      <c r="T15" s="71"/>
      <c r="U15" s="1">
        <f t="shared" si="8"/>
        <v>1</v>
      </c>
      <c r="V15" s="70">
        <v>4</v>
      </c>
      <c r="W15" s="69">
        <v>11.1875</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09">
        <v>21</v>
      </c>
      <c r="L16" s="109">
        <v>25</v>
      </c>
      <c r="M16" s="109">
        <v>22</v>
      </c>
      <c r="N16" s="109">
        <v>24</v>
      </c>
      <c r="O16" s="109">
        <v>25</v>
      </c>
      <c r="P16" s="109">
        <v>29</v>
      </c>
      <c r="Q16" s="78">
        <f t="shared" si="5"/>
        <v>12.166666666666666</v>
      </c>
      <c r="R16" s="77">
        <f t="shared" si="6"/>
        <v>0.57251880124392351</v>
      </c>
      <c r="S16" s="72">
        <f t="shared" si="7"/>
        <v>12.166666666666666</v>
      </c>
      <c r="T16" s="71"/>
      <c r="U16" s="1">
        <f t="shared" si="8"/>
        <v>1</v>
      </c>
      <c r="V16" s="64" t="s">
        <v>408</v>
      </c>
      <c r="W16" s="62">
        <v>11.869791666666668</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4">
        <v>26</v>
      </c>
      <c r="L17" s="74">
        <v>26</v>
      </c>
      <c r="M17" s="74">
        <v>26</v>
      </c>
      <c r="N17" s="74">
        <v>27</v>
      </c>
      <c r="O17" s="74">
        <v>23</v>
      </c>
      <c r="P17" s="74">
        <v>25</v>
      </c>
      <c r="Q17" s="74">
        <f t="shared" si="5"/>
        <v>12.75</v>
      </c>
      <c r="R17" s="73">
        <f t="shared" si="6"/>
        <v>0.28136571693556889</v>
      </c>
      <c r="S17" s="72">
        <f t="shared" si="7"/>
        <v>12.75</v>
      </c>
      <c r="T17" s="115">
        <v>0.38194444444444442</v>
      </c>
      <c r="U17" s="1">
        <f t="shared" si="8"/>
        <v>1</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f>25+21</f>
        <v>46</v>
      </c>
      <c r="L18" s="114">
        <f>27+29</f>
        <v>56</v>
      </c>
      <c r="M18" s="114">
        <f>26+27</f>
        <v>53</v>
      </c>
      <c r="N18" s="114">
        <f>18+20</f>
        <v>38</v>
      </c>
      <c r="O18" s="114">
        <f>15+25</f>
        <v>40</v>
      </c>
      <c r="P18" s="114">
        <f>30+20</f>
        <v>50</v>
      </c>
      <c r="Q18" s="87">
        <f t="shared" si="5"/>
        <v>23.583333333333332</v>
      </c>
      <c r="R18" s="87">
        <f t="shared" si="6"/>
        <v>1.4629688232418978</v>
      </c>
      <c r="S18" s="72">
        <f t="shared" si="7"/>
        <v>11.791666666666666</v>
      </c>
      <c r="T18" s="108">
        <v>0.3611111111111111</v>
      </c>
      <c r="U18" s="1">
        <f t="shared" si="8"/>
        <v>2</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3">
        <v>28</v>
      </c>
      <c r="L19" s="112">
        <v>24</v>
      </c>
      <c r="M19" s="112">
        <v>30</v>
      </c>
      <c r="N19" s="112">
        <v>17</v>
      </c>
      <c r="O19" s="109">
        <v>31</v>
      </c>
      <c r="P19" s="109">
        <v>29</v>
      </c>
      <c r="Q19" s="78">
        <f t="shared" si="5"/>
        <v>13.25</v>
      </c>
      <c r="R19" s="77">
        <f t="shared" si="6"/>
        <v>1.0704360482220943</v>
      </c>
      <c r="S19" s="72">
        <f t="shared" si="7"/>
        <v>13.25</v>
      </c>
      <c r="T19" s="71"/>
      <c r="U19" s="1">
        <f t="shared" si="8"/>
        <v>2</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109">
        <v>23</v>
      </c>
      <c r="L20" s="109">
        <v>29</v>
      </c>
      <c r="M20" s="109">
        <v>24</v>
      </c>
      <c r="N20" s="109">
        <v>21</v>
      </c>
      <c r="O20" s="109">
        <v>24</v>
      </c>
      <c r="P20" s="109">
        <v>21</v>
      </c>
      <c r="Q20" s="78">
        <f t="shared" si="5"/>
        <v>11.833333333333334</v>
      </c>
      <c r="R20" s="77">
        <f t="shared" si="6"/>
        <v>0.60092521257733267</v>
      </c>
      <c r="S20" s="72">
        <f t="shared" si="7"/>
        <v>11.833333333333334</v>
      </c>
      <c r="T20" s="71"/>
      <c r="U20" s="1">
        <f t="shared" si="8"/>
        <v>2</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f>28+22</f>
        <v>50</v>
      </c>
      <c r="L21" s="111">
        <f>24+26</f>
        <v>50</v>
      </c>
      <c r="M21" s="111">
        <f>28+26</f>
        <v>54</v>
      </c>
      <c r="N21" s="111">
        <f>28+27</f>
        <v>55</v>
      </c>
      <c r="O21" s="111">
        <f>21+27</f>
        <v>48</v>
      </c>
      <c r="P21" s="111">
        <f>26+27</f>
        <v>53</v>
      </c>
      <c r="Q21" s="87">
        <f t="shared" si="5"/>
        <v>25.833333333333332</v>
      </c>
      <c r="R21" s="86">
        <f t="shared" si="6"/>
        <v>0.55777335102271708</v>
      </c>
      <c r="S21" s="72">
        <f t="shared" si="7"/>
        <v>12.916666666666666</v>
      </c>
      <c r="T21" s="71"/>
      <c r="U21" s="1">
        <f t="shared" si="8"/>
        <v>2</v>
      </c>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18</v>
      </c>
      <c r="L22" s="109">
        <v>28</v>
      </c>
      <c r="M22" s="109">
        <v>28</v>
      </c>
      <c r="N22" s="109">
        <v>27</v>
      </c>
      <c r="O22" s="109">
        <v>21</v>
      </c>
      <c r="P22" s="109">
        <v>28</v>
      </c>
      <c r="Q22" s="78">
        <f t="shared" si="5"/>
        <v>12.5</v>
      </c>
      <c r="R22" s="77">
        <f t="shared" si="6"/>
        <v>0.89442719099991586</v>
      </c>
      <c r="S22" s="72">
        <f t="shared" si="7"/>
        <v>12.5</v>
      </c>
      <c r="T22" s="71"/>
      <c r="U22" s="1">
        <f t="shared" si="8"/>
        <v>2</v>
      </c>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29</v>
      </c>
      <c r="L23" s="109">
        <v>23</v>
      </c>
      <c r="M23" s="109">
        <v>26</v>
      </c>
      <c r="N23" s="109">
        <v>30</v>
      </c>
      <c r="O23" s="109">
        <v>26</v>
      </c>
      <c r="P23" s="109">
        <v>27</v>
      </c>
      <c r="Q23" s="78">
        <f t="shared" si="5"/>
        <v>13.416666666666666</v>
      </c>
      <c r="R23" s="77">
        <f t="shared" si="6"/>
        <v>0.50689687752485169</v>
      </c>
      <c r="S23" s="72">
        <f t="shared" si="7"/>
        <v>13.416666666666666</v>
      </c>
      <c r="T23" s="71"/>
      <c r="U23" s="1">
        <f t="shared" si="8"/>
        <v>2</v>
      </c>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22</v>
      </c>
      <c r="L24" s="109">
        <v>24</v>
      </c>
      <c r="M24" s="109">
        <v>25</v>
      </c>
      <c r="N24" s="109">
        <v>28</v>
      </c>
      <c r="O24" s="109">
        <v>29</v>
      </c>
      <c r="P24" s="109">
        <v>25</v>
      </c>
      <c r="Q24" s="78">
        <f t="shared" si="5"/>
        <v>12.75</v>
      </c>
      <c r="R24" s="77">
        <f t="shared" si="6"/>
        <v>0.52836224947157862</v>
      </c>
      <c r="S24" s="72">
        <f t="shared" si="7"/>
        <v>12.75</v>
      </c>
      <c r="T24" s="71"/>
      <c r="U24" s="1">
        <f t="shared" si="8"/>
        <v>2</v>
      </c>
      <c r="V24" s="58">
        <f>AVERAGE(W15:W17,W19)</f>
        <v>11.528645833333334</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29</v>
      </c>
      <c r="L25" s="74">
        <v>28</v>
      </c>
      <c r="M25" s="74">
        <v>24</v>
      </c>
      <c r="N25" s="74">
        <v>26</v>
      </c>
      <c r="O25" s="74">
        <v>16</v>
      </c>
      <c r="P25" s="74">
        <v>25</v>
      </c>
      <c r="Q25" s="74">
        <f t="shared" si="5"/>
        <v>12.333333333333334</v>
      </c>
      <c r="R25" s="73">
        <f t="shared" si="6"/>
        <v>0.94575073060740789</v>
      </c>
      <c r="S25" s="72">
        <f t="shared" si="7"/>
        <v>12.333333333333334</v>
      </c>
      <c r="T25" s="108">
        <v>0.34722222222222227</v>
      </c>
      <c r="U25" s="1">
        <f t="shared" si="8"/>
        <v>2</v>
      </c>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18</v>
      </c>
      <c r="L26" s="110">
        <v>27</v>
      </c>
      <c r="M26" s="110">
        <v>19</v>
      </c>
      <c r="N26" s="110">
        <v>20</v>
      </c>
      <c r="O26" s="110">
        <v>25</v>
      </c>
      <c r="P26" s="110">
        <v>22</v>
      </c>
      <c r="Q26" s="78">
        <f t="shared" si="5"/>
        <v>10.916666666666666</v>
      </c>
      <c r="R26" s="78">
        <f t="shared" si="6"/>
        <v>0.72360977820308126</v>
      </c>
      <c r="S26" s="72">
        <f t="shared" si="7"/>
        <v>10.916666666666666</v>
      </c>
      <c r="T26" s="108">
        <v>0.36527777777777781</v>
      </c>
      <c r="U26" s="1">
        <f t="shared" si="8"/>
        <v>3</v>
      </c>
      <c r="V26" s="58">
        <f>AVERAGE(W12:W14,W18)</f>
        <v>12.097222222222221</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26</v>
      </c>
      <c r="L27" s="109">
        <v>17</v>
      </c>
      <c r="M27" s="109">
        <v>25</v>
      </c>
      <c r="N27" s="109">
        <v>22</v>
      </c>
      <c r="O27" s="109">
        <v>23</v>
      </c>
      <c r="P27" s="109">
        <v>22</v>
      </c>
      <c r="Q27" s="78">
        <f t="shared" si="5"/>
        <v>11.25</v>
      </c>
      <c r="R27" s="77">
        <f t="shared" si="6"/>
        <v>0.64226162893325656</v>
      </c>
      <c r="S27" s="72">
        <f t="shared" si="7"/>
        <v>11.25</v>
      </c>
      <c r="T27" s="71"/>
      <c r="U27" s="1">
        <f t="shared" si="8"/>
        <v>3</v>
      </c>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26</v>
      </c>
      <c r="L28" s="109">
        <v>20</v>
      </c>
      <c r="M28" s="109">
        <v>22</v>
      </c>
      <c r="N28" s="109">
        <v>27</v>
      </c>
      <c r="O28" s="109">
        <v>21</v>
      </c>
      <c r="P28" s="109">
        <v>27</v>
      </c>
      <c r="Q28" s="78">
        <f t="shared" si="5"/>
        <v>11.916666666666666</v>
      </c>
      <c r="R28" s="77">
        <f t="shared" si="6"/>
        <v>0.65085413965888894</v>
      </c>
      <c r="S28" s="72">
        <f t="shared" si="7"/>
        <v>11.916666666666666</v>
      </c>
      <c r="T28" s="71"/>
      <c r="U28" s="1">
        <f t="shared" si="8"/>
        <v>3</v>
      </c>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26</v>
      </c>
      <c r="L29" s="109">
        <v>27</v>
      </c>
      <c r="M29" s="109">
        <v>21</v>
      </c>
      <c r="N29" s="109">
        <v>23</v>
      </c>
      <c r="O29" s="109">
        <v>22</v>
      </c>
      <c r="P29" s="109">
        <v>22</v>
      </c>
      <c r="Q29" s="78">
        <f t="shared" si="5"/>
        <v>11.75</v>
      </c>
      <c r="R29" s="77">
        <f t="shared" si="6"/>
        <v>0.49581582602145058</v>
      </c>
      <c r="S29" s="72">
        <f t="shared" si="7"/>
        <v>11.75</v>
      </c>
      <c r="T29" s="71"/>
      <c r="U29" s="1">
        <f t="shared" si="8"/>
        <v>3</v>
      </c>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f>26+24</f>
        <v>50</v>
      </c>
      <c r="L30" s="111">
        <f>26+26</f>
        <v>52</v>
      </c>
      <c r="M30" s="111">
        <f>20+23</f>
        <v>43</v>
      </c>
      <c r="N30" s="111">
        <f>26+23</f>
        <v>49</v>
      </c>
      <c r="O30" s="111">
        <f>24+23</f>
        <v>47</v>
      </c>
      <c r="P30" s="111">
        <f>27+26</f>
        <v>53</v>
      </c>
      <c r="Q30" s="87">
        <f t="shared" si="5"/>
        <v>24.5</v>
      </c>
      <c r="R30" s="86">
        <f t="shared" si="6"/>
        <v>0.74161984870956632</v>
      </c>
      <c r="S30" s="72">
        <f t="shared" si="7"/>
        <v>12.25</v>
      </c>
      <c r="T30" s="71"/>
      <c r="U30" s="1">
        <f t="shared" si="8"/>
        <v>3</v>
      </c>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26</v>
      </c>
      <c r="L31" s="109">
        <v>23</v>
      </c>
      <c r="M31" s="109">
        <v>20</v>
      </c>
      <c r="N31" s="109">
        <v>24</v>
      </c>
      <c r="O31" s="109">
        <v>25</v>
      </c>
      <c r="P31" s="109">
        <v>24</v>
      </c>
      <c r="Q31" s="78">
        <f t="shared" si="5"/>
        <v>11.833333333333334</v>
      </c>
      <c r="R31" s="77">
        <f t="shared" si="6"/>
        <v>0.42163702135578401</v>
      </c>
      <c r="S31" s="72">
        <f t="shared" si="7"/>
        <v>11.833333333333334</v>
      </c>
      <c r="T31" s="71"/>
      <c r="U31" s="1">
        <f t="shared" si="8"/>
        <v>3</v>
      </c>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20</v>
      </c>
      <c r="L32" s="109">
        <v>22</v>
      </c>
      <c r="M32" s="109">
        <v>18</v>
      </c>
      <c r="N32" s="109">
        <v>26</v>
      </c>
      <c r="O32" s="109">
        <v>23</v>
      </c>
      <c r="P32" s="109">
        <v>27</v>
      </c>
      <c r="Q32" s="78">
        <f t="shared" si="5"/>
        <v>11.333333333333334</v>
      </c>
      <c r="R32" s="77">
        <f t="shared" si="6"/>
        <v>0.70316743699096718</v>
      </c>
      <c r="S32" s="72">
        <f t="shared" si="7"/>
        <v>11.333333333333334</v>
      </c>
      <c r="T32" s="108">
        <v>0.3833333333333333</v>
      </c>
      <c r="U32" s="1">
        <f t="shared" si="8"/>
        <v>3</v>
      </c>
    </row>
    <row r="33" spans="2:31"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f>26+24</f>
        <v>50</v>
      </c>
      <c r="L33" s="91">
        <f>28+33</f>
        <v>61</v>
      </c>
      <c r="M33" s="91">
        <f>22+22</f>
        <v>44</v>
      </c>
      <c r="N33" s="91">
        <f>25+17</f>
        <v>42</v>
      </c>
      <c r="O33" s="91">
        <f>21+24</f>
        <v>45</v>
      </c>
      <c r="P33" s="91">
        <f>13+19</f>
        <v>32</v>
      </c>
      <c r="Q33" s="91">
        <f t="shared" si="5"/>
        <v>22.833333333333332</v>
      </c>
      <c r="R33" s="90">
        <f t="shared" si="6"/>
        <v>1.9522067285795108</v>
      </c>
      <c r="S33" s="72">
        <f t="shared" si="7"/>
        <v>11.416666666666666</v>
      </c>
      <c r="T33" s="71"/>
      <c r="U33" s="1">
        <f t="shared" si="8"/>
        <v>3</v>
      </c>
    </row>
    <row r="34" spans="2:31" x14ac:dyDescent="0.2">
      <c r="B34" s="23">
        <v>401</v>
      </c>
      <c r="C34" s="23" t="s">
        <v>152</v>
      </c>
      <c r="D34" s="23">
        <v>7</v>
      </c>
      <c r="E34" s="81">
        <f t="shared" si="0"/>
        <v>2</v>
      </c>
      <c r="F34" s="81">
        <f t="shared" si="1"/>
        <v>1</v>
      </c>
      <c r="G34" s="81">
        <f t="shared" si="2"/>
        <v>2</v>
      </c>
      <c r="H34" s="23">
        <v>3</v>
      </c>
      <c r="I34" s="23">
        <f t="shared" si="3"/>
        <v>1</v>
      </c>
      <c r="J34" s="23" t="str">
        <f t="shared" si="4"/>
        <v>212.3</v>
      </c>
      <c r="K34" s="110">
        <v>17</v>
      </c>
      <c r="L34" s="110">
        <v>19</v>
      </c>
      <c r="M34" s="110">
        <v>22</v>
      </c>
      <c r="N34" s="110">
        <v>22</v>
      </c>
      <c r="O34" s="110">
        <v>24</v>
      </c>
      <c r="P34" s="110">
        <v>24</v>
      </c>
      <c r="Q34" s="78">
        <f t="shared" si="5"/>
        <v>10.666666666666666</v>
      </c>
      <c r="R34" s="78">
        <f t="shared" si="6"/>
        <v>0.57251880124392351</v>
      </c>
      <c r="S34" s="72">
        <f t="shared" si="7"/>
        <v>10.666666666666666</v>
      </c>
      <c r="T34" s="108">
        <v>0.36458333333333331</v>
      </c>
      <c r="U34" s="1">
        <f t="shared" si="8"/>
        <v>4</v>
      </c>
    </row>
    <row r="35" spans="2:31" x14ac:dyDescent="0.2">
      <c r="B35" s="5">
        <v>402</v>
      </c>
      <c r="C35" s="5" t="s">
        <v>115</v>
      </c>
      <c r="D35" s="5">
        <v>9</v>
      </c>
      <c r="E35" s="18">
        <f t="shared" si="0"/>
        <v>2</v>
      </c>
      <c r="F35" s="18">
        <f t="shared" si="1"/>
        <v>2</v>
      </c>
      <c r="G35" s="18">
        <f t="shared" si="2"/>
        <v>2</v>
      </c>
      <c r="H35" s="5">
        <v>3</v>
      </c>
      <c r="I35" s="5">
        <f t="shared" si="3"/>
        <v>2</v>
      </c>
      <c r="J35" s="5" t="str">
        <f t="shared" si="4"/>
        <v>222.3</v>
      </c>
      <c r="K35" s="109">
        <v>25</v>
      </c>
      <c r="L35" s="109">
        <v>25</v>
      </c>
      <c r="M35" s="109">
        <v>22</v>
      </c>
      <c r="N35" s="109">
        <v>21</v>
      </c>
      <c r="O35" s="109">
        <v>17</v>
      </c>
      <c r="P35" s="109">
        <v>24</v>
      </c>
      <c r="Q35" s="78">
        <f t="shared" si="5"/>
        <v>11.166666666666666</v>
      </c>
      <c r="R35" s="77">
        <f t="shared" si="6"/>
        <v>0.62804812271389343</v>
      </c>
      <c r="S35" s="72">
        <f t="shared" si="7"/>
        <v>11.166666666666666</v>
      </c>
      <c r="T35" s="71"/>
      <c r="U35" s="1">
        <f t="shared" si="8"/>
        <v>4</v>
      </c>
    </row>
    <row r="36" spans="2:31" x14ac:dyDescent="0.2">
      <c r="B36" s="88">
        <v>403</v>
      </c>
      <c r="C36" s="88" t="s">
        <v>155</v>
      </c>
      <c r="D36" s="88">
        <v>6</v>
      </c>
      <c r="E36" s="89">
        <f t="shared" si="0"/>
        <v>1</v>
      </c>
      <c r="F36" s="89">
        <f t="shared" si="1"/>
        <v>3</v>
      </c>
      <c r="G36" s="89">
        <f t="shared" si="2"/>
        <v>1</v>
      </c>
      <c r="H36" s="88">
        <v>3</v>
      </c>
      <c r="I36" s="88">
        <f t="shared" si="3"/>
        <v>3</v>
      </c>
      <c r="J36" s="88" t="str">
        <f t="shared" si="4"/>
        <v>131.3</v>
      </c>
      <c r="K36" s="111">
        <f>24+25</f>
        <v>49</v>
      </c>
      <c r="L36" s="111">
        <f>20+24</f>
        <v>44</v>
      </c>
      <c r="M36" s="111">
        <f>19+26</f>
        <v>45</v>
      </c>
      <c r="N36" s="111">
        <f>18+24</f>
        <v>42</v>
      </c>
      <c r="O36" s="111">
        <f>15+20</f>
        <v>35</v>
      </c>
      <c r="P36" s="111">
        <f>24+21</f>
        <v>45</v>
      </c>
      <c r="Q36" s="87">
        <f t="shared" si="5"/>
        <v>21.666666666666668</v>
      </c>
      <c r="R36" s="86">
        <f t="shared" si="6"/>
        <v>0.95452140421842369</v>
      </c>
      <c r="S36" s="72">
        <f t="shared" si="7"/>
        <v>10.833333333333334</v>
      </c>
      <c r="T36" s="71"/>
      <c r="U36" s="1">
        <f t="shared" si="8"/>
        <v>4</v>
      </c>
    </row>
    <row r="37" spans="2:31" x14ac:dyDescent="0.2">
      <c r="B37" s="5">
        <v>404</v>
      </c>
      <c r="C37" s="5" t="s">
        <v>111</v>
      </c>
      <c r="D37" s="5">
        <v>3</v>
      </c>
      <c r="E37" s="18">
        <f t="shared" si="0"/>
        <v>1</v>
      </c>
      <c r="F37" s="18">
        <f t="shared" si="1"/>
        <v>2</v>
      </c>
      <c r="G37" s="18">
        <f t="shared" si="2"/>
        <v>2</v>
      </c>
      <c r="H37" s="5">
        <v>3</v>
      </c>
      <c r="I37" s="5">
        <f t="shared" si="3"/>
        <v>4</v>
      </c>
      <c r="J37" s="5" t="str">
        <f t="shared" si="4"/>
        <v>122.3</v>
      </c>
      <c r="K37" s="109">
        <v>22</v>
      </c>
      <c r="L37" s="109">
        <v>22</v>
      </c>
      <c r="M37" s="109">
        <v>19</v>
      </c>
      <c r="N37" s="109">
        <v>24</v>
      </c>
      <c r="O37" s="109">
        <v>19</v>
      </c>
      <c r="P37" s="109">
        <v>17</v>
      </c>
      <c r="Q37" s="78">
        <f t="shared" si="5"/>
        <v>10.25</v>
      </c>
      <c r="R37" s="77">
        <f t="shared" si="6"/>
        <v>0.52836224947157862</v>
      </c>
      <c r="S37" s="72">
        <f t="shared" si="7"/>
        <v>10.25</v>
      </c>
      <c r="T37" s="71"/>
      <c r="U37" s="1">
        <f t="shared" si="8"/>
        <v>4</v>
      </c>
    </row>
    <row r="38" spans="2:31" x14ac:dyDescent="0.2">
      <c r="B38" s="88">
        <v>405</v>
      </c>
      <c r="C38" s="88" t="s">
        <v>155</v>
      </c>
      <c r="D38" s="88">
        <v>6</v>
      </c>
      <c r="E38" s="89">
        <f t="shared" si="0"/>
        <v>1</v>
      </c>
      <c r="F38" s="89">
        <f t="shared" si="1"/>
        <v>3</v>
      </c>
      <c r="G38" s="89">
        <f t="shared" si="2"/>
        <v>1</v>
      </c>
      <c r="H38" s="88">
        <v>4</v>
      </c>
      <c r="I38" s="88">
        <f t="shared" si="3"/>
        <v>5</v>
      </c>
      <c r="J38" s="88" t="str">
        <f t="shared" si="4"/>
        <v>131.4</v>
      </c>
      <c r="K38" s="111">
        <f>23+26</f>
        <v>49</v>
      </c>
      <c r="L38" s="111">
        <f>29+22</f>
        <v>51</v>
      </c>
      <c r="M38" s="111">
        <f>22+25</f>
        <v>47</v>
      </c>
      <c r="N38" s="111">
        <f>21+23</f>
        <v>44</v>
      </c>
      <c r="O38" s="111">
        <f>17+22</f>
        <v>39</v>
      </c>
      <c r="P38" s="111">
        <f>24+26</f>
        <v>50</v>
      </c>
      <c r="Q38" s="87">
        <f t="shared" si="5"/>
        <v>23.333333333333332</v>
      </c>
      <c r="R38" s="86">
        <f t="shared" si="6"/>
        <v>0.91893658347268159</v>
      </c>
      <c r="S38" s="72">
        <f t="shared" si="7"/>
        <v>11.666666666666666</v>
      </c>
      <c r="T38" s="71"/>
      <c r="U38" s="1">
        <f t="shared" si="8"/>
        <v>4</v>
      </c>
    </row>
    <row r="39" spans="2:31" x14ac:dyDescent="0.2">
      <c r="B39" s="5">
        <v>406</v>
      </c>
      <c r="C39" s="5" t="s">
        <v>111</v>
      </c>
      <c r="D39" s="5">
        <v>3</v>
      </c>
      <c r="E39" s="18">
        <f t="shared" si="0"/>
        <v>1</v>
      </c>
      <c r="F39" s="18">
        <f t="shared" si="1"/>
        <v>2</v>
      </c>
      <c r="G39" s="18">
        <f t="shared" si="2"/>
        <v>2</v>
      </c>
      <c r="H39" s="5">
        <v>4</v>
      </c>
      <c r="I39" s="5">
        <f t="shared" si="3"/>
        <v>6</v>
      </c>
      <c r="J39" s="5" t="str">
        <f t="shared" si="4"/>
        <v>122.4</v>
      </c>
      <c r="K39" s="109">
        <v>22</v>
      </c>
      <c r="L39" s="109">
        <v>26</v>
      </c>
      <c r="M39" s="109">
        <v>26</v>
      </c>
      <c r="N39" s="109">
        <v>17</v>
      </c>
      <c r="O39" s="109">
        <v>23</v>
      </c>
      <c r="P39" s="109">
        <v>23</v>
      </c>
      <c r="Q39" s="78">
        <f t="shared" si="5"/>
        <v>11.416666666666666</v>
      </c>
      <c r="R39" s="77">
        <f t="shared" si="6"/>
        <v>0.67597665968910925</v>
      </c>
      <c r="S39" s="72">
        <f t="shared" si="7"/>
        <v>11.416666666666666</v>
      </c>
      <c r="T39" s="71"/>
      <c r="U39" s="1">
        <f t="shared" si="8"/>
        <v>4</v>
      </c>
    </row>
    <row r="40" spans="2:31" x14ac:dyDescent="0.2">
      <c r="B40" s="5">
        <v>407</v>
      </c>
      <c r="C40" s="5" t="s">
        <v>152</v>
      </c>
      <c r="D40" s="5">
        <v>7</v>
      </c>
      <c r="E40" s="18">
        <f t="shared" si="0"/>
        <v>2</v>
      </c>
      <c r="F40" s="18">
        <f t="shared" si="1"/>
        <v>1</v>
      </c>
      <c r="G40" s="18">
        <f t="shared" si="2"/>
        <v>2</v>
      </c>
      <c r="H40" s="5">
        <v>4</v>
      </c>
      <c r="I40" s="5">
        <f t="shared" si="3"/>
        <v>7</v>
      </c>
      <c r="J40" s="5" t="str">
        <f t="shared" si="4"/>
        <v>212.4</v>
      </c>
      <c r="K40" s="109">
        <v>20</v>
      </c>
      <c r="L40" s="109">
        <v>22</v>
      </c>
      <c r="M40" s="109">
        <v>20</v>
      </c>
      <c r="N40" s="109">
        <v>23</v>
      </c>
      <c r="O40" s="109">
        <v>28</v>
      </c>
      <c r="P40" s="109">
        <v>28</v>
      </c>
      <c r="Q40" s="78">
        <f t="shared" si="5"/>
        <v>11.75</v>
      </c>
      <c r="R40" s="77">
        <f t="shared" si="6"/>
        <v>0.75000000000000011</v>
      </c>
      <c r="S40" s="72">
        <f t="shared" si="7"/>
        <v>11.75</v>
      </c>
      <c r="T40" s="71"/>
      <c r="U40" s="1">
        <f t="shared" si="8"/>
        <v>4</v>
      </c>
      <c r="V40" s="83" t="s">
        <v>407</v>
      </c>
      <c r="W40" s="82"/>
    </row>
    <row r="41" spans="2:31"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27</v>
      </c>
      <c r="L41" s="74">
        <v>21</v>
      </c>
      <c r="M41" s="74">
        <v>24</v>
      </c>
      <c r="N41" s="74">
        <v>28</v>
      </c>
      <c r="O41" s="74">
        <v>26</v>
      </c>
      <c r="P41" s="74">
        <v>15</v>
      </c>
      <c r="Q41" s="74">
        <f t="shared" si="5"/>
        <v>11.75</v>
      </c>
      <c r="R41" s="73">
        <f t="shared" si="6"/>
        <v>0.98952850725315988</v>
      </c>
      <c r="S41" s="72">
        <f t="shared" si="7"/>
        <v>11.75</v>
      </c>
      <c r="T41" s="108">
        <v>0.34722222222222227</v>
      </c>
      <c r="U41" s="1">
        <f t="shared" si="8"/>
        <v>4</v>
      </c>
      <c r="V41" s="83" t="s">
        <v>73</v>
      </c>
      <c r="W41" s="82" t="s">
        <v>406</v>
      </c>
      <c r="AD41" s="1">
        <v>2002</v>
      </c>
      <c r="AE41" s="1">
        <v>2003</v>
      </c>
    </row>
    <row r="42" spans="2:31" x14ac:dyDescent="0.2">
      <c r="B42" s="23">
        <v>901</v>
      </c>
      <c r="C42" s="23" t="s">
        <v>404</v>
      </c>
      <c r="D42" s="23">
        <v>32</v>
      </c>
      <c r="E42" s="81">
        <v>9</v>
      </c>
      <c r="F42" s="81">
        <v>0</v>
      </c>
      <c r="G42" s="81">
        <v>1</v>
      </c>
      <c r="H42" s="23">
        <v>1</v>
      </c>
      <c r="I42" s="23">
        <f t="shared" si="3"/>
        <v>1</v>
      </c>
      <c r="J42" s="23" t="str">
        <f t="shared" si="4"/>
        <v>901.1</v>
      </c>
      <c r="K42" s="110">
        <v>0</v>
      </c>
      <c r="L42" s="110">
        <v>0</v>
      </c>
      <c r="M42" s="110">
        <v>0</v>
      </c>
      <c r="N42" s="110">
        <v>0</v>
      </c>
      <c r="O42" s="110">
        <v>0</v>
      </c>
      <c r="P42" s="110">
        <v>0</v>
      </c>
      <c r="Q42" s="78">
        <f t="shared" si="5"/>
        <v>0</v>
      </c>
      <c r="R42" s="78">
        <f t="shared" si="6"/>
        <v>0</v>
      </c>
      <c r="S42" s="72">
        <f t="shared" si="7"/>
        <v>0</v>
      </c>
      <c r="U42" s="1">
        <f t="shared" si="8"/>
        <v>9</v>
      </c>
      <c r="V42" s="67">
        <v>1</v>
      </c>
      <c r="W42" s="65">
        <v>11.885416666666666</v>
      </c>
      <c r="AC42" s="1" t="s">
        <v>167</v>
      </c>
      <c r="AD42" s="1">
        <v>5.3</v>
      </c>
      <c r="AE42" s="58">
        <f>GETPIVOTDATA("Mean per meter",$V$40,"Pop.",1)</f>
        <v>11.885416666666666</v>
      </c>
    </row>
    <row r="43" spans="2:31" x14ac:dyDescent="0.2">
      <c r="B43" s="5">
        <v>902</v>
      </c>
      <c r="C43" s="80" t="s">
        <v>403</v>
      </c>
      <c r="D43" s="5">
        <v>22</v>
      </c>
      <c r="E43" s="18">
        <v>4</v>
      </c>
      <c r="F43" s="18">
        <v>2</v>
      </c>
      <c r="G43" s="18">
        <v>2</v>
      </c>
      <c r="H43" s="5">
        <v>1</v>
      </c>
      <c r="I43" s="5">
        <f t="shared" si="3"/>
        <v>2</v>
      </c>
      <c r="J43" s="5" t="str">
        <f t="shared" si="4"/>
        <v>422.1</v>
      </c>
      <c r="K43" s="109">
        <v>22</v>
      </c>
      <c r="L43" s="109">
        <v>25</v>
      </c>
      <c r="M43" s="109">
        <v>19</v>
      </c>
      <c r="N43" s="109">
        <v>20</v>
      </c>
      <c r="O43" s="109">
        <v>15</v>
      </c>
      <c r="P43" s="109">
        <v>21</v>
      </c>
      <c r="Q43" s="78">
        <f t="shared" si="5"/>
        <v>10.166666666666666</v>
      </c>
      <c r="R43" s="77">
        <f t="shared" si="6"/>
        <v>0.67905162624877979</v>
      </c>
      <c r="S43" s="72">
        <f t="shared" si="7"/>
        <v>10.166666666666666</v>
      </c>
      <c r="T43" s="71"/>
      <c r="U43" s="1">
        <f t="shared" si="8"/>
        <v>9</v>
      </c>
      <c r="V43" s="70">
        <v>2</v>
      </c>
      <c r="W43" s="69">
        <v>11.822916666666666</v>
      </c>
      <c r="AC43" s="1" t="s">
        <v>166</v>
      </c>
      <c r="AD43" s="1">
        <v>11.6</v>
      </c>
      <c r="AE43" s="58">
        <f>GETPIVOTDATA("Mean per meter",$V$40,"Pop.",2)</f>
        <v>11.822916666666666</v>
      </c>
    </row>
    <row r="44" spans="2:31" x14ac:dyDescent="0.2">
      <c r="B44" s="5">
        <v>903</v>
      </c>
      <c r="C44" s="5" t="s">
        <v>401</v>
      </c>
      <c r="D44" s="5">
        <v>31</v>
      </c>
      <c r="E44" s="18">
        <v>8</v>
      </c>
      <c r="F44" s="18">
        <v>0</v>
      </c>
      <c r="G44" s="18">
        <v>1</v>
      </c>
      <c r="H44" s="5">
        <v>1</v>
      </c>
      <c r="I44" s="5">
        <f t="shared" si="3"/>
        <v>3</v>
      </c>
      <c r="J44" s="5" t="str">
        <f t="shared" si="4"/>
        <v>801.1</v>
      </c>
      <c r="K44" s="109">
        <v>0</v>
      </c>
      <c r="L44" s="109">
        <v>0</v>
      </c>
      <c r="M44" s="109">
        <v>0</v>
      </c>
      <c r="N44" s="109">
        <v>0</v>
      </c>
      <c r="O44" s="109">
        <v>0</v>
      </c>
      <c r="P44" s="109">
        <v>0</v>
      </c>
      <c r="Q44" s="78">
        <f t="shared" si="5"/>
        <v>0</v>
      </c>
      <c r="R44" s="77">
        <f t="shared" si="6"/>
        <v>0</v>
      </c>
      <c r="S44" s="72">
        <f t="shared" si="7"/>
        <v>0</v>
      </c>
      <c r="T44" s="71"/>
      <c r="U44" s="1">
        <f t="shared" si="8"/>
        <v>9</v>
      </c>
      <c r="V44" s="123">
        <v>3</v>
      </c>
      <c r="W44" s="118">
        <v>23.895833333333332</v>
      </c>
      <c r="AC44" s="1" t="s">
        <v>165</v>
      </c>
      <c r="AD44" s="1">
        <v>21.1</v>
      </c>
      <c r="AE44" s="58">
        <f>GETPIVOTDATA("Mean per meter",$V$40,"Pop.",3)</f>
        <v>23.895833333333332</v>
      </c>
    </row>
    <row r="45" spans="2:31" x14ac:dyDescent="0.2">
      <c r="B45" s="5">
        <v>904</v>
      </c>
      <c r="C45" s="80" t="s">
        <v>400</v>
      </c>
      <c r="D45" s="5">
        <v>21</v>
      </c>
      <c r="E45" s="18">
        <v>3</v>
      </c>
      <c r="F45" s="18">
        <v>2</v>
      </c>
      <c r="G45" s="18">
        <v>2</v>
      </c>
      <c r="H45" s="5">
        <v>1</v>
      </c>
      <c r="I45" s="5">
        <f t="shared" si="3"/>
        <v>4</v>
      </c>
      <c r="J45" s="5" t="str">
        <f t="shared" si="4"/>
        <v>322.1</v>
      </c>
      <c r="K45" s="109">
        <v>22</v>
      </c>
      <c r="L45" s="109">
        <v>25</v>
      </c>
      <c r="M45" s="109">
        <v>17</v>
      </c>
      <c r="N45" s="109">
        <v>20</v>
      </c>
      <c r="O45" s="109">
        <v>23</v>
      </c>
      <c r="P45" s="109">
        <v>16</v>
      </c>
      <c r="Q45" s="78">
        <f t="shared" si="5"/>
        <v>10.25</v>
      </c>
      <c r="R45" s="77">
        <f t="shared" si="6"/>
        <v>0.71589105316381774</v>
      </c>
      <c r="S45" s="72">
        <f t="shared" si="7"/>
        <v>10.25</v>
      </c>
      <c r="T45" s="71"/>
      <c r="U45" s="1">
        <f t="shared" si="8"/>
        <v>9</v>
      </c>
    </row>
    <row r="46" spans="2:31" x14ac:dyDescent="0.2">
      <c r="B46" s="5">
        <v>905</v>
      </c>
      <c r="C46" s="5" t="s">
        <v>404</v>
      </c>
      <c r="D46" s="5">
        <v>32</v>
      </c>
      <c r="E46" s="18">
        <v>9</v>
      </c>
      <c r="F46" s="18">
        <v>0</v>
      </c>
      <c r="G46" s="18">
        <v>1</v>
      </c>
      <c r="H46" s="5">
        <v>2</v>
      </c>
      <c r="I46" s="5">
        <f t="shared" si="3"/>
        <v>5</v>
      </c>
      <c r="J46" s="5" t="str">
        <f t="shared" si="4"/>
        <v>901.2</v>
      </c>
      <c r="K46" s="109">
        <v>0</v>
      </c>
      <c r="L46" s="109">
        <v>0</v>
      </c>
      <c r="M46" s="109">
        <v>0</v>
      </c>
      <c r="N46" s="109">
        <v>0</v>
      </c>
      <c r="O46" s="109">
        <v>0</v>
      </c>
      <c r="P46" s="109">
        <v>0</v>
      </c>
      <c r="Q46" s="78">
        <f t="shared" si="5"/>
        <v>0</v>
      </c>
      <c r="R46" s="77">
        <f t="shared" si="6"/>
        <v>0</v>
      </c>
      <c r="S46" s="72">
        <f t="shared" si="7"/>
        <v>0</v>
      </c>
      <c r="T46" s="71"/>
      <c r="U46" s="1">
        <f t="shared" si="8"/>
        <v>9</v>
      </c>
    </row>
    <row r="47" spans="2:31" x14ac:dyDescent="0.2">
      <c r="B47" s="5">
        <v>906</v>
      </c>
      <c r="C47" s="80" t="s">
        <v>403</v>
      </c>
      <c r="D47" s="5">
        <v>22</v>
      </c>
      <c r="E47" s="18">
        <v>4</v>
      </c>
      <c r="F47" s="18">
        <v>2</v>
      </c>
      <c r="G47" s="18">
        <v>2</v>
      </c>
      <c r="H47" s="5">
        <v>2</v>
      </c>
      <c r="I47" s="5">
        <f t="shared" si="3"/>
        <v>6</v>
      </c>
      <c r="J47" s="5" t="str">
        <f t="shared" si="4"/>
        <v>422.2</v>
      </c>
      <c r="K47" s="109">
        <v>23</v>
      </c>
      <c r="L47" s="109">
        <v>24</v>
      </c>
      <c r="M47" s="109">
        <v>24</v>
      </c>
      <c r="N47" s="109">
        <v>21</v>
      </c>
      <c r="O47" s="109">
        <v>18</v>
      </c>
      <c r="P47" s="109">
        <v>20</v>
      </c>
      <c r="Q47" s="78">
        <f t="shared" si="5"/>
        <v>10.833333333333334</v>
      </c>
      <c r="R47" s="77">
        <f t="shared" si="6"/>
        <v>0.49441323247304558</v>
      </c>
      <c r="S47" s="72">
        <f t="shared" si="7"/>
        <v>10.833333333333334</v>
      </c>
      <c r="T47" s="71"/>
      <c r="U47" s="1">
        <f t="shared" si="8"/>
        <v>9</v>
      </c>
    </row>
    <row r="48" spans="2:31" x14ac:dyDescent="0.2">
      <c r="B48" s="5">
        <v>907</v>
      </c>
      <c r="C48" s="5" t="s">
        <v>401</v>
      </c>
      <c r="D48" s="5">
        <v>31</v>
      </c>
      <c r="E48" s="18">
        <v>8</v>
      </c>
      <c r="F48" s="18">
        <v>0</v>
      </c>
      <c r="G48" s="18">
        <v>1</v>
      </c>
      <c r="H48" s="5">
        <v>2</v>
      </c>
      <c r="I48" s="5">
        <f t="shared" si="3"/>
        <v>7</v>
      </c>
      <c r="J48" s="5" t="str">
        <f t="shared" si="4"/>
        <v>801.2</v>
      </c>
      <c r="K48" s="109">
        <v>0</v>
      </c>
      <c r="L48" s="109">
        <v>0</v>
      </c>
      <c r="M48" s="109">
        <v>0</v>
      </c>
      <c r="N48" s="109">
        <v>0</v>
      </c>
      <c r="O48" s="109">
        <v>0</v>
      </c>
      <c r="P48" s="109">
        <v>0</v>
      </c>
      <c r="Q48" s="78">
        <f t="shared" si="5"/>
        <v>0</v>
      </c>
      <c r="R48" s="77">
        <f t="shared" si="6"/>
        <v>0</v>
      </c>
      <c r="S48" s="72">
        <f t="shared" si="7"/>
        <v>0</v>
      </c>
      <c r="T48" s="71"/>
      <c r="U48" s="1">
        <f t="shared" si="8"/>
        <v>9</v>
      </c>
    </row>
    <row r="49" spans="2:24" ht="13.5" thickBot="1" x14ac:dyDescent="0.25">
      <c r="B49" s="13">
        <v>908</v>
      </c>
      <c r="C49" s="76" t="s">
        <v>400</v>
      </c>
      <c r="D49" s="13">
        <v>21</v>
      </c>
      <c r="E49" s="75">
        <v>3</v>
      </c>
      <c r="F49" s="75">
        <v>2</v>
      </c>
      <c r="G49" s="75">
        <v>2</v>
      </c>
      <c r="H49" s="13">
        <v>2</v>
      </c>
      <c r="I49" s="13">
        <f t="shared" si="3"/>
        <v>8</v>
      </c>
      <c r="J49" s="13" t="str">
        <f t="shared" si="4"/>
        <v>322.2</v>
      </c>
      <c r="K49" s="74">
        <v>30</v>
      </c>
      <c r="L49" s="74">
        <v>29</v>
      </c>
      <c r="M49" s="74">
        <v>25</v>
      </c>
      <c r="N49" s="74">
        <v>24</v>
      </c>
      <c r="O49" s="74">
        <v>25</v>
      </c>
      <c r="P49" s="74">
        <v>25</v>
      </c>
      <c r="Q49" s="74">
        <f t="shared" si="5"/>
        <v>13.166666666666666</v>
      </c>
      <c r="R49" s="73">
        <f t="shared" si="6"/>
        <v>0.51099032389186305</v>
      </c>
      <c r="S49" s="72">
        <f t="shared" si="7"/>
        <v>13.166666666666666</v>
      </c>
      <c r="T49" s="71"/>
      <c r="U49" s="1">
        <f t="shared" si="8"/>
        <v>9</v>
      </c>
    </row>
    <row r="55" spans="2:24" x14ac:dyDescent="0.2">
      <c r="W55" s="1">
        <v>2002</v>
      </c>
      <c r="X55" s="1">
        <v>2003</v>
      </c>
    </row>
    <row r="56" spans="2:24" x14ac:dyDescent="0.2">
      <c r="V56" s="1" t="s">
        <v>167</v>
      </c>
      <c r="W56" s="1" t="e">
        <v>#REF!</v>
      </c>
      <c r="X56" s="1">
        <f>GETPIVOTDATA("Mean per meter",$V$40,"Pop.",1)</f>
        <v>11.885416666666666</v>
      </c>
    </row>
    <row r="57" spans="2:24" x14ac:dyDescent="0.2">
      <c r="V57" s="1" t="s">
        <v>166</v>
      </c>
      <c r="W57" s="1" t="e">
        <v>#REF!</v>
      </c>
      <c r="X57" s="1">
        <f>GETPIVOTDATA("Mean per meter",$V$40,"Pop.",2)</f>
        <v>11.822916666666666</v>
      </c>
    </row>
    <row r="58" spans="2:24" x14ac:dyDescent="0.2">
      <c r="V58" s="1" t="s">
        <v>165</v>
      </c>
      <c r="W58" s="1" t="e">
        <v>#REF!</v>
      </c>
      <c r="X58" s="1">
        <f>GETPIVOTDATA("Mean per meter",$V$40,"Pop.",3)</f>
        <v>23.895833333333332</v>
      </c>
    </row>
  </sheetData>
  <pageMargins left="0.75" right="0.75" top="1" bottom="1" header="0.5" footer="0.5"/>
  <pageSetup orientation="portrait" r:id="rId3"/>
  <headerFooter alignWithMargins="0"/>
  <drawing r:id="rId4"/>
  <legacyDrawing r:id="rId5"/>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2DA6D-72F0-4C77-919B-001B464B4285}">
  <dimension ref="A1:AE94"/>
  <sheetViews>
    <sheetView workbookViewId="0">
      <selection activeCell="K10" sqref="K10:P49"/>
    </sheetView>
  </sheetViews>
  <sheetFormatPr defaultRowHeight="12.75" x14ac:dyDescent="0.2"/>
  <cols>
    <col min="1" max="19" width="9.140625" style="1"/>
    <col min="20" max="20" width="45.7109375" style="1" customWidth="1"/>
    <col min="21" max="21" width="9.140625" style="1"/>
    <col min="22" max="22" width="28.7109375" style="1" customWidth="1"/>
    <col min="23" max="23" width="5.5703125" style="1" customWidth="1"/>
    <col min="24" max="24" width="6.85546875" style="1" customWidth="1"/>
    <col min="25" max="25" width="6.5703125" style="1" customWidth="1"/>
    <col min="26" max="26" width="5.5703125" style="1" customWidth="1"/>
    <col min="27" max="27" width="10.5703125" style="1" bestFit="1" customWidth="1"/>
    <col min="28" max="16384" width="9.140625" style="1"/>
  </cols>
  <sheetData>
    <row r="1" spans="1:23" ht="15.75" x14ac:dyDescent="0.25">
      <c r="A1" s="107" t="s">
        <v>428</v>
      </c>
    </row>
    <row r="3" spans="1:23" ht="13.5" thickBot="1" x14ac:dyDescent="0.25">
      <c r="A3" s="79"/>
      <c r="B3" s="79" t="s">
        <v>426</v>
      </c>
      <c r="C3" s="39">
        <v>136</v>
      </c>
      <c r="E3" s="1" t="s">
        <v>425</v>
      </c>
      <c r="F3" s="105">
        <v>0.3263888888888889</v>
      </c>
    </row>
    <row r="4" spans="1:23" ht="13.5" thickBot="1" x14ac:dyDescent="0.25">
      <c r="E4" s="1" t="s">
        <v>424</v>
      </c>
      <c r="F4" s="105">
        <v>0.36458333333333331</v>
      </c>
      <c r="N4" s="58">
        <f>AVERAGE(Q10:Q11,Q13,Q15:Q17,Q19:Q20,Q22:Q29,Q31:Q32,Q34:Q35,Q37,Q39:Q41)</f>
        <v>11.656249999999998</v>
      </c>
      <c r="O4" s="58">
        <f>AVERAGE(Q12,Q14,Q18,Q21,Q30,Q36,Q38,Q33)</f>
        <v>23.312499999999996</v>
      </c>
    </row>
    <row r="6" spans="1:23" x14ac:dyDescent="0.2">
      <c r="B6" s="1" t="s">
        <v>80</v>
      </c>
      <c r="D6" s="104" t="s">
        <v>514</v>
      </c>
      <c r="E6" s="104"/>
      <c r="F6" s="104"/>
      <c r="G6" s="104"/>
      <c r="H6" s="104"/>
      <c r="I6" s="104"/>
      <c r="J6" s="104"/>
      <c r="K6" s="104"/>
      <c r="L6" s="104"/>
      <c r="M6" s="104"/>
      <c r="N6" s="104"/>
      <c r="O6" s="104"/>
    </row>
    <row r="7" spans="1:23" x14ac:dyDescent="0.2">
      <c r="D7" s="104"/>
      <c r="E7" s="104"/>
      <c r="F7" s="104"/>
      <c r="G7" s="104"/>
      <c r="H7" s="104"/>
      <c r="I7" s="104"/>
      <c r="J7" s="104"/>
      <c r="K7" s="104"/>
      <c r="L7" s="104"/>
      <c r="M7" s="104"/>
      <c r="N7" s="104"/>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c r="U9" s="99" t="s">
        <v>411</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116">
        <v>20</v>
      </c>
      <c r="L10" s="110">
        <v>19</v>
      </c>
      <c r="M10" s="110">
        <v>24</v>
      </c>
      <c r="N10" s="110">
        <v>13</v>
      </c>
      <c r="O10" s="110">
        <v>18</v>
      </c>
      <c r="P10" s="110">
        <v>25</v>
      </c>
      <c r="Q10" s="78">
        <f t="shared" ref="Q10:Q49" si="5">AVERAGE(K10:P10)/2</f>
        <v>9.9166666666666661</v>
      </c>
      <c r="R10" s="78">
        <f t="shared" ref="R10:R49" si="6">STDEV(K10:P10)/2/SQRT(COUNT(K10:P10))</f>
        <v>0.88897569020630662</v>
      </c>
      <c r="S10" s="72">
        <f t="shared" ref="S10:S49" si="7">IF(F10=3,Q10/2,Q10)</f>
        <v>9.9166666666666661</v>
      </c>
      <c r="T10" s="98"/>
      <c r="U10" s="1">
        <f t="shared" ref="U10:U49" si="8">INT(B10/100)</f>
        <v>1</v>
      </c>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109">
        <v>25</v>
      </c>
      <c r="L11" s="109">
        <v>14</v>
      </c>
      <c r="M11" s="109">
        <v>13</v>
      </c>
      <c r="N11" s="109">
        <v>16</v>
      </c>
      <c r="O11" s="109">
        <v>21</v>
      </c>
      <c r="P11" s="109">
        <v>21</v>
      </c>
      <c r="Q11" s="78">
        <f t="shared" si="5"/>
        <v>9.1666666666666661</v>
      </c>
      <c r="R11" s="77">
        <f t="shared" si="6"/>
        <v>0.96321221845332572</v>
      </c>
      <c r="S11" s="72">
        <f t="shared" si="7"/>
        <v>9.1666666666666661</v>
      </c>
      <c r="T11" s="71"/>
      <c r="U11" s="1">
        <f t="shared" si="8"/>
        <v>1</v>
      </c>
      <c r="V11" s="83" t="s">
        <v>409</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111">
        <f>20+22</f>
        <v>42</v>
      </c>
      <c r="L12" s="111">
        <f>24+23</f>
        <v>47</v>
      </c>
      <c r="M12" s="111">
        <f>21+24</f>
        <v>45</v>
      </c>
      <c r="N12" s="111">
        <f>20+22</f>
        <v>42</v>
      </c>
      <c r="O12" s="111">
        <f>18+22</f>
        <v>40</v>
      </c>
      <c r="P12" s="111">
        <f>24+24</f>
        <v>48</v>
      </c>
      <c r="Q12" s="87">
        <f t="shared" si="5"/>
        <v>22</v>
      </c>
      <c r="R12" s="86">
        <f t="shared" si="6"/>
        <v>0.64549722436790291</v>
      </c>
      <c r="S12" s="72">
        <f t="shared" si="7"/>
        <v>11</v>
      </c>
      <c r="T12" s="71"/>
      <c r="U12" s="1">
        <f t="shared" si="8"/>
        <v>1</v>
      </c>
      <c r="V12" s="67">
        <v>1</v>
      </c>
      <c r="W12" s="65">
        <v>10.90625</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109">
        <v>25</v>
      </c>
      <c r="L13" s="109">
        <v>28</v>
      </c>
      <c r="M13" s="109">
        <v>21</v>
      </c>
      <c r="N13" s="109">
        <v>21</v>
      </c>
      <c r="O13" s="109">
        <v>22</v>
      </c>
      <c r="P13" s="109">
        <v>25</v>
      </c>
      <c r="Q13" s="78">
        <f t="shared" si="5"/>
        <v>11.833333333333334</v>
      </c>
      <c r="R13" s="77">
        <f t="shared" si="6"/>
        <v>0.57251880124392351</v>
      </c>
      <c r="S13" s="72">
        <f t="shared" si="7"/>
        <v>11.833333333333334</v>
      </c>
      <c r="T13" s="71"/>
      <c r="U13" s="1">
        <f t="shared" si="8"/>
        <v>1</v>
      </c>
      <c r="V13" s="70">
        <v>2</v>
      </c>
      <c r="W13" s="69">
        <v>11.291666666666666</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111">
        <f>24+24</f>
        <v>48</v>
      </c>
      <c r="L14" s="111">
        <f>20+24</f>
        <v>44</v>
      </c>
      <c r="M14" s="111">
        <f>20+30</f>
        <v>50</v>
      </c>
      <c r="N14" s="111">
        <f>21+22</f>
        <v>43</v>
      </c>
      <c r="O14" s="111">
        <f>15+27</f>
        <v>42</v>
      </c>
      <c r="P14" s="111">
        <f>26+26</f>
        <v>52</v>
      </c>
      <c r="Q14" s="87">
        <f t="shared" si="5"/>
        <v>23.25</v>
      </c>
      <c r="R14" s="86">
        <f t="shared" si="6"/>
        <v>0.83416625041614667</v>
      </c>
      <c r="S14" s="72">
        <f t="shared" si="7"/>
        <v>11.625</v>
      </c>
      <c r="T14" s="71"/>
      <c r="U14" s="1">
        <f t="shared" si="8"/>
        <v>1</v>
      </c>
      <c r="V14" s="70">
        <v>3</v>
      </c>
      <c r="W14" s="69">
        <v>11.208333333333334</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109">
        <v>26</v>
      </c>
      <c r="L15" s="109">
        <v>29</v>
      </c>
      <c r="M15" s="109">
        <v>24</v>
      </c>
      <c r="N15" s="109">
        <v>25</v>
      </c>
      <c r="O15" s="109">
        <v>19</v>
      </c>
      <c r="P15" s="109">
        <v>21</v>
      </c>
      <c r="Q15" s="78">
        <f t="shared" si="5"/>
        <v>12</v>
      </c>
      <c r="R15" s="77">
        <f t="shared" si="6"/>
        <v>0.73029674334022154</v>
      </c>
      <c r="S15" s="72">
        <f t="shared" si="7"/>
        <v>12</v>
      </c>
      <c r="T15" s="71"/>
      <c r="U15" s="1">
        <f t="shared" si="8"/>
        <v>1</v>
      </c>
      <c r="V15" s="70">
        <v>4</v>
      </c>
      <c r="W15" s="69">
        <v>11.9375</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109">
        <v>18</v>
      </c>
      <c r="L16" s="109">
        <v>24</v>
      </c>
      <c r="M16" s="109">
        <v>20</v>
      </c>
      <c r="N16" s="109">
        <v>23</v>
      </c>
      <c r="O16" s="109">
        <v>24</v>
      </c>
      <c r="P16" s="109">
        <v>27</v>
      </c>
      <c r="Q16" s="78">
        <f t="shared" si="5"/>
        <v>11.333333333333334</v>
      </c>
      <c r="R16" s="77">
        <f t="shared" si="6"/>
        <v>0.65404722901162049</v>
      </c>
      <c r="S16" s="72">
        <f t="shared" si="7"/>
        <v>11.333333333333334</v>
      </c>
      <c r="T16" s="71"/>
      <c r="U16" s="1">
        <f t="shared" si="8"/>
        <v>1</v>
      </c>
      <c r="V16" s="70">
        <v>5</v>
      </c>
      <c r="W16" s="69">
        <v>12.03125</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4">
        <v>23</v>
      </c>
      <c r="L17" s="74">
        <v>26</v>
      </c>
      <c r="M17" s="74">
        <v>25</v>
      </c>
      <c r="N17" s="74">
        <v>24</v>
      </c>
      <c r="O17" s="74">
        <v>21</v>
      </c>
      <c r="P17" s="74">
        <v>22</v>
      </c>
      <c r="Q17" s="74">
        <f t="shared" si="5"/>
        <v>11.75</v>
      </c>
      <c r="R17" s="73">
        <f t="shared" si="6"/>
        <v>0.38188130791298669</v>
      </c>
      <c r="S17" s="72">
        <f t="shared" si="7"/>
        <v>11.75</v>
      </c>
      <c r="T17" s="98"/>
      <c r="U17" s="1">
        <f t="shared" si="8"/>
        <v>1</v>
      </c>
      <c r="V17" s="70">
        <v>6</v>
      </c>
      <c r="W17" s="69">
        <v>12.25</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114">
        <f>22+19</f>
        <v>41</v>
      </c>
      <c r="L18" s="114">
        <f>27+26</f>
        <v>53</v>
      </c>
      <c r="M18" s="114">
        <f>23+24</f>
        <v>47</v>
      </c>
      <c r="N18" s="114">
        <f>19+18</f>
        <v>37</v>
      </c>
      <c r="O18" s="114">
        <f>15+23</f>
        <v>38</v>
      </c>
      <c r="P18" s="114">
        <f>26+19</f>
        <v>45</v>
      </c>
      <c r="Q18" s="87">
        <f t="shared" si="5"/>
        <v>21.75</v>
      </c>
      <c r="R18" s="87">
        <f t="shared" si="6"/>
        <v>1.2365947867699698</v>
      </c>
      <c r="S18" s="72">
        <f t="shared" si="7"/>
        <v>10.875</v>
      </c>
      <c r="T18" s="71"/>
      <c r="U18" s="1">
        <f t="shared" si="8"/>
        <v>2</v>
      </c>
      <c r="V18" s="70">
        <v>7</v>
      </c>
      <c r="W18" s="69">
        <v>11.958333333333334</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113">
        <v>26</v>
      </c>
      <c r="L19" s="112">
        <v>23</v>
      </c>
      <c r="M19" s="112">
        <v>29</v>
      </c>
      <c r="N19" s="112">
        <v>15</v>
      </c>
      <c r="O19" s="109">
        <v>30</v>
      </c>
      <c r="P19" s="109">
        <v>26</v>
      </c>
      <c r="Q19" s="78">
        <f t="shared" si="5"/>
        <v>12.416666666666666</v>
      </c>
      <c r="R19" s="77">
        <f t="shared" si="6"/>
        <v>1.1061695670696752</v>
      </c>
      <c r="S19" s="72">
        <f t="shared" si="7"/>
        <v>12.416666666666666</v>
      </c>
      <c r="T19" s="71"/>
      <c r="U19" s="1">
        <f t="shared" si="8"/>
        <v>2</v>
      </c>
      <c r="V19" s="70">
        <v>8</v>
      </c>
      <c r="W19" s="69">
        <v>11.666666666666668</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109">
        <v>22</v>
      </c>
      <c r="L20" s="109">
        <v>26</v>
      </c>
      <c r="M20" s="109">
        <v>19</v>
      </c>
      <c r="N20" s="109">
        <v>19</v>
      </c>
      <c r="O20" s="109">
        <v>22</v>
      </c>
      <c r="P20" s="109">
        <v>18</v>
      </c>
      <c r="Q20" s="78">
        <f t="shared" si="5"/>
        <v>10.5</v>
      </c>
      <c r="R20" s="77">
        <f t="shared" si="6"/>
        <v>0.60553007081949839</v>
      </c>
      <c r="S20" s="72">
        <f t="shared" si="7"/>
        <v>10.5</v>
      </c>
      <c r="T20" s="71"/>
      <c r="U20" s="1">
        <f t="shared" si="8"/>
        <v>2</v>
      </c>
      <c r="V20" s="64" t="s">
        <v>408</v>
      </c>
      <c r="W20" s="62">
        <v>11.65625</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111">
        <f>27+21</f>
        <v>48</v>
      </c>
      <c r="L21" s="111">
        <f>22+26</f>
        <v>48</v>
      </c>
      <c r="M21" s="111">
        <f>23+25</f>
        <v>48</v>
      </c>
      <c r="N21" s="111">
        <f>26+24</f>
        <v>50</v>
      </c>
      <c r="O21" s="111">
        <f>18+25</f>
        <v>43</v>
      </c>
      <c r="P21" s="111">
        <f>24+25</f>
        <v>49</v>
      </c>
      <c r="Q21" s="87">
        <f t="shared" si="5"/>
        <v>23.833333333333332</v>
      </c>
      <c r="R21" s="86">
        <f t="shared" si="6"/>
        <v>0.49441323247304431</v>
      </c>
      <c r="S21" s="72">
        <f t="shared" si="7"/>
        <v>11.916666666666666</v>
      </c>
      <c r="T21" s="71"/>
      <c r="U21" s="1">
        <f t="shared" si="8"/>
        <v>2</v>
      </c>
    </row>
    <row r="22" spans="2:24" x14ac:dyDescent="0.2">
      <c r="B22" s="5">
        <v>205</v>
      </c>
      <c r="C22" s="5" t="s">
        <v>124</v>
      </c>
      <c r="D22" s="5">
        <v>1</v>
      </c>
      <c r="E22" s="18">
        <f t="shared" si="0"/>
        <v>1</v>
      </c>
      <c r="F22" s="18">
        <f t="shared" si="1"/>
        <v>1</v>
      </c>
      <c r="G22" s="18">
        <f t="shared" si="2"/>
        <v>2</v>
      </c>
      <c r="H22" s="5">
        <v>2</v>
      </c>
      <c r="I22" s="5">
        <f t="shared" si="3"/>
        <v>5</v>
      </c>
      <c r="J22" s="5" t="str">
        <f t="shared" si="4"/>
        <v>112.2</v>
      </c>
      <c r="K22" s="109">
        <v>16</v>
      </c>
      <c r="L22" s="109">
        <v>25</v>
      </c>
      <c r="M22" s="109">
        <v>27</v>
      </c>
      <c r="N22" s="109">
        <v>26</v>
      </c>
      <c r="O22" s="109">
        <v>19</v>
      </c>
      <c r="P22" s="109">
        <v>26</v>
      </c>
      <c r="Q22" s="78">
        <f t="shared" si="5"/>
        <v>11.583333333333334</v>
      </c>
      <c r="R22" s="77">
        <f t="shared" si="6"/>
        <v>0.92571293846658853</v>
      </c>
      <c r="S22" s="72">
        <f t="shared" si="7"/>
        <v>11.583333333333334</v>
      </c>
      <c r="T22" s="71"/>
      <c r="U22" s="1">
        <f t="shared" si="8"/>
        <v>2</v>
      </c>
    </row>
    <row r="23" spans="2:24" x14ac:dyDescent="0.2">
      <c r="B23" s="5">
        <v>206</v>
      </c>
      <c r="C23" s="5" t="s">
        <v>132</v>
      </c>
      <c r="D23" s="5">
        <v>8</v>
      </c>
      <c r="E23" s="18">
        <f t="shared" si="0"/>
        <v>2</v>
      </c>
      <c r="F23" s="18">
        <f t="shared" si="1"/>
        <v>1</v>
      </c>
      <c r="G23" s="18">
        <f t="shared" si="2"/>
        <v>1</v>
      </c>
      <c r="H23" s="5">
        <v>2</v>
      </c>
      <c r="I23" s="5">
        <f t="shared" si="3"/>
        <v>6</v>
      </c>
      <c r="J23" s="5" t="str">
        <f t="shared" si="4"/>
        <v>211.2</v>
      </c>
      <c r="K23" s="109">
        <v>26</v>
      </c>
      <c r="L23" s="109">
        <v>22</v>
      </c>
      <c r="M23" s="109">
        <v>24</v>
      </c>
      <c r="N23" s="109">
        <v>27</v>
      </c>
      <c r="O23" s="109">
        <v>24</v>
      </c>
      <c r="P23" s="109">
        <v>25</v>
      </c>
      <c r="Q23" s="78">
        <f t="shared" si="5"/>
        <v>12.333333333333334</v>
      </c>
      <c r="R23" s="77">
        <f t="shared" si="6"/>
        <v>0.35746017649212036</v>
      </c>
      <c r="S23" s="72">
        <f t="shared" si="7"/>
        <v>12.333333333333334</v>
      </c>
      <c r="T23" s="71"/>
      <c r="U23" s="1">
        <f t="shared" si="8"/>
        <v>2</v>
      </c>
    </row>
    <row r="24" spans="2:24" x14ac:dyDescent="0.2">
      <c r="B24" s="5">
        <v>207</v>
      </c>
      <c r="C24" s="5" t="s">
        <v>122</v>
      </c>
      <c r="D24" s="5">
        <v>4</v>
      </c>
      <c r="E24" s="18">
        <f t="shared" si="0"/>
        <v>1</v>
      </c>
      <c r="F24" s="18">
        <f t="shared" si="1"/>
        <v>2</v>
      </c>
      <c r="G24" s="18">
        <f t="shared" si="2"/>
        <v>1</v>
      </c>
      <c r="H24" s="5">
        <v>2</v>
      </c>
      <c r="I24" s="5">
        <f t="shared" si="3"/>
        <v>7</v>
      </c>
      <c r="J24" s="5" t="str">
        <f t="shared" si="4"/>
        <v>121.2</v>
      </c>
      <c r="K24" s="109">
        <v>19</v>
      </c>
      <c r="L24" s="109">
        <v>21</v>
      </c>
      <c r="M24" s="109">
        <v>21</v>
      </c>
      <c r="N24" s="109">
        <v>26</v>
      </c>
      <c r="O24" s="109">
        <v>27</v>
      </c>
      <c r="P24" s="109">
        <v>24</v>
      </c>
      <c r="Q24" s="78">
        <f t="shared" si="5"/>
        <v>11.5</v>
      </c>
      <c r="R24" s="77">
        <f t="shared" si="6"/>
        <v>0.64549722436790291</v>
      </c>
      <c r="S24" s="72">
        <f t="shared" si="7"/>
        <v>11.5</v>
      </c>
      <c r="T24" s="71"/>
      <c r="U24" s="1">
        <f t="shared" si="8"/>
        <v>2</v>
      </c>
      <c r="V24" s="58">
        <f>AVERAGE(W15:W17,W19)</f>
        <v>11.971354166666668</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74">
        <v>27</v>
      </c>
      <c r="L25" s="74">
        <v>25</v>
      </c>
      <c r="M25" s="74">
        <v>20</v>
      </c>
      <c r="N25" s="74">
        <v>25</v>
      </c>
      <c r="O25" s="74">
        <v>16</v>
      </c>
      <c r="P25" s="74">
        <v>22</v>
      </c>
      <c r="Q25" s="74">
        <f t="shared" si="5"/>
        <v>11.25</v>
      </c>
      <c r="R25" s="73">
        <f t="shared" si="6"/>
        <v>0.82411568767174115</v>
      </c>
      <c r="S25" s="72">
        <f t="shared" si="7"/>
        <v>11.25</v>
      </c>
      <c r="T25" s="71"/>
      <c r="U25" s="1">
        <f t="shared" si="8"/>
        <v>2</v>
      </c>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110">
        <v>20</v>
      </c>
      <c r="L26" s="110">
        <v>27</v>
      </c>
      <c r="M26" s="110">
        <v>19</v>
      </c>
      <c r="N26" s="110">
        <v>21</v>
      </c>
      <c r="O26" s="110">
        <v>25</v>
      </c>
      <c r="P26" s="110">
        <v>23</v>
      </c>
      <c r="Q26" s="78">
        <f t="shared" si="5"/>
        <v>11.25</v>
      </c>
      <c r="R26" s="78">
        <f t="shared" si="6"/>
        <v>0.62915286960589578</v>
      </c>
      <c r="S26" s="72">
        <f t="shared" si="7"/>
        <v>11.25</v>
      </c>
      <c r="T26" s="71"/>
      <c r="U26" s="1">
        <f t="shared" si="8"/>
        <v>3</v>
      </c>
      <c r="V26" s="58">
        <f>AVERAGE(W12:W14,W18)</f>
        <v>11.341145833333334</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109">
        <v>29</v>
      </c>
      <c r="L27" s="109">
        <v>21</v>
      </c>
      <c r="M27" s="109">
        <v>25</v>
      </c>
      <c r="N27" s="109">
        <v>21</v>
      </c>
      <c r="O27" s="109">
        <v>23</v>
      </c>
      <c r="P27" s="109">
        <v>24</v>
      </c>
      <c r="Q27" s="78">
        <f t="shared" si="5"/>
        <v>11.916666666666666</v>
      </c>
      <c r="R27" s="77">
        <f t="shared" si="6"/>
        <v>0.61123736069640944</v>
      </c>
      <c r="S27" s="72">
        <f t="shared" si="7"/>
        <v>11.916666666666666</v>
      </c>
      <c r="T27" s="71"/>
      <c r="U27" s="1">
        <f t="shared" si="8"/>
        <v>3</v>
      </c>
    </row>
    <row r="28" spans="2:24" x14ac:dyDescent="0.2">
      <c r="B28" s="5">
        <v>303</v>
      </c>
      <c r="C28" s="5" t="s">
        <v>132</v>
      </c>
      <c r="D28" s="5">
        <v>8</v>
      </c>
      <c r="E28" s="18">
        <f t="shared" si="0"/>
        <v>2</v>
      </c>
      <c r="F28" s="18">
        <f t="shared" si="1"/>
        <v>1</v>
      </c>
      <c r="G28" s="18">
        <f t="shared" si="2"/>
        <v>1</v>
      </c>
      <c r="H28" s="5">
        <v>3</v>
      </c>
      <c r="I28" s="5">
        <f t="shared" si="3"/>
        <v>3</v>
      </c>
      <c r="J28" s="5" t="str">
        <f t="shared" si="4"/>
        <v>211.3</v>
      </c>
      <c r="K28" s="109">
        <v>25</v>
      </c>
      <c r="L28" s="109">
        <v>21</v>
      </c>
      <c r="M28" s="109">
        <v>23</v>
      </c>
      <c r="N28" s="109">
        <v>26</v>
      </c>
      <c r="O28" s="109">
        <v>22</v>
      </c>
      <c r="P28" s="109">
        <v>27</v>
      </c>
      <c r="Q28" s="78">
        <f t="shared" si="5"/>
        <v>12</v>
      </c>
      <c r="R28" s="77">
        <f t="shared" si="6"/>
        <v>0.483045891539648</v>
      </c>
      <c r="S28" s="72">
        <f t="shared" si="7"/>
        <v>12</v>
      </c>
      <c r="T28" s="71"/>
      <c r="U28" s="1">
        <f t="shared" si="8"/>
        <v>3</v>
      </c>
    </row>
    <row r="29" spans="2:24" x14ac:dyDescent="0.2">
      <c r="B29" s="5">
        <v>304</v>
      </c>
      <c r="C29" s="5" t="s">
        <v>135</v>
      </c>
      <c r="D29" s="5">
        <v>2</v>
      </c>
      <c r="E29" s="18">
        <f t="shared" si="0"/>
        <v>1</v>
      </c>
      <c r="F29" s="18">
        <f t="shared" si="1"/>
        <v>1</v>
      </c>
      <c r="G29" s="18">
        <f t="shared" si="2"/>
        <v>1</v>
      </c>
      <c r="H29" s="5">
        <v>3</v>
      </c>
      <c r="I29" s="5">
        <f t="shared" si="3"/>
        <v>4</v>
      </c>
      <c r="J29" s="5" t="str">
        <f t="shared" si="4"/>
        <v>111.3</v>
      </c>
      <c r="K29" s="109">
        <v>26</v>
      </c>
      <c r="L29" s="109">
        <v>30</v>
      </c>
      <c r="M29" s="109">
        <v>22</v>
      </c>
      <c r="N29" s="109">
        <v>24</v>
      </c>
      <c r="O29" s="109">
        <v>25</v>
      </c>
      <c r="P29" s="109">
        <v>23</v>
      </c>
      <c r="Q29" s="78">
        <f t="shared" si="5"/>
        <v>12.5</v>
      </c>
      <c r="R29" s="77">
        <f t="shared" si="6"/>
        <v>0.57735026918962584</v>
      </c>
      <c r="S29" s="72">
        <f t="shared" si="7"/>
        <v>12.5</v>
      </c>
      <c r="T29" s="71"/>
      <c r="U29" s="1">
        <f t="shared" si="8"/>
        <v>3</v>
      </c>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111">
        <f>26+26</f>
        <v>52</v>
      </c>
      <c r="L30" s="111">
        <f>27+27</f>
        <v>54</v>
      </c>
      <c r="M30" s="111">
        <f>23+24</f>
        <v>47</v>
      </c>
      <c r="N30" s="111">
        <f>28+23</f>
        <v>51</v>
      </c>
      <c r="O30" s="111">
        <f>25+24</f>
        <v>49</v>
      </c>
      <c r="P30" s="111">
        <f>28+27</f>
        <v>55</v>
      </c>
      <c r="Q30" s="87">
        <f t="shared" si="5"/>
        <v>25.666666666666668</v>
      </c>
      <c r="R30" s="86">
        <f t="shared" si="6"/>
        <v>0.61463629715285917</v>
      </c>
      <c r="S30" s="72">
        <f t="shared" si="7"/>
        <v>12.833333333333334</v>
      </c>
      <c r="T30" s="71"/>
      <c r="U30" s="1">
        <f t="shared" si="8"/>
        <v>3</v>
      </c>
    </row>
    <row r="31" spans="2:24" x14ac:dyDescent="0.2">
      <c r="B31" s="5">
        <v>306</v>
      </c>
      <c r="C31" s="5" t="s">
        <v>122</v>
      </c>
      <c r="D31" s="5">
        <v>4</v>
      </c>
      <c r="E31" s="18">
        <f t="shared" si="0"/>
        <v>1</v>
      </c>
      <c r="F31" s="18">
        <f t="shared" si="1"/>
        <v>2</v>
      </c>
      <c r="G31" s="18">
        <f t="shared" si="2"/>
        <v>1</v>
      </c>
      <c r="H31" s="5">
        <v>4</v>
      </c>
      <c r="I31" s="5">
        <f t="shared" si="3"/>
        <v>6</v>
      </c>
      <c r="J31" s="5" t="str">
        <f t="shared" si="4"/>
        <v>121.4</v>
      </c>
      <c r="K31" s="109">
        <v>28</v>
      </c>
      <c r="L31" s="109">
        <v>26</v>
      </c>
      <c r="M31" s="109">
        <v>24</v>
      </c>
      <c r="N31" s="109">
        <v>25</v>
      </c>
      <c r="O31" s="109">
        <v>26</v>
      </c>
      <c r="P31" s="109">
        <v>27</v>
      </c>
      <c r="Q31" s="78">
        <f t="shared" si="5"/>
        <v>13</v>
      </c>
      <c r="R31" s="77">
        <f t="shared" si="6"/>
        <v>0.28867513459481292</v>
      </c>
      <c r="S31" s="72">
        <f t="shared" si="7"/>
        <v>13</v>
      </c>
      <c r="T31" s="71"/>
      <c r="U31" s="1">
        <f t="shared" si="8"/>
        <v>3</v>
      </c>
    </row>
    <row r="32" spans="2:24" x14ac:dyDescent="0.2">
      <c r="B32" s="5">
        <v>307</v>
      </c>
      <c r="C32" s="5" t="s">
        <v>115</v>
      </c>
      <c r="D32" s="5">
        <v>9</v>
      </c>
      <c r="E32" s="18">
        <f t="shared" si="0"/>
        <v>2</v>
      </c>
      <c r="F32" s="18">
        <f t="shared" si="1"/>
        <v>2</v>
      </c>
      <c r="G32" s="18">
        <f t="shared" si="2"/>
        <v>2</v>
      </c>
      <c r="H32" s="5">
        <v>4</v>
      </c>
      <c r="I32" s="5">
        <f t="shared" si="3"/>
        <v>7</v>
      </c>
      <c r="J32" s="5" t="str">
        <f t="shared" si="4"/>
        <v>222.4</v>
      </c>
      <c r="K32" s="109">
        <v>22</v>
      </c>
      <c r="L32" s="109">
        <v>22</v>
      </c>
      <c r="M32" s="109">
        <v>20</v>
      </c>
      <c r="N32" s="109">
        <v>28</v>
      </c>
      <c r="O32" s="109">
        <v>26</v>
      </c>
      <c r="P32" s="109">
        <v>27</v>
      </c>
      <c r="Q32" s="78">
        <f t="shared" si="5"/>
        <v>12.083333333333334</v>
      </c>
      <c r="R32" s="77">
        <f t="shared" si="6"/>
        <v>0.66353430791314716</v>
      </c>
      <c r="S32" s="72">
        <f t="shared" si="7"/>
        <v>12.083333333333334</v>
      </c>
      <c r="T32" s="71"/>
      <c r="U32" s="1">
        <f t="shared" si="8"/>
        <v>3</v>
      </c>
    </row>
    <row r="33" spans="2:31"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1">
        <f>26+26</f>
        <v>52</v>
      </c>
      <c r="L33" s="91">
        <f>30+24</f>
        <v>54</v>
      </c>
      <c r="M33" s="91">
        <f>22+22</f>
        <v>44</v>
      </c>
      <c r="N33" s="91">
        <f>25+18</f>
        <v>43</v>
      </c>
      <c r="O33" s="91">
        <f>23+27</f>
        <v>50</v>
      </c>
      <c r="P33" s="91">
        <f>14+21</f>
        <v>35</v>
      </c>
      <c r="Q33" s="91">
        <f t="shared" si="5"/>
        <v>23.166666666666668</v>
      </c>
      <c r="R33" s="90">
        <f t="shared" si="6"/>
        <v>1.4414498873626453</v>
      </c>
      <c r="S33" s="72">
        <f t="shared" si="7"/>
        <v>11.583333333333334</v>
      </c>
      <c r="T33" s="71"/>
      <c r="U33" s="1">
        <f t="shared" si="8"/>
        <v>3</v>
      </c>
    </row>
    <row r="34" spans="2:31" x14ac:dyDescent="0.2">
      <c r="B34" s="23">
        <v>401</v>
      </c>
      <c r="C34" s="23" t="s">
        <v>152</v>
      </c>
      <c r="D34" s="23">
        <v>7</v>
      </c>
      <c r="E34" s="81">
        <f t="shared" si="0"/>
        <v>2</v>
      </c>
      <c r="F34" s="81">
        <f t="shared" si="1"/>
        <v>1</v>
      </c>
      <c r="G34" s="81">
        <f t="shared" si="2"/>
        <v>2</v>
      </c>
      <c r="H34" s="23">
        <v>3</v>
      </c>
      <c r="I34" s="23">
        <f t="shared" si="3"/>
        <v>1</v>
      </c>
      <c r="J34" s="23" t="str">
        <f t="shared" si="4"/>
        <v>212.3</v>
      </c>
      <c r="K34" s="110">
        <v>19</v>
      </c>
      <c r="L34" s="110">
        <v>24</v>
      </c>
      <c r="M34" s="110">
        <v>22</v>
      </c>
      <c r="N34" s="110">
        <v>23</v>
      </c>
      <c r="O34" s="110">
        <v>26</v>
      </c>
      <c r="P34" s="110">
        <v>25</v>
      </c>
      <c r="Q34" s="78">
        <f t="shared" si="5"/>
        <v>11.583333333333334</v>
      </c>
      <c r="R34" s="78">
        <f t="shared" si="6"/>
        <v>0.50689687752485169</v>
      </c>
      <c r="S34" s="72">
        <f t="shared" si="7"/>
        <v>11.583333333333334</v>
      </c>
      <c r="T34" s="71"/>
      <c r="U34" s="1">
        <f t="shared" si="8"/>
        <v>4</v>
      </c>
    </row>
    <row r="35" spans="2:31" x14ac:dyDescent="0.2">
      <c r="B35" s="5">
        <v>402</v>
      </c>
      <c r="C35" s="5" t="s">
        <v>115</v>
      </c>
      <c r="D35" s="5">
        <v>9</v>
      </c>
      <c r="E35" s="18">
        <f t="shared" si="0"/>
        <v>2</v>
      </c>
      <c r="F35" s="18">
        <f t="shared" si="1"/>
        <v>2</v>
      </c>
      <c r="G35" s="18">
        <f t="shared" si="2"/>
        <v>2</v>
      </c>
      <c r="H35" s="5">
        <v>3</v>
      </c>
      <c r="I35" s="5">
        <f t="shared" si="3"/>
        <v>2</v>
      </c>
      <c r="J35" s="5" t="str">
        <f t="shared" si="4"/>
        <v>222.3</v>
      </c>
      <c r="K35" s="109">
        <v>25</v>
      </c>
      <c r="L35" s="109">
        <v>27</v>
      </c>
      <c r="M35" s="109">
        <v>23</v>
      </c>
      <c r="N35" s="109">
        <v>22</v>
      </c>
      <c r="O35" s="109">
        <v>18</v>
      </c>
      <c r="P35" s="109">
        <v>25</v>
      </c>
      <c r="Q35" s="78">
        <f t="shared" si="5"/>
        <v>11.666666666666666</v>
      </c>
      <c r="R35" s="77">
        <f t="shared" si="6"/>
        <v>0.64117946872237919</v>
      </c>
      <c r="S35" s="72">
        <f t="shared" si="7"/>
        <v>11.666666666666666</v>
      </c>
      <c r="T35" s="71"/>
      <c r="U35" s="1">
        <f t="shared" si="8"/>
        <v>4</v>
      </c>
    </row>
    <row r="36" spans="2:31" x14ac:dyDescent="0.2">
      <c r="B36" s="88">
        <v>403</v>
      </c>
      <c r="C36" s="88" t="s">
        <v>155</v>
      </c>
      <c r="D36" s="88">
        <v>6</v>
      </c>
      <c r="E36" s="89">
        <f t="shared" si="0"/>
        <v>1</v>
      </c>
      <c r="F36" s="89">
        <f t="shared" si="1"/>
        <v>3</v>
      </c>
      <c r="G36" s="89">
        <f t="shared" si="2"/>
        <v>1</v>
      </c>
      <c r="H36" s="88">
        <v>3</v>
      </c>
      <c r="I36" s="88">
        <f t="shared" si="3"/>
        <v>3</v>
      </c>
      <c r="J36" s="88" t="str">
        <f t="shared" si="4"/>
        <v>131.3</v>
      </c>
      <c r="K36" s="111">
        <f>26+25</f>
        <v>51</v>
      </c>
      <c r="L36" s="111">
        <f>20+25</f>
        <v>45</v>
      </c>
      <c r="M36" s="111">
        <f>20+26</f>
        <v>46</v>
      </c>
      <c r="N36" s="111">
        <f>18+25</f>
        <v>43</v>
      </c>
      <c r="O36" s="111">
        <f>18+23</f>
        <v>41</v>
      </c>
      <c r="P36" s="111">
        <f>24+22</f>
        <v>46</v>
      </c>
      <c r="Q36" s="87">
        <f t="shared" si="5"/>
        <v>22.666666666666668</v>
      </c>
      <c r="R36" s="86">
        <f t="shared" si="6"/>
        <v>0.69121471177759075</v>
      </c>
      <c r="S36" s="72">
        <f t="shared" si="7"/>
        <v>11.333333333333334</v>
      </c>
      <c r="T36" s="71"/>
      <c r="U36" s="1">
        <f t="shared" si="8"/>
        <v>4</v>
      </c>
    </row>
    <row r="37" spans="2:31" x14ac:dyDescent="0.2">
      <c r="B37" s="5">
        <v>404</v>
      </c>
      <c r="C37" s="5" t="s">
        <v>111</v>
      </c>
      <c r="D37" s="5">
        <v>3</v>
      </c>
      <c r="E37" s="18">
        <f t="shared" si="0"/>
        <v>1</v>
      </c>
      <c r="F37" s="18">
        <f t="shared" si="1"/>
        <v>2</v>
      </c>
      <c r="G37" s="18">
        <f t="shared" si="2"/>
        <v>2</v>
      </c>
      <c r="H37" s="5">
        <v>3</v>
      </c>
      <c r="I37" s="5">
        <f t="shared" si="3"/>
        <v>4</v>
      </c>
      <c r="J37" s="5" t="str">
        <f t="shared" si="4"/>
        <v>122.3</v>
      </c>
      <c r="K37" s="109">
        <v>24</v>
      </c>
      <c r="L37" s="109">
        <v>24</v>
      </c>
      <c r="M37" s="109">
        <v>22</v>
      </c>
      <c r="N37" s="109">
        <v>26</v>
      </c>
      <c r="O37" s="109">
        <v>21</v>
      </c>
      <c r="P37" s="109">
        <v>21</v>
      </c>
      <c r="Q37" s="78">
        <f t="shared" si="5"/>
        <v>11.5</v>
      </c>
      <c r="R37" s="77">
        <f t="shared" si="6"/>
        <v>0.40824829046386307</v>
      </c>
      <c r="S37" s="72">
        <f t="shared" si="7"/>
        <v>11.5</v>
      </c>
      <c r="T37" s="71"/>
      <c r="U37" s="1">
        <f t="shared" si="8"/>
        <v>4</v>
      </c>
    </row>
    <row r="38" spans="2:31" x14ac:dyDescent="0.2">
      <c r="B38" s="88">
        <v>405</v>
      </c>
      <c r="C38" s="88" t="s">
        <v>155</v>
      </c>
      <c r="D38" s="88">
        <v>6</v>
      </c>
      <c r="E38" s="89">
        <f t="shared" si="0"/>
        <v>1</v>
      </c>
      <c r="F38" s="89">
        <f t="shared" si="1"/>
        <v>3</v>
      </c>
      <c r="G38" s="89">
        <f t="shared" si="2"/>
        <v>1</v>
      </c>
      <c r="H38" s="88">
        <v>4</v>
      </c>
      <c r="I38" s="88">
        <f t="shared" si="3"/>
        <v>5</v>
      </c>
      <c r="J38" s="88" t="str">
        <f t="shared" si="4"/>
        <v>131.4</v>
      </c>
      <c r="K38" s="111">
        <f>23+27</f>
        <v>50</v>
      </c>
      <c r="L38" s="111">
        <f>31+24</f>
        <v>55</v>
      </c>
      <c r="M38" s="111">
        <f>23+25</f>
        <v>48</v>
      </c>
      <c r="N38" s="111">
        <f>23+22</f>
        <v>45</v>
      </c>
      <c r="O38" s="111">
        <f>18+24</f>
        <v>42</v>
      </c>
      <c r="P38" s="111">
        <f>24+26</f>
        <v>50</v>
      </c>
      <c r="Q38" s="87">
        <f t="shared" si="5"/>
        <v>24.166666666666668</v>
      </c>
      <c r="R38" s="86">
        <f t="shared" si="6"/>
        <v>0.91893658347268159</v>
      </c>
      <c r="S38" s="72">
        <f t="shared" si="7"/>
        <v>12.083333333333334</v>
      </c>
      <c r="T38" s="71"/>
      <c r="U38" s="1">
        <f t="shared" si="8"/>
        <v>4</v>
      </c>
    </row>
    <row r="39" spans="2:31" x14ac:dyDescent="0.2">
      <c r="B39" s="5">
        <v>406</v>
      </c>
      <c r="C39" s="5" t="s">
        <v>111</v>
      </c>
      <c r="D39" s="5">
        <v>3</v>
      </c>
      <c r="E39" s="18">
        <f t="shared" si="0"/>
        <v>1</v>
      </c>
      <c r="F39" s="18">
        <f t="shared" si="1"/>
        <v>2</v>
      </c>
      <c r="G39" s="18">
        <f t="shared" si="2"/>
        <v>2</v>
      </c>
      <c r="H39" s="5">
        <v>4</v>
      </c>
      <c r="I39" s="5">
        <f t="shared" si="3"/>
        <v>6</v>
      </c>
      <c r="J39" s="5" t="str">
        <f t="shared" si="4"/>
        <v>122.4</v>
      </c>
      <c r="K39" s="109">
        <v>23</v>
      </c>
      <c r="L39" s="109">
        <v>26</v>
      </c>
      <c r="M39" s="109">
        <v>27</v>
      </c>
      <c r="N39" s="109">
        <v>17</v>
      </c>
      <c r="O39" s="109">
        <v>23</v>
      </c>
      <c r="P39" s="109">
        <v>24</v>
      </c>
      <c r="Q39" s="78">
        <f t="shared" si="5"/>
        <v>11.666666666666666</v>
      </c>
      <c r="R39" s="77">
        <f t="shared" si="6"/>
        <v>0.7149203529842415</v>
      </c>
      <c r="S39" s="72">
        <f t="shared" si="7"/>
        <v>11.666666666666666</v>
      </c>
      <c r="T39" s="71"/>
      <c r="U39" s="1">
        <f t="shared" si="8"/>
        <v>4</v>
      </c>
    </row>
    <row r="40" spans="2:31" x14ac:dyDescent="0.2">
      <c r="B40" s="5">
        <v>407</v>
      </c>
      <c r="C40" s="5" t="s">
        <v>152</v>
      </c>
      <c r="D40" s="5">
        <v>7</v>
      </c>
      <c r="E40" s="18">
        <f t="shared" si="0"/>
        <v>2</v>
      </c>
      <c r="F40" s="18">
        <f t="shared" si="1"/>
        <v>1</v>
      </c>
      <c r="G40" s="18">
        <f t="shared" si="2"/>
        <v>2</v>
      </c>
      <c r="H40" s="5">
        <v>4</v>
      </c>
      <c r="I40" s="5">
        <f t="shared" si="3"/>
        <v>7</v>
      </c>
      <c r="J40" s="5" t="str">
        <f t="shared" si="4"/>
        <v>212.4</v>
      </c>
      <c r="K40" s="109">
        <v>23</v>
      </c>
      <c r="L40" s="109">
        <v>25</v>
      </c>
      <c r="M40" s="109">
        <v>24</v>
      </c>
      <c r="N40" s="109">
        <v>25</v>
      </c>
      <c r="O40" s="109">
        <v>29</v>
      </c>
      <c r="P40" s="109">
        <v>29</v>
      </c>
      <c r="Q40" s="78">
        <f t="shared" si="5"/>
        <v>12.916666666666666</v>
      </c>
      <c r="R40" s="77">
        <f t="shared" si="6"/>
        <v>0.52307849421584063</v>
      </c>
      <c r="S40" s="72">
        <f t="shared" si="7"/>
        <v>12.916666666666666</v>
      </c>
      <c r="T40" s="71"/>
      <c r="U40" s="1">
        <f t="shared" si="8"/>
        <v>4</v>
      </c>
      <c r="V40" s="83" t="s">
        <v>407</v>
      </c>
      <c r="W40" s="66"/>
      <c r="X40" s="66"/>
      <c r="Y40" s="66"/>
      <c r="Z40" s="82"/>
    </row>
    <row r="41" spans="2:31"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4">
        <v>27</v>
      </c>
      <c r="L41" s="74">
        <v>23</v>
      </c>
      <c r="M41" s="74">
        <v>24</v>
      </c>
      <c r="N41" s="74">
        <v>28</v>
      </c>
      <c r="O41" s="74">
        <v>27</v>
      </c>
      <c r="P41" s="74">
        <v>16</v>
      </c>
      <c r="Q41" s="74">
        <f t="shared" si="5"/>
        <v>12.083333333333334</v>
      </c>
      <c r="R41" s="73">
        <f t="shared" si="6"/>
        <v>0.90753022600413291</v>
      </c>
      <c r="S41" s="72">
        <f t="shared" si="7"/>
        <v>12.083333333333334</v>
      </c>
      <c r="T41" s="71"/>
      <c r="U41" s="1">
        <f t="shared" si="8"/>
        <v>4</v>
      </c>
      <c r="V41" s="83" t="s">
        <v>73</v>
      </c>
      <c r="W41" s="83" t="s">
        <v>72</v>
      </c>
      <c r="X41" s="83" t="s">
        <v>74</v>
      </c>
      <c r="Y41" s="83" t="s">
        <v>51</v>
      </c>
      <c r="Z41" s="82" t="s">
        <v>406</v>
      </c>
      <c r="AD41" s="1">
        <v>2002</v>
      </c>
      <c r="AE41" s="1">
        <v>2003</v>
      </c>
    </row>
    <row r="42" spans="2:31" x14ac:dyDescent="0.2">
      <c r="B42" s="23">
        <v>901</v>
      </c>
      <c r="C42" s="23" t="s">
        <v>404</v>
      </c>
      <c r="D42" s="23">
        <v>32</v>
      </c>
      <c r="E42" s="81">
        <v>9</v>
      </c>
      <c r="F42" s="81">
        <v>0</v>
      </c>
      <c r="G42" s="81">
        <v>1</v>
      </c>
      <c r="H42" s="23">
        <v>1</v>
      </c>
      <c r="I42" s="23">
        <f t="shared" si="3"/>
        <v>1</v>
      </c>
      <c r="J42" s="23" t="str">
        <f t="shared" si="4"/>
        <v>901.1</v>
      </c>
      <c r="K42" s="110">
        <v>0</v>
      </c>
      <c r="L42" s="110">
        <v>0</v>
      </c>
      <c r="M42" s="110">
        <v>0</v>
      </c>
      <c r="N42" s="110">
        <v>0</v>
      </c>
      <c r="O42" s="110">
        <v>0</v>
      </c>
      <c r="P42" s="110">
        <v>0</v>
      </c>
      <c r="Q42" s="78">
        <f t="shared" si="5"/>
        <v>0</v>
      </c>
      <c r="R42" s="78">
        <f t="shared" si="6"/>
        <v>0</v>
      </c>
      <c r="S42" s="72">
        <f t="shared" si="7"/>
        <v>0</v>
      </c>
      <c r="U42" s="1">
        <f t="shared" si="8"/>
        <v>9</v>
      </c>
      <c r="V42" s="67">
        <v>1</v>
      </c>
      <c r="W42" s="67">
        <v>1</v>
      </c>
      <c r="X42" s="67">
        <v>1</v>
      </c>
      <c r="Y42" s="67">
        <v>208</v>
      </c>
      <c r="Z42" s="65">
        <v>11.25</v>
      </c>
      <c r="AC42" s="1" t="s">
        <v>167</v>
      </c>
      <c r="AD42" s="1">
        <v>5.3</v>
      </c>
      <c r="AE42" s="58">
        <f>GETPIVOTDATA("Mean per meter",$V$40,"Pop.",1)</f>
        <v>11.760416666666666</v>
      </c>
    </row>
    <row r="43" spans="2:31" x14ac:dyDescent="0.2">
      <c r="B43" s="5">
        <v>902</v>
      </c>
      <c r="C43" s="80" t="s">
        <v>403</v>
      </c>
      <c r="D43" s="5">
        <v>22</v>
      </c>
      <c r="E43" s="18">
        <v>4</v>
      </c>
      <c r="F43" s="18">
        <v>2</v>
      </c>
      <c r="G43" s="18">
        <v>2</v>
      </c>
      <c r="H43" s="5">
        <v>1</v>
      </c>
      <c r="I43" s="5">
        <f t="shared" si="3"/>
        <v>2</v>
      </c>
      <c r="J43" s="5" t="str">
        <f t="shared" si="4"/>
        <v>422.1</v>
      </c>
      <c r="K43" s="109">
        <v>24</v>
      </c>
      <c r="L43" s="109">
        <v>27</v>
      </c>
      <c r="M43" s="109">
        <v>20</v>
      </c>
      <c r="N43" s="109">
        <v>21</v>
      </c>
      <c r="O43" s="109">
        <v>16</v>
      </c>
      <c r="P43" s="109">
        <v>20</v>
      </c>
      <c r="Q43" s="78">
        <f t="shared" si="5"/>
        <v>10.666666666666666</v>
      </c>
      <c r="R43" s="77">
        <f t="shared" si="6"/>
        <v>0.77100223374802601</v>
      </c>
      <c r="S43" s="72">
        <f t="shared" si="7"/>
        <v>10.666666666666666</v>
      </c>
      <c r="T43" s="71"/>
      <c r="U43" s="1">
        <f t="shared" si="8"/>
        <v>9</v>
      </c>
      <c r="V43" s="68"/>
      <c r="W43" s="68"/>
      <c r="X43" s="68"/>
      <c r="Y43" s="70">
        <v>304</v>
      </c>
      <c r="Z43" s="69">
        <v>12.5</v>
      </c>
      <c r="AC43" s="1" t="s">
        <v>166</v>
      </c>
      <c r="AD43" s="1">
        <v>11.6</v>
      </c>
      <c r="AE43" s="58">
        <f>GETPIVOTDATA("Mean per meter",$V$40,"Pop.",2)</f>
        <v>11.604166666666666</v>
      </c>
    </row>
    <row r="44" spans="2:31" x14ac:dyDescent="0.2">
      <c r="B44" s="5">
        <v>903</v>
      </c>
      <c r="C44" s="5" t="s">
        <v>401</v>
      </c>
      <c r="D44" s="5">
        <v>31</v>
      </c>
      <c r="E44" s="18">
        <v>8</v>
      </c>
      <c r="F44" s="18">
        <v>0</v>
      </c>
      <c r="G44" s="18">
        <v>1</v>
      </c>
      <c r="H44" s="5">
        <v>1</v>
      </c>
      <c r="I44" s="5">
        <f t="shared" si="3"/>
        <v>3</v>
      </c>
      <c r="J44" s="5" t="str">
        <f t="shared" si="4"/>
        <v>801.1</v>
      </c>
      <c r="K44" s="109">
        <v>0</v>
      </c>
      <c r="L44" s="109">
        <v>0</v>
      </c>
      <c r="M44" s="109">
        <v>0</v>
      </c>
      <c r="N44" s="109">
        <v>0</v>
      </c>
      <c r="O44" s="109">
        <v>0</v>
      </c>
      <c r="P44" s="109">
        <v>0</v>
      </c>
      <c r="Q44" s="78">
        <f t="shared" si="5"/>
        <v>0</v>
      </c>
      <c r="R44" s="77">
        <f t="shared" si="6"/>
        <v>0</v>
      </c>
      <c r="S44" s="72">
        <f t="shared" si="7"/>
        <v>0</v>
      </c>
      <c r="T44" s="71"/>
      <c r="U44" s="1">
        <f t="shared" si="8"/>
        <v>9</v>
      </c>
      <c r="V44" s="68"/>
      <c r="W44" s="68"/>
      <c r="X44" s="67" t="s">
        <v>436</v>
      </c>
      <c r="Y44" s="66"/>
      <c r="Z44" s="65">
        <v>11.875</v>
      </c>
      <c r="AC44" s="1" t="s">
        <v>165</v>
      </c>
      <c r="AD44" s="1">
        <v>21.1</v>
      </c>
      <c r="AE44" s="58">
        <f>GETPIVOTDATA("Mean per meter",$V$40,"Pop.",3)</f>
        <v>23.3125</v>
      </c>
    </row>
    <row r="45" spans="2:31" x14ac:dyDescent="0.2">
      <c r="B45" s="5">
        <v>904</v>
      </c>
      <c r="C45" s="80" t="s">
        <v>400</v>
      </c>
      <c r="D45" s="5">
        <v>21</v>
      </c>
      <c r="E45" s="18">
        <v>3</v>
      </c>
      <c r="F45" s="18">
        <v>2</v>
      </c>
      <c r="G45" s="18">
        <v>2</v>
      </c>
      <c r="H45" s="5">
        <v>1</v>
      </c>
      <c r="I45" s="5">
        <f t="shared" si="3"/>
        <v>4</v>
      </c>
      <c r="J45" s="5" t="str">
        <f t="shared" si="4"/>
        <v>322.1</v>
      </c>
      <c r="K45" s="109">
        <v>24</v>
      </c>
      <c r="L45" s="109">
        <v>27</v>
      </c>
      <c r="M45" s="109">
        <v>20</v>
      </c>
      <c r="N45" s="109">
        <v>20</v>
      </c>
      <c r="O45" s="109">
        <v>25</v>
      </c>
      <c r="P45" s="109">
        <v>14</v>
      </c>
      <c r="Q45" s="78">
        <f t="shared" si="5"/>
        <v>10.833333333333334</v>
      </c>
      <c r="R45" s="77">
        <f t="shared" si="6"/>
        <v>0.95452140421842424</v>
      </c>
      <c r="S45" s="72">
        <f t="shared" si="7"/>
        <v>10.833333333333334</v>
      </c>
      <c r="T45" s="71"/>
      <c r="U45" s="1">
        <f t="shared" si="8"/>
        <v>9</v>
      </c>
      <c r="V45" s="68"/>
      <c r="W45" s="68"/>
      <c r="X45" s="67">
        <v>2</v>
      </c>
      <c r="Y45" s="67">
        <v>206</v>
      </c>
      <c r="Z45" s="65">
        <v>12.333333333333334</v>
      </c>
    </row>
    <row r="46" spans="2:31" x14ac:dyDescent="0.2">
      <c r="B46" s="5">
        <v>905</v>
      </c>
      <c r="C46" s="5" t="s">
        <v>404</v>
      </c>
      <c r="D46" s="5">
        <v>32</v>
      </c>
      <c r="E46" s="18">
        <v>9</v>
      </c>
      <c r="F46" s="18">
        <v>0</v>
      </c>
      <c r="G46" s="18">
        <v>1</v>
      </c>
      <c r="H46" s="5">
        <v>2</v>
      </c>
      <c r="I46" s="5">
        <f t="shared" si="3"/>
        <v>5</v>
      </c>
      <c r="J46" s="5" t="str">
        <f t="shared" si="4"/>
        <v>901.2</v>
      </c>
      <c r="K46" s="109">
        <v>0</v>
      </c>
      <c r="L46" s="109">
        <v>0</v>
      </c>
      <c r="M46" s="109">
        <v>0</v>
      </c>
      <c r="N46" s="109">
        <v>0</v>
      </c>
      <c r="O46" s="109">
        <v>0</v>
      </c>
      <c r="P46" s="109">
        <v>0</v>
      </c>
      <c r="Q46" s="78">
        <f t="shared" si="5"/>
        <v>0</v>
      </c>
      <c r="R46" s="77">
        <f t="shared" si="6"/>
        <v>0</v>
      </c>
      <c r="S46" s="72">
        <f t="shared" si="7"/>
        <v>0</v>
      </c>
      <c r="T46" s="71"/>
      <c r="U46" s="1">
        <f t="shared" si="8"/>
        <v>9</v>
      </c>
      <c r="V46" s="68"/>
      <c r="W46" s="68"/>
      <c r="X46" s="68"/>
      <c r="Y46" s="70">
        <v>303</v>
      </c>
      <c r="Z46" s="69">
        <v>12</v>
      </c>
    </row>
    <row r="47" spans="2:31" x14ac:dyDescent="0.2">
      <c r="B47" s="5">
        <v>906</v>
      </c>
      <c r="C47" s="80" t="s">
        <v>403</v>
      </c>
      <c r="D47" s="5">
        <v>22</v>
      </c>
      <c r="E47" s="18">
        <v>4</v>
      </c>
      <c r="F47" s="18">
        <v>2</v>
      </c>
      <c r="G47" s="18">
        <v>2</v>
      </c>
      <c r="H47" s="5">
        <v>2</v>
      </c>
      <c r="I47" s="5">
        <f t="shared" si="3"/>
        <v>6</v>
      </c>
      <c r="J47" s="5" t="str">
        <f t="shared" si="4"/>
        <v>422.2</v>
      </c>
      <c r="K47" s="109">
        <v>25</v>
      </c>
      <c r="L47" s="109">
        <v>26</v>
      </c>
      <c r="M47" s="109">
        <v>24</v>
      </c>
      <c r="N47" s="109">
        <v>23</v>
      </c>
      <c r="O47" s="109">
        <v>18</v>
      </c>
      <c r="P47" s="109">
        <v>22</v>
      </c>
      <c r="Q47" s="78">
        <f t="shared" si="5"/>
        <v>11.5</v>
      </c>
      <c r="R47" s="77">
        <f t="shared" si="6"/>
        <v>0.57735026918962584</v>
      </c>
      <c r="S47" s="72">
        <f t="shared" si="7"/>
        <v>11.5</v>
      </c>
      <c r="T47" s="71"/>
      <c r="U47" s="1">
        <f t="shared" si="8"/>
        <v>9</v>
      </c>
      <c r="V47" s="68"/>
      <c r="W47" s="68"/>
      <c r="X47" s="67" t="s">
        <v>435</v>
      </c>
      <c r="Y47" s="66"/>
      <c r="Z47" s="65">
        <v>12.166666666666668</v>
      </c>
      <c r="AC47" s="79" t="s">
        <v>402</v>
      </c>
    </row>
    <row r="48" spans="2:31" x14ac:dyDescent="0.2">
      <c r="B48" s="5">
        <v>907</v>
      </c>
      <c r="C48" s="5" t="s">
        <v>401</v>
      </c>
      <c r="D48" s="5">
        <v>31</v>
      </c>
      <c r="E48" s="18">
        <v>8</v>
      </c>
      <c r="F48" s="18">
        <v>0</v>
      </c>
      <c r="G48" s="18">
        <v>1</v>
      </c>
      <c r="H48" s="5">
        <v>2</v>
      </c>
      <c r="I48" s="5">
        <f t="shared" si="3"/>
        <v>7</v>
      </c>
      <c r="J48" s="5" t="str">
        <f t="shared" si="4"/>
        <v>801.2</v>
      </c>
      <c r="K48" s="109">
        <v>0</v>
      </c>
      <c r="L48" s="109">
        <v>0</v>
      </c>
      <c r="M48" s="109">
        <v>0</v>
      </c>
      <c r="N48" s="109">
        <v>0</v>
      </c>
      <c r="O48" s="109">
        <v>0</v>
      </c>
      <c r="P48" s="109">
        <v>0</v>
      </c>
      <c r="Q48" s="78">
        <f t="shared" si="5"/>
        <v>0</v>
      </c>
      <c r="R48" s="77">
        <f t="shared" si="6"/>
        <v>0</v>
      </c>
      <c r="S48" s="72">
        <f t="shared" si="7"/>
        <v>0</v>
      </c>
      <c r="T48" s="71"/>
      <c r="U48" s="1">
        <f t="shared" si="8"/>
        <v>9</v>
      </c>
      <c r="V48" s="68"/>
      <c r="W48" s="67" t="s">
        <v>436</v>
      </c>
      <c r="X48" s="66"/>
      <c r="Y48" s="66"/>
      <c r="Z48" s="65">
        <v>12.020833333333334</v>
      </c>
      <c r="AD48" s="1">
        <v>2002</v>
      </c>
      <c r="AE48" s="1">
        <v>2003</v>
      </c>
    </row>
    <row r="49" spans="2:31" ht="13.5" thickBot="1" x14ac:dyDescent="0.25">
      <c r="B49" s="13">
        <v>908</v>
      </c>
      <c r="C49" s="76" t="s">
        <v>400</v>
      </c>
      <c r="D49" s="13">
        <v>21</v>
      </c>
      <c r="E49" s="75">
        <v>3</v>
      </c>
      <c r="F49" s="75">
        <v>2</v>
      </c>
      <c r="G49" s="75">
        <v>2</v>
      </c>
      <c r="H49" s="13">
        <v>2</v>
      </c>
      <c r="I49" s="13">
        <f t="shared" si="3"/>
        <v>8</v>
      </c>
      <c r="J49" s="13" t="str">
        <f t="shared" si="4"/>
        <v>322.2</v>
      </c>
      <c r="K49" s="74">
        <v>31</v>
      </c>
      <c r="L49" s="74">
        <v>30</v>
      </c>
      <c r="M49" s="74">
        <v>25</v>
      </c>
      <c r="N49" s="74">
        <v>25</v>
      </c>
      <c r="O49" s="74">
        <v>26</v>
      </c>
      <c r="P49" s="74">
        <v>25</v>
      </c>
      <c r="Q49" s="74">
        <f t="shared" si="5"/>
        <v>13.5</v>
      </c>
      <c r="R49" s="73">
        <f t="shared" si="6"/>
        <v>0.56273143387113778</v>
      </c>
      <c r="S49" s="72">
        <f t="shared" si="7"/>
        <v>13.5</v>
      </c>
      <c r="T49" s="71"/>
      <c r="U49" s="1">
        <f t="shared" si="8"/>
        <v>9</v>
      </c>
      <c r="V49" s="68"/>
      <c r="W49" s="67">
        <v>2</v>
      </c>
      <c r="X49" s="67">
        <v>1</v>
      </c>
      <c r="Y49" s="67">
        <v>101</v>
      </c>
      <c r="Z49" s="65">
        <v>9.9166666666666661</v>
      </c>
      <c r="AC49" s="1" t="s">
        <v>167</v>
      </c>
      <c r="AD49" s="1">
        <v>5.3</v>
      </c>
      <c r="AE49" s="1">
        <v>11.78</v>
      </c>
    </row>
    <row r="50" spans="2:31" x14ac:dyDescent="0.2">
      <c r="V50" s="68"/>
      <c r="W50" s="68"/>
      <c r="X50" s="68"/>
      <c r="Y50" s="70">
        <v>205</v>
      </c>
      <c r="Z50" s="69">
        <v>11.583333333333334</v>
      </c>
      <c r="AC50" s="1" t="s">
        <v>166</v>
      </c>
      <c r="AD50" s="1">
        <v>11.6</v>
      </c>
      <c r="AE50" s="1">
        <v>11.65</v>
      </c>
    </row>
    <row r="51" spans="2:31" x14ac:dyDescent="0.2">
      <c r="V51" s="68"/>
      <c r="W51" s="68"/>
      <c r="X51" s="67" t="s">
        <v>436</v>
      </c>
      <c r="Y51" s="66"/>
      <c r="Z51" s="65">
        <v>10.75</v>
      </c>
      <c r="AC51" s="1" t="s">
        <v>165</v>
      </c>
      <c r="AD51" s="1">
        <v>21.1</v>
      </c>
      <c r="AE51" s="1">
        <v>23.43</v>
      </c>
    </row>
    <row r="52" spans="2:31" x14ac:dyDescent="0.2">
      <c r="V52" s="68"/>
      <c r="W52" s="68"/>
      <c r="X52" s="67">
        <v>2</v>
      </c>
      <c r="Y52" s="67">
        <v>401</v>
      </c>
      <c r="Z52" s="65">
        <v>11.583333333333334</v>
      </c>
    </row>
    <row r="53" spans="2:31" x14ac:dyDescent="0.2">
      <c r="V53" s="68"/>
      <c r="W53" s="68"/>
      <c r="X53" s="68"/>
      <c r="Y53" s="70">
        <v>407</v>
      </c>
      <c r="Z53" s="69">
        <v>12.916666666666666</v>
      </c>
    </row>
    <row r="54" spans="2:31" x14ac:dyDescent="0.2">
      <c r="V54" s="68"/>
      <c r="W54" s="68"/>
      <c r="X54" s="67" t="s">
        <v>435</v>
      </c>
      <c r="Y54" s="66"/>
      <c r="Z54" s="65">
        <v>12.25</v>
      </c>
    </row>
    <row r="55" spans="2:31" x14ac:dyDescent="0.2">
      <c r="V55" s="68"/>
      <c r="W55" s="67" t="s">
        <v>435</v>
      </c>
      <c r="X55" s="66"/>
      <c r="Y55" s="66"/>
      <c r="Z55" s="65">
        <v>11.5</v>
      </c>
    </row>
    <row r="56" spans="2:31" x14ac:dyDescent="0.2">
      <c r="V56" s="67" t="s">
        <v>436</v>
      </c>
      <c r="W56" s="66"/>
      <c r="X56" s="66"/>
      <c r="Y56" s="66"/>
      <c r="Z56" s="65">
        <v>11.760416666666666</v>
      </c>
    </row>
    <row r="57" spans="2:31" x14ac:dyDescent="0.2">
      <c r="V57" s="67">
        <v>2</v>
      </c>
      <c r="W57" s="67">
        <v>1</v>
      </c>
      <c r="X57" s="67">
        <v>1</v>
      </c>
      <c r="Y57" s="67">
        <v>102</v>
      </c>
      <c r="Z57" s="65">
        <v>9.1666666666666661</v>
      </c>
    </row>
    <row r="58" spans="2:31" x14ac:dyDescent="0.2">
      <c r="V58" s="68"/>
      <c r="W58" s="68"/>
      <c r="X58" s="68"/>
      <c r="Y58" s="70">
        <v>207</v>
      </c>
      <c r="Z58" s="69">
        <v>11.5</v>
      </c>
    </row>
    <row r="59" spans="2:31" x14ac:dyDescent="0.2">
      <c r="V59" s="68"/>
      <c r="W59" s="68"/>
      <c r="X59" s="68"/>
      <c r="Y59" s="70">
        <v>302</v>
      </c>
      <c r="Z59" s="69">
        <v>11.916666666666666</v>
      </c>
    </row>
    <row r="60" spans="2:31" x14ac:dyDescent="0.2">
      <c r="V60" s="68"/>
      <c r="W60" s="68"/>
      <c r="X60" s="68"/>
      <c r="Y60" s="70">
        <v>306</v>
      </c>
      <c r="Z60" s="69">
        <v>13</v>
      </c>
    </row>
    <row r="61" spans="2:31" x14ac:dyDescent="0.2">
      <c r="V61" s="68"/>
      <c r="W61" s="68"/>
      <c r="X61" s="67" t="s">
        <v>436</v>
      </c>
      <c r="Y61" s="66"/>
      <c r="Z61" s="65">
        <v>11.395833333333332</v>
      </c>
    </row>
    <row r="62" spans="2:31" x14ac:dyDescent="0.2">
      <c r="V62" s="68"/>
      <c r="W62" s="68"/>
      <c r="X62" s="67">
        <v>2</v>
      </c>
      <c r="Y62" s="67">
        <v>104</v>
      </c>
      <c r="Z62" s="65">
        <v>11.833333333333334</v>
      </c>
    </row>
    <row r="63" spans="2:31" x14ac:dyDescent="0.2">
      <c r="V63" s="68"/>
      <c r="W63" s="68"/>
      <c r="X63" s="68"/>
      <c r="Y63" s="70">
        <v>107</v>
      </c>
      <c r="Z63" s="69">
        <v>11.333333333333334</v>
      </c>
    </row>
    <row r="64" spans="2:31" x14ac:dyDescent="0.2">
      <c r="V64" s="68"/>
      <c r="W64" s="68"/>
      <c r="X64" s="68"/>
      <c r="Y64" s="70">
        <v>301</v>
      </c>
      <c r="Z64" s="69">
        <v>11.25</v>
      </c>
    </row>
    <row r="65" spans="22:26" x14ac:dyDescent="0.2">
      <c r="V65" s="68"/>
      <c r="W65" s="68"/>
      <c r="X65" s="68"/>
      <c r="Y65" s="70">
        <v>408</v>
      </c>
      <c r="Z65" s="69">
        <v>12.083333333333334</v>
      </c>
    </row>
    <row r="66" spans="22:26" x14ac:dyDescent="0.2">
      <c r="V66" s="68"/>
      <c r="W66" s="68"/>
      <c r="X66" s="67" t="s">
        <v>435</v>
      </c>
      <c r="Y66" s="66"/>
      <c r="Z66" s="65">
        <v>11.625</v>
      </c>
    </row>
    <row r="67" spans="22:26" x14ac:dyDescent="0.2">
      <c r="V67" s="68"/>
      <c r="W67" s="67" t="s">
        <v>436</v>
      </c>
      <c r="X67" s="66"/>
      <c r="Y67" s="66"/>
      <c r="Z67" s="65">
        <v>11.510416666666666</v>
      </c>
    </row>
    <row r="68" spans="22:26" x14ac:dyDescent="0.2">
      <c r="V68" s="68"/>
      <c r="W68" s="67">
        <v>2</v>
      </c>
      <c r="X68" s="67">
        <v>1</v>
      </c>
      <c r="Y68" s="67">
        <v>108</v>
      </c>
      <c r="Z68" s="65">
        <v>11.75</v>
      </c>
    </row>
    <row r="69" spans="22:26" x14ac:dyDescent="0.2">
      <c r="V69" s="68"/>
      <c r="W69" s="68"/>
      <c r="X69" s="68"/>
      <c r="Y69" s="70">
        <v>203</v>
      </c>
      <c r="Z69" s="69">
        <v>10.5</v>
      </c>
    </row>
    <row r="70" spans="22:26" x14ac:dyDescent="0.2">
      <c r="V70" s="68"/>
      <c r="W70" s="68"/>
      <c r="X70" s="68"/>
      <c r="Y70" s="70">
        <v>404</v>
      </c>
      <c r="Z70" s="69">
        <v>11.5</v>
      </c>
    </row>
    <row r="71" spans="22:26" x14ac:dyDescent="0.2">
      <c r="V71" s="68"/>
      <c r="W71" s="68"/>
      <c r="X71" s="68"/>
      <c r="Y71" s="70">
        <v>406</v>
      </c>
      <c r="Z71" s="69">
        <v>11.666666666666666</v>
      </c>
    </row>
    <row r="72" spans="22:26" x14ac:dyDescent="0.2">
      <c r="V72" s="68"/>
      <c r="W72" s="68"/>
      <c r="X72" s="67" t="s">
        <v>436</v>
      </c>
      <c r="Y72" s="66"/>
      <c r="Z72" s="65">
        <v>11.354166666666666</v>
      </c>
    </row>
    <row r="73" spans="22:26" x14ac:dyDescent="0.2">
      <c r="V73" s="68"/>
      <c r="W73" s="68"/>
      <c r="X73" s="67">
        <v>2</v>
      </c>
      <c r="Y73" s="67">
        <v>106</v>
      </c>
      <c r="Z73" s="65">
        <v>12</v>
      </c>
    </row>
    <row r="74" spans="22:26" x14ac:dyDescent="0.2">
      <c r="V74" s="68"/>
      <c r="W74" s="68"/>
      <c r="X74" s="68"/>
      <c r="Y74" s="70">
        <v>202</v>
      </c>
      <c r="Z74" s="69">
        <v>12.416666666666666</v>
      </c>
    </row>
    <row r="75" spans="22:26" x14ac:dyDescent="0.2">
      <c r="V75" s="68"/>
      <c r="W75" s="68"/>
      <c r="X75" s="68"/>
      <c r="Y75" s="70">
        <v>307</v>
      </c>
      <c r="Z75" s="69">
        <v>12.083333333333334</v>
      </c>
    </row>
    <row r="76" spans="22:26" x14ac:dyDescent="0.2">
      <c r="V76" s="68"/>
      <c r="W76" s="68"/>
      <c r="X76" s="68"/>
      <c r="Y76" s="70">
        <v>402</v>
      </c>
      <c r="Z76" s="69">
        <v>11.666666666666666</v>
      </c>
    </row>
    <row r="77" spans="22:26" x14ac:dyDescent="0.2">
      <c r="V77" s="68"/>
      <c r="W77" s="68"/>
      <c r="X77" s="67" t="s">
        <v>435</v>
      </c>
      <c r="Y77" s="66"/>
      <c r="Z77" s="65">
        <v>12.041666666666666</v>
      </c>
    </row>
    <row r="78" spans="22:26" x14ac:dyDescent="0.2">
      <c r="V78" s="68"/>
      <c r="W78" s="67" t="s">
        <v>435</v>
      </c>
      <c r="X78" s="66"/>
      <c r="Y78" s="66"/>
      <c r="Z78" s="65">
        <v>11.697916666666666</v>
      </c>
    </row>
    <row r="79" spans="22:26" x14ac:dyDescent="0.2">
      <c r="V79" s="67" t="s">
        <v>435</v>
      </c>
      <c r="W79" s="66"/>
      <c r="X79" s="66"/>
      <c r="Y79" s="66"/>
      <c r="Z79" s="65">
        <v>11.604166666666666</v>
      </c>
    </row>
    <row r="80" spans="22:26" x14ac:dyDescent="0.2">
      <c r="V80" s="67">
        <v>3</v>
      </c>
      <c r="W80" s="67">
        <v>1</v>
      </c>
      <c r="X80" s="67">
        <v>1</v>
      </c>
      <c r="Y80" s="67">
        <v>403</v>
      </c>
      <c r="Z80" s="65">
        <v>22.666666666666668</v>
      </c>
    </row>
    <row r="81" spans="22:26" x14ac:dyDescent="0.2">
      <c r="V81" s="68"/>
      <c r="W81" s="68"/>
      <c r="X81" s="68"/>
      <c r="Y81" s="70">
        <v>405</v>
      </c>
      <c r="Z81" s="69">
        <v>24.166666666666668</v>
      </c>
    </row>
    <row r="82" spans="22:26" x14ac:dyDescent="0.2">
      <c r="V82" s="68"/>
      <c r="W82" s="68"/>
      <c r="X82" s="67" t="s">
        <v>436</v>
      </c>
      <c r="Y82" s="66"/>
      <c r="Z82" s="65">
        <v>23.416666666666668</v>
      </c>
    </row>
    <row r="83" spans="22:26" x14ac:dyDescent="0.2">
      <c r="V83" s="68"/>
      <c r="W83" s="68"/>
      <c r="X83" s="67">
        <v>2</v>
      </c>
      <c r="Y83" s="67">
        <v>105</v>
      </c>
      <c r="Z83" s="65">
        <v>23.25</v>
      </c>
    </row>
    <row r="84" spans="22:26" x14ac:dyDescent="0.2">
      <c r="V84" s="68"/>
      <c r="W84" s="68"/>
      <c r="X84" s="68"/>
      <c r="Y84" s="70">
        <v>201</v>
      </c>
      <c r="Z84" s="69">
        <v>21.75</v>
      </c>
    </row>
    <row r="85" spans="22:26" x14ac:dyDescent="0.2">
      <c r="V85" s="68"/>
      <c r="W85" s="68"/>
      <c r="X85" s="67" t="s">
        <v>435</v>
      </c>
      <c r="Y85" s="66"/>
      <c r="Z85" s="65">
        <v>22.5</v>
      </c>
    </row>
    <row r="86" spans="22:26" x14ac:dyDescent="0.2">
      <c r="V86" s="68"/>
      <c r="W86" s="67" t="s">
        <v>436</v>
      </c>
      <c r="X86" s="66"/>
      <c r="Y86" s="66"/>
      <c r="Z86" s="65">
        <v>22.958333333333336</v>
      </c>
    </row>
    <row r="87" spans="22:26" x14ac:dyDescent="0.2">
      <c r="V87" s="68"/>
      <c r="W87" s="67">
        <v>2</v>
      </c>
      <c r="X87" s="67">
        <v>1</v>
      </c>
      <c r="Y87" s="67">
        <v>103</v>
      </c>
      <c r="Z87" s="65">
        <v>22</v>
      </c>
    </row>
    <row r="88" spans="22:26" x14ac:dyDescent="0.2">
      <c r="V88" s="68"/>
      <c r="W88" s="68"/>
      <c r="X88" s="68"/>
      <c r="Y88" s="70">
        <v>308</v>
      </c>
      <c r="Z88" s="69">
        <v>23.166666666666668</v>
      </c>
    </row>
    <row r="89" spans="22:26" x14ac:dyDescent="0.2">
      <c r="V89" s="68"/>
      <c r="W89" s="68"/>
      <c r="X89" s="67" t="s">
        <v>436</v>
      </c>
      <c r="Y89" s="66"/>
      <c r="Z89" s="65">
        <v>22.583333333333336</v>
      </c>
    </row>
    <row r="90" spans="22:26" x14ac:dyDescent="0.2">
      <c r="V90" s="68"/>
      <c r="W90" s="68"/>
      <c r="X90" s="67">
        <v>2</v>
      </c>
      <c r="Y90" s="67">
        <v>204</v>
      </c>
      <c r="Z90" s="65">
        <v>23.833333333333332</v>
      </c>
    </row>
    <row r="91" spans="22:26" x14ac:dyDescent="0.2">
      <c r="V91" s="68"/>
      <c r="W91" s="68"/>
      <c r="X91" s="68"/>
      <c r="Y91" s="70">
        <v>305</v>
      </c>
      <c r="Z91" s="69">
        <v>25.666666666666668</v>
      </c>
    </row>
    <row r="92" spans="22:26" x14ac:dyDescent="0.2">
      <c r="V92" s="68"/>
      <c r="W92" s="68"/>
      <c r="X92" s="67" t="s">
        <v>435</v>
      </c>
      <c r="Y92" s="66"/>
      <c r="Z92" s="65">
        <v>24.75</v>
      </c>
    </row>
    <row r="93" spans="22:26" x14ac:dyDescent="0.2">
      <c r="V93" s="68"/>
      <c r="W93" s="67" t="s">
        <v>435</v>
      </c>
      <c r="X93" s="66"/>
      <c r="Y93" s="66"/>
      <c r="Z93" s="65">
        <v>23.666666666666668</v>
      </c>
    </row>
    <row r="94" spans="22:26" x14ac:dyDescent="0.2">
      <c r="V94" s="64" t="s">
        <v>434</v>
      </c>
      <c r="W94" s="63"/>
      <c r="X94" s="63"/>
      <c r="Y94" s="63"/>
      <c r="Z94" s="62">
        <v>23.3125</v>
      </c>
    </row>
  </sheetData>
  <pageMargins left="0.75" right="0.75" top="1" bottom="1" header="0.5" footer="0.5"/>
  <pageSetup orientation="portrait" r:id="rId3"/>
  <headerFooter alignWithMargins="0"/>
  <drawing r:id="rId4"/>
  <legacyDrawing r:id="rId5"/>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5A8E-8066-4DA0-A0E8-F425858A8790}">
  <dimension ref="A1:AE94"/>
  <sheetViews>
    <sheetView workbookViewId="0">
      <selection activeCell="L31" sqref="L31"/>
    </sheetView>
  </sheetViews>
  <sheetFormatPr defaultRowHeight="12.75" x14ac:dyDescent="0.2"/>
  <cols>
    <col min="1" max="19" width="9.140625" style="1"/>
    <col min="20" max="20" width="45.7109375" style="1" customWidth="1"/>
    <col min="21" max="21" width="9.140625" style="1"/>
    <col min="22" max="22" width="28.7109375" style="1" customWidth="1"/>
    <col min="23" max="23" width="5.5703125" style="1" customWidth="1"/>
    <col min="24" max="24" width="6.85546875" style="1" customWidth="1"/>
    <col min="25" max="25" width="6.5703125" style="1" customWidth="1"/>
    <col min="26" max="26" width="5.5703125" style="1" customWidth="1"/>
    <col min="27" max="27" width="10.5703125" style="1" bestFit="1" customWidth="1"/>
    <col min="28" max="16384" width="9.140625" style="1"/>
  </cols>
  <sheetData>
    <row r="1" spans="1:23" ht="18" x14ac:dyDescent="0.25">
      <c r="A1" s="107" t="s">
        <v>428</v>
      </c>
      <c r="F1" s="106" t="s">
        <v>427</v>
      </c>
    </row>
    <row r="3" spans="1:23" ht="13.5" thickBot="1" x14ac:dyDescent="0.25">
      <c r="A3" s="79"/>
      <c r="B3" s="79" t="s">
        <v>426</v>
      </c>
      <c r="C3" s="39">
        <v>140</v>
      </c>
      <c r="E3" s="1" t="s">
        <v>425</v>
      </c>
      <c r="F3" s="105">
        <v>0.33333333333333331</v>
      </c>
    </row>
    <row r="4" spans="1:23" ht="13.5" thickBot="1" x14ac:dyDescent="0.25">
      <c r="E4" s="1" t="s">
        <v>424</v>
      </c>
      <c r="F4" s="105">
        <v>0.3576388888888889</v>
      </c>
      <c r="N4" s="58">
        <f>AVERAGE(Q10:Q11,Q13,Q15:Q17,Q19:Q20,Q22:Q29,Q31:Q32,Q34:Q35,Q37,Q39:Q41)</f>
        <v>9.4733796296296315</v>
      </c>
      <c r="O4" s="58">
        <f>AVERAGE(Q12,Q14,Q18,Q21,Q30,Q36,Q38,Q33)</f>
        <v>23.447916666666671</v>
      </c>
      <c r="Q4" s="78">
        <f>AVERAGE(EmgDOY126!N4,EmgDOY132!N4,EmgDOY136!N4)</f>
        <v>11.692129629629628</v>
      </c>
      <c r="R4" s="78">
        <f>AVERAGE(EmgDOY126!O4,EmgDOY132!O4,EmgDOY136!O4)</f>
        <v>23.447916666666668</v>
      </c>
    </row>
    <row r="6" spans="1:23" x14ac:dyDescent="0.2">
      <c r="B6" s="1" t="s">
        <v>80</v>
      </c>
      <c r="D6" s="104" t="s">
        <v>423</v>
      </c>
      <c r="E6" s="104"/>
      <c r="F6" s="104"/>
      <c r="G6" s="104"/>
      <c r="H6" s="104"/>
      <c r="I6" s="104"/>
      <c r="J6" s="104"/>
      <c r="K6" s="104"/>
      <c r="L6" s="104"/>
      <c r="M6" s="104"/>
      <c r="N6" s="104"/>
      <c r="O6" s="104"/>
    </row>
    <row r="7" spans="1:23" x14ac:dyDescent="0.2">
      <c r="D7" s="104" t="s">
        <v>422</v>
      </c>
      <c r="E7" s="104"/>
      <c r="F7" s="104"/>
      <c r="G7" s="104"/>
      <c r="H7" s="104"/>
      <c r="I7" s="104"/>
      <c r="J7" s="104"/>
      <c r="K7" s="104"/>
      <c r="L7" s="104"/>
      <c r="M7" s="104"/>
      <c r="N7" s="104"/>
      <c r="O7" s="104"/>
    </row>
    <row r="8" spans="1:23" ht="13.5" thickBot="1" x14ac:dyDescent="0.25"/>
    <row r="9" spans="1:23" ht="51.75" thickBot="1" x14ac:dyDescent="0.25">
      <c r="B9" s="102" t="s">
        <v>51</v>
      </c>
      <c r="C9" s="103" t="s">
        <v>50</v>
      </c>
      <c r="D9" s="103" t="s">
        <v>75</v>
      </c>
      <c r="E9" s="102" t="s">
        <v>74</v>
      </c>
      <c r="F9" s="103" t="s">
        <v>73</v>
      </c>
      <c r="G9" s="102" t="s">
        <v>72</v>
      </c>
      <c r="H9" s="102" t="s">
        <v>45</v>
      </c>
      <c r="I9" s="102" t="s">
        <v>409</v>
      </c>
      <c r="J9" s="102" t="s">
        <v>71</v>
      </c>
      <c r="K9" s="100" t="s">
        <v>421</v>
      </c>
      <c r="L9" s="100" t="s">
        <v>420</v>
      </c>
      <c r="M9" s="100" t="s">
        <v>419</v>
      </c>
      <c r="N9" s="100" t="s">
        <v>418</v>
      </c>
      <c r="O9" s="100" t="s">
        <v>417</v>
      </c>
      <c r="P9" s="100" t="s">
        <v>416</v>
      </c>
      <c r="Q9" s="101" t="s">
        <v>415</v>
      </c>
      <c r="R9" s="100" t="s">
        <v>414</v>
      </c>
      <c r="S9" s="99" t="s">
        <v>413</v>
      </c>
      <c r="T9" s="32" t="s">
        <v>412</v>
      </c>
      <c r="U9" s="99" t="s">
        <v>411</v>
      </c>
    </row>
    <row r="10" spans="1:23" x14ac:dyDescent="0.2">
      <c r="B10" s="23">
        <v>101</v>
      </c>
      <c r="C10" s="81" t="s">
        <v>124</v>
      </c>
      <c r="D10" s="81">
        <v>1</v>
      </c>
      <c r="E10" s="81">
        <f t="shared" ref="E10:E41" si="0">IF(LEFT($C10,1)="F",1,2)</f>
        <v>1</v>
      </c>
      <c r="F10" s="81">
        <f t="shared" ref="F10:F41" si="1">IF(MID($C10,2,1)="S",1,IF(MID($C10,2,1)="T",2,IF(MID($C10,2,1)="D",3,0)))</f>
        <v>1</v>
      </c>
      <c r="G10" s="81">
        <f t="shared" ref="G10:G41" si="2">IF(RIGHT($C10,1)="L",1,2)</f>
        <v>2</v>
      </c>
      <c r="H10" s="23">
        <v>1</v>
      </c>
      <c r="I10" s="23">
        <f t="shared" ref="I10:I49" si="3">B10-INT(B10/100)*100</f>
        <v>1</v>
      </c>
      <c r="J10" s="23" t="str">
        <f t="shared" ref="J10:J49" si="4">(E10&amp;F10&amp;G10&amp;"."&amp;H10)</f>
        <v>112.1</v>
      </c>
      <c r="K10" s="85">
        <v>9.75</v>
      </c>
      <c r="L10" s="85">
        <v>11</v>
      </c>
      <c r="M10" s="85">
        <v>10.75</v>
      </c>
      <c r="N10" s="85">
        <v>10</v>
      </c>
      <c r="O10" s="85">
        <v>11.75</v>
      </c>
      <c r="P10" s="85">
        <v>10</v>
      </c>
      <c r="Q10" s="84">
        <f t="shared" ref="Q10:Q49" si="5">AVERAGE(K10:P10)/2</f>
        <v>5.270833333333333</v>
      </c>
      <c r="R10" s="84">
        <f t="shared" ref="R10:R49" si="6">STDEV(K10:P10)/2/SQRT(COUNT(K10:P10))</f>
        <v>0.15618054011659427</v>
      </c>
      <c r="S10" s="72">
        <f>IF(F10=3,Q10/2,Q10)*2</f>
        <v>10.541666666666666</v>
      </c>
      <c r="T10" s="98"/>
      <c r="U10" s="1">
        <f t="shared" ref="U10:U49" si="7">INT(B10/100)</f>
        <v>1</v>
      </c>
      <c r="V10" s="83" t="s">
        <v>410</v>
      </c>
      <c r="W10" s="82"/>
    </row>
    <row r="11" spans="1:23" x14ac:dyDescent="0.2">
      <c r="B11" s="5">
        <v>102</v>
      </c>
      <c r="C11" s="5" t="s">
        <v>122</v>
      </c>
      <c r="D11" s="5">
        <v>4</v>
      </c>
      <c r="E11" s="18">
        <f t="shared" si="0"/>
        <v>1</v>
      </c>
      <c r="F11" s="18">
        <f t="shared" si="1"/>
        <v>2</v>
      </c>
      <c r="G11" s="18">
        <f t="shared" si="2"/>
        <v>1</v>
      </c>
      <c r="H11" s="5">
        <v>1</v>
      </c>
      <c r="I11" s="5">
        <f t="shared" si="3"/>
        <v>2</v>
      </c>
      <c r="J11" s="5" t="str">
        <f t="shared" si="4"/>
        <v>121.1</v>
      </c>
      <c r="K11" s="77">
        <f>AVERAGE(EmgDOY126!K11,EmgDOY132!K11,EmgDOY136!K11)</f>
        <v>25.333333333333332</v>
      </c>
      <c r="L11" s="77">
        <f>AVERAGE(EmgDOY126!L11,EmgDOY132!L11,EmgDOY136!L11)</f>
        <v>15.333333333333334</v>
      </c>
      <c r="M11" s="77">
        <f>AVERAGE(EmgDOY126!M11,EmgDOY132!M11,EmgDOY136!M11)</f>
        <v>12.333333333333334</v>
      </c>
      <c r="N11" s="77">
        <f>AVERAGE(EmgDOY126!N11,EmgDOY132!N11,EmgDOY136!N11)</f>
        <v>16.333333333333332</v>
      </c>
      <c r="O11" s="77">
        <f>AVERAGE(EmgDOY126!O11,EmgDOY132!O11,EmgDOY136!O11)</f>
        <v>20</v>
      </c>
      <c r="P11" s="77">
        <f>AVERAGE(EmgDOY126!P11,EmgDOY132!P11,EmgDOY136!P11)</f>
        <v>22.666666666666668</v>
      </c>
      <c r="Q11" s="78">
        <f t="shared" si="5"/>
        <v>9.3333333333333339</v>
      </c>
      <c r="R11" s="77">
        <f t="shared" si="6"/>
        <v>0.9953596037316077</v>
      </c>
      <c r="S11" s="72">
        <f t="shared" ref="S11:S21" si="8">IF(F11=3,Q11/2,Q11)</f>
        <v>9.3333333333333339</v>
      </c>
      <c r="T11" s="71"/>
      <c r="U11" s="1">
        <f t="shared" si="7"/>
        <v>1</v>
      </c>
      <c r="V11" s="83" t="s">
        <v>409</v>
      </c>
      <c r="W11" s="82" t="s">
        <v>406</v>
      </c>
    </row>
    <row r="12" spans="1:23" x14ac:dyDescent="0.2">
      <c r="B12" s="88">
        <v>103</v>
      </c>
      <c r="C12" s="88" t="s">
        <v>120</v>
      </c>
      <c r="D12" s="88">
        <v>5</v>
      </c>
      <c r="E12" s="89">
        <f t="shared" si="0"/>
        <v>1</v>
      </c>
      <c r="F12" s="89">
        <f t="shared" si="1"/>
        <v>3</v>
      </c>
      <c r="G12" s="89">
        <f t="shared" si="2"/>
        <v>2</v>
      </c>
      <c r="H12" s="88">
        <v>1</v>
      </c>
      <c r="I12" s="88">
        <f t="shared" si="3"/>
        <v>3</v>
      </c>
      <c r="J12" s="88" t="str">
        <f t="shared" si="4"/>
        <v>132.1</v>
      </c>
      <c r="K12" s="86">
        <f>AVERAGE(EmgDOY126!K12,EmgDOY132!K12,EmgDOY136!K12)</f>
        <v>44</v>
      </c>
      <c r="L12" s="86">
        <f>AVERAGE(EmgDOY126!L12,EmgDOY132!L12,EmgDOY136!L12)</f>
        <v>47.666666666666664</v>
      </c>
      <c r="M12" s="86">
        <f>AVERAGE(EmgDOY126!M12,EmgDOY132!M12,EmgDOY136!M12)</f>
        <v>45.333333333333336</v>
      </c>
      <c r="N12" s="86">
        <f>AVERAGE(EmgDOY126!N12,EmgDOY132!N12,EmgDOY136!N12)</f>
        <v>43.666666666666664</v>
      </c>
      <c r="O12" s="86">
        <f>AVERAGE(EmgDOY126!O12,EmgDOY132!O12,EmgDOY136!O12)</f>
        <v>39</v>
      </c>
      <c r="P12" s="86">
        <f>AVERAGE(EmgDOY126!P12,EmgDOY132!P12,EmgDOY136!P12)</f>
        <v>49.333333333333336</v>
      </c>
      <c r="Q12" s="87">
        <f t="shared" si="5"/>
        <v>22.416666666666668</v>
      </c>
      <c r="R12" s="86">
        <f t="shared" si="6"/>
        <v>0.73377511945140672</v>
      </c>
      <c r="S12" s="72">
        <f t="shared" si="8"/>
        <v>11.208333333333334</v>
      </c>
      <c r="T12" s="71"/>
      <c r="U12" s="1">
        <f t="shared" si="7"/>
        <v>1</v>
      </c>
      <c r="V12" s="67">
        <v>1</v>
      </c>
      <c r="W12" s="65">
        <v>10.621527777777779</v>
      </c>
    </row>
    <row r="13" spans="1:23" x14ac:dyDescent="0.2">
      <c r="B13" s="5">
        <v>104</v>
      </c>
      <c r="C13" s="5" t="s">
        <v>113</v>
      </c>
      <c r="D13" s="5">
        <v>10</v>
      </c>
      <c r="E13" s="18">
        <f t="shared" si="0"/>
        <v>2</v>
      </c>
      <c r="F13" s="18">
        <f t="shared" si="1"/>
        <v>2</v>
      </c>
      <c r="G13" s="18">
        <f t="shared" si="2"/>
        <v>1</v>
      </c>
      <c r="H13" s="5">
        <v>1</v>
      </c>
      <c r="I13" s="5">
        <f t="shared" si="3"/>
        <v>4</v>
      </c>
      <c r="J13" s="5" t="str">
        <f t="shared" si="4"/>
        <v>221.1</v>
      </c>
      <c r="K13" s="77">
        <f>AVERAGE(EmgDOY126!K13,EmgDOY132!K13,EmgDOY136!K13)</f>
        <v>24.666666666666668</v>
      </c>
      <c r="L13" s="77">
        <f>AVERAGE(EmgDOY126!L13,EmgDOY132!L13,EmgDOY136!L13)</f>
        <v>28.666666666666668</v>
      </c>
      <c r="M13" s="77">
        <f>AVERAGE(EmgDOY126!M13,EmgDOY132!M13,EmgDOY136!M13)</f>
        <v>21.666666666666668</v>
      </c>
      <c r="N13" s="77">
        <f>AVERAGE(EmgDOY126!N13,EmgDOY132!N13,EmgDOY136!N13)</f>
        <v>22</v>
      </c>
      <c r="O13" s="77">
        <f>AVERAGE(EmgDOY126!O13,EmgDOY132!O13,EmgDOY136!O13)</f>
        <v>21.666666666666668</v>
      </c>
      <c r="P13" s="77">
        <f>AVERAGE(EmgDOY126!P13,EmgDOY132!P13,EmgDOY136!P13)</f>
        <v>25.666666666666668</v>
      </c>
      <c r="Q13" s="78">
        <f t="shared" si="5"/>
        <v>12.027777777777779</v>
      </c>
      <c r="R13" s="77">
        <f t="shared" si="6"/>
        <v>0.57641398874398753</v>
      </c>
      <c r="S13" s="72">
        <f t="shared" si="8"/>
        <v>12.027777777777779</v>
      </c>
      <c r="T13" s="71"/>
      <c r="U13" s="1">
        <f t="shared" si="7"/>
        <v>1</v>
      </c>
      <c r="V13" s="70">
        <v>2</v>
      </c>
      <c r="W13" s="69">
        <v>11.333333333333334</v>
      </c>
    </row>
    <row r="14" spans="1:23" x14ac:dyDescent="0.2">
      <c r="B14" s="88">
        <v>105</v>
      </c>
      <c r="C14" s="88" t="s">
        <v>117</v>
      </c>
      <c r="D14" s="88">
        <v>12</v>
      </c>
      <c r="E14" s="89">
        <f t="shared" si="0"/>
        <v>2</v>
      </c>
      <c r="F14" s="89">
        <f t="shared" si="1"/>
        <v>3</v>
      </c>
      <c r="G14" s="89">
        <f t="shared" si="2"/>
        <v>1</v>
      </c>
      <c r="H14" s="88">
        <v>2</v>
      </c>
      <c r="I14" s="88">
        <f t="shared" si="3"/>
        <v>5</v>
      </c>
      <c r="J14" s="88" t="str">
        <f t="shared" si="4"/>
        <v>231.2</v>
      </c>
      <c r="K14" s="86">
        <f>AVERAGE(EmgDOY126!K14,EmgDOY132!K14,EmgDOY136!K14)</f>
        <v>49.333333333333336</v>
      </c>
      <c r="L14" s="86">
        <f>AVERAGE(EmgDOY126!L14,EmgDOY132!L14,EmgDOY136!L14)</f>
        <v>45.333333333333336</v>
      </c>
      <c r="M14" s="86">
        <f>AVERAGE(EmgDOY126!M14,EmgDOY132!M14,EmgDOY136!M14)</f>
        <v>46.333333333333336</v>
      </c>
      <c r="N14" s="86">
        <f>AVERAGE(EmgDOY126!N14,EmgDOY132!N14,EmgDOY136!N14)</f>
        <v>44.333333333333336</v>
      </c>
      <c r="O14" s="86">
        <f>AVERAGE(EmgDOY126!O14,EmgDOY132!O14,EmgDOY136!O14)</f>
        <v>42.333333333333336</v>
      </c>
      <c r="P14" s="86">
        <f>AVERAGE(EmgDOY126!P14,EmgDOY132!P14,EmgDOY136!P14)</f>
        <v>51.666666666666664</v>
      </c>
      <c r="Q14" s="87">
        <f t="shared" si="5"/>
        <v>23.277777777777782</v>
      </c>
      <c r="R14" s="86">
        <f t="shared" si="6"/>
        <v>0.69610911589675906</v>
      </c>
      <c r="S14" s="72">
        <f t="shared" si="8"/>
        <v>11.638888888888891</v>
      </c>
      <c r="T14" s="71"/>
      <c r="U14" s="1">
        <f t="shared" si="7"/>
        <v>1</v>
      </c>
      <c r="V14" s="70">
        <v>3</v>
      </c>
      <c r="W14" s="69">
        <v>10.996527777777779</v>
      </c>
    </row>
    <row r="15" spans="1:23" x14ac:dyDescent="0.2">
      <c r="B15" s="5">
        <v>106</v>
      </c>
      <c r="C15" s="5" t="s">
        <v>115</v>
      </c>
      <c r="D15" s="5">
        <v>9</v>
      </c>
      <c r="E15" s="18">
        <f t="shared" si="0"/>
        <v>2</v>
      </c>
      <c r="F15" s="18">
        <f t="shared" si="1"/>
        <v>2</v>
      </c>
      <c r="G15" s="18">
        <f t="shared" si="2"/>
        <v>2</v>
      </c>
      <c r="H15" s="5">
        <v>2</v>
      </c>
      <c r="I15" s="5">
        <f t="shared" si="3"/>
        <v>6</v>
      </c>
      <c r="J15" s="5" t="str">
        <f t="shared" si="4"/>
        <v>222.2</v>
      </c>
      <c r="K15" s="77">
        <f>AVERAGE(EmgDOY126!K15,EmgDOY132!K15,EmgDOY136!K15)</f>
        <v>26.333333333333332</v>
      </c>
      <c r="L15" s="77">
        <f>AVERAGE(EmgDOY126!L15,EmgDOY132!L15,EmgDOY136!L15)</f>
        <v>29.333333333333332</v>
      </c>
      <c r="M15" s="77">
        <f>AVERAGE(EmgDOY126!M15,EmgDOY132!M15,EmgDOY136!M15)</f>
        <v>24</v>
      </c>
      <c r="N15" s="77">
        <f>AVERAGE(EmgDOY126!N15,EmgDOY132!N15,EmgDOY136!N15)</f>
        <v>25.333333333333332</v>
      </c>
      <c r="O15" s="77">
        <f>AVERAGE(EmgDOY126!O15,EmgDOY132!O15,EmgDOY136!O15)</f>
        <v>19.666666666666668</v>
      </c>
      <c r="P15" s="77">
        <f>AVERAGE(EmgDOY126!P15,EmgDOY132!P15,EmgDOY136!P15)</f>
        <v>21.333333333333332</v>
      </c>
      <c r="Q15" s="78">
        <f t="shared" si="5"/>
        <v>12.166666666666666</v>
      </c>
      <c r="R15" s="77">
        <f t="shared" si="6"/>
        <v>0.7123253522144285</v>
      </c>
      <c r="S15" s="72">
        <f t="shared" si="8"/>
        <v>12.166666666666666</v>
      </c>
      <c r="T15" s="71"/>
      <c r="U15" s="1">
        <f t="shared" si="7"/>
        <v>1</v>
      </c>
      <c r="V15" s="70">
        <v>4</v>
      </c>
      <c r="W15" s="69">
        <v>11.364583333333336</v>
      </c>
    </row>
    <row r="16" spans="1:23" x14ac:dyDescent="0.2">
      <c r="B16" s="5">
        <v>107</v>
      </c>
      <c r="C16" s="5" t="s">
        <v>113</v>
      </c>
      <c r="D16" s="5">
        <v>10</v>
      </c>
      <c r="E16" s="18">
        <f t="shared" si="0"/>
        <v>2</v>
      </c>
      <c r="F16" s="18">
        <f t="shared" si="1"/>
        <v>2</v>
      </c>
      <c r="G16" s="18">
        <f t="shared" si="2"/>
        <v>1</v>
      </c>
      <c r="H16" s="5">
        <v>2</v>
      </c>
      <c r="I16" s="5">
        <f t="shared" si="3"/>
        <v>7</v>
      </c>
      <c r="J16" s="5" t="str">
        <f t="shared" si="4"/>
        <v>221.2</v>
      </c>
      <c r="K16" s="77">
        <f>AVERAGE(EmgDOY126!K16,EmgDOY132!K16,EmgDOY136!K16)</f>
        <v>19</v>
      </c>
      <c r="L16" s="77">
        <f>AVERAGE(EmgDOY126!L16,EmgDOY132!L16,EmgDOY136!L16)</f>
        <v>23.666666666666668</v>
      </c>
      <c r="M16" s="77">
        <f>AVERAGE(EmgDOY126!M16,EmgDOY132!M16,EmgDOY136!M16)</f>
        <v>20.666666666666668</v>
      </c>
      <c r="N16" s="77">
        <f>AVERAGE(EmgDOY126!N16,EmgDOY132!N16,EmgDOY136!N16)</f>
        <v>23.333333333333332</v>
      </c>
      <c r="O16" s="77">
        <f>AVERAGE(EmgDOY126!O16,EmgDOY132!O16,EmgDOY136!O16)</f>
        <v>23.333333333333332</v>
      </c>
      <c r="P16" s="77">
        <f>AVERAGE(EmgDOY126!P16,EmgDOY132!P16,EmgDOY136!P16)</f>
        <v>27.666666666666668</v>
      </c>
      <c r="Q16" s="78">
        <f t="shared" si="5"/>
        <v>11.472222222222221</v>
      </c>
      <c r="R16" s="77">
        <f t="shared" si="6"/>
        <v>0.60463742834287959</v>
      </c>
      <c r="S16" s="72">
        <f t="shared" si="8"/>
        <v>11.472222222222221</v>
      </c>
      <c r="T16" s="71"/>
      <c r="U16" s="1">
        <f t="shared" si="7"/>
        <v>1</v>
      </c>
      <c r="V16" s="70">
        <v>5</v>
      </c>
      <c r="W16" s="69">
        <v>11.663194444444446</v>
      </c>
    </row>
    <row r="17" spans="2:24" ht="13.5" thickBot="1" x14ac:dyDescent="0.25">
      <c r="B17" s="13">
        <v>108</v>
      </c>
      <c r="C17" s="13" t="s">
        <v>111</v>
      </c>
      <c r="D17" s="13">
        <v>3</v>
      </c>
      <c r="E17" s="75">
        <f t="shared" si="0"/>
        <v>1</v>
      </c>
      <c r="F17" s="75">
        <f t="shared" si="1"/>
        <v>2</v>
      </c>
      <c r="G17" s="75">
        <f t="shared" si="2"/>
        <v>2</v>
      </c>
      <c r="H17" s="13">
        <v>2</v>
      </c>
      <c r="I17" s="13">
        <f t="shared" si="3"/>
        <v>8</v>
      </c>
      <c r="J17" s="13" t="str">
        <f t="shared" si="4"/>
        <v>122.2</v>
      </c>
      <c r="K17" s="73">
        <f>AVERAGE(EmgDOY126!K17,EmgDOY132!K17,EmgDOY136!K17)</f>
        <v>24</v>
      </c>
      <c r="L17" s="73">
        <f>AVERAGE(EmgDOY126!L17,EmgDOY132!L17,EmgDOY136!L17)</f>
        <v>25</v>
      </c>
      <c r="M17" s="73">
        <f>AVERAGE(EmgDOY126!M17,EmgDOY132!M17,EmgDOY136!M17)</f>
        <v>24.666666666666668</v>
      </c>
      <c r="N17" s="73">
        <f>AVERAGE(EmgDOY126!N17,EmgDOY132!N17,EmgDOY136!N17)</f>
        <v>24.666666666666668</v>
      </c>
      <c r="O17" s="73">
        <f>AVERAGE(EmgDOY126!O17,EmgDOY132!O17,EmgDOY136!O17)</f>
        <v>21.333333333333332</v>
      </c>
      <c r="P17" s="73">
        <f>AVERAGE(EmgDOY126!P17,EmgDOY132!P17,EmgDOY136!P17)</f>
        <v>23.333333333333332</v>
      </c>
      <c r="Q17" s="74">
        <f t="shared" si="5"/>
        <v>11.916666666666666</v>
      </c>
      <c r="R17" s="73">
        <f t="shared" si="6"/>
        <v>0.27805541680538237</v>
      </c>
      <c r="S17" s="72">
        <f t="shared" si="8"/>
        <v>11.916666666666666</v>
      </c>
      <c r="T17" s="98"/>
      <c r="U17" s="1">
        <f t="shared" si="7"/>
        <v>1</v>
      </c>
      <c r="V17" s="70">
        <v>6</v>
      </c>
      <c r="W17" s="69">
        <v>11.795138888888889</v>
      </c>
    </row>
    <row r="18" spans="2:24" x14ac:dyDescent="0.2">
      <c r="B18" s="96">
        <v>201</v>
      </c>
      <c r="C18" s="96" t="s">
        <v>117</v>
      </c>
      <c r="D18" s="96">
        <v>12</v>
      </c>
      <c r="E18" s="97">
        <f t="shared" si="0"/>
        <v>2</v>
      </c>
      <c r="F18" s="97">
        <f t="shared" si="1"/>
        <v>3</v>
      </c>
      <c r="G18" s="97">
        <f t="shared" si="2"/>
        <v>1</v>
      </c>
      <c r="H18" s="96">
        <v>1</v>
      </c>
      <c r="I18" s="96">
        <f t="shared" si="3"/>
        <v>1</v>
      </c>
      <c r="J18" s="96" t="str">
        <f t="shared" si="4"/>
        <v>231.1</v>
      </c>
      <c r="K18" s="87">
        <f>AVERAGE(EmgDOY126!K18,EmgDOY132!K18,EmgDOY136!K18)</f>
        <v>42.666666666666664</v>
      </c>
      <c r="L18" s="87">
        <f>AVERAGE(EmgDOY126!L18,EmgDOY132!L18,EmgDOY136!L18)</f>
        <v>51.666666666666664</v>
      </c>
      <c r="M18" s="87">
        <f>AVERAGE(EmgDOY126!M18,EmgDOY132!M18,EmgDOY136!M18)</f>
        <v>48</v>
      </c>
      <c r="N18" s="87">
        <f>AVERAGE(EmgDOY126!N18,EmgDOY132!N18,EmgDOY136!N18)</f>
        <v>37.666666666666664</v>
      </c>
      <c r="O18" s="87">
        <f>AVERAGE(EmgDOY126!O18,EmgDOY132!O18,EmgDOY136!O18)</f>
        <v>36.333333333333336</v>
      </c>
      <c r="P18" s="87">
        <f>AVERAGE(EmgDOY126!P18,EmgDOY132!P18,EmgDOY136!P18)</f>
        <v>45</v>
      </c>
      <c r="Q18" s="87">
        <f t="shared" si="5"/>
        <v>21.777777777777775</v>
      </c>
      <c r="R18" s="87">
        <f t="shared" si="6"/>
        <v>1.2085089272158929</v>
      </c>
      <c r="S18" s="72">
        <f t="shared" si="8"/>
        <v>10.888888888888888</v>
      </c>
      <c r="T18" s="71"/>
      <c r="U18" s="1">
        <f t="shared" si="7"/>
        <v>2</v>
      </c>
      <c r="V18" s="70">
        <v>7</v>
      </c>
      <c r="W18" s="69">
        <v>11.322916666666666</v>
      </c>
    </row>
    <row r="19" spans="2:24" x14ac:dyDescent="0.2">
      <c r="B19" s="5">
        <v>202</v>
      </c>
      <c r="C19" s="5" t="s">
        <v>115</v>
      </c>
      <c r="D19" s="5">
        <v>9</v>
      </c>
      <c r="E19" s="18">
        <f t="shared" si="0"/>
        <v>2</v>
      </c>
      <c r="F19" s="18">
        <f t="shared" si="1"/>
        <v>2</v>
      </c>
      <c r="G19" s="18">
        <f t="shared" si="2"/>
        <v>2</v>
      </c>
      <c r="H19" s="5">
        <v>1</v>
      </c>
      <c r="I19" s="5">
        <f t="shared" si="3"/>
        <v>2</v>
      </c>
      <c r="J19" s="5" t="str">
        <f t="shared" si="4"/>
        <v>222.1</v>
      </c>
      <c r="K19" s="95">
        <f>AVERAGE(EmgDOY126!K19,EmgDOY132!K19,EmgDOY136!K19)</f>
        <v>27</v>
      </c>
      <c r="L19" s="94">
        <f>AVERAGE(EmgDOY126!L19,EmgDOY132!L19,EmgDOY136!L19)</f>
        <v>23</v>
      </c>
      <c r="M19" s="94">
        <f>AVERAGE(EmgDOY126!M19,EmgDOY132!M19,EmgDOY136!M19)</f>
        <v>29</v>
      </c>
      <c r="N19" s="94">
        <f>AVERAGE(EmgDOY126!N19,EmgDOY132!N19,EmgDOY136!N19)</f>
        <v>15</v>
      </c>
      <c r="O19" s="77">
        <f>AVERAGE(EmgDOY126!O19,EmgDOY132!O19,EmgDOY136!O19)</f>
        <v>29.333333333333332</v>
      </c>
      <c r="P19" s="77">
        <f>AVERAGE(EmgDOY126!P19,EmgDOY132!P19,EmgDOY136!P19)</f>
        <v>27</v>
      </c>
      <c r="Q19" s="78">
        <f t="shared" si="5"/>
        <v>12.527777777777777</v>
      </c>
      <c r="R19" s="77">
        <f t="shared" si="6"/>
        <v>1.1058905131885799</v>
      </c>
      <c r="S19" s="72">
        <f t="shared" si="8"/>
        <v>12.527777777777777</v>
      </c>
      <c r="T19" s="71"/>
      <c r="U19" s="1">
        <f t="shared" si="7"/>
        <v>2</v>
      </c>
      <c r="V19" s="70">
        <v>8</v>
      </c>
      <c r="W19" s="69">
        <v>11.440972222222223</v>
      </c>
    </row>
    <row r="20" spans="2:24" x14ac:dyDescent="0.2">
      <c r="B20" s="5">
        <v>203</v>
      </c>
      <c r="C20" s="5" t="s">
        <v>111</v>
      </c>
      <c r="D20" s="5">
        <v>3</v>
      </c>
      <c r="E20" s="18">
        <f t="shared" si="0"/>
        <v>1</v>
      </c>
      <c r="F20" s="18">
        <f t="shared" si="1"/>
        <v>2</v>
      </c>
      <c r="G20" s="18">
        <f t="shared" si="2"/>
        <v>2</v>
      </c>
      <c r="H20" s="5">
        <v>1</v>
      </c>
      <c r="I20" s="5">
        <f t="shared" si="3"/>
        <v>3</v>
      </c>
      <c r="J20" s="5" t="str">
        <f t="shared" si="4"/>
        <v>122.1</v>
      </c>
      <c r="K20" s="77">
        <f>AVERAGE(EmgDOY126!K20,EmgDOY132!K20,EmgDOY136!K20)</f>
        <v>21.333333333333332</v>
      </c>
      <c r="L20" s="77">
        <f>AVERAGE(EmgDOY126!L20,EmgDOY132!L20,EmgDOY136!L20)</f>
        <v>27.333333333333332</v>
      </c>
      <c r="M20" s="77">
        <f>AVERAGE(EmgDOY126!M20,EmgDOY132!M20,EmgDOY136!M20)</f>
        <v>21</v>
      </c>
      <c r="N20" s="77">
        <f>AVERAGE(EmgDOY126!N20,EmgDOY132!N20,EmgDOY136!N20)</f>
        <v>18.333333333333332</v>
      </c>
      <c r="O20" s="77">
        <f>AVERAGE(EmgDOY126!O20,EmgDOY132!O20,EmgDOY136!O20)</f>
        <v>21.333333333333332</v>
      </c>
      <c r="P20" s="77">
        <f>AVERAGE(EmgDOY126!P20,EmgDOY132!P20,EmgDOY136!P20)</f>
        <v>18.666666666666668</v>
      </c>
      <c r="Q20" s="78">
        <f t="shared" si="5"/>
        <v>10.666666666666666</v>
      </c>
      <c r="R20" s="77">
        <f t="shared" si="6"/>
        <v>0.65968567150210911</v>
      </c>
      <c r="S20" s="72">
        <f t="shared" si="8"/>
        <v>10.666666666666666</v>
      </c>
      <c r="T20" s="71"/>
      <c r="U20" s="1">
        <f t="shared" si="7"/>
        <v>2</v>
      </c>
      <c r="V20" s="64" t="s">
        <v>408</v>
      </c>
      <c r="W20" s="62">
        <v>11.317274305555559</v>
      </c>
    </row>
    <row r="21" spans="2:24" x14ac:dyDescent="0.2">
      <c r="B21" s="88">
        <v>204</v>
      </c>
      <c r="C21" s="88" t="s">
        <v>129</v>
      </c>
      <c r="D21" s="88">
        <v>11</v>
      </c>
      <c r="E21" s="89">
        <f t="shared" si="0"/>
        <v>2</v>
      </c>
      <c r="F21" s="89">
        <f t="shared" si="1"/>
        <v>3</v>
      </c>
      <c r="G21" s="89">
        <f t="shared" si="2"/>
        <v>2</v>
      </c>
      <c r="H21" s="88">
        <v>1</v>
      </c>
      <c r="I21" s="88">
        <f t="shared" si="3"/>
        <v>4</v>
      </c>
      <c r="J21" s="88" t="str">
        <f t="shared" si="4"/>
        <v>232.1</v>
      </c>
      <c r="K21" s="86">
        <f>AVERAGE(EmgDOY126!K21,EmgDOY132!K21,EmgDOY136!K21)</f>
        <v>47.333333333333336</v>
      </c>
      <c r="L21" s="86">
        <f>AVERAGE(EmgDOY126!L21,EmgDOY132!L21,EmgDOY136!L21)</f>
        <v>47.666666666666664</v>
      </c>
      <c r="M21" s="86">
        <f>AVERAGE(EmgDOY126!M21,EmgDOY132!M21,EmgDOY136!M21)</f>
        <v>50.333333333333336</v>
      </c>
      <c r="N21" s="86">
        <f>AVERAGE(EmgDOY126!N21,EmgDOY132!N21,EmgDOY136!N21)</f>
        <v>50</v>
      </c>
      <c r="O21" s="86">
        <f>AVERAGE(EmgDOY126!O21,EmgDOY132!O21,EmgDOY136!O21)</f>
        <v>44.333333333333336</v>
      </c>
      <c r="P21" s="86">
        <f>AVERAGE(EmgDOY126!P21,EmgDOY132!P21,EmgDOY136!P21)</f>
        <v>48.666666666666664</v>
      </c>
      <c r="Q21" s="87">
        <f t="shared" si="5"/>
        <v>24.027777777777782</v>
      </c>
      <c r="R21" s="86">
        <f t="shared" si="6"/>
        <v>0.44600420747613995</v>
      </c>
      <c r="S21" s="72">
        <f t="shared" si="8"/>
        <v>12.013888888888891</v>
      </c>
      <c r="T21" s="71"/>
      <c r="U21" s="1">
        <f t="shared" si="7"/>
        <v>2</v>
      </c>
    </row>
    <row r="22" spans="2:24" x14ac:dyDescent="0.2">
      <c r="B22" s="5">
        <v>205</v>
      </c>
      <c r="C22" s="5" t="s">
        <v>124</v>
      </c>
      <c r="D22" s="5">
        <v>1</v>
      </c>
      <c r="E22" s="18">
        <f t="shared" si="0"/>
        <v>1</v>
      </c>
      <c r="F22" s="18">
        <f t="shared" si="1"/>
        <v>1</v>
      </c>
      <c r="G22" s="18">
        <f t="shared" si="2"/>
        <v>2</v>
      </c>
      <c r="H22" s="5">
        <v>2</v>
      </c>
      <c r="I22" s="5">
        <f t="shared" si="3"/>
        <v>5</v>
      </c>
      <c r="J22" s="5" t="str">
        <f t="shared" si="4"/>
        <v>112.2</v>
      </c>
      <c r="K22" s="85">
        <v>7.5</v>
      </c>
      <c r="L22" s="85">
        <v>10.75</v>
      </c>
      <c r="M22" s="85">
        <v>10</v>
      </c>
      <c r="N22" s="85">
        <v>10</v>
      </c>
      <c r="O22" s="85">
        <v>11.75</v>
      </c>
      <c r="P22" s="85">
        <v>10</v>
      </c>
      <c r="Q22" s="84">
        <f t="shared" si="5"/>
        <v>5</v>
      </c>
      <c r="R22" s="84">
        <f t="shared" si="6"/>
        <v>0.28686524130097513</v>
      </c>
      <c r="S22" s="72">
        <f>IF(F22=3,Q22/2,Q22)*2</f>
        <v>10</v>
      </c>
      <c r="T22" s="71"/>
      <c r="U22" s="1">
        <f t="shared" si="7"/>
        <v>2</v>
      </c>
    </row>
    <row r="23" spans="2:24" x14ac:dyDescent="0.2">
      <c r="B23" s="5">
        <v>206</v>
      </c>
      <c r="C23" s="5" t="s">
        <v>132</v>
      </c>
      <c r="D23" s="5">
        <v>8</v>
      </c>
      <c r="E23" s="18">
        <f t="shared" si="0"/>
        <v>2</v>
      </c>
      <c r="F23" s="18">
        <f t="shared" si="1"/>
        <v>1</v>
      </c>
      <c r="G23" s="18">
        <f t="shared" si="2"/>
        <v>1</v>
      </c>
      <c r="H23" s="5">
        <v>2</v>
      </c>
      <c r="I23" s="5">
        <f t="shared" si="3"/>
        <v>6</v>
      </c>
      <c r="J23" s="5" t="str">
        <f t="shared" si="4"/>
        <v>211.2</v>
      </c>
      <c r="K23" s="85">
        <v>10.75</v>
      </c>
      <c r="L23" s="85">
        <v>9.75</v>
      </c>
      <c r="M23" s="85">
        <v>10.25</v>
      </c>
      <c r="N23" s="85">
        <v>10.75</v>
      </c>
      <c r="O23" s="85">
        <v>11</v>
      </c>
      <c r="P23" s="85">
        <v>10.25</v>
      </c>
      <c r="Q23" s="84">
        <f t="shared" si="5"/>
        <v>5.229166666666667</v>
      </c>
      <c r="R23" s="84">
        <f t="shared" si="6"/>
        <v>9.3634187726017656E-2</v>
      </c>
      <c r="S23" s="72">
        <f>IF(F23=3,Q23/2,Q23)*2</f>
        <v>10.458333333333334</v>
      </c>
      <c r="T23" s="71"/>
      <c r="U23" s="1">
        <f t="shared" si="7"/>
        <v>2</v>
      </c>
    </row>
    <row r="24" spans="2:24" x14ac:dyDescent="0.2">
      <c r="B24" s="5">
        <v>207</v>
      </c>
      <c r="C24" s="5" t="s">
        <v>122</v>
      </c>
      <c r="D24" s="5">
        <v>4</v>
      </c>
      <c r="E24" s="18">
        <f t="shared" si="0"/>
        <v>1</v>
      </c>
      <c r="F24" s="18">
        <f t="shared" si="1"/>
        <v>2</v>
      </c>
      <c r="G24" s="18">
        <f t="shared" si="2"/>
        <v>1</v>
      </c>
      <c r="H24" s="5">
        <v>2</v>
      </c>
      <c r="I24" s="5">
        <f t="shared" si="3"/>
        <v>7</v>
      </c>
      <c r="J24" s="5" t="str">
        <f t="shared" si="4"/>
        <v>121.2</v>
      </c>
      <c r="K24" s="77">
        <f>AVERAGE(EmgDOY126!K24,EmgDOY132!K24,EmgDOY136!K24)</f>
        <v>20</v>
      </c>
      <c r="L24" s="77">
        <f>AVERAGE(EmgDOY126!L24,EmgDOY132!L24,EmgDOY136!L24)</f>
        <v>22.333333333333332</v>
      </c>
      <c r="M24" s="77">
        <f>AVERAGE(EmgDOY126!M24,EmgDOY132!M24,EmgDOY136!M24)</f>
        <v>22.333333333333332</v>
      </c>
      <c r="N24" s="77">
        <f>AVERAGE(EmgDOY126!N24,EmgDOY132!N24,EmgDOY136!N24)</f>
        <v>26.333333333333332</v>
      </c>
      <c r="O24" s="77">
        <f>AVERAGE(EmgDOY126!O24,EmgDOY132!O24,EmgDOY136!O24)</f>
        <v>26.666666666666668</v>
      </c>
      <c r="P24" s="77">
        <f>AVERAGE(EmgDOY126!P24,EmgDOY132!P24,EmgDOY136!P24)</f>
        <v>23.333333333333332</v>
      </c>
      <c r="Q24" s="78">
        <f t="shared" si="5"/>
        <v>11.75</v>
      </c>
      <c r="R24" s="77">
        <f t="shared" si="6"/>
        <v>0.52484565632475522</v>
      </c>
      <c r="S24" s="72">
        <f>IF(F24=3,Q24/2,Q24)</f>
        <v>11.75</v>
      </c>
      <c r="T24" s="71"/>
      <c r="U24" s="1">
        <f t="shared" si="7"/>
        <v>2</v>
      </c>
      <c r="V24" s="58">
        <f>AVERAGE(W15:W17,W19)</f>
        <v>11.565972222222223</v>
      </c>
    </row>
    <row r="25" spans="2:24" ht="13.5" thickBot="1" x14ac:dyDescent="0.25">
      <c r="B25" s="13">
        <v>208</v>
      </c>
      <c r="C25" s="13" t="s">
        <v>135</v>
      </c>
      <c r="D25" s="13">
        <v>2</v>
      </c>
      <c r="E25" s="75">
        <f t="shared" si="0"/>
        <v>1</v>
      </c>
      <c r="F25" s="75">
        <f t="shared" si="1"/>
        <v>1</v>
      </c>
      <c r="G25" s="75">
        <f t="shared" si="2"/>
        <v>1</v>
      </c>
      <c r="H25" s="13">
        <v>2</v>
      </c>
      <c r="I25" s="13">
        <f t="shared" si="3"/>
        <v>8</v>
      </c>
      <c r="J25" s="13" t="str">
        <f t="shared" si="4"/>
        <v>111.2</v>
      </c>
      <c r="K25" s="85">
        <v>11</v>
      </c>
      <c r="L25" s="85">
        <v>10.5</v>
      </c>
      <c r="M25" s="85">
        <v>10</v>
      </c>
      <c r="N25" s="85">
        <v>10.25</v>
      </c>
      <c r="O25" s="85">
        <v>8.75</v>
      </c>
      <c r="P25" s="85">
        <v>9.75</v>
      </c>
      <c r="Q25" s="84">
        <f t="shared" si="5"/>
        <v>5.020833333333333</v>
      </c>
      <c r="R25" s="84">
        <f t="shared" si="6"/>
        <v>0.15618054011659427</v>
      </c>
      <c r="S25" s="72">
        <f>IF(F25=3,Q25/2,Q25)*2</f>
        <v>10.041666666666666</v>
      </c>
      <c r="T25" s="71"/>
      <c r="U25" s="1">
        <f t="shared" si="7"/>
        <v>2</v>
      </c>
    </row>
    <row r="26" spans="2:24" x14ac:dyDescent="0.2">
      <c r="B26" s="23">
        <v>301</v>
      </c>
      <c r="C26" s="23" t="s">
        <v>113</v>
      </c>
      <c r="D26" s="23">
        <v>10</v>
      </c>
      <c r="E26" s="81">
        <f t="shared" si="0"/>
        <v>2</v>
      </c>
      <c r="F26" s="81">
        <f t="shared" si="1"/>
        <v>2</v>
      </c>
      <c r="G26" s="81">
        <f t="shared" si="2"/>
        <v>1</v>
      </c>
      <c r="H26" s="23">
        <v>3</v>
      </c>
      <c r="I26" s="23">
        <f t="shared" si="3"/>
        <v>1</v>
      </c>
      <c r="J26" s="23" t="str">
        <f t="shared" si="4"/>
        <v>221.3</v>
      </c>
      <c r="K26" s="78">
        <f>AVERAGE(EmgDOY126!K26,EmgDOY132!K26,EmgDOY136!K26)</f>
        <v>19.666666666666668</v>
      </c>
      <c r="L26" s="78">
        <f>AVERAGE(EmgDOY126!L26,EmgDOY132!L26,EmgDOY136!L26)</f>
        <v>27.333333333333332</v>
      </c>
      <c r="M26" s="78">
        <f>AVERAGE(EmgDOY126!M26,EmgDOY132!M26,EmgDOY136!M26)</f>
        <v>19</v>
      </c>
      <c r="N26" s="78">
        <f>AVERAGE(EmgDOY126!N26,EmgDOY132!N26,EmgDOY136!N26)</f>
        <v>21</v>
      </c>
      <c r="O26" s="78">
        <f>AVERAGE(EmgDOY126!O26,EmgDOY132!O26,EmgDOY136!O26)</f>
        <v>25.666666666666668</v>
      </c>
      <c r="P26" s="78">
        <f>AVERAGE(EmgDOY126!P26,EmgDOY132!P26,EmgDOY136!P26)</f>
        <v>23</v>
      </c>
      <c r="Q26" s="78">
        <f t="shared" si="5"/>
        <v>11.305555555555557</v>
      </c>
      <c r="R26" s="78">
        <f t="shared" si="6"/>
        <v>0.68369457479559892</v>
      </c>
      <c r="S26" s="72">
        <f>IF(F26=3,Q26/2,Q26)</f>
        <v>11.305555555555557</v>
      </c>
      <c r="T26" s="71"/>
      <c r="U26" s="1">
        <f t="shared" si="7"/>
        <v>3</v>
      </c>
      <c r="V26" s="58">
        <f>AVERAGE(W12:W14,W18)</f>
        <v>11.068576388888889</v>
      </c>
    </row>
    <row r="27" spans="2:24" x14ac:dyDescent="0.2">
      <c r="B27" s="5">
        <v>302</v>
      </c>
      <c r="C27" s="5" t="s">
        <v>122</v>
      </c>
      <c r="D27" s="5">
        <v>4</v>
      </c>
      <c r="E27" s="18">
        <f t="shared" si="0"/>
        <v>1</v>
      </c>
      <c r="F27" s="18">
        <f t="shared" si="1"/>
        <v>2</v>
      </c>
      <c r="G27" s="18">
        <f t="shared" si="2"/>
        <v>1</v>
      </c>
      <c r="H27" s="5">
        <v>3</v>
      </c>
      <c r="I27" s="5">
        <f t="shared" si="3"/>
        <v>2</v>
      </c>
      <c r="J27" s="5" t="str">
        <f t="shared" si="4"/>
        <v>121.3</v>
      </c>
      <c r="K27" s="77">
        <f>AVERAGE(EmgDOY126!K27,EmgDOY132!K27,EmgDOY136!K27)</f>
        <v>28</v>
      </c>
      <c r="L27" s="77">
        <f>AVERAGE(EmgDOY126!L27,EmgDOY132!L27,EmgDOY136!L27)</f>
        <v>20</v>
      </c>
      <c r="M27" s="77">
        <f>AVERAGE(EmgDOY126!M27,EmgDOY132!M27,EmgDOY136!M27)</f>
        <v>25.666666666666668</v>
      </c>
      <c r="N27" s="77">
        <f>AVERAGE(EmgDOY126!N27,EmgDOY132!N27,EmgDOY136!N27)</f>
        <v>21.666666666666668</v>
      </c>
      <c r="O27" s="77">
        <f>AVERAGE(EmgDOY126!O27,EmgDOY132!O27,EmgDOY136!O27)</f>
        <v>23.333333333333332</v>
      </c>
      <c r="P27" s="77">
        <f>AVERAGE(EmgDOY126!P27,EmgDOY132!P27,EmgDOY136!P27)</f>
        <v>24</v>
      </c>
      <c r="Q27" s="78">
        <f t="shared" si="5"/>
        <v>11.888888888888891</v>
      </c>
      <c r="R27" s="77">
        <f t="shared" si="6"/>
        <v>0.58001702827279911</v>
      </c>
      <c r="S27" s="72">
        <f>IF(F27=3,Q27/2,Q27)</f>
        <v>11.888888888888891</v>
      </c>
      <c r="T27" s="71"/>
      <c r="U27" s="1">
        <f t="shared" si="7"/>
        <v>3</v>
      </c>
    </row>
    <row r="28" spans="2:24" x14ac:dyDescent="0.2">
      <c r="B28" s="5">
        <v>303</v>
      </c>
      <c r="C28" s="5" t="s">
        <v>132</v>
      </c>
      <c r="D28" s="5">
        <v>8</v>
      </c>
      <c r="E28" s="18">
        <f t="shared" si="0"/>
        <v>2</v>
      </c>
      <c r="F28" s="18">
        <f t="shared" si="1"/>
        <v>1</v>
      </c>
      <c r="G28" s="18">
        <f t="shared" si="2"/>
        <v>1</v>
      </c>
      <c r="H28" s="5">
        <v>3</v>
      </c>
      <c r="I28" s="5">
        <f t="shared" si="3"/>
        <v>3</v>
      </c>
      <c r="J28" s="5" t="str">
        <f t="shared" si="4"/>
        <v>211.3</v>
      </c>
      <c r="K28" s="85">
        <v>11</v>
      </c>
      <c r="L28" s="85">
        <v>11.5</v>
      </c>
      <c r="M28" s="85">
        <v>11</v>
      </c>
      <c r="N28" s="85">
        <v>10.5</v>
      </c>
      <c r="O28" s="85">
        <v>10</v>
      </c>
      <c r="P28" s="85">
        <v>10.5</v>
      </c>
      <c r="Q28" s="84">
        <f t="shared" si="5"/>
        <v>5.375</v>
      </c>
      <c r="R28" s="84">
        <f t="shared" si="6"/>
        <v>0.10704360482220943</v>
      </c>
      <c r="S28" s="72">
        <f>IF(F28=3,Q28/2,Q28)*2</f>
        <v>10.75</v>
      </c>
      <c r="T28" s="71"/>
      <c r="U28" s="1">
        <f t="shared" si="7"/>
        <v>3</v>
      </c>
    </row>
    <row r="29" spans="2:24" x14ac:dyDescent="0.2">
      <c r="B29" s="5">
        <v>304</v>
      </c>
      <c r="C29" s="5" t="s">
        <v>135</v>
      </c>
      <c r="D29" s="5">
        <v>2</v>
      </c>
      <c r="E29" s="18">
        <f t="shared" si="0"/>
        <v>1</v>
      </c>
      <c r="F29" s="18">
        <f t="shared" si="1"/>
        <v>1</v>
      </c>
      <c r="G29" s="18">
        <f t="shared" si="2"/>
        <v>1</v>
      </c>
      <c r="H29" s="5">
        <v>3</v>
      </c>
      <c r="I29" s="5">
        <f t="shared" si="3"/>
        <v>4</v>
      </c>
      <c r="J29" s="5" t="str">
        <f t="shared" si="4"/>
        <v>111.3</v>
      </c>
      <c r="K29" s="85">
        <v>10</v>
      </c>
      <c r="L29" s="85">
        <v>10</v>
      </c>
      <c r="M29" s="85">
        <v>9.25</v>
      </c>
      <c r="N29" s="85">
        <v>11.75</v>
      </c>
      <c r="O29" s="85">
        <v>10</v>
      </c>
      <c r="P29" s="85">
        <v>11</v>
      </c>
      <c r="Q29" s="84">
        <f t="shared" si="5"/>
        <v>5.166666666666667</v>
      </c>
      <c r="R29" s="84">
        <f t="shared" si="6"/>
        <v>0.18162078931419476</v>
      </c>
      <c r="S29" s="72">
        <f>IF(F29=3,Q29/2,Q29)*2</f>
        <v>10.333333333333334</v>
      </c>
      <c r="T29" s="71"/>
      <c r="U29" s="1">
        <f t="shared" si="7"/>
        <v>3</v>
      </c>
      <c r="X29" s="58"/>
    </row>
    <row r="30" spans="2:24" x14ac:dyDescent="0.2">
      <c r="B30" s="88">
        <v>305</v>
      </c>
      <c r="C30" s="88" t="s">
        <v>129</v>
      </c>
      <c r="D30" s="88">
        <v>11</v>
      </c>
      <c r="E30" s="89">
        <f t="shared" si="0"/>
        <v>2</v>
      </c>
      <c r="F30" s="89">
        <f t="shared" si="1"/>
        <v>3</v>
      </c>
      <c r="G30" s="89">
        <f t="shared" si="2"/>
        <v>2</v>
      </c>
      <c r="H30" s="88">
        <v>4</v>
      </c>
      <c r="I30" s="88">
        <f t="shared" si="3"/>
        <v>5</v>
      </c>
      <c r="J30" s="88" t="str">
        <f t="shared" si="4"/>
        <v>232.4</v>
      </c>
      <c r="K30" s="86">
        <f>AVERAGE(EmgDOY126!K30,EmgDOY132!K30,EmgDOY136!K30)</f>
        <v>51.666666666666664</v>
      </c>
      <c r="L30" s="86">
        <f>AVERAGE(EmgDOY126!L30,EmgDOY132!L30,EmgDOY136!L30)</f>
        <v>54.333333333333336</v>
      </c>
      <c r="M30" s="86">
        <f>AVERAGE(EmgDOY126!M30,EmgDOY132!M30,EmgDOY136!M30)</f>
        <v>46</v>
      </c>
      <c r="N30" s="86">
        <f>AVERAGE(EmgDOY126!N30,EmgDOY132!N30,EmgDOY136!N30)</f>
        <v>51</v>
      </c>
      <c r="O30" s="86">
        <f>AVERAGE(EmgDOY126!O30,EmgDOY132!O30,EmgDOY136!O30)</f>
        <v>49.666666666666664</v>
      </c>
      <c r="P30" s="86">
        <f>AVERAGE(EmgDOY126!P30,EmgDOY132!P30,EmgDOY136!P30)</f>
        <v>55.333333333333336</v>
      </c>
      <c r="Q30" s="87">
        <f t="shared" si="5"/>
        <v>25.666666666666668</v>
      </c>
      <c r="R30" s="86">
        <f t="shared" si="6"/>
        <v>0.68583552720048768</v>
      </c>
      <c r="S30" s="72">
        <f>IF(F30=3,Q30/2,Q30)</f>
        <v>12.833333333333334</v>
      </c>
      <c r="T30" s="71"/>
      <c r="U30" s="1">
        <f t="shared" si="7"/>
        <v>3</v>
      </c>
    </row>
    <row r="31" spans="2:24" x14ac:dyDescent="0.2">
      <c r="B31" s="5">
        <v>306</v>
      </c>
      <c r="C31" s="5" t="s">
        <v>122</v>
      </c>
      <c r="D31" s="5">
        <v>4</v>
      </c>
      <c r="E31" s="18">
        <f t="shared" si="0"/>
        <v>1</v>
      </c>
      <c r="F31" s="18">
        <f t="shared" si="1"/>
        <v>2</v>
      </c>
      <c r="G31" s="18">
        <f t="shared" si="2"/>
        <v>1</v>
      </c>
      <c r="H31" s="5">
        <v>4</v>
      </c>
      <c r="I31" s="5">
        <f t="shared" si="3"/>
        <v>6</v>
      </c>
      <c r="J31" s="5" t="str">
        <f t="shared" si="4"/>
        <v>121.4</v>
      </c>
      <c r="K31" s="77">
        <f>AVERAGE(EmgDOY126!K31,EmgDOY132!K31,EmgDOY136!K31)</f>
        <v>27.333333333333332</v>
      </c>
      <c r="L31" s="77">
        <f>AVERAGE(EmgDOY126!L31,EmgDOY132!L31,EmgDOY136!L31)</f>
        <v>25.333333333333332</v>
      </c>
      <c r="M31" s="77">
        <f>AVERAGE(EmgDOY126!M31,EmgDOY132!M31,EmgDOY136!M31)</f>
        <v>22.333333333333332</v>
      </c>
      <c r="N31" s="77">
        <f>AVERAGE(EmgDOY126!N31,EmgDOY132!N31,EmgDOY136!N31)</f>
        <v>25</v>
      </c>
      <c r="O31" s="77">
        <f>AVERAGE(EmgDOY126!O31,EmgDOY132!O31,EmgDOY136!O31)</f>
        <v>26.333333333333332</v>
      </c>
      <c r="P31" s="77">
        <f>AVERAGE(EmgDOY126!P31,EmgDOY132!P31,EmgDOY136!P31)</f>
        <v>26</v>
      </c>
      <c r="Q31" s="78">
        <f t="shared" si="5"/>
        <v>12.694444444444443</v>
      </c>
      <c r="R31" s="77">
        <f t="shared" si="6"/>
        <v>0.34805455794837969</v>
      </c>
      <c r="S31" s="72">
        <f>IF(F31=3,Q31/2,Q31)</f>
        <v>12.694444444444443</v>
      </c>
      <c r="T31" s="71"/>
      <c r="U31" s="1">
        <f t="shared" si="7"/>
        <v>3</v>
      </c>
    </row>
    <row r="32" spans="2:24" x14ac:dyDescent="0.2">
      <c r="B32" s="5">
        <v>307</v>
      </c>
      <c r="C32" s="5" t="s">
        <v>115</v>
      </c>
      <c r="D32" s="5">
        <v>9</v>
      </c>
      <c r="E32" s="18">
        <f t="shared" si="0"/>
        <v>2</v>
      </c>
      <c r="F32" s="18">
        <f t="shared" si="1"/>
        <v>2</v>
      </c>
      <c r="G32" s="18">
        <f t="shared" si="2"/>
        <v>2</v>
      </c>
      <c r="H32" s="5">
        <v>4</v>
      </c>
      <c r="I32" s="5">
        <f t="shared" si="3"/>
        <v>7</v>
      </c>
      <c r="J32" s="5" t="str">
        <f t="shared" si="4"/>
        <v>222.4</v>
      </c>
      <c r="K32" s="77">
        <f>AVERAGE(EmgDOY126!K32,EmgDOY132!K32,EmgDOY136!K32)</f>
        <v>21.666666666666668</v>
      </c>
      <c r="L32" s="77">
        <f>AVERAGE(EmgDOY126!L32,EmgDOY132!L32,EmgDOY136!L32)</f>
        <v>22.333333333333332</v>
      </c>
      <c r="M32" s="77">
        <f>AVERAGE(EmgDOY126!M32,EmgDOY132!M32,EmgDOY136!M32)</f>
        <v>19.666666666666668</v>
      </c>
      <c r="N32" s="77">
        <f>AVERAGE(EmgDOY126!N32,EmgDOY132!N32,EmgDOY136!N32)</f>
        <v>27.333333333333332</v>
      </c>
      <c r="O32" s="77">
        <f>AVERAGE(EmgDOY126!O32,EmgDOY132!O32,EmgDOY136!O32)</f>
        <v>24.666666666666668</v>
      </c>
      <c r="P32" s="77">
        <f>AVERAGE(EmgDOY126!P32,EmgDOY132!P32,EmgDOY136!P32)</f>
        <v>27.666666666666668</v>
      </c>
      <c r="Q32" s="78">
        <f t="shared" si="5"/>
        <v>11.944444444444445</v>
      </c>
      <c r="R32" s="77">
        <f t="shared" si="6"/>
        <v>0.6578115606940258</v>
      </c>
      <c r="S32" s="72">
        <f>IF(F32=3,Q32/2,Q32)</f>
        <v>11.944444444444445</v>
      </c>
      <c r="T32" s="71"/>
      <c r="U32" s="1">
        <f t="shared" si="7"/>
        <v>3</v>
      </c>
    </row>
    <row r="33" spans="2:31" ht="13.5" thickBot="1" x14ac:dyDescent="0.25">
      <c r="B33" s="92">
        <v>308</v>
      </c>
      <c r="C33" s="92" t="s">
        <v>120</v>
      </c>
      <c r="D33" s="92">
        <v>5</v>
      </c>
      <c r="E33" s="93">
        <f t="shared" si="0"/>
        <v>1</v>
      </c>
      <c r="F33" s="93">
        <f t="shared" si="1"/>
        <v>3</v>
      </c>
      <c r="G33" s="93">
        <f t="shared" si="2"/>
        <v>2</v>
      </c>
      <c r="H33" s="92">
        <v>4</v>
      </c>
      <c r="I33" s="92">
        <f t="shared" si="3"/>
        <v>8</v>
      </c>
      <c r="J33" s="92" t="str">
        <f t="shared" si="4"/>
        <v>132.4</v>
      </c>
      <c r="K33" s="90">
        <f>AVERAGE(EmgDOY126!K33,EmgDOY132!K33,EmgDOY136!K33)</f>
        <v>51.666666666666664</v>
      </c>
      <c r="L33" s="90">
        <f>AVERAGE(EmgDOY126!L33,EmgDOY132!L33,EmgDOY136!L33)</f>
        <v>56.666666666666664</v>
      </c>
      <c r="M33" s="90">
        <f>AVERAGE(EmgDOY126!M33,EmgDOY132!M33,EmgDOY136!M33)</f>
        <v>45.666666666666664</v>
      </c>
      <c r="N33" s="90">
        <f>AVERAGE(EmgDOY126!N33,EmgDOY132!N33,EmgDOY136!N33)</f>
        <v>43.666666666666664</v>
      </c>
      <c r="O33" s="90">
        <f>AVERAGE(EmgDOY126!O33,EmgDOY132!O33,EmgDOY136!O33)</f>
        <v>48.333333333333336</v>
      </c>
      <c r="P33" s="90">
        <f>AVERAGE(EmgDOY126!P33,EmgDOY132!P33,EmgDOY136!P33)</f>
        <v>34</v>
      </c>
      <c r="Q33" s="91">
        <f t="shared" si="5"/>
        <v>23.333333333333332</v>
      </c>
      <c r="R33" s="90">
        <f t="shared" si="6"/>
        <v>1.5764470131232413</v>
      </c>
      <c r="S33" s="72">
        <f>IF(F33=3,Q33/2,Q33)</f>
        <v>11.666666666666666</v>
      </c>
      <c r="T33" s="71"/>
      <c r="U33" s="1">
        <f t="shared" si="7"/>
        <v>3</v>
      </c>
    </row>
    <row r="34" spans="2:31" x14ac:dyDescent="0.2">
      <c r="B34" s="23">
        <v>401</v>
      </c>
      <c r="C34" s="23" t="s">
        <v>152</v>
      </c>
      <c r="D34" s="23">
        <v>7</v>
      </c>
      <c r="E34" s="81">
        <f t="shared" si="0"/>
        <v>2</v>
      </c>
      <c r="F34" s="81">
        <f t="shared" si="1"/>
        <v>1</v>
      </c>
      <c r="G34" s="81">
        <f t="shared" si="2"/>
        <v>2</v>
      </c>
      <c r="H34" s="23">
        <v>3</v>
      </c>
      <c r="I34" s="23">
        <f t="shared" si="3"/>
        <v>1</v>
      </c>
      <c r="J34" s="23" t="str">
        <f t="shared" si="4"/>
        <v>212.3</v>
      </c>
      <c r="K34" s="85">
        <v>9</v>
      </c>
      <c r="L34" s="85">
        <v>10.25</v>
      </c>
      <c r="M34" s="85">
        <v>9.25</v>
      </c>
      <c r="N34" s="85">
        <v>10</v>
      </c>
      <c r="O34" s="85">
        <v>10</v>
      </c>
      <c r="P34" s="85">
        <v>10</v>
      </c>
      <c r="Q34" s="84">
        <f t="shared" si="5"/>
        <v>4.875</v>
      </c>
      <c r="R34" s="84">
        <f t="shared" si="6"/>
        <v>0.10206207261596577</v>
      </c>
      <c r="S34" s="72">
        <f>IF(F34=3,Q34/2,Q34)*2</f>
        <v>9.75</v>
      </c>
      <c r="T34" s="71"/>
      <c r="U34" s="1">
        <f t="shared" si="7"/>
        <v>4</v>
      </c>
    </row>
    <row r="35" spans="2:31" x14ac:dyDescent="0.2">
      <c r="B35" s="5">
        <v>402</v>
      </c>
      <c r="C35" s="5" t="s">
        <v>115</v>
      </c>
      <c r="D35" s="5">
        <v>9</v>
      </c>
      <c r="E35" s="18">
        <f t="shared" si="0"/>
        <v>2</v>
      </c>
      <c r="F35" s="18">
        <f t="shared" si="1"/>
        <v>2</v>
      </c>
      <c r="G35" s="18">
        <f t="shared" si="2"/>
        <v>2</v>
      </c>
      <c r="H35" s="5">
        <v>3</v>
      </c>
      <c r="I35" s="5">
        <f t="shared" si="3"/>
        <v>2</v>
      </c>
      <c r="J35" s="5" t="str">
        <f t="shared" si="4"/>
        <v>222.3</v>
      </c>
      <c r="K35" s="77">
        <f>AVERAGE(EmgDOY126!K35,EmgDOY132!K35,EmgDOY136!K35)</f>
        <v>25.333333333333332</v>
      </c>
      <c r="L35" s="77">
        <f>AVERAGE(EmgDOY126!L35,EmgDOY132!L35,EmgDOY136!L35)</f>
        <v>26.666666666666668</v>
      </c>
      <c r="M35" s="77">
        <f>AVERAGE(EmgDOY126!M35,EmgDOY132!M35,EmgDOY136!M35)</f>
        <v>23</v>
      </c>
      <c r="N35" s="77">
        <f>AVERAGE(EmgDOY126!N35,EmgDOY132!N35,EmgDOY136!N35)</f>
        <v>21.333333333333332</v>
      </c>
      <c r="O35" s="77">
        <f>AVERAGE(EmgDOY126!O35,EmgDOY132!O35,EmgDOY136!O35)</f>
        <v>17.666666666666668</v>
      </c>
      <c r="P35" s="77">
        <f>AVERAGE(EmgDOY126!P35,EmgDOY132!P35,EmgDOY136!P35)</f>
        <v>25</v>
      </c>
      <c r="Q35" s="78">
        <f t="shared" si="5"/>
        <v>11.583333333333334</v>
      </c>
      <c r="R35" s="77">
        <f t="shared" si="6"/>
        <v>0.67047523223236216</v>
      </c>
      <c r="S35" s="72">
        <f>IF(F35=3,Q35/2,Q35)</f>
        <v>11.583333333333334</v>
      </c>
      <c r="T35" s="71"/>
      <c r="U35" s="1">
        <f t="shared" si="7"/>
        <v>4</v>
      </c>
    </row>
    <row r="36" spans="2:31" x14ac:dyDescent="0.2">
      <c r="B36" s="88">
        <v>403</v>
      </c>
      <c r="C36" s="88" t="s">
        <v>155</v>
      </c>
      <c r="D36" s="88">
        <v>6</v>
      </c>
      <c r="E36" s="89">
        <f t="shared" si="0"/>
        <v>1</v>
      </c>
      <c r="F36" s="89">
        <f t="shared" si="1"/>
        <v>3</v>
      </c>
      <c r="G36" s="89">
        <f t="shared" si="2"/>
        <v>1</v>
      </c>
      <c r="H36" s="88">
        <v>3</v>
      </c>
      <c r="I36" s="88">
        <f t="shared" si="3"/>
        <v>3</v>
      </c>
      <c r="J36" s="88" t="str">
        <f t="shared" si="4"/>
        <v>131.3</v>
      </c>
      <c r="K36" s="86">
        <f>AVERAGE(EmgDOY126!K36,EmgDOY132!K36,EmgDOY136!K36)</f>
        <v>51.666666666666664</v>
      </c>
      <c r="L36" s="86">
        <f>AVERAGE(EmgDOY126!L36,EmgDOY132!L36,EmgDOY136!L36)</f>
        <v>46.333333333333336</v>
      </c>
      <c r="M36" s="86">
        <f>AVERAGE(EmgDOY126!M36,EmgDOY132!M36,EmgDOY136!M36)</f>
        <v>47</v>
      </c>
      <c r="N36" s="86">
        <f>AVERAGE(EmgDOY126!N36,EmgDOY132!N36,EmgDOY136!N36)</f>
        <v>43</v>
      </c>
      <c r="O36" s="86">
        <f>AVERAGE(EmgDOY126!O36,EmgDOY132!O36,EmgDOY136!O36)</f>
        <v>39.333333333333336</v>
      </c>
      <c r="P36" s="86">
        <f>AVERAGE(EmgDOY126!P36,EmgDOY132!P36,EmgDOY136!P36)</f>
        <v>45.333333333333336</v>
      </c>
      <c r="Q36" s="87">
        <f t="shared" si="5"/>
        <v>22.722222222222225</v>
      </c>
      <c r="R36" s="86">
        <f t="shared" si="6"/>
        <v>0.84290795889022996</v>
      </c>
      <c r="S36" s="72">
        <f>IF(F36=3,Q36/2,Q36)</f>
        <v>11.361111111111112</v>
      </c>
      <c r="T36" s="71"/>
      <c r="U36" s="1">
        <f t="shared" si="7"/>
        <v>4</v>
      </c>
    </row>
    <row r="37" spans="2:31" x14ac:dyDescent="0.2">
      <c r="B37" s="5">
        <v>404</v>
      </c>
      <c r="C37" s="5" t="s">
        <v>111</v>
      </c>
      <c r="D37" s="5">
        <v>3</v>
      </c>
      <c r="E37" s="18">
        <f t="shared" si="0"/>
        <v>1</v>
      </c>
      <c r="F37" s="18">
        <f t="shared" si="1"/>
        <v>2</v>
      </c>
      <c r="G37" s="18">
        <f t="shared" si="2"/>
        <v>2</v>
      </c>
      <c r="H37" s="5">
        <v>3</v>
      </c>
      <c r="I37" s="5">
        <f t="shared" si="3"/>
        <v>4</v>
      </c>
      <c r="J37" s="5" t="str">
        <f t="shared" si="4"/>
        <v>122.3</v>
      </c>
      <c r="K37" s="77">
        <f>AVERAGE(EmgDOY126!K37,EmgDOY132!K37,EmgDOY136!K37)</f>
        <v>24</v>
      </c>
      <c r="L37" s="77">
        <f>AVERAGE(EmgDOY126!L37,EmgDOY132!L37,EmgDOY136!L37)</f>
        <v>23</v>
      </c>
      <c r="M37" s="77">
        <f>AVERAGE(EmgDOY126!M37,EmgDOY132!M37,EmgDOY136!M37)</f>
        <v>21</v>
      </c>
      <c r="N37" s="77">
        <f>AVERAGE(EmgDOY126!N37,EmgDOY132!N37,EmgDOY136!N37)</f>
        <v>25.666666666666668</v>
      </c>
      <c r="O37" s="77">
        <f>AVERAGE(EmgDOY126!O37,EmgDOY132!O37,EmgDOY136!O37)</f>
        <v>20.333333333333332</v>
      </c>
      <c r="P37" s="77">
        <f>AVERAGE(EmgDOY126!P37,EmgDOY132!P37,EmgDOY136!P37)</f>
        <v>19</v>
      </c>
      <c r="Q37" s="78">
        <f t="shared" si="5"/>
        <v>11.083333333333334</v>
      </c>
      <c r="R37" s="77">
        <f t="shared" si="6"/>
        <v>0.50872025347561822</v>
      </c>
      <c r="S37" s="72">
        <f>IF(F37=3,Q37/2,Q37)</f>
        <v>11.083333333333334</v>
      </c>
      <c r="T37" s="71"/>
      <c r="U37" s="1">
        <f t="shared" si="7"/>
        <v>4</v>
      </c>
    </row>
    <row r="38" spans="2:31" x14ac:dyDescent="0.2">
      <c r="B38" s="88">
        <v>405</v>
      </c>
      <c r="C38" s="88" t="s">
        <v>155</v>
      </c>
      <c r="D38" s="88">
        <v>6</v>
      </c>
      <c r="E38" s="89">
        <f t="shared" si="0"/>
        <v>1</v>
      </c>
      <c r="F38" s="89">
        <f t="shared" si="1"/>
        <v>3</v>
      </c>
      <c r="G38" s="89">
        <f t="shared" si="2"/>
        <v>1</v>
      </c>
      <c r="H38" s="88">
        <v>4</v>
      </c>
      <c r="I38" s="88">
        <f t="shared" si="3"/>
        <v>5</v>
      </c>
      <c r="J38" s="88" t="str">
        <f t="shared" si="4"/>
        <v>131.4</v>
      </c>
      <c r="K38" s="86">
        <f>AVERAGE(EmgDOY126!K38,EmgDOY132!K38,EmgDOY136!K38)</f>
        <v>50</v>
      </c>
      <c r="L38" s="86">
        <f>AVERAGE(EmgDOY126!L38,EmgDOY132!L38,EmgDOY136!L38)</f>
        <v>54.333333333333336</v>
      </c>
      <c r="M38" s="86">
        <f>AVERAGE(EmgDOY126!M38,EmgDOY132!M38,EmgDOY136!M38)</f>
        <v>48.333333333333336</v>
      </c>
      <c r="N38" s="86">
        <f>AVERAGE(EmgDOY126!N38,EmgDOY132!N38,EmgDOY136!N38)</f>
        <v>48</v>
      </c>
      <c r="O38" s="86">
        <f>AVERAGE(EmgDOY126!O38,EmgDOY132!O38,EmgDOY136!O38)</f>
        <v>41.333333333333336</v>
      </c>
      <c r="P38" s="86">
        <f>AVERAGE(EmgDOY126!P38,EmgDOY132!P38,EmgDOY136!P38)</f>
        <v>50.333333333333336</v>
      </c>
      <c r="Q38" s="87">
        <f t="shared" si="5"/>
        <v>24.361111111111114</v>
      </c>
      <c r="R38" s="86">
        <f t="shared" si="6"/>
        <v>0.8707347542998839</v>
      </c>
      <c r="S38" s="72">
        <f>IF(F38=3,Q38/2,Q38)</f>
        <v>12.180555555555557</v>
      </c>
      <c r="T38" s="71"/>
      <c r="U38" s="1">
        <f t="shared" si="7"/>
        <v>4</v>
      </c>
    </row>
    <row r="39" spans="2:31" x14ac:dyDescent="0.2">
      <c r="B39" s="5">
        <v>406</v>
      </c>
      <c r="C39" s="5" t="s">
        <v>111</v>
      </c>
      <c r="D39" s="5">
        <v>3</v>
      </c>
      <c r="E39" s="18">
        <f t="shared" si="0"/>
        <v>1</v>
      </c>
      <c r="F39" s="18">
        <f t="shared" si="1"/>
        <v>2</v>
      </c>
      <c r="G39" s="18">
        <f t="shared" si="2"/>
        <v>2</v>
      </c>
      <c r="H39" s="5">
        <v>4</v>
      </c>
      <c r="I39" s="5">
        <f t="shared" si="3"/>
        <v>6</v>
      </c>
      <c r="J39" s="5" t="str">
        <f t="shared" si="4"/>
        <v>122.4</v>
      </c>
      <c r="K39" s="77">
        <f>AVERAGE(EmgDOY126!K39,EmgDOY132!K39,EmgDOY136!K39)</f>
        <v>22.666666666666668</v>
      </c>
      <c r="L39" s="77">
        <f>AVERAGE(EmgDOY126!L39,EmgDOY132!L39,EmgDOY136!L39)</f>
        <v>26.333333333333332</v>
      </c>
      <c r="M39" s="77">
        <f>AVERAGE(EmgDOY126!M39,EmgDOY132!M39,EmgDOY136!M39)</f>
        <v>27.666666666666668</v>
      </c>
      <c r="N39" s="77">
        <f>AVERAGE(EmgDOY126!N39,EmgDOY132!N39,EmgDOY136!N39)</f>
        <v>18</v>
      </c>
      <c r="O39" s="77">
        <f>AVERAGE(EmgDOY126!O39,EmgDOY132!O39,EmgDOY136!O39)</f>
        <v>23.333333333333332</v>
      </c>
      <c r="P39" s="77">
        <f>AVERAGE(EmgDOY126!P39,EmgDOY132!P39,EmgDOY136!P39)</f>
        <v>24.333333333333332</v>
      </c>
      <c r="Q39" s="78">
        <f t="shared" si="5"/>
        <v>11.861111111111112</v>
      </c>
      <c r="R39" s="77">
        <f t="shared" si="6"/>
        <v>0.68774546684110194</v>
      </c>
      <c r="S39" s="72">
        <f>IF(F39=3,Q39/2,Q39)</f>
        <v>11.861111111111112</v>
      </c>
      <c r="T39" s="71"/>
      <c r="U39" s="1">
        <f t="shared" si="7"/>
        <v>4</v>
      </c>
    </row>
    <row r="40" spans="2:31" x14ac:dyDescent="0.2">
      <c r="B40" s="5">
        <v>407</v>
      </c>
      <c r="C40" s="5" t="s">
        <v>152</v>
      </c>
      <c r="D40" s="5">
        <v>7</v>
      </c>
      <c r="E40" s="18">
        <f t="shared" si="0"/>
        <v>2</v>
      </c>
      <c r="F40" s="18">
        <f t="shared" si="1"/>
        <v>1</v>
      </c>
      <c r="G40" s="18">
        <f t="shared" si="2"/>
        <v>2</v>
      </c>
      <c r="H40" s="5">
        <v>4</v>
      </c>
      <c r="I40" s="5">
        <f t="shared" si="3"/>
        <v>7</v>
      </c>
      <c r="J40" s="5" t="str">
        <f t="shared" si="4"/>
        <v>212.4</v>
      </c>
      <c r="K40" s="85">
        <v>10.25</v>
      </c>
      <c r="L40" s="85">
        <v>9.75</v>
      </c>
      <c r="M40" s="85">
        <v>10.25</v>
      </c>
      <c r="N40" s="85">
        <v>11.25</v>
      </c>
      <c r="O40" s="85">
        <v>10</v>
      </c>
      <c r="P40" s="85">
        <v>9.25</v>
      </c>
      <c r="Q40" s="84">
        <f t="shared" si="5"/>
        <v>5.0625</v>
      </c>
      <c r="R40" s="84">
        <f t="shared" si="6"/>
        <v>0.13597640726733934</v>
      </c>
      <c r="S40" s="72">
        <f>IF(F40=3,Q40/2,Q40)*2</f>
        <v>10.125</v>
      </c>
      <c r="T40" s="71"/>
      <c r="U40" s="1">
        <f t="shared" si="7"/>
        <v>4</v>
      </c>
      <c r="V40" s="83" t="s">
        <v>407</v>
      </c>
      <c r="W40" s="66"/>
      <c r="X40" s="66"/>
      <c r="Y40" s="66"/>
      <c r="Z40" s="82"/>
    </row>
    <row r="41" spans="2:31" ht="13.5" thickBot="1" x14ac:dyDescent="0.25">
      <c r="B41" s="13">
        <v>408</v>
      </c>
      <c r="C41" s="13" t="s">
        <v>113</v>
      </c>
      <c r="D41" s="13">
        <v>10</v>
      </c>
      <c r="E41" s="75">
        <f t="shared" si="0"/>
        <v>2</v>
      </c>
      <c r="F41" s="75">
        <f t="shared" si="1"/>
        <v>2</v>
      </c>
      <c r="G41" s="75">
        <f t="shared" si="2"/>
        <v>1</v>
      </c>
      <c r="H41" s="13">
        <v>4</v>
      </c>
      <c r="I41" s="13">
        <f t="shared" si="3"/>
        <v>8</v>
      </c>
      <c r="J41" s="13" t="str">
        <f t="shared" si="4"/>
        <v>221.4</v>
      </c>
      <c r="K41" s="73">
        <f>AVERAGE(EmgDOY126!K41,EmgDOY132!K41,EmgDOY136!K41)</f>
        <v>27.666666666666668</v>
      </c>
      <c r="L41" s="73">
        <f>AVERAGE(EmgDOY126!L41,EmgDOY132!L41,EmgDOY136!L41)</f>
        <v>22.666666666666668</v>
      </c>
      <c r="M41" s="73">
        <f>AVERAGE(EmgDOY126!M41,EmgDOY132!M41,EmgDOY136!M41)</f>
        <v>24.333333333333332</v>
      </c>
      <c r="N41" s="73">
        <f>AVERAGE(EmgDOY126!N41,EmgDOY132!N41,EmgDOY136!N41)</f>
        <v>28</v>
      </c>
      <c r="O41" s="73">
        <f>AVERAGE(EmgDOY126!O41,EmgDOY132!O41,EmgDOY136!O41)</f>
        <v>27</v>
      </c>
      <c r="P41" s="73">
        <f>AVERAGE(EmgDOY126!P41,EmgDOY132!P41,EmgDOY136!P41)</f>
        <v>16</v>
      </c>
      <c r="Q41" s="74">
        <f t="shared" si="5"/>
        <v>12.138888888888891</v>
      </c>
      <c r="R41" s="73">
        <f t="shared" si="6"/>
        <v>0.93036896968518668</v>
      </c>
      <c r="S41" s="72">
        <f t="shared" ref="S41:S49" si="9">IF(F41=3,Q41/2,Q41)</f>
        <v>12.138888888888891</v>
      </c>
      <c r="T41" s="71"/>
      <c r="U41" s="1">
        <f t="shared" si="7"/>
        <v>4</v>
      </c>
      <c r="V41" s="83" t="s">
        <v>73</v>
      </c>
      <c r="W41" s="83" t="s">
        <v>74</v>
      </c>
      <c r="X41" s="83" t="s">
        <v>72</v>
      </c>
      <c r="Y41" s="83" t="s">
        <v>51</v>
      </c>
      <c r="Z41" s="82" t="s">
        <v>406</v>
      </c>
      <c r="AD41" s="79">
        <v>2002</v>
      </c>
      <c r="AE41" s="79">
        <v>2003</v>
      </c>
    </row>
    <row r="42" spans="2:31" x14ac:dyDescent="0.2">
      <c r="B42" s="23">
        <v>901</v>
      </c>
      <c r="C42" s="23" t="s">
        <v>404</v>
      </c>
      <c r="D42" s="23">
        <v>32</v>
      </c>
      <c r="E42" s="81">
        <v>9</v>
      </c>
      <c r="F42" s="81">
        <v>0</v>
      </c>
      <c r="G42" s="81">
        <v>1</v>
      </c>
      <c r="H42" s="23">
        <v>1</v>
      </c>
      <c r="I42" s="23">
        <f t="shared" si="3"/>
        <v>1</v>
      </c>
      <c r="J42" s="23" t="str">
        <f t="shared" si="4"/>
        <v>901.1</v>
      </c>
      <c r="K42" s="78">
        <f>AVERAGE(EmgDOY126!K42,EmgDOY132!K42,EmgDOY136!K42)</f>
        <v>0</v>
      </c>
      <c r="L42" s="78">
        <f>AVERAGE(EmgDOY126!L42,EmgDOY132!L42,EmgDOY136!L42)</f>
        <v>0</v>
      </c>
      <c r="M42" s="78">
        <f>AVERAGE(EmgDOY126!M42,EmgDOY132!M42,EmgDOY136!M42)</f>
        <v>0</v>
      </c>
      <c r="N42" s="78">
        <f>AVERAGE(EmgDOY126!N42,EmgDOY132!N42,EmgDOY136!N42)</f>
        <v>0</v>
      </c>
      <c r="O42" s="78">
        <f>AVERAGE(EmgDOY126!O42,EmgDOY132!O42,EmgDOY136!O42)</f>
        <v>0</v>
      </c>
      <c r="P42" s="78">
        <f>AVERAGE(EmgDOY126!P42,EmgDOY132!P42,EmgDOY136!P42)</f>
        <v>0</v>
      </c>
      <c r="Q42" s="78">
        <f t="shared" si="5"/>
        <v>0</v>
      </c>
      <c r="R42" s="78">
        <f t="shared" si="6"/>
        <v>0</v>
      </c>
      <c r="S42" s="72">
        <f t="shared" si="9"/>
        <v>0</v>
      </c>
      <c r="U42" s="1">
        <f t="shared" si="7"/>
        <v>9</v>
      </c>
      <c r="V42" s="67" t="s">
        <v>405</v>
      </c>
      <c r="W42" s="67" t="s">
        <v>23</v>
      </c>
      <c r="X42" s="67" t="s">
        <v>394</v>
      </c>
      <c r="Y42" s="67">
        <v>208</v>
      </c>
      <c r="Z42" s="65">
        <v>5.020833333333333</v>
      </c>
      <c r="AC42" s="20" t="s">
        <v>167</v>
      </c>
      <c r="AD42" s="1">
        <v>5.3</v>
      </c>
      <c r="AE42" s="58">
        <f>GETPIVOTDATA("Mean per meter",$V$40,"Pop.",1)</f>
        <v>5.125</v>
      </c>
    </row>
    <row r="43" spans="2:31" x14ac:dyDescent="0.2">
      <c r="B43" s="5">
        <v>902</v>
      </c>
      <c r="C43" s="80" t="s">
        <v>403</v>
      </c>
      <c r="D43" s="5">
        <v>22</v>
      </c>
      <c r="E43" s="18">
        <v>4</v>
      </c>
      <c r="F43" s="18">
        <v>2</v>
      </c>
      <c r="G43" s="18">
        <v>2</v>
      </c>
      <c r="H43" s="5">
        <v>1</v>
      </c>
      <c r="I43" s="5">
        <f t="shared" si="3"/>
        <v>2</v>
      </c>
      <c r="J43" s="5" t="str">
        <f t="shared" si="4"/>
        <v>422.1</v>
      </c>
      <c r="K43" s="77">
        <f>AVERAGE(EmgDOY126!K43,EmgDOY132!K43,EmgDOY136!K43)</f>
        <v>23.333333333333332</v>
      </c>
      <c r="L43" s="77">
        <f>AVERAGE(EmgDOY126!L43,EmgDOY132!L43,EmgDOY136!L43)</f>
        <v>26.666666666666668</v>
      </c>
      <c r="M43" s="77">
        <f>AVERAGE(EmgDOY126!M43,EmgDOY132!M43,EmgDOY136!M43)</f>
        <v>20.333333333333332</v>
      </c>
      <c r="N43" s="77">
        <f>AVERAGE(EmgDOY126!N43,EmgDOY132!N43,EmgDOY136!N43)</f>
        <v>20.666666666666668</v>
      </c>
      <c r="O43" s="77">
        <f>AVERAGE(EmgDOY126!O43,EmgDOY132!O43,EmgDOY136!O43)</f>
        <v>16.333333333333332</v>
      </c>
      <c r="P43" s="77">
        <f>AVERAGE(EmgDOY126!P43,EmgDOY132!P43,EmgDOY136!P43)</f>
        <v>20.666666666666668</v>
      </c>
      <c r="Q43" s="78">
        <f t="shared" si="5"/>
        <v>10.666666666666666</v>
      </c>
      <c r="R43" s="77">
        <f t="shared" si="6"/>
        <v>0.70316743699096984</v>
      </c>
      <c r="S43" s="72">
        <f t="shared" si="9"/>
        <v>10.666666666666666</v>
      </c>
      <c r="T43" s="71"/>
      <c r="U43" s="1">
        <f t="shared" si="7"/>
        <v>9</v>
      </c>
      <c r="V43" s="68"/>
      <c r="W43" s="68"/>
      <c r="X43" s="68"/>
      <c r="Y43" s="70">
        <v>304</v>
      </c>
      <c r="Z43" s="69">
        <v>5.166666666666667</v>
      </c>
      <c r="AC43" s="20" t="s">
        <v>166</v>
      </c>
      <c r="AD43" s="1">
        <v>11.6</v>
      </c>
      <c r="AE43" s="58">
        <f>GETPIVOTDATA("Mean per meter",$V$40,"Pop.",2)</f>
        <v>11.647569444444446</v>
      </c>
    </row>
    <row r="44" spans="2:31" x14ac:dyDescent="0.2">
      <c r="B44" s="5">
        <v>903</v>
      </c>
      <c r="C44" s="5" t="s">
        <v>401</v>
      </c>
      <c r="D44" s="5">
        <v>31</v>
      </c>
      <c r="E44" s="18">
        <v>8</v>
      </c>
      <c r="F44" s="18">
        <v>0</v>
      </c>
      <c r="G44" s="18">
        <v>1</v>
      </c>
      <c r="H44" s="5">
        <v>1</v>
      </c>
      <c r="I44" s="5">
        <f t="shared" si="3"/>
        <v>3</v>
      </c>
      <c r="J44" s="5" t="str">
        <f t="shared" si="4"/>
        <v>801.1</v>
      </c>
      <c r="K44" s="77">
        <f>AVERAGE(EmgDOY126!K44,EmgDOY132!K44,EmgDOY136!K44)</f>
        <v>0</v>
      </c>
      <c r="L44" s="77">
        <f>AVERAGE(EmgDOY126!L44,EmgDOY132!L44,EmgDOY136!L44)</f>
        <v>0</v>
      </c>
      <c r="M44" s="77">
        <f>AVERAGE(EmgDOY126!M44,EmgDOY132!M44,EmgDOY136!M44)</f>
        <v>0</v>
      </c>
      <c r="N44" s="77">
        <f>AVERAGE(EmgDOY126!N44,EmgDOY132!N44,EmgDOY136!N44)</f>
        <v>0</v>
      </c>
      <c r="O44" s="77">
        <f>AVERAGE(EmgDOY126!O44,EmgDOY132!O44,EmgDOY136!O44)</f>
        <v>0</v>
      </c>
      <c r="P44" s="77">
        <f>AVERAGE(EmgDOY126!P44,EmgDOY132!P44,EmgDOY136!P44)</f>
        <v>0</v>
      </c>
      <c r="Q44" s="78">
        <f t="shared" si="5"/>
        <v>0</v>
      </c>
      <c r="R44" s="77">
        <f t="shared" si="6"/>
        <v>0</v>
      </c>
      <c r="S44" s="72">
        <f t="shared" si="9"/>
        <v>0</v>
      </c>
      <c r="T44" s="71"/>
      <c r="U44" s="1">
        <f t="shared" si="7"/>
        <v>9</v>
      </c>
      <c r="V44" s="68"/>
      <c r="W44" s="68"/>
      <c r="X44" s="67" t="s">
        <v>393</v>
      </c>
      <c r="Y44" s="66"/>
      <c r="Z44" s="65">
        <v>5.09375</v>
      </c>
      <c r="AC44" s="20" t="s">
        <v>165</v>
      </c>
      <c r="AD44" s="1">
        <v>21.1</v>
      </c>
      <c r="AE44" s="58">
        <f>GETPIVOTDATA("Mean per meter",$V$40,"Pop.",3)</f>
        <v>23.447916666666668</v>
      </c>
    </row>
    <row r="45" spans="2:31" x14ac:dyDescent="0.2">
      <c r="B45" s="5">
        <v>904</v>
      </c>
      <c r="C45" s="80" t="s">
        <v>400</v>
      </c>
      <c r="D45" s="5">
        <v>21</v>
      </c>
      <c r="E45" s="18">
        <v>3</v>
      </c>
      <c r="F45" s="18">
        <v>2</v>
      </c>
      <c r="G45" s="18">
        <v>2</v>
      </c>
      <c r="H45" s="5">
        <v>1</v>
      </c>
      <c r="I45" s="5">
        <f t="shared" si="3"/>
        <v>4</v>
      </c>
      <c r="J45" s="5" t="str">
        <f t="shared" si="4"/>
        <v>322.1</v>
      </c>
      <c r="K45" s="77">
        <f>AVERAGE(EmgDOY126!K45,EmgDOY132!K45,EmgDOY136!K45)</f>
        <v>23.666666666666668</v>
      </c>
      <c r="L45" s="77">
        <f>AVERAGE(EmgDOY126!L45,EmgDOY132!L45,EmgDOY136!L45)</f>
        <v>26.666666666666668</v>
      </c>
      <c r="M45" s="77">
        <f>AVERAGE(EmgDOY126!M45,EmgDOY132!M45,EmgDOY136!M45)</f>
        <v>19</v>
      </c>
      <c r="N45" s="77">
        <f>AVERAGE(EmgDOY126!N45,EmgDOY132!N45,EmgDOY136!N45)</f>
        <v>20.333333333333332</v>
      </c>
      <c r="O45" s="77">
        <f>AVERAGE(EmgDOY126!O45,EmgDOY132!O45,EmgDOY136!O45)</f>
        <v>25</v>
      </c>
      <c r="P45" s="77">
        <f>AVERAGE(EmgDOY126!P45,EmgDOY132!P45,EmgDOY136!P45)</f>
        <v>16</v>
      </c>
      <c r="Q45" s="78">
        <f t="shared" si="5"/>
        <v>10.888888888888891</v>
      </c>
      <c r="R45" s="77">
        <f t="shared" si="6"/>
        <v>0.82177164831558169</v>
      </c>
      <c r="S45" s="72">
        <f t="shared" si="9"/>
        <v>10.888888888888891</v>
      </c>
      <c r="T45" s="71"/>
      <c r="U45" s="1">
        <f t="shared" si="7"/>
        <v>9</v>
      </c>
      <c r="V45" s="68"/>
      <c r="W45" s="68"/>
      <c r="X45" s="67" t="s">
        <v>392</v>
      </c>
      <c r="Y45" s="67">
        <v>101</v>
      </c>
      <c r="Z45" s="65">
        <v>5.270833333333333</v>
      </c>
    </row>
    <row r="46" spans="2:31" x14ac:dyDescent="0.2">
      <c r="B46" s="5">
        <v>905</v>
      </c>
      <c r="C46" s="5" t="s">
        <v>404</v>
      </c>
      <c r="D46" s="5">
        <v>32</v>
      </c>
      <c r="E46" s="18">
        <v>9</v>
      </c>
      <c r="F46" s="18">
        <v>0</v>
      </c>
      <c r="G46" s="18">
        <v>1</v>
      </c>
      <c r="H46" s="5">
        <v>2</v>
      </c>
      <c r="I46" s="5">
        <f t="shared" si="3"/>
        <v>5</v>
      </c>
      <c r="J46" s="5" t="str">
        <f t="shared" si="4"/>
        <v>901.2</v>
      </c>
      <c r="K46" s="77">
        <f>AVERAGE(EmgDOY126!K46,EmgDOY132!K46,EmgDOY136!K46)</f>
        <v>0</v>
      </c>
      <c r="L46" s="77">
        <f>AVERAGE(EmgDOY126!L46,EmgDOY132!L46,EmgDOY136!L46)</f>
        <v>0</v>
      </c>
      <c r="M46" s="77">
        <f>AVERAGE(EmgDOY126!M46,EmgDOY132!M46,EmgDOY136!M46)</f>
        <v>0</v>
      </c>
      <c r="N46" s="77">
        <f>AVERAGE(EmgDOY126!N46,EmgDOY132!N46,EmgDOY136!N46)</f>
        <v>0</v>
      </c>
      <c r="O46" s="77">
        <f>AVERAGE(EmgDOY126!O46,EmgDOY132!O46,EmgDOY136!O46)</f>
        <v>0</v>
      </c>
      <c r="P46" s="77">
        <f>AVERAGE(EmgDOY126!P46,EmgDOY132!P46,EmgDOY136!P46)</f>
        <v>0</v>
      </c>
      <c r="Q46" s="78">
        <f t="shared" si="5"/>
        <v>0</v>
      </c>
      <c r="R46" s="77">
        <f t="shared" si="6"/>
        <v>0</v>
      </c>
      <c r="S46" s="72">
        <f t="shared" si="9"/>
        <v>0</v>
      </c>
      <c r="T46" s="71"/>
      <c r="U46" s="1">
        <f t="shared" si="7"/>
        <v>9</v>
      </c>
      <c r="V46" s="68"/>
      <c r="W46" s="68"/>
      <c r="X46" s="68"/>
      <c r="Y46" s="70">
        <v>205</v>
      </c>
      <c r="Z46" s="69">
        <v>5</v>
      </c>
    </row>
    <row r="47" spans="2:31" x14ac:dyDescent="0.2">
      <c r="B47" s="5">
        <v>906</v>
      </c>
      <c r="C47" s="80" t="s">
        <v>403</v>
      </c>
      <c r="D47" s="5">
        <v>22</v>
      </c>
      <c r="E47" s="18">
        <v>4</v>
      </c>
      <c r="F47" s="18">
        <v>2</v>
      </c>
      <c r="G47" s="18">
        <v>2</v>
      </c>
      <c r="H47" s="5">
        <v>2</v>
      </c>
      <c r="I47" s="5">
        <f t="shared" si="3"/>
        <v>6</v>
      </c>
      <c r="J47" s="5" t="str">
        <f t="shared" si="4"/>
        <v>422.2</v>
      </c>
      <c r="K47" s="77">
        <f>AVERAGE(EmgDOY126!K47,EmgDOY132!K47,EmgDOY136!K47)</f>
        <v>24</v>
      </c>
      <c r="L47" s="77">
        <f>AVERAGE(EmgDOY126!L47,EmgDOY132!L47,EmgDOY136!L47)</f>
        <v>25.333333333333332</v>
      </c>
      <c r="M47" s="77">
        <f>AVERAGE(EmgDOY126!M47,EmgDOY132!M47,EmgDOY136!M47)</f>
        <v>24.666666666666668</v>
      </c>
      <c r="N47" s="77">
        <f>AVERAGE(EmgDOY126!N47,EmgDOY132!N47,EmgDOY136!N47)</f>
        <v>22</v>
      </c>
      <c r="O47" s="77">
        <f>AVERAGE(EmgDOY126!O47,EmgDOY132!O47,EmgDOY136!O47)</f>
        <v>18.666666666666668</v>
      </c>
      <c r="P47" s="77">
        <f>AVERAGE(EmgDOY126!P47,EmgDOY132!P47,EmgDOY136!P47)</f>
        <v>21.333333333333332</v>
      </c>
      <c r="Q47" s="78">
        <f t="shared" si="5"/>
        <v>11.333333333333334</v>
      </c>
      <c r="R47" s="77">
        <f t="shared" si="6"/>
        <v>0.50917507721731559</v>
      </c>
      <c r="S47" s="72">
        <f t="shared" si="9"/>
        <v>11.333333333333334</v>
      </c>
      <c r="T47" s="71"/>
      <c r="U47" s="1">
        <f t="shared" si="7"/>
        <v>9</v>
      </c>
      <c r="V47" s="68"/>
      <c r="W47" s="68"/>
      <c r="X47" s="67" t="s">
        <v>391</v>
      </c>
      <c r="Y47" s="66"/>
      <c r="Z47" s="65">
        <v>5.1354166666666661</v>
      </c>
      <c r="AC47" s="79" t="s">
        <v>402</v>
      </c>
    </row>
    <row r="48" spans="2:31" x14ac:dyDescent="0.2">
      <c r="B48" s="5">
        <v>907</v>
      </c>
      <c r="C48" s="5" t="s">
        <v>401</v>
      </c>
      <c r="D48" s="5">
        <v>31</v>
      </c>
      <c r="E48" s="18">
        <v>8</v>
      </c>
      <c r="F48" s="18">
        <v>0</v>
      </c>
      <c r="G48" s="18">
        <v>1</v>
      </c>
      <c r="H48" s="5">
        <v>2</v>
      </c>
      <c r="I48" s="5">
        <f t="shared" si="3"/>
        <v>7</v>
      </c>
      <c r="J48" s="5" t="str">
        <f t="shared" si="4"/>
        <v>801.2</v>
      </c>
      <c r="K48" s="77">
        <f>AVERAGE(EmgDOY126!K48,EmgDOY132!K48,EmgDOY136!K48)</f>
        <v>0</v>
      </c>
      <c r="L48" s="77">
        <f>AVERAGE(EmgDOY126!L48,EmgDOY132!L48,EmgDOY136!L48)</f>
        <v>0</v>
      </c>
      <c r="M48" s="77">
        <f>AVERAGE(EmgDOY126!M48,EmgDOY132!M48,EmgDOY136!M48)</f>
        <v>0</v>
      </c>
      <c r="N48" s="77">
        <f>AVERAGE(EmgDOY126!N48,EmgDOY132!N48,EmgDOY136!N48)</f>
        <v>0</v>
      </c>
      <c r="O48" s="77">
        <f>AVERAGE(EmgDOY126!O48,EmgDOY132!O48,EmgDOY136!O48)</f>
        <v>0</v>
      </c>
      <c r="P48" s="77">
        <f>AVERAGE(EmgDOY126!P48,EmgDOY132!P48,EmgDOY136!P48)</f>
        <v>0</v>
      </c>
      <c r="Q48" s="78">
        <f t="shared" si="5"/>
        <v>0</v>
      </c>
      <c r="R48" s="77">
        <f t="shared" si="6"/>
        <v>0</v>
      </c>
      <c r="S48" s="72">
        <f t="shared" si="9"/>
        <v>0</v>
      </c>
      <c r="T48" s="71"/>
      <c r="U48" s="1">
        <f t="shared" si="7"/>
        <v>9</v>
      </c>
      <c r="V48" s="68"/>
      <c r="W48" s="67" t="s">
        <v>395</v>
      </c>
      <c r="X48" s="66"/>
      <c r="Y48" s="66"/>
      <c r="Z48" s="65">
        <v>5.114583333333333</v>
      </c>
      <c r="AD48" s="1">
        <v>2002</v>
      </c>
      <c r="AE48" s="1">
        <v>2003</v>
      </c>
    </row>
    <row r="49" spans="2:31" ht="13.5" thickBot="1" x14ac:dyDescent="0.25">
      <c r="B49" s="13">
        <v>908</v>
      </c>
      <c r="C49" s="76" t="s">
        <v>400</v>
      </c>
      <c r="D49" s="13">
        <v>21</v>
      </c>
      <c r="E49" s="75">
        <v>3</v>
      </c>
      <c r="F49" s="75">
        <v>2</v>
      </c>
      <c r="G49" s="75">
        <v>2</v>
      </c>
      <c r="H49" s="13">
        <v>2</v>
      </c>
      <c r="I49" s="13">
        <f t="shared" si="3"/>
        <v>8</v>
      </c>
      <c r="J49" s="13" t="str">
        <f t="shared" si="4"/>
        <v>322.2</v>
      </c>
      <c r="K49" s="73">
        <f>AVERAGE(EmgDOY126!K49,EmgDOY132!K49,EmgDOY136!K49)</f>
        <v>30.666666666666668</v>
      </c>
      <c r="L49" s="73">
        <f>AVERAGE(EmgDOY126!L49,EmgDOY132!L49,EmgDOY136!L49)</f>
        <v>29.333333333333332</v>
      </c>
      <c r="M49" s="73">
        <f>AVERAGE(EmgDOY126!M49,EmgDOY132!M49,EmgDOY136!M49)</f>
        <v>25.333333333333332</v>
      </c>
      <c r="N49" s="73">
        <f>AVERAGE(EmgDOY126!N49,EmgDOY132!N49,EmgDOY136!N49)</f>
        <v>24.333333333333332</v>
      </c>
      <c r="O49" s="73">
        <f>AVERAGE(EmgDOY126!O49,EmgDOY132!O49,EmgDOY136!O49)</f>
        <v>25.666666666666668</v>
      </c>
      <c r="P49" s="73">
        <f>AVERAGE(EmgDOY126!P49,EmgDOY132!P49,EmgDOY136!P49)</f>
        <v>25.333333333333332</v>
      </c>
      <c r="Q49" s="74">
        <f t="shared" si="5"/>
        <v>13.388888888888888</v>
      </c>
      <c r="R49" s="73">
        <f t="shared" si="6"/>
        <v>0.52469862013855995</v>
      </c>
      <c r="S49" s="72">
        <f t="shared" si="9"/>
        <v>13.388888888888888</v>
      </c>
      <c r="T49" s="71"/>
      <c r="U49" s="1">
        <f t="shared" si="7"/>
        <v>9</v>
      </c>
      <c r="V49" s="68"/>
      <c r="W49" s="67" t="s">
        <v>22</v>
      </c>
      <c r="X49" s="67" t="s">
        <v>394</v>
      </c>
      <c r="Y49" s="67">
        <v>206</v>
      </c>
      <c r="Z49" s="65">
        <v>5.229166666666667</v>
      </c>
      <c r="AC49" s="1" t="s">
        <v>167</v>
      </c>
      <c r="AD49" s="1">
        <v>5.3</v>
      </c>
      <c r="AE49" s="1">
        <v>11.78</v>
      </c>
    </row>
    <row r="50" spans="2:31" x14ac:dyDescent="0.2">
      <c r="V50" s="68"/>
      <c r="W50" s="68"/>
      <c r="X50" s="68"/>
      <c r="Y50" s="70">
        <v>303</v>
      </c>
      <c r="Z50" s="69">
        <v>5.375</v>
      </c>
      <c r="AC50" s="1" t="s">
        <v>166</v>
      </c>
      <c r="AD50" s="1">
        <v>11.6</v>
      </c>
      <c r="AE50" s="1">
        <v>11.65</v>
      </c>
    </row>
    <row r="51" spans="2:31" x14ac:dyDescent="0.2">
      <c r="V51" s="68"/>
      <c r="W51" s="68"/>
      <c r="X51" s="67" t="s">
        <v>393</v>
      </c>
      <c r="Y51" s="66"/>
      <c r="Z51" s="65">
        <v>5.3020833333333339</v>
      </c>
      <c r="AC51" s="1" t="s">
        <v>165</v>
      </c>
      <c r="AD51" s="1">
        <v>21.1</v>
      </c>
      <c r="AE51" s="1">
        <v>23.43</v>
      </c>
    </row>
    <row r="52" spans="2:31" x14ac:dyDescent="0.2">
      <c r="V52" s="68"/>
      <c r="W52" s="68"/>
      <c r="X52" s="67" t="s">
        <v>392</v>
      </c>
      <c r="Y52" s="67">
        <v>401</v>
      </c>
      <c r="Z52" s="65">
        <v>4.875</v>
      </c>
    </row>
    <row r="53" spans="2:31" x14ac:dyDescent="0.2">
      <c r="V53" s="68"/>
      <c r="W53" s="68"/>
      <c r="X53" s="68"/>
      <c r="Y53" s="70">
        <v>407</v>
      </c>
      <c r="Z53" s="69">
        <v>5.0625</v>
      </c>
    </row>
    <row r="54" spans="2:31" x14ac:dyDescent="0.2">
      <c r="V54" s="68"/>
      <c r="W54" s="68"/>
      <c r="X54" s="67" t="s">
        <v>391</v>
      </c>
      <c r="Y54" s="66"/>
      <c r="Z54" s="65">
        <v>4.96875</v>
      </c>
    </row>
    <row r="55" spans="2:31" x14ac:dyDescent="0.2">
      <c r="V55" s="68"/>
      <c r="W55" s="67" t="s">
        <v>390</v>
      </c>
      <c r="X55" s="66"/>
      <c r="Y55" s="66"/>
      <c r="Z55" s="65">
        <v>5.135416666666667</v>
      </c>
    </row>
    <row r="56" spans="2:31" x14ac:dyDescent="0.2">
      <c r="V56" s="67" t="s">
        <v>399</v>
      </c>
      <c r="W56" s="66"/>
      <c r="X56" s="66"/>
      <c r="Y56" s="66"/>
      <c r="Z56" s="65">
        <v>5.125</v>
      </c>
    </row>
    <row r="57" spans="2:31" x14ac:dyDescent="0.2">
      <c r="V57" s="67" t="s">
        <v>398</v>
      </c>
      <c r="W57" s="67" t="s">
        <v>23</v>
      </c>
      <c r="X57" s="67" t="s">
        <v>394</v>
      </c>
      <c r="Y57" s="67">
        <v>102</v>
      </c>
      <c r="Z57" s="65">
        <v>9.3333333333333339</v>
      </c>
    </row>
    <row r="58" spans="2:31" x14ac:dyDescent="0.2">
      <c r="V58" s="68"/>
      <c r="W58" s="68"/>
      <c r="X58" s="68"/>
      <c r="Y58" s="70">
        <v>207</v>
      </c>
      <c r="Z58" s="69">
        <v>11.75</v>
      </c>
    </row>
    <row r="59" spans="2:31" x14ac:dyDescent="0.2">
      <c r="V59" s="68"/>
      <c r="W59" s="68"/>
      <c r="X59" s="68"/>
      <c r="Y59" s="70">
        <v>302</v>
      </c>
      <c r="Z59" s="69">
        <v>11.888888888888891</v>
      </c>
    </row>
    <row r="60" spans="2:31" x14ac:dyDescent="0.2">
      <c r="V60" s="68"/>
      <c r="W60" s="68"/>
      <c r="X60" s="68"/>
      <c r="Y60" s="70">
        <v>306</v>
      </c>
      <c r="Z60" s="69">
        <v>12.694444444444443</v>
      </c>
    </row>
    <row r="61" spans="2:31" x14ac:dyDescent="0.2">
      <c r="V61" s="68"/>
      <c r="W61" s="68"/>
      <c r="X61" s="67" t="s">
        <v>393</v>
      </c>
      <c r="Y61" s="66"/>
      <c r="Z61" s="65">
        <v>11.416666666666668</v>
      </c>
    </row>
    <row r="62" spans="2:31" x14ac:dyDescent="0.2">
      <c r="V62" s="68"/>
      <c r="W62" s="68"/>
      <c r="X62" s="67" t="s">
        <v>392</v>
      </c>
      <c r="Y62" s="67">
        <v>108</v>
      </c>
      <c r="Z62" s="65">
        <v>11.916666666666666</v>
      </c>
    </row>
    <row r="63" spans="2:31" x14ac:dyDescent="0.2">
      <c r="V63" s="68"/>
      <c r="W63" s="68"/>
      <c r="X63" s="68"/>
      <c r="Y63" s="70">
        <v>203</v>
      </c>
      <c r="Z63" s="69">
        <v>10.666666666666666</v>
      </c>
    </row>
    <row r="64" spans="2:31" x14ac:dyDescent="0.2">
      <c r="V64" s="68"/>
      <c r="W64" s="68"/>
      <c r="X64" s="68"/>
      <c r="Y64" s="70">
        <v>404</v>
      </c>
      <c r="Z64" s="69">
        <v>11.083333333333334</v>
      </c>
    </row>
    <row r="65" spans="22:26" x14ac:dyDescent="0.2">
      <c r="V65" s="68"/>
      <c r="W65" s="68"/>
      <c r="X65" s="68"/>
      <c r="Y65" s="70">
        <v>406</v>
      </c>
      <c r="Z65" s="69">
        <v>11.861111111111112</v>
      </c>
    </row>
    <row r="66" spans="22:26" x14ac:dyDescent="0.2">
      <c r="V66" s="68"/>
      <c r="W66" s="68"/>
      <c r="X66" s="67" t="s">
        <v>391</v>
      </c>
      <c r="Y66" s="66"/>
      <c r="Z66" s="65">
        <v>11.381944444444445</v>
      </c>
    </row>
    <row r="67" spans="22:26" x14ac:dyDescent="0.2">
      <c r="V67" s="68"/>
      <c r="W67" s="67" t="s">
        <v>395</v>
      </c>
      <c r="X67" s="66"/>
      <c r="Y67" s="66"/>
      <c r="Z67" s="65">
        <v>11.399305555555555</v>
      </c>
    </row>
    <row r="68" spans="22:26" x14ac:dyDescent="0.2">
      <c r="V68" s="68"/>
      <c r="W68" s="67" t="s">
        <v>22</v>
      </c>
      <c r="X68" s="67" t="s">
        <v>394</v>
      </c>
      <c r="Y68" s="67">
        <v>104</v>
      </c>
      <c r="Z68" s="65">
        <v>12.027777777777779</v>
      </c>
    </row>
    <row r="69" spans="22:26" x14ac:dyDescent="0.2">
      <c r="V69" s="68"/>
      <c r="W69" s="68"/>
      <c r="X69" s="68"/>
      <c r="Y69" s="70">
        <v>107</v>
      </c>
      <c r="Z69" s="69">
        <v>11.472222222222221</v>
      </c>
    </row>
    <row r="70" spans="22:26" x14ac:dyDescent="0.2">
      <c r="V70" s="68"/>
      <c r="W70" s="68"/>
      <c r="X70" s="68"/>
      <c r="Y70" s="70">
        <v>301</v>
      </c>
      <c r="Z70" s="69">
        <v>11.305555555555557</v>
      </c>
    </row>
    <row r="71" spans="22:26" x14ac:dyDescent="0.2">
      <c r="V71" s="68"/>
      <c r="W71" s="68"/>
      <c r="X71" s="68"/>
      <c r="Y71" s="70">
        <v>408</v>
      </c>
      <c r="Z71" s="69">
        <v>12.138888888888891</v>
      </c>
    </row>
    <row r="72" spans="22:26" x14ac:dyDescent="0.2">
      <c r="V72" s="68"/>
      <c r="W72" s="68"/>
      <c r="X72" s="67" t="s">
        <v>393</v>
      </c>
      <c r="Y72" s="66"/>
      <c r="Z72" s="65">
        <v>11.736111111111112</v>
      </c>
    </row>
    <row r="73" spans="22:26" x14ac:dyDescent="0.2">
      <c r="V73" s="68"/>
      <c r="W73" s="68"/>
      <c r="X73" s="67" t="s">
        <v>392</v>
      </c>
      <c r="Y73" s="67">
        <v>106</v>
      </c>
      <c r="Z73" s="65">
        <v>12.166666666666666</v>
      </c>
    </row>
    <row r="74" spans="22:26" x14ac:dyDescent="0.2">
      <c r="V74" s="68"/>
      <c r="W74" s="68"/>
      <c r="X74" s="68"/>
      <c r="Y74" s="70">
        <v>202</v>
      </c>
      <c r="Z74" s="69">
        <v>12.527777777777777</v>
      </c>
    </row>
    <row r="75" spans="22:26" x14ac:dyDescent="0.2">
      <c r="V75" s="68"/>
      <c r="W75" s="68"/>
      <c r="X75" s="68"/>
      <c r="Y75" s="70">
        <v>307</v>
      </c>
      <c r="Z75" s="69">
        <v>11.944444444444445</v>
      </c>
    </row>
    <row r="76" spans="22:26" x14ac:dyDescent="0.2">
      <c r="V76" s="68"/>
      <c r="W76" s="68"/>
      <c r="X76" s="68"/>
      <c r="Y76" s="70">
        <v>402</v>
      </c>
      <c r="Z76" s="69">
        <v>11.583333333333334</v>
      </c>
    </row>
    <row r="77" spans="22:26" x14ac:dyDescent="0.2">
      <c r="V77" s="68"/>
      <c r="W77" s="68"/>
      <c r="X77" s="67" t="s">
        <v>391</v>
      </c>
      <c r="Y77" s="66"/>
      <c r="Z77" s="65">
        <v>12.055555555555555</v>
      </c>
    </row>
    <row r="78" spans="22:26" x14ac:dyDescent="0.2">
      <c r="V78" s="68"/>
      <c r="W78" s="67" t="s">
        <v>390</v>
      </c>
      <c r="X78" s="66"/>
      <c r="Y78" s="66"/>
      <c r="Z78" s="65">
        <v>11.895833333333332</v>
      </c>
    </row>
    <row r="79" spans="22:26" x14ac:dyDescent="0.2">
      <c r="V79" s="67" t="s">
        <v>397</v>
      </c>
      <c r="W79" s="66"/>
      <c r="X79" s="66"/>
      <c r="Y79" s="66"/>
      <c r="Z79" s="65">
        <v>11.647569444444446</v>
      </c>
    </row>
    <row r="80" spans="22:26" x14ac:dyDescent="0.2">
      <c r="V80" s="67" t="s">
        <v>396</v>
      </c>
      <c r="W80" s="67" t="s">
        <v>23</v>
      </c>
      <c r="X80" s="67" t="s">
        <v>394</v>
      </c>
      <c r="Y80" s="67">
        <v>403</v>
      </c>
      <c r="Z80" s="65">
        <v>22.722222222222225</v>
      </c>
    </row>
    <row r="81" spans="22:26" x14ac:dyDescent="0.2">
      <c r="V81" s="68"/>
      <c r="W81" s="68"/>
      <c r="X81" s="68"/>
      <c r="Y81" s="70">
        <v>405</v>
      </c>
      <c r="Z81" s="69">
        <v>24.361111111111114</v>
      </c>
    </row>
    <row r="82" spans="22:26" x14ac:dyDescent="0.2">
      <c r="V82" s="68"/>
      <c r="W82" s="68"/>
      <c r="X82" s="67" t="s">
        <v>393</v>
      </c>
      <c r="Y82" s="66"/>
      <c r="Z82" s="65">
        <v>23.541666666666671</v>
      </c>
    </row>
    <row r="83" spans="22:26" x14ac:dyDescent="0.2">
      <c r="V83" s="68"/>
      <c r="W83" s="68"/>
      <c r="X83" s="67" t="s">
        <v>392</v>
      </c>
      <c r="Y83" s="67">
        <v>103</v>
      </c>
      <c r="Z83" s="65">
        <v>22.416666666666668</v>
      </c>
    </row>
    <row r="84" spans="22:26" x14ac:dyDescent="0.2">
      <c r="V84" s="68"/>
      <c r="W84" s="68"/>
      <c r="X84" s="68"/>
      <c r="Y84" s="70">
        <v>308</v>
      </c>
      <c r="Z84" s="69">
        <v>23.333333333333332</v>
      </c>
    </row>
    <row r="85" spans="22:26" x14ac:dyDescent="0.2">
      <c r="V85" s="68"/>
      <c r="W85" s="68"/>
      <c r="X85" s="67" t="s">
        <v>391</v>
      </c>
      <c r="Y85" s="66"/>
      <c r="Z85" s="65">
        <v>22.875</v>
      </c>
    </row>
    <row r="86" spans="22:26" x14ac:dyDescent="0.2">
      <c r="V86" s="68"/>
      <c r="W86" s="67" t="s">
        <v>395</v>
      </c>
      <c r="X86" s="66"/>
      <c r="Y86" s="66"/>
      <c r="Z86" s="65">
        <v>23.208333333333336</v>
      </c>
    </row>
    <row r="87" spans="22:26" x14ac:dyDescent="0.2">
      <c r="V87" s="68"/>
      <c r="W87" s="67" t="s">
        <v>22</v>
      </c>
      <c r="X87" s="67" t="s">
        <v>394</v>
      </c>
      <c r="Y87" s="67">
        <v>105</v>
      </c>
      <c r="Z87" s="65">
        <v>23.277777777777782</v>
      </c>
    </row>
    <row r="88" spans="22:26" x14ac:dyDescent="0.2">
      <c r="V88" s="68"/>
      <c r="W88" s="68"/>
      <c r="X88" s="68"/>
      <c r="Y88" s="70">
        <v>201</v>
      </c>
      <c r="Z88" s="69">
        <v>21.777777777777775</v>
      </c>
    </row>
    <row r="89" spans="22:26" x14ac:dyDescent="0.2">
      <c r="V89" s="68"/>
      <c r="W89" s="68"/>
      <c r="X89" s="67" t="s">
        <v>393</v>
      </c>
      <c r="Y89" s="66"/>
      <c r="Z89" s="65">
        <v>22.527777777777779</v>
      </c>
    </row>
    <row r="90" spans="22:26" x14ac:dyDescent="0.2">
      <c r="V90" s="68"/>
      <c r="W90" s="68"/>
      <c r="X90" s="67" t="s">
        <v>392</v>
      </c>
      <c r="Y90" s="67">
        <v>204</v>
      </c>
      <c r="Z90" s="65">
        <v>24.027777777777782</v>
      </c>
    </row>
    <row r="91" spans="22:26" x14ac:dyDescent="0.2">
      <c r="V91" s="68"/>
      <c r="W91" s="68"/>
      <c r="X91" s="68"/>
      <c r="Y91" s="70">
        <v>305</v>
      </c>
      <c r="Z91" s="69">
        <v>25.666666666666668</v>
      </c>
    </row>
    <row r="92" spans="22:26" x14ac:dyDescent="0.2">
      <c r="V92" s="68"/>
      <c r="W92" s="68"/>
      <c r="X92" s="67" t="s">
        <v>391</v>
      </c>
      <c r="Y92" s="66"/>
      <c r="Z92" s="65">
        <v>24.847222222222225</v>
      </c>
    </row>
    <row r="93" spans="22:26" x14ac:dyDescent="0.2">
      <c r="V93" s="68"/>
      <c r="W93" s="67" t="s">
        <v>390</v>
      </c>
      <c r="X93" s="66"/>
      <c r="Y93" s="66"/>
      <c r="Z93" s="65">
        <v>23.6875</v>
      </c>
    </row>
    <row r="94" spans="22:26" x14ac:dyDescent="0.2">
      <c r="V94" s="64" t="s">
        <v>389</v>
      </c>
      <c r="W94" s="63"/>
      <c r="X94" s="63"/>
      <c r="Y94" s="63"/>
      <c r="Z94" s="62">
        <v>23.447916666666668</v>
      </c>
    </row>
  </sheetData>
  <pageMargins left="0.75" right="0.75" top="1" bottom="1" header="0.5" footer="0.5"/>
  <pageSetup orientation="portrait" r:id="rId3"/>
  <headerFooter alignWithMargins="0"/>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Height</vt:lpstr>
      <vt:lpstr>Width</vt:lpstr>
      <vt:lpstr>SPAD</vt:lpstr>
      <vt:lpstr>ChlA</vt:lpstr>
      <vt:lpstr>Density</vt:lpstr>
      <vt:lpstr>Develop</vt:lpstr>
      <vt:lpstr>PlotDevelop</vt:lpstr>
      <vt:lpstr>HgtDOY168</vt:lpstr>
      <vt:lpstr>HgtDOY176</vt:lpstr>
      <vt:lpstr>HgtDOY189</vt:lpstr>
      <vt:lpstr>HgtDOY209</vt:lpstr>
      <vt:lpstr>HgtDOY217</vt:lpstr>
      <vt:lpstr>HgtDOY233</vt:lpstr>
      <vt:lpstr>HgtDOY259</vt:lpstr>
      <vt:lpstr>HgtDOY287</vt:lpstr>
      <vt:lpstr>EmgSummary1</vt:lpstr>
      <vt:lpstr>EmgSummary2</vt:lpstr>
      <vt:lpstr>EmgDOY114</vt:lpstr>
      <vt:lpstr>EmgDOY115</vt:lpstr>
      <vt:lpstr>EmgDOY118</vt:lpstr>
      <vt:lpstr>EmgDOY119</vt:lpstr>
      <vt:lpstr>EmgDOY120</vt:lpstr>
      <vt:lpstr>EmgDOY122</vt:lpstr>
      <vt:lpstr>EmgDOY126</vt:lpstr>
      <vt:lpstr>EmgDOY132</vt:lpstr>
      <vt:lpstr>EmgDOY136</vt:lpstr>
      <vt:lpstr>DenDOY141</vt:lpstr>
      <vt:lpstr>HgtDOY168!Print_Area</vt:lpstr>
      <vt:lpstr>HgtDOY176!Print_Area</vt:lpstr>
      <vt:lpstr>HgtDOY189!Print_Area</vt:lpstr>
      <vt:lpstr>HgtDOY209!Print_Area</vt:lpstr>
      <vt:lpstr>HgtDOY217!Print_Area</vt:lpstr>
      <vt:lpstr>HgtDOY233!Print_Area</vt:lpstr>
      <vt:lpstr>HgtDOY259!Print_Area</vt:lpstr>
      <vt:lpstr>HgtDOY287!Print_Area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2024-09-20T17:25:04Z</dcterms:created>
  <dcterms:modified xsi:type="dcterms:W3CDTF">2026-03-16T22:31:59Z</dcterms:modified>
</cp:coreProperties>
</file>